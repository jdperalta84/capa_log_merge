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specllc.sharepoint.com/sites/QATeam-NAM/Shared Documents/01 - CAPA Management/03 - 2026 CAPA Tracking/"/>
    </mc:Choice>
  </mc:AlternateContent>
  <xr:revisionPtr revIDLastSave="13869" documentId="13_ncr:1_{D8D8A429-85F6-43FA-9054-02559E666929}" xr6:coauthVersionLast="47" xr6:coauthVersionMax="47" xr10:uidLastSave="{ECE0F9EE-4BC1-4542-84F6-2A5CCE55B385}"/>
  <bookViews>
    <workbookView xWindow="28692" yWindow="-108" windowWidth="29016" windowHeight="15696" firstSheet="5" activeTab="5" xr2:uid="{00000000-000D-0000-FFFF-FFFF00000000}"/>
  </bookViews>
  <sheets>
    <sheet name="Assessment '26" sheetId="11" r:id="rId1"/>
    <sheet name="CAR '26" sheetId="6" r:id="rId2"/>
    <sheet name="PAR '26" sheetId="8" r:id="rId3"/>
    <sheet name="List source" sheetId="2" r:id="rId4"/>
    <sheet name="CAF '26" sheetId="12" r:id="rId5"/>
    <sheet name="PTO '26" sheetId="13" r:id="rId6"/>
    <sheet name="Sheet1" sheetId="14" r:id="rId7"/>
  </sheets>
  <definedNames>
    <definedName name="_xlnm.Print_Area" localSheetId="5">Table27[[#All],[Location 
(drop-down)]:[Notes]]</definedName>
    <definedName name="_xlnm.Print_Titles" localSheetId="0">'Assessment ''26'!$1:$1</definedName>
    <definedName name="_xlnm.Print_Titles" localSheetId="4">'CAF ''26'!$1:$1</definedName>
    <definedName name="_xlnm.Print_Titles" localSheetId="1">'CAR ''26'!$1:$1</definedName>
    <definedName name="_xlnm.Print_Titles" localSheetId="2">'PAR ''26'!$1:$1</definedName>
    <definedName name="_xlnm.Print_Titles" localSheetId="5">'PTO ''26'!$1:$1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D5" i="6" s="1"/>
  <c r="Q5" i="6"/>
  <c r="B6" i="6"/>
  <c r="D6" i="6" s="1"/>
  <c r="Q6" i="6"/>
  <c r="B7" i="6"/>
  <c r="D7" i="6" s="1"/>
  <c r="Q7" i="6"/>
  <c r="B8" i="6"/>
  <c r="D8" i="6" s="1"/>
  <c r="Q8" i="6"/>
  <c r="B9" i="6"/>
  <c r="D9" i="6" s="1"/>
  <c r="Q9" i="6"/>
  <c r="B10" i="6"/>
  <c r="D10" i="6" s="1"/>
  <c r="Q10" i="6"/>
  <c r="B11" i="6"/>
  <c r="D11" i="6" s="1"/>
  <c r="Q11" i="6"/>
  <c r="B12" i="6"/>
  <c r="D12" i="6" s="1"/>
  <c r="Q12" i="6"/>
  <c r="B13" i="6"/>
  <c r="D13" i="6" s="1"/>
  <c r="Q13" i="6"/>
  <c r="B14" i="6"/>
  <c r="D14" i="6" s="1"/>
  <c r="Q14" i="6"/>
  <c r="B6" i="11"/>
  <c r="D6" i="11"/>
  <c r="B7" i="11"/>
  <c r="D7" i="11"/>
  <c r="M242" i="13"/>
  <c r="M497" i="13"/>
  <c r="M509" i="13"/>
  <c r="M521" i="13"/>
  <c r="M523" i="13"/>
  <c r="M524" i="13"/>
  <c r="M525" i="13"/>
  <c r="M771" i="13"/>
  <c r="M775" i="13"/>
  <c r="M777" i="13"/>
  <c r="M805" i="13"/>
  <c r="M813" i="13"/>
  <c r="M819" i="13"/>
  <c r="M821" i="13"/>
  <c r="M825" i="13"/>
  <c r="M848" i="13"/>
  <c r="M849" i="13"/>
  <c r="M855" i="13"/>
  <c r="M859" i="13"/>
  <c r="M955" i="13"/>
  <c r="M956" i="13"/>
  <c r="M1015" i="13"/>
  <c r="M1016" i="13"/>
  <c r="M1017" i="13"/>
  <c r="M1018" i="13"/>
  <c r="M1021" i="13"/>
  <c r="M1022" i="13"/>
  <c r="M1025" i="13"/>
  <c r="M1027" i="13"/>
  <c r="M1030" i="13"/>
  <c r="M1035" i="13"/>
  <c r="M1037" i="13"/>
  <c r="M1039" i="13"/>
  <c r="M575" i="13"/>
  <c r="M62" i="13"/>
  <c r="M457" i="13"/>
  <c r="M462" i="13"/>
  <c r="M476" i="13"/>
  <c r="M492" i="13"/>
  <c r="M494" i="13"/>
  <c r="M495" i="13"/>
  <c r="M498" i="13"/>
  <c r="M499" i="13"/>
  <c r="M501" i="13"/>
  <c r="M502" i="13"/>
  <c r="M504" i="13"/>
  <c r="M505" i="13"/>
  <c r="M506" i="13"/>
  <c r="M507" i="13"/>
  <c r="M510" i="13"/>
  <c r="M511" i="13"/>
  <c r="M512" i="13"/>
  <c r="M513" i="13"/>
  <c r="M515" i="13"/>
  <c r="M517" i="13"/>
  <c r="M519" i="13"/>
  <c r="M520" i="13"/>
  <c r="M522" i="13"/>
  <c r="M761" i="13"/>
  <c r="M214" i="13"/>
  <c r="M227" i="13"/>
  <c r="M230" i="13"/>
  <c r="M231" i="13"/>
  <c r="M232" i="13"/>
  <c r="M236" i="13"/>
  <c r="M241" i="13"/>
  <c r="M243" i="13"/>
  <c r="M255" i="13"/>
  <c r="M266" i="13"/>
  <c r="M269" i="13"/>
  <c r="M270" i="13"/>
  <c r="M272" i="13"/>
  <c r="M276" i="13"/>
  <c r="M277" i="13"/>
  <c r="M281" i="13"/>
  <c r="M284" i="13"/>
  <c r="M530" i="13"/>
  <c r="M531" i="13"/>
  <c r="M533" i="13"/>
  <c r="M534" i="13"/>
  <c r="M539" i="13"/>
  <c r="M540" i="13"/>
  <c r="M542" i="13"/>
  <c r="M543" i="13"/>
  <c r="M547" i="13"/>
  <c r="M548" i="13"/>
  <c r="M549" i="13"/>
  <c r="M553" i="13"/>
  <c r="M554" i="13"/>
  <c r="M555" i="13"/>
  <c r="M563" i="13"/>
  <c r="M567" i="13"/>
  <c r="M568" i="13"/>
  <c r="M573" i="13"/>
  <c r="M574" i="13"/>
  <c r="M576" i="13"/>
  <c r="M578" i="13"/>
  <c r="M579" i="13"/>
  <c r="M580" i="13"/>
  <c r="M582" i="13"/>
  <c r="M587" i="13"/>
  <c r="M588" i="13"/>
  <c r="M595" i="13"/>
  <c r="M600" i="13"/>
  <c r="M608" i="13"/>
  <c r="M621" i="13"/>
  <c r="M631" i="13"/>
  <c r="M636" i="13"/>
  <c r="M646" i="13"/>
  <c r="M649" i="13"/>
  <c r="M650" i="13"/>
  <c r="M651" i="13"/>
  <c r="M653" i="13"/>
  <c r="M657" i="13"/>
  <c r="M658" i="13"/>
  <c r="M661" i="13"/>
  <c r="M666" i="13"/>
  <c r="M667" i="13"/>
  <c r="M668" i="13"/>
  <c r="M669" i="13"/>
  <c r="M670" i="13"/>
  <c r="M672" i="13"/>
  <c r="M679" i="13"/>
  <c r="M682" i="13"/>
  <c r="M690" i="13"/>
  <c r="M708" i="13"/>
  <c r="M709" i="13"/>
  <c r="M721" i="13"/>
  <c r="M722" i="13"/>
  <c r="M723" i="13"/>
  <c r="M724" i="13"/>
  <c r="M725" i="13"/>
  <c r="M727" i="13"/>
  <c r="M728" i="13"/>
  <c r="M730" i="13"/>
  <c r="M734" i="13"/>
  <c r="M737" i="13"/>
  <c r="M739" i="13"/>
  <c r="M744" i="13"/>
  <c r="M749" i="13"/>
  <c r="M750" i="13"/>
  <c r="M769" i="13"/>
  <c r="M770" i="13"/>
  <c r="M773" i="13"/>
  <c r="M774" i="13"/>
  <c r="M776" i="13"/>
  <c r="M778" i="13"/>
  <c r="M781" i="13"/>
  <c r="M782" i="13"/>
  <c r="M783" i="13"/>
  <c r="M786" i="13"/>
  <c r="M787" i="13"/>
  <c r="M790" i="13"/>
  <c r="M791" i="13"/>
  <c r="M792" i="13"/>
  <c r="M793" i="13"/>
  <c r="M796" i="13"/>
  <c r="M797" i="13"/>
  <c r="M801" i="13"/>
  <c r="M802" i="13"/>
  <c r="M806" i="13"/>
  <c r="M807" i="13"/>
  <c r="M808" i="13"/>
  <c r="M811" i="13"/>
  <c r="M817" i="13"/>
  <c r="M824" i="13"/>
  <c r="M829" i="13"/>
  <c r="M832" i="13"/>
  <c r="M834" i="13"/>
  <c r="M836" i="13"/>
  <c r="M837" i="13"/>
  <c r="M840" i="13"/>
  <c r="M841" i="13"/>
  <c r="M843" i="13"/>
  <c r="M847" i="13"/>
  <c r="M850" i="13"/>
  <c r="M852" i="13"/>
  <c r="M853" i="13"/>
  <c r="M857" i="13"/>
  <c r="M860" i="13"/>
  <c r="M862" i="13"/>
  <c r="M864" i="13"/>
  <c r="M865" i="13"/>
  <c r="M868" i="13"/>
  <c r="M871" i="13"/>
  <c r="M874" i="13"/>
  <c r="M876" i="13"/>
  <c r="M877" i="13"/>
  <c r="M881" i="13"/>
  <c r="M883" i="13"/>
  <c r="M894" i="13"/>
  <c r="M895" i="13"/>
  <c r="M897" i="13"/>
  <c r="M899" i="13"/>
  <c r="M900" i="13"/>
  <c r="M902" i="13"/>
  <c r="M905" i="13"/>
  <c r="M907" i="13"/>
  <c r="M911" i="13"/>
  <c r="M913" i="13"/>
  <c r="M915" i="13"/>
  <c r="M916" i="13"/>
  <c r="M917" i="13"/>
  <c r="M9" i="13"/>
  <c r="M4" i="13"/>
  <c r="M6" i="13"/>
  <c r="M12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6" i="13"/>
  <c r="M47" i="13"/>
  <c r="M48" i="13"/>
  <c r="M49" i="13"/>
  <c r="M51" i="13"/>
  <c r="M52" i="13"/>
  <c r="M53" i="13"/>
  <c r="M54" i="13"/>
  <c r="M55" i="13"/>
  <c r="M56" i="13"/>
  <c r="M64" i="13"/>
  <c r="M81" i="13"/>
  <c r="M88" i="13"/>
  <c r="M91" i="13"/>
  <c r="M119" i="13"/>
  <c r="M121" i="13"/>
  <c r="M123" i="13"/>
  <c r="M152" i="13"/>
  <c r="M153" i="13"/>
  <c r="M154" i="13"/>
  <c r="M159" i="13"/>
  <c r="M163" i="13"/>
  <c r="M166" i="13"/>
  <c r="M169" i="13"/>
  <c r="M170" i="13"/>
  <c r="M171" i="13"/>
  <c r="M173" i="13"/>
  <c r="M174" i="13"/>
  <c r="M175" i="13"/>
  <c r="M178" i="13"/>
  <c r="M181" i="13"/>
  <c r="M182" i="13"/>
  <c r="M183" i="13"/>
  <c r="M185" i="13"/>
  <c r="M186" i="13"/>
  <c r="M192" i="13"/>
  <c r="M193" i="13"/>
  <c r="M200" i="13"/>
  <c r="M201" i="13"/>
  <c r="M202" i="13"/>
  <c r="M206" i="13"/>
  <c r="M208" i="13"/>
  <c r="M209" i="13"/>
  <c r="M211" i="13"/>
  <c r="M212" i="13"/>
  <c r="M221" i="13"/>
  <c r="M247" i="13"/>
  <c r="M286" i="13"/>
  <c r="M289" i="13"/>
  <c r="M290" i="13"/>
  <c r="M291" i="13"/>
  <c r="M293" i="13"/>
  <c r="M294" i="13"/>
  <c r="M295" i="13"/>
  <c r="M296" i="13"/>
  <c r="M297" i="13"/>
  <c r="M299" i="13"/>
  <c r="M301" i="13"/>
  <c r="M303" i="13"/>
  <c r="M305" i="13"/>
  <c r="M307" i="13"/>
  <c r="M309" i="13"/>
  <c r="M317" i="13"/>
  <c r="M318" i="13"/>
  <c r="M322" i="13"/>
  <c r="M330" i="13"/>
  <c r="M338" i="13"/>
  <c r="M340" i="13"/>
  <c r="M346" i="13"/>
  <c r="M349" i="13"/>
  <c r="M350" i="13"/>
  <c r="M351" i="13"/>
  <c r="M360" i="13"/>
  <c r="M362" i="13"/>
  <c r="M363" i="13"/>
  <c r="M366" i="13"/>
  <c r="M367" i="13"/>
  <c r="M368" i="13"/>
  <c r="M369" i="13"/>
  <c r="M370" i="13"/>
  <c r="M372" i="13"/>
  <c r="M373" i="13"/>
  <c r="M376" i="13"/>
  <c r="M377" i="13"/>
  <c r="M378" i="13"/>
  <c r="M383" i="13"/>
  <c r="M388" i="13"/>
  <c r="M389" i="13"/>
  <c r="M407" i="13"/>
  <c r="M411" i="13"/>
  <c r="M413" i="13"/>
  <c r="M415" i="13"/>
  <c r="M416" i="13"/>
  <c r="M417" i="13"/>
  <c r="M418" i="13"/>
  <c r="M419" i="13"/>
  <c r="M420" i="13"/>
  <c r="M426" i="13"/>
  <c r="M427" i="13"/>
  <c r="M429" i="13"/>
  <c r="M443" i="13"/>
  <c r="M444" i="13"/>
  <c r="M445" i="13"/>
  <c r="M447" i="13"/>
  <c r="M448" i="13"/>
  <c r="M918" i="13"/>
  <c r="M919" i="13"/>
  <c r="M925" i="13"/>
  <c r="M934" i="13"/>
  <c r="M937" i="13"/>
  <c r="M938" i="13"/>
  <c r="M940" i="13"/>
  <c r="M942" i="13"/>
  <c r="M943" i="13"/>
  <c r="M954" i="13"/>
  <c r="M976" i="13"/>
  <c r="M980" i="13"/>
  <c r="M985" i="13"/>
  <c r="M987" i="13"/>
  <c r="M989" i="13"/>
  <c r="M996" i="13"/>
  <c r="M997" i="13"/>
  <c r="M1003" i="13"/>
  <c r="M1004" i="13"/>
  <c r="M1005" i="13"/>
  <c r="M1006" i="13"/>
  <c r="M1010" i="13"/>
  <c r="M1011" i="13"/>
  <c r="M1046" i="13"/>
  <c r="M1058" i="13"/>
  <c r="M1067" i="13"/>
  <c r="M1069" i="13"/>
  <c r="M1041" i="13"/>
  <c r="M1042" i="13"/>
  <c r="M921" i="13"/>
  <c r="M923" i="13"/>
  <c r="M926" i="13"/>
  <c r="M928" i="13"/>
  <c r="M932" i="13"/>
  <c r="M933" i="13"/>
  <c r="M935" i="13"/>
  <c r="M949" i="13"/>
  <c r="M950" i="13"/>
  <c r="M952" i="13"/>
  <c r="M953" i="13"/>
  <c r="M961" i="13"/>
  <c r="M962" i="13"/>
  <c r="M963" i="13"/>
  <c r="M964" i="13"/>
  <c r="M965" i="13"/>
  <c r="M577" i="13"/>
  <c r="M598" i="13"/>
  <c r="M40" i="13"/>
  <c r="M41" i="13"/>
  <c r="M42" i="13"/>
  <c r="M43" i="13"/>
  <c r="M44" i="13"/>
  <c r="M45" i="13"/>
  <c r="M50" i="13"/>
  <c r="M65" i="13"/>
  <c r="M69" i="13"/>
  <c r="M70" i="13"/>
  <c r="M71" i="13"/>
  <c r="M73" i="13"/>
  <c r="M80" i="13"/>
  <c r="M83" i="13"/>
  <c r="M94" i="13"/>
  <c r="M95" i="13"/>
  <c r="M109" i="13"/>
  <c r="M122" i="13"/>
  <c r="M125" i="13"/>
  <c r="M129" i="13"/>
  <c r="M132" i="13"/>
  <c r="M135" i="13"/>
  <c r="M139" i="13"/>
  <c r="M142" i="13"/>
  <c r="M188" i="13"/>
  <c r="M199" i="13"/>
  <c r="M203" i="13"/>
  <c r="M205" i="13"/>
  <c r="M238" i="13"/>
  <c r="M239" i="13"/>
  <c r="M240" i="13"/>
  <c r="M254" i="13"/>
  <c r="M279" i="13"/>
  <c r="M300" i="13"/>
  <c r="M308" i="13"/>
  <c r="M321" i="13"/>
  <c r="M332" i="13"/>
  <c r="M356" i="13"/>
  <c r="M358" i="13"/>
  <c r="M380" i="13"/>
  <c r="M382" i="13"/>
  <c r="M449" i="13"/>
  <c r="M452" i="13"/>
  <c r="M453" i="13"/>
  <c r="M463" i="13"/>
  <c r="M465" i="13"/>
  <c r="M487" i="13"/>
  <c r="M536" i="13"/>
  <c r="M552" i="13"/>
  <c r="M557" i="13"/>
  <c r="M583" i="13"/>
  <c r="M584" i="13"/>
  <c r="M585" i="13"/>
  <c r="M594" i="13"/>
  <c r="M626" i="13"/>
  <c r="M663" i="13"/>
  <c r="M686" i="13"/>
  <c r="M701" i="13"/>
  <c r="M705" i="13"/>
  <c r="M742" i="13"/>
  <c r="M745" i="13"/>
  <c r="M767" i="13"/>
  <c r="M780" i="13"/>
  <c r="M788" i="13"/>
  <c r="M804" i="13"/>
  <c r="M815" i="13"/>
  <c r="M839" i="13"/>
  <c r="M863" i="13"/>
  <c r="M909" i="13"/>
  <c r="M92" i="13"/>
  <c r="M133" i="13"/>
  <c r="M137" i="13"/>
  <c r="M149" i="13"/>
  <c r="M150" i="13"/>
  <c r="M164" i="13"/>
  <c r="M204" i="13"/>
  <c r="M256" i="13"/>
  <c r="M316" i="13"/>
  <c r="M414" i="13"/>
  <c r="M433" i="13"/>
  <c r="M450" i="13"/>
  <c r="M673" i="13"/>
  <c r="M674" i="13"/>
  <c r="M675" i="13"/>
  <c r="M676" i="13"/>
  <c r="M746" i="13"/>
  <c r="M823" i="13"/>
  <c r="M908" i="13"/>
  <c r="M910" i="13"/>
  <c r="M541" i="13"/>
  <c r="M15" i="13"/>
  <c r="M16" i="13"/>
  <c r="M3" i="13"/>
  <c r="M2" i="13"/>
  <c r="M17" i="13"/>
  <c r="M11" i="13"/>
  <c r="M18" i="13"/>
  <c r="M19" i="13"/>
  <c r="M20" i="13"/>
  <c r="M21" i="13"/>
  <c r="M13" i="13"/>
  <c r="M22" i="13"/>
  <c r="M7" i="13"/>
  <c r="M23" i="13"/>
  <c r="M14" i="13"/>
  <c r="M24" i="13"/>
  <c r="M8" i="13"/>
  <c r="M10" i="13"/>
  <c r="M25" i="13"/>
  <c r="M5" i="13"/>
  <c r="M57" i="13"/>
  <c r="M58" i="13"/>
  <c r="M59" i="13"/>
  <c r="M60" i="13"/>
  <c r="M61" i="13"/>
  <c r="M63" i="13"/>
  <c r="M66" i="13"/>
  <c r="M67" i="13"/>
  <c r="M68" i="13"/>
  <c r="M72" i="13"/>
  <c r="M74" i="13"/>
  <c r="M75" i="13"/>
  <c r="M76" i="13"/>
  <c r="M77" i="13"/>
  <c r="M78" i="13"/>
  <c r="M79" i="13"/>
  <c r="M82" i="13"/>
  <c r="M84" i="13"/>
  <c r="M85" i="13"/>
  <c r="M86" i="13"/>
  <c r="M87" i="13"/>
  <c r="M89" i="13"/>
  <c r="M90" i="13"/>
  <c r="M93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10" i="13"/>
  <c r="M111" i="13"/>
  <c r="M112" i="13"/>
  <c r="M113" i="13"/>
  <c r="M114" i="13"/>
  <c r="M115" i="13"/>
  <c r="M116" i="13"/>
  <c r="M117" i="13"/>
  <c r="M118" i="13"/>
  <c r="M120" i="13"/>
  <c r="M124" i="13"/>
  <c r="M126" i="13"/>
  <c r="M127" i="13"/>
  <c r="M128" i="13"/>
  <c r="M130" i="13"/>
  <c r="M131" i="13"/>
  <c r="M134" i="13"/>
  <c r="M136" i="13"/>
  <c r="M138" i="13"/>
  <c r="M140" i="13"/>
  <c r="M141" i="13"/>
  <c r="M143" i="13"/>
  <c r="M144" i="13"/>
  <c r="M145" i="13"/>
  <c r="M146" i="13"/>
  <c r="M147" i="13"/>
  <c r="M148" i="13"/>
  <c r="M151" i="13"/>
  <c r="M155" i="13"/>
  <c r="M156" i="13"/>
  <c r="M157" i="13"/>
  <c r="M158" i="13"/>
  <c r="M160" i="13"/>
  <c r="M161" i="13"/>
  <c r="M162" i="13"/>
  <c r="M165" i="13"/>
  <c r="M167" i="13"/>
  <c r="M168" i="13"/>
  <c r="M172" i="13"/>
  <c r="M176" i="13"/>
  <c r="M177" i="13"/>
  <c r="M179" i="13"/>
  <c r="M180" i="13"/>
  <c r="M184" i="13"/>
  <c r="M187" i="13"/>
  <c r="M189" i="13"/>
  <c r="M190" i="13"/>
  <c r="M191" i="13"/>
  <c r="M194" i="13"/>
  <c r="M195" i="13"/>
  <c r="M196" i="13"/>
  <c r="M197" i="13"/>
  <c r="M198" i="13"/>
  <c r="M207" i="13"/>
  <c r="M210" i="13"/>
  <c r="M213" i="13"/>
  <c r="M215" i="13"/>
  <c r="M216" i="13"/>
  <c r="M217" i="13"/>
  <c r="M218" i="13"/>
  <c r="M219" i="13"/>
  <c r="M220" i="13"/>
  <c r="M222" i="13"/>
  <c r="M223" i="13"/>
  <c r="M224" i="13"/>
  <c r="M225" i="13"/>
  <c r="M226" i="13"/>
  <c r="M228" i="13"/>
  <c r="M229" i="13"/>
  <c r="M233" i="13"/>
  <c r="M234" i="13"/>
  <c r="M235" i="13"/>
  <c r="M237" i="13"/>
  <c r="M244" i="13"/>
  <c r="M245" i="13"/>
  <c r="M246" i="13"/>
  <c r="M248" i="13"/>
  <c r="M249" i="13"/>
  <c r="M250" i="13"/>
  <c r="M251" i="13"/>
  <c r="M252" i="13"/>
  <c r="M253" i="13"/>
  <c r="M257" i="13"/>
  <c r="M258" i="13"/>
  <c r="M259" i="13"/>
  <c r="M260" i="13"/>
  <c r="M261" i="13"/>
  <c r="M262" i="13"/>
  <c r="M263" i="13"/>
  <c r="M264" i="13"/>
  <c r="M265" i="13"/>
  <c r="M267" i="13"/>
  <c r="M268" i="13"/>
  <c r="M271" i="13"/>
  <c r="M273" i="13"/>
  <c r="M274" i="13"/>
  <c r="M275" i="13"/>
  <c r="M278" i="13"/>
  <c r="M280" i="13"/>
  <c r="M282" i="13"/>
  <c r="M283" i="13"/>
  <c r="M285" i="13"/>
  <c r="M287" i="13"/>
  <c r="M288" i="13"/>
  <c r="M292" i="13"/>
  <c r="M298" i="13"/>
  <c r="M302" i="13"/>
  <c r="M304" i="13"/>
  <c r="M306" i="13"/>
  <c r="M310" i="13"/>
  <c r="M311" i="13"/>
  <c r="M312" i="13"/>
  <c r="M313" i="13"/>
  <c r="M314" i="13"/>
  <c r="M315" i="13"/>
  <c r="M319" i="13"/>
  <c r="M320" i="13"/>
  <c r="M323" i="13"/>
  <c r="M324" i="13"/>
  <c r="M325" i="13"/>
  <c r="M326" i="13"/>
  <c r="M327" i="13"/>
  <c r="M328" i="13"/>
  <c r="M329" i="13"/>
  <c r="M331" i="13"/>
  <c r="M333" i="13"/>
  <c r="M334" i="13"/>
  <c r="M335" i="13"/>
  <c r="M336" i="13"/>
  <c r="M337" i="13"/>
  <c r="M339" i="13"/>
  <c r="M341" i="13"/>
  <c r="M342" i="13"/>
  <c r="M343" i="13"/>
  <c r="M344" i="13"/>
  <c r="M345" i="13"/>
  <c r="M347" i="13"/>
  <c r="M348" i="13"/>
  <c r="M352" i="13"/>
  <c r="M353" i="13"/>
  <c r="M354" i="13"/>
  <c r="M355" i="13"/>
  <c r="M357" i="13"/>
  <c r="M359" i="13"/>
  <c r="M361" i="13"/>
  <c r="M364" i="13"/>
  <c r="M365" i="13"/>
  <c r="M371" i="13"/>
  <c r="M374" i="13"/>
  <c r="M375" i="13"/>
  <c r="M379" i="13"/>
  <c r="M381" i="13"/>
  <c r="M384" i="13"/>
  <c r="M385" i="13"/>
  <c r="M386" i="13"/>
  <c r="M387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8" i="13"/>
  <c r="M409" i="13"/>
  <c r="M410" i="13"/>
  <c r="M412" i="13"/>
  <c r="M421" i="13"/>
  <c r="M422" i="13"/>
  <c r="M423" i="13"/>
  <c r="M424" i="13"/>
  <c r="M425" i="13"/>
  <c r="M428" i="13"/>
  <c r="M430" i="13"/>
  <c r="M431" i="13"/>
  <c r="M432" i="13"/>
  <c r="M434" i="13"/>
  <c r="M435" i="13"/>
  <c r="M436" i="13"/>
  <c r="M437" i="13"/>
  <c r="M438" i="13"/>
  <c r="M439" i="13"/>
  <c r="M440" i="13"/>
  <c r="M441" i="13"/>
  <c r="M442" i="13"/>
  <c r="M446" i="13"/>
  <c r="M451" i="13"/>
  <c r="M454" i="13"/>
  <c r="M455" i="13"/>
  <c r="M456" i="13"/>
  <c r="M458" i="13"/>
  <c r="M459" i="13"/>
  <c r="M460" i="13"/>
  <c r="M461" i="13"/>
  <c r="M464" i="13"/>
  <c r="M466" i="13"/>
  <c r="M467" i="13"/>
  <c r="M468" i="13"/>
  <c r="M469" i="13"/>
  <c r="M470" i="13"/>
  <c r="M471" i="13"/>
  <c r="M472" i="13"/>
  <c r="M473" i="13"/>
  <c r="M474" i="13"/>
  <c r="M475" i="13"/>
  <c r="M477" i="13"/>
  <c r="M478" i="13"/>
  <c r="M479" i="13"/>
  <c r="M480" i="13"/>
  <c r="M481" i="13"/>
  <c r="M482" i="13"/>
  <c r="M483" i="13"/>
  <c r="M484" i="13"/>
  <c r="M485" i="13"/>
  <c r="M486" i="13"/>
  <c r="M488" i="13"/>
  <c r="M489" i="13"/>
  <c r="M490" i="13"/>
  <c r="M491" i="13"/>
  <c r="M493" i="13"/>
  <c r="M496" i="13"/>
  <c r="M500" i="13"/>
  <c r="M503" i="13"/>
  <c r="M508" i="13"/>
  <c r="M514" i="13"/>
  <c r="M516" i="13"/>
  <c r="M518" i="13"/>
  <c r="M526" i="13"/>
  <c r="M527" i="13"/>
  <c r="M528" i="13"/>
  <c r="M529" i="13"/>
  <c r="M532" i="13"/>
  <c r="M535" i="13"/>
  <c r="M537" i="13"/>
  <c r="M538" i="13"/>
  <c r="M544" i="13"/>
  <c r="M545" i="13"/>
  <c r="M546" i="13"/>
  <c r="M550" i="13"/>
  <c r="M551" i="13"/>
  <c r="M556" i="13"/>
  <c r="M558" i="13"/>
  <c r="M559" i="13"/>
  <c r="M560" i="13"/>
  <c r="M561" i="13"/>
  <c r="M562" i="13"/>
  <c r="M564" i="13"/>
  <c r="M565" i="13"/>
  <c r="M566" i="13"/>
  <c r="M569" i="13"/>
  <c r="M570" i="13"/>
  <c r="M571" i="13"/>
  <c r="M572" i="13"/>
  <c r="M581" i="13"/>
  <c r="M586" i="13"/>
  <c r="M589" i="13"/>
  <c r="M590" i="13"/>
  <c r="M591" i="13"/>
  <c r="M592" i="13"/>
  <c r="M593" i="13"/>
  <c r="M596" i="13"/>
  <c r="M597" i="13"/>
  <c r="M599" i="13"/>
  <c r="M601" i="13"/>
  <c r="M602" i="13"/>
  <c r="M603" i="13"/>
  <c r="M604" i="13"/>
  <c r="M605" i="13"/>
  <c r="M606" i="13"/>
  <c r="M607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2" i="13"/>
  <c r="M623" i="13"/>
  <c r="M624" i="13"/>
  <c r="M625" i="13"/>
  <c r="M627" i="13"/>
  <c r="M628" i="13"/>
  <c r="M629" i="13"/>
  <c r="M630" i="13"/>
  <c r="M632" i="13"/>
  <c r="M633" i="13"/>
  <c r="M634" i="13"/>
  <c r="M635" i="13"/>
  <c r="M637" i="13"/>
  <c r="M638" i="13"/>
  <c r="M639" i="13"/>
  <c r="M640" i="13"/>
  <c r="M641" i="13"/>
  <c r="M642" i="13"/>
  <c r="M643" i="13"/>
  <c r="M644" i="13"/>
  <c r="M645" i="13"/>
  <c r="M647" i="13"/>
  <c r="M648" i="13"/>
  <c r="M652" i="13"/>
  <c r="M654" i="13"/>
  <c r="M655" i="13"/>
  <c r="M656" i="13"/>
  <c r="M659" i="13"/>
  <c r="M660" i="13"/>
  <c r="M662" i="13"/>
  <c r="M664" i="13"/>
  <c r="M665" i="13"/>
  <c r="M671" i="13"/>
  <c r="M677" i="13"/>
  <c r="M678" i="13"/>
  <c r="M680" i="13"/>
  <c r="M681" i="13"/>
  <c r="M683" i="13"/>
  <c r="M684" i="13"/>
  <c r="M685" i="13"/>
  <c r="M687" i="13"/>
  <c r="M688" i="13"/>
  <c r="M689" i="13"/>
  <c r="M691" i="13"/>
  <c r="M692" i="13"/>
  <c r="M693" i="13"/>
  <c r="M694" i="13"/>
  <c r="M695" i="13"/>
  <c r="M696" i="13"/>
  <c r="M697" i="13"/>
  <c r="M698" i="13"/>
  <c r="M699" i="13"/>
  <c r="M700" i="13"/>
  <c r="M702" i="13"/>
  <c r="M703" i="13"/>
  <c r="M704" i="13"/>
  <c r="M706" i="13"/>
  <c r="M707" i="13"/>
  <c r="M710" i="13"/>
  <c r="M711" i="13"/>
  <c r="M712" i="13"/>
  <c r="M713" i="13"/>
  <c r="M714" i="13"/>
  <c r="M715" i="13"/>
  <c r="M716" i="13"/>
  <c r="M717" i="13"/>
  <c r="M718" i="13"/>
  <c r="M719" i="13"/>
  <c r="M720" i="13"/>
  <c r="M726" i="13"/>
  <c r="M729" i="13"/>
  <c r="M731" i="13"/>
  <c r="M732" i="13"/>
  <c r="M733" i="13"/>
  <c r="M735" i="13"/>
  <c r="M736" i="13"/>
  <c r="M738" i="13"/>
  <c r="M740" i="13"/>
  <c r="M741" i="13"/>
  <c r="M743" i="13"/>
  <c r="M747" i="13"/>
  <c r="M748" i="13"/>
  <c r="M751" i="13"/>
  <c r="M752" i="13"/>
  <c r="M753" i="13"/>
  <c r="M754" i="13"/>
  <c r="M755" i="13"/>
  <c r="M756" i="13"/>
  <c r="M757" i="13"/>
  <c r="M758" i="13"/>
  <c r="M759" i="13"/>
  <c r="M760" i="13"/>
  <c r="M762" i="13"/>
  <c r="M763" i="13"/>
  <c r="M764" i="13"/>
  <c r="M765" i="13"/>
  <c r="M766" i="13"/>
  <c r="M768" i="13"/>
  <c r="M772" i="13"/>
  <c r="M779" i="13"/>
  <c r="M784" i="13"/>
  <c r="M785" i="13"/>
  <c r="M789" i="13"/>
  <c r="M794" i="13"/>
  <c r="M795" i="13"/>
  <c r="M798" i="13"/>
  <c r="M799" i="13"/>
  <c r="M800" i="13"/>
  <c r="M803" i="13"/>
  <c r="M809" i="13"/>
  <c r="M810" i="13"/>
  <c r="M812" i="13"/>
  <c r="M814" i="13"/>
  <c r="M816" i="13"/>
  <c r="M818" i="13"/>
  <c r="M820" i="13"/>
  <c r="M822" i="13"/>
  <c r="M826" i="13"/>
  <c r="M827" i="13"/>
  <c r="M828" i="13"/>
  <c r="M830" i="13"/>
  <c r="M831" i="13"/>
  <c r="M833" i="13"/>
  <c r="M835" i="13"/>
  <c r="M838" i="13"/>
  <c r="M842" i="13"/>
  <c r="M844" i="13"/>
  <c r="M845" i="13"/>
  <c r="M846" i="13"/>
  <c r="M851" i="13"/>
  <c r="M854" i="13"/>
  <c r="M856" i="13"/>
  <c r="M858" i="13"/>
  <c r="M861" i="13"/>
  <c r="M866" i="13"/>
  <c r="M867" i="13"/>
  <c r="M869" i="13"/>
  <c r="M870" i="13"/>
  <c r="M872" i="13"/>
  <c r="M873" i="13"/>
  <c r="M875" i="13"/>
  <c r="M878" i="13"/>
  <c r="M879" i="13"/>
  <c r="M880" i="13"/>
  <c r="M882" i="13"/>
  <c r="M884" i="13"/>
  <c r="M885" i="13"/>
  <c r="M886" i="13"/>
  <c r="M887" i="13"/>
  <c r="M888" i="13"/>
  <c r="M889" i="13"/>
  <c r="M890" i="13"/>
  <c r="M891" i="13"/>
  <c r="M892" i="13"/>
  <c r="M893" i="13"/>
  <c r="M896" i="13"/>
  <c r="M898" i="13"/>
  <c r="M901" i="13"/>
  <c r="M903" i="13"/>
  <c r="M904" i="13"/>
  <c r="M906" i="13"/>
  <c r="M912" i="13"/>
  <c r="M914" i="13"/>
  <c r="M920" i="13"/>
  <c r="M922" i="13"/>
  <c r="M924" i="13"/>
  <c r="M927" i="13"/>
  <c r="M929" i="13"/>
  <c r="M930" i="13"/>
  <c r="M931" i="13"/>
  <c r="M936" i="13"/>
  <c r="M939" i="13"/>
  <c r="M941" i="13"/>
  <c r="M944" i="13"/>
  <c r="M945" i="13"/>
  <c r="M946" i="13"/>
  <c r="M947" i="13"/>
  <c r="M948" i="13"/>
  <c r="M951" i="13"/>
  <c r="M957" i="13"/>
  <c r="M958" i="13"/>
  <c r="M959" i="13"/>
  <c r="M960" i="13"/>
  <c r="M966" i="13"/>
  <c r="M967" i="13"/>
  <c r="M968" i="13"/>
  <c r="M969" i="13"/>
  <c r="M970" i="13"/>
  <c r="M971" i="13"/>
  <c r="M972" i="13"/>
  <c r="M973" i="13"/>
  <c r="M974" i="13"/>
  <c r="M975" i="13"/>
  <c r="M977" i="13"/>
  <c r="M978" i="13"/>
  <c r="M979" i="13"/>
  <c r="M981" i="13"/>
  <c r="M982" i="13"/>
  <c r="M983" i="13"/>
  <c r="M984" i="13"/>
  <c r="M986" i="13"/>
  <c r="M988" i="13"/>
  <c r="M990" i="13"/>
  <c r="M991" i="13"/>
  <c r="M992" i="13"/>
  <c r="M993" i="13"/>
  <c r="M994" i="13"/>
  <c r="M995" i="13"/>
  <c r="M998" i="13"/>
  <c r="M999" i="13"/>
  <c r="M1000" i="13"/>
  <c r="M1001" i="13"/>
  <c r="M1002" i="13"/>
  <c r="M1007" i="13"/>
  <c r="M1008" i="13"/>
  <c r="M1009" i="13"/>
  <c r="M1012" i="13"/>
  <c r="M1013" i="13"/>
  <c r="M1014" i="13"/>
  <c r="M1019" i="13"/>
  <c r="M1020" i="13"/>
  <c r="M1023" i="13"/>
  <c r="M1024" i="13"/>
  <c r="M1026" i="13"/>
  <c r="M1028" i="13"/>
  <c r="M1029" i="13"/>
  <c r="M1031" i="13"/>
  <c r="M1032" i="13"/>
  <c r="M1033" i="13"/>
  <c r="M1034" i="13"/>
  <c r="M1036" i="13"/>
  <c r="M1038" i="13"/>
  <c r="M1040" i="13"/>
  <c r="M1043" i="13"/>
  <c r="M1044" i="13"/>
  <c r="M1045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9" i="13"/>
  <c r="M1060" i="13"/>
  <c r="M1061" i="13"/>
  <c r="M1062" i="13"/>
  <c r="M1063" i="13"/>
  <c r="M1064" i="13"/>
  <c r="M1065" i="13"/>
  <c r="M1066" i="13"/>
  <c r="M1068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1252" i="13"/>
  <c r="M1253" i="13"/>
  <c r="M1254" i="13"/>
  <c r="M1255" i="13"/>
  <c r="M1256" i="13"/>
  <c r="M1257" i="13"/>
  <c r="M1258" i="13"/>
  <c r="M1259" i="13"/>
  <c r="M1260" i="13"/>
  <c r="M1261" i="13"/>
  <c r="M1262" i="13"/>
  <c r="M1263" i="13"/>
  <c r="M1264" i="13"/>
  <c r="M1265" i="13"/>
  <c r="M1266" i="13"/>
  <c r="M1267" i="13"/>
  <c r="M1268" i="13"/>
  <c r="M1269" i="13"/>
  <c r="M1270" i="13"/>
  <c r="M1271" i="13"/>
  <c r="M1272" i="13"/>
  <c r="M1273" i="13"/>
  <c r="M1274" i="13"/>
  <c r="M1275" i="13"/>
  <c r="M1276" i="13"/>
  <c r="M1277" i="13"/>
  <c r="M1278" i="13"/>
  <c r="M1279" i="13"/>
  <c r="M1280" i="13"/>
  <c r="M1281" i="13"/>
  <c r="M1282" i="13"/>
  <c r="M1283" i="13"/>
  <c r="M1284" i="13"/>
  <c r="M1285" i="13"/>
  <c r="M1286" i="13"/>
  <c r="M1287" i="13"/>
  <c r="M1288" i="13"/>
  <c r="M1289" i="13"/>
  <c r="M1290" i="13"/>
  <c r="M1291" i="13"/>
  <c r="M1292" i="13"/>
  <c r="M1293" i="13"/>
  <c r="M1294" i="13"/>
  <c r="M1295" i="13"/>
  <c r="M1296" i="13"/>
  <c r="M1297" i="13"/>
  <c r="M1298" i="13"/>
  <c r="M1299" i="13"/>
  <c r="M1300" i="13"/>
  <c r="M1301" i="13"/>
  <c r="M1302" i="13"/>
  <c r="M1303" i="13"/>
  <c r="M1304" i="13"/>
  <c r="M1305" i="13"/>
  <c r="M1306" i="13"/>
  <c r="M1307" i="13"/>
  <c r="M1308" i="13"/>
  <c r="M1309" i="13"/>
  <c r="M1310" i="13"/>
  <c r="M1311" i="13"/>
  <c r="M1312" i="13"/>
  <c r="M1313" i="13"/>
  <c r="M1314" i="13"/>
  <c r="M1315" i="13"/>
  <c r="M1316" i="13"/>
  <c r="M1317" i="13"/>
  <c r="M1318" i="13"/>
  <c r="M1319" i="13"/>
  <c r="M1320" i="13"/>
  <c r="M1321" i="13"/>
  <c r="M1322" i="13"/>
  <c r="M1323" i="13"/>
  <c r="M1324" i="13"/>
  <c r="M1325" i="13"/>
  <c r="M1326" i="13"/>
  <c r="M1327" i="13"/>
  <c r="M1328" i="13"/>
  <c r="M1329" i="13"/>
  <c r="M1330" i="13"/>
  <c r="M1331" i="13"/>
  <c r="M1332" i="13"/>
  <c r="M1333" i="13"/>
  <c r="M1334" i="13"/>
  <c r="M1335" i="13"/>
  <c r="M1336" i="13"/>
  <c r="M1337" i="13"/>
  <c r="M1338" i="13"/>
  <c r="M1339" i="13"/>
  <c r="M1340" i="13"/>
  <c r="M1341" i="13"/>
  <c r="M1342" i="13"/>
  <c r="M1343" i="13"/>
  <c r="M1344" i="13"/>
  <c r="M1345" i="13"/>
  <c r="M1346" i="13"/>
  <c r="M1347" i="13"/>
  <c r="M1348" i="13"/>
  <c r="M1349" i="13"/>
  <c r="M1350" i="13"/>
  <c r="M1351" i="13"/>
  <c r="M1352" i="13"/>
  <c r="M1353" i="13"/>
  <c r="M1354" i="13"/>
  <c r="M1355" i="13"/>
  <c r="M1356" i="13"/>
  <c r="M1357" i="13"/>
  <c r="M1358" i="13"/>
  <c r="M1359" i="13"/>
  <c r="M1360" i="13"/>
  <c r="M1361" i="13"/>
  <c r="M1362" i="13"/>
  <c r="M1363" i="13"/>
  <c r="M1364" i="13"/>
  <c r="M1365" i="13"/>
  <c r="M1366" i="13"/>
  <c r="M1367" i="13"/>
  <c r="M1368" i="13"/>
  <c r="M1369" i="13"/>
  <c r="M1370" i="13"/>
  <c r="M1371" i="13"/>
  <c r="M1372" i="13"/>
  <c r="M1373" i="13"/>
  <c r="M1374" i="13"/>
  <c r="M1375" i="13"/>
  <c r="M1376" i="13"/>
  <c r="M1377" i="13"/>
  <c r="M1378" i="13"/>
  <c r="M1379" i="13"/>
  <c r="M1380" i="13"/>
  <c r="M1381" i="13"/>
  <c r="M1382" i="13"/>
  <c r="M1383" i="13"/>
  <c r="M1384" i="13"/>
  <c r="M1385" i="13"/>
  <c r="M1386" i="13"/>
  <c r="M1387" i="13"/>
  <c r="M1388" i="13"/>
  <c r="M1389" i="13"/>
  <c r="M1390" i="13"/>
  <c r="M1391" i="13"/>
  <c r="M1392" i="13"/>
  <c r="M1393" i="13"/>
  <c r="M1394" i="13"/>
  <c r="M1395" i="13"/>
  <c r="M1396" i="13"/>
  <c r="M1397" i="13"/>
  <c r="M1398" i="13"/>
  <c r="M1399" i="13"/>
  <c r="M1400" i="13"/>
  <c r="M1401" i="13"/>
  <c r="M1402" i="13"/>
  <c r="M1403" i="13"/>
  <c r="M1404" i="13"/>
  <c r="M1405" i="13"/>
  <c r="M1406" i="13"/>
  <c r="M1407" i="13"/>
  <c r="M1408" i="13"/>
  <c r="M1409" i="13"/>
  <c r="M1410" i="13"/>
  <c r="M1411" i="13"/>
  <c r="M1412" i="13"/>
  <c r="M1413" i="13"/>
  <c r="M1414" i="13"/>
  <c r="M1415" i="13"/>
  <c r="M1416" i="13"/>
  <c r="M1417" i="13"/>
  <c r="M1418" i="13"/>
  <c r="M1419" i="13"/>
  <c r="M1420" i="13"/>
  <c r="M1421" i="13"/>
  <c r="M1422" i="13"/>
  <c r="M1423" i="13"/>
  <c r="M1424" i="13"/>
  <c r="M1425" i="13"/>
  <c r="M1426" i="13"/>
  <c r="M1427" i="13"/>
  <c r="M1428" i="13"/>
  <c r="M1429" i="13"/>
  <c r="M1430" i="13"/>
  <c r="M1431" i="13"/>
  <c r="M1432" i="13"/>
  <c r="M1433" i="13"/>
  <c r="M1434" i="13"/>
  <c r="M1435" i="13"/>
  <c r="M1436" i="13"/>
  <c r="M1437" i="13"/>
  <c r="M1438" i="13"/>
  <c r="M1439" i="13"/>
  <c r="M1440" i="13"/>
  <c r="M1441" i="13"/>
  <c r="M1442" i="13"/>
  <c r="M1443" i="13"/>
  <c r="M1444" i="13"/>
  <c r="M1445" i="13"/>
  <c r="M1446" i="13"/>
  <c r="M1447" i="13"/>
  <c r="M1448" i="13"/>
  <c r="M1449" i="13"/>
  <c r="M1450" i="13"/>
  <c r="M1451" i="13"/>
  <c r="M1452" i="13"/>
  <c r="M1453" i="13"/>
  <c r="M1454" i="13"/>
  <c r="M1455" i="13"/>
  <c r="M1456" i="13"/>
  <c r="M1457" i="13"/>
  <c r="M1458" i="13"/>
  <c r="M1459" i="13"/>
  <c r="M1460" i="13"/>
  <c r="M1461" i="13"/>
  <c r="M1462" i="13"/>
  <c r="M1463" i="13"/>
  <c r="M1464" i="13"/>
  <c r="M1465" i="13"/>
  <c r="M1466" i="13"/>
  <c r="M1467" i="13"/>
  <c r="M1468" i="13"/>
  <c r="M1469" i="13"/>
  <c r="M1470" i="13"/>
  <c r="M1471" i="13"/>
  <c r="M1472" i="13"/>
  <c r="M1473" i="13"/>
  <c r="M1474" i="13"/>
  <c r="M1475" i="13"/>
  <c r="M1476" i="13"/>
  <c r="M1477" i="13"/>
  <c r="M1478" i="13"/>
  <c r="M1479" i="13"/>
  <c r="M1480" i="13"/>
  <c r="M1481" i="13"/>
  <c r="M1482" i="13"/>
  <c r="M1483" i="13"/>
  <c r="M1484" i="13"/>
  <c r="M1485" i="13"/>
  <c r="M1486" i="13"/>
  <c r="M1487" i="13"/>
  <c r="M1488" i="13"/>
  <c r="M1489" i="13"/>
  <c r="M1490" i="13"/>
  <c r="M1491" i="13"/>
  <c r="M1492" i="13"/>
  <c r="M1493" i="13"/>
  <c r="M1494" i="13"/>
  <c r="M1495" i="13"/>
  <c r="M1496" i="13"/>
  <c r="M1497" i="13"/>
  <c r="M1498" i="13"/>
  <c r="M1499" i="13"/>
  <c r="M1500" i="13"/>
  <c r="M1501" i="13"/>
  <c r="M1502" i="13"/>
  <c r="G16" i="13"/>
  <c r="G3" i="13"/>
  <c r="G2" i="13"/>
  <c r="G17" i="13"/>
  <c r="G11" i="13"/>
  <c r="G18" i="13"/>
  <c r="G19" i="13"/>
  <c r="G20" i="13"/>
  <c r="G21" i="13"/>
  <c r="G13" i="13"/>
  <c r="G22" i="13"/>
  <c r="G7" i="13"/>
  <c r="G23" i="13"/>
  <c r="G14" i="13"/>
  <c r="G24" i="13"/>
  <c r="G8" i="13"/>
  <c r="G9" i="13"/>
  <c r="G10" i="13"/>
  <c r="G25" i="13"/>
  <c r="G4" i="13"/>
  <c r="G5" i="13"/>
  <c r="G6" i="13"/>
  <c r="G12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1252" i="13"/>
  <c r="G1253" i="13"/>
  <c r="G1254" i="13"/>
  <c r="G1255" i="13"/>
  <c r="G1256" i="13"/>
  <c r="G1257" i="13"/>
  <c r="G1258" i="13"/>
  <c r="G1259" i="13"/>
  <c r="G1260" i="13"/>
  <c r="G1261" i="13"/>
  <c r="G1262" i="13"/>
  <c r="G1263" i="13"/>
  <c r="G1264" i="13"/>
  <c r="G1265" i="13"/>
  <c r="G1266" i="13"/>
  <c r="G1267" i="13"/>
  <c r="G1268" i="13"/>
  <c r="G1269" i="13"/>
  <c r="G1270" i="13"/>
  <c r="G1271" i="13"/>
  <c r="G1272" i="13"/>
  <c r="G1273" i="13"/>
  <c r="G1274" i="13"/>
  <c r="G1275" i="13"/>
  <c r="G1276" i="13"/>
  <c r="G1277" i="13"/>
  <c r="G1278" i="13"/>
  <c r="G1279" i="13"/>
  <c r="G1280" i="13"/>
  <c r="G1281" i="13"/>
  <c r="G1282" i="13"/>
  <c r="G1283" i="13"/>
  <c r="G1284" i="13"/>
  <c r="G1285" i="13"/>
  <c r="G1286" i="13"/>
  <c r="G1287" i="13"/>
  <c r="G1288" i="13"/>
  <c r="G1289" i="13"/>
  <c r="G1290" i="13"/>
  <c r="G1291" i="13"/>
  <c r="G1292" i="13"/>
  <c r="G1293" i="13"/>
  <c r="G1294" i="13"/>
  <c r="G1295" i="13"/>
  <c r="G1296" i="13"/>
  <c r="G1297" i="13"/>
  <c r="G1298" i="13"/>
  <c r="G1299" i="13"/>
  <c r="G1300" i="13"/>
  <c r="G1301" i="13"/>
  <c r="G1302" i="13"/>
  <c r="G1303" i="13"/>
  <c r="G1304" i="13"/>
  <c r="G1305" i="13"/>
  <c r="G1306" i="13"/>
  <c r="G1307" i="13"/>
  <c r="G1308" i="13"/>
  <c r="G1309" i="13"/>
  <c r="G1310" i="13"/>
  <c r="G1311" i="13"/>
  <c r="G1312" i="13"/>
  <c r="G1313" i="13"/>
  <c r="G1314" i="13"/>
  <c r="G1315" i="13"/>
  <c r="G1316" i="13"/>
  <c r="G1317" i="13"/>
  <c r="G1318" i="13"/>
  <c r="G1319" i="13"/>
  <c r="G1320" i="13"/>
  <c r="G1321" i="13"/>
  <c r="G1322" i="13"/>
  <c r="G1323" i="13"/>
  <c r="G1324" i="13"/>
  <c r="G1325" i="13"/>
  <c r="G1326" i="13"/>
  <c r="G1327" i="13"/>
  <c r="G1328" i="13"/>
  <c r="G1329" i="13"/>
  <c r="G1330" i="13"/>
  <c r="G1331" i="13"/>
  <c r="G1332" i="13"/>
  <c r="G1333" i="13"/>
  <c r="G1334" i="13"/>
  <c r="G1335" i="13"/>
  <c r="G1336" i="13"/>
  <c r="G1337" i="13"/>
  <c r="G1338" i="13"/>
  <c r="G1339" i="13"/>
  <c r="G1340" i="13"/>
  <c r="G1341" i="13"/>
  <c r="G1342" i="13"/>
  <c r="G1343" i="13"/>
  <c r="G1344" i="13"/>
  <c r="G1345" i="13"/>
  <c r="G1346" i="13"/>
  <c r="G1347" i="13"/>
  <c r="G1348" i="13"/>
  <c r="G1349" i="13"/>
  <c r="G1350" i="13"/>
  <c r="G1351" i="13"/>
  <c r="G1352" i="13"/>
  <c r="G1353" i="13"/>
  <c r="G1354" i="13"/>
  <c r="G1355" i="13"/>
  <c r="G1356" i="13"/>
  <c r="G1357" i="13"/>
  <c r="G1358" i="13"/>
  <c r="G1359" i="13"/>
  <c r="G1360" i="13"/>
  <c r="G1361" i="13"/>
  <c r="G1362" i="13"/>
  <c r="G1363" i="13"/>
  <c r="G1364" i="13"/>
  <c r="G1365" i="13"/>
  <c r="G1366" i="13"/>
  <c r="G1367" i="13"/>
  <c r="G1368" i="13"/>
  <c r="G1369" i="13"/>
  <c r="G1370" i="13"/>
  <c r="G1371" i="13"/>
  <c r="G1372" i="13"/>
  <c r="G1373" i="13"/>
  <c r="G1374" i="13"/>
  <c r="G1375" i="13"/>
  <c r="G1376" i="13"/>
  <c r="G1377" i="13"/>
  <c r="G1378" i="13"/>
  <c r="G1379" i="13"/>
  <c r="G1380" i="13"/>
  <c r="G1381" i="13"/>
  <c r="G1382" i="13"/>
  <c r="G1383" i="13"/>
  <c r="G1384" i="13"/>
  <c r="G1385" i="13"/>
  <c r="G1386" i="13"/>
  <c r="G1387" i="13"/>
  <c r="G1388" i="13"/>
  <c r="G1389" i="13"/>
  <c r="G1390" i="13"/>
  <c r="G1391" i="13"/>
  <c r="G1392" i="13"/>
  <c r="G1393" i="13"/>
  <c r="G1394" i="13"/>
  <c r="G1395" i="13"/>
  <c r="G1396" i="13"/>
  <c r="G1397" i="13"/>
  <c r="G1398" i="13"/>
  <c r="G1399" i="13"/>
  <c r="G1400" i="13"/>
  <c r="G1401" i="13"/>
  <c r="G1402" i="13"/>
  <c r="G1403" i="13"/>
  <c r="G1404" i="13"/>
  <c r="G1405" i="13"/>
  <c r="G1406" i="13"/>
  <c r="G1407" i="13"/>
  <c r="G1408" i="13"/>
  <c r="G1409" i="13"/>
  <c r="G1410" i="13"/>
  <c r="G1411" i="13"/>
  <c r="G1412" i="13"/>
  <c r="G1413" i="13"/>
  <c r="G1414" i="13"/>
  <c r="G1415" i="13"/>
  <c r="G1416" i="13"/>
  <c r="G1417" i="13"/>
  <c r="G1418" i="13"/>
  <c r="G1419" i="13"/>
  <c r="G1420" i="13"/>
  <c r="G1421" i="13"/>
  <c r="G1422" i="13"/>
  <c r="G1423" i="13"/>
  <c r="G1424" i="13"/>
  <c r="G1425" i="13"/>
  <c r="G1426" i="13"/>
  <c r="G1427" i="13"/>
  <c r="G1428" i="13"/>
  <c r="G1429" i="13"/>
  <c r="G1430" i="13"/>
  <c r="G1431" i="13"/>
  <c r="G1432" i="13"/>
  <c r="G1433" i="13"/>
  <c r="G1434" i="13"/>
  <c r="G1435" i="13"/>
  <c r="G1436" i="13"/>
  <c r="G1437" i="13"/>
  <c r="G1438" i="13"/>
  <c r="G1439" i="13"/>
  <c r="G1440" i="13"/>
  <c r="G1441" i="13"/>
  <c r="G1442" i="13"/>
  <c r="G1443" i="13"/>
  <c r="G1444" i="13"/>
  <c r="G1445" i="13"/>
  <c r="G1446" i="13"/>
  <c r="G1447" i="13"/>
  <c r="G1448" i="13"/>
  <c r="G1449" i="13"/>
  <c r="G1450" i="13"/>
  <c r="G1451" i="13"/>
  <c r="G1452" i="13"/>
  <c r="G1453" i="13"/>
  <c r="G1454" i="13"/>
  <c r="G1455" i="13"/>
  <c r="G1456" i="13"/>
  <c r="G1457" i="13"/>
  <c r="G1458" i="13"/>
  <c r="G1459" i="13"/>
  <c r="G1460" i="13"/>
  <c r="G1461" i="13"/>
  <c r="G1462" i="13"/>
  <c r="G1463" i="13"/>
  <c r="G1464" i="13"/>
  <c r="G1465" i="13"/>
  <c r="G1466" i="13"/>
  <c r="G1467" i="13"/>
  <c r="G1468" i="13"/>
  <c r="G1469" i="13"/>
  <c r="G1470" i="13"/>
  <c r="G1471" i="13"/>
  <c r="G1472" i="13"/>
  <c r="G1473" i="13"/>
  <c r="G1474" i="13"/>
  <c r="G1475" i="13"/>
  <c r="G1476" i="13"/>
  <c r="G1477" i="13"/>
  <c r="G1478" i="13"/>
  <c r="G1479" i="13"/>
  <c r="G1480" i="13"/>
  <c r="G1481" i="13"/>
  <c r="G1482" i="13"/>
  <c r="G1483" i="13"/>
  <c r="G1484" i="13"/>
  <c r="G1485" i="13"/>
  <c r="G1486" i="13"/>
  <c r="G1487" i="13"/>
  <c r="G1488" i="13"/>
  <c r="G1489" i="13"/>
  <c r="G1490" i="13"/>
  <c r="G1491" i="13"/>
  <c r="G1492" i="13"/>
  <c r="G1493" i="13"/>
  <c r="G1494" i="13"/>
  <c r="G1495" i="13"/>
  <c r="G1496" i="13"/>
  <c r="G1497" i="13"/>
  <c r="G1498" i="13"/>
  <c r="G1499" i="13"/>
  <c r="G1500" i="13"/>
  <c r="G1501" i="13"/>
  <c r="G1502" i="13"/>
  <c r="Q3" i="6"/>
  <c r="Q4" i="6"/>
  <c r="Q15" i="6"/>
  <c r="Q16" i="6"/>
  <c r="Q17" i="6"/>
  <c r="Q18" i="6"/>
  <c r="Q19" i="6"/>
  <c r="Q20" i="6"/>
  <c r="Q21" i="6"/>
  <c r="Q22" i="6"/>
  <c r="Q23" i="6"/>
  <c r="Q2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B480" i="6"/>
  <c r="D480" i="6" s="1"/>
  <c r="B45" i="12"/>
  <c r="D45" i="12" s="1"/>
  <c r="B16" i="13"/>
  <c r="D16" i="13" s="1"/>
  <c r="B3" i="13"/>
  <c r="D3" i="13" s="1"/>
  <c r="B2" i="13"/>
  <c r="D2" i="13" s="1"/>
  <c r="B17" i="13"/>
  <c r="D17" i="13" s="1"/>
  <c r="B11" i="13"/>
  <c r="D11" i="13" s="1"/>
  <c r="B18" i="13"/>
  <c r="D18" i="13" s="1"/>
  <c r="B19" i="13"/>
  <c r="D19" i="13" s="1"/>
  <c r="B20" i="13"/>
  <c r="D20" i="13" s="1"/>
  <c r="B21" i="13"/>
  <c r="D21" i="13" s="1"/>
  <c r="B13" i="13"/>
  <c r="D13" i="13" s="1"/>
  <c r="B22" i="13"/>
  <c r="D22" i="13" s="1"/>
  <c r="B7" i="13"/>
  <c r="D7" i="13" s="1"/>
  <c r="B23" i="13"/>
  <c r="D23" i="13" s="1"/>
  <c r="B14" i="13"/>
  <c r="D14" i="13" s="1"/>
  <c r="B24" i="13"/>
  <c r="D24" i="13" s="1"/>
  <c r="B8" i="13"/>
  <c r="D8" i="13" s="1"/>
  <c r="B9" i="13"/>
  <c r="D9" i="13" s="1"/>
  <c r="B10" i="13"/>
  <c r="D10" i="13" s="1"/>
  <c r="B25" i="13"/>
  <c r="D25" i="13" s="1"/>
  <c r="B4" i="13"/>
  <c r="D4" i="13" s="1"/>
  <c r="B5" i="13"/>
  <c r="D5" i="13" s="1"/>
  <c r="B6" i="13"/>
  <c r="D6" i="13" s="1"/>
  <c r="B12" i="13"/>
  <c r="D12" i="13" s="1"/>
  <c r="B26" i="13"/>
  <c r="D26" i="13" s="1"/>
  <c r="B27" i="13"/>
  <c r="D27" i="13" s="1"/>
  <c r="B28" i="13"/>
  <c r="D28" i="13" s="1"/>
  <c r="B29" i="13"/>
  <c r="D29" i="13" s="1"/>
  <c r="B30" i="13"/>
  <c r="D30" i="13" s="1"/>
  <c r="B31" i="13"/>
  <c r="D31" i="13" s="1"/>
  <c r="B32" i="13"/>
  <c r="D32" i="13" s="1"/>
  <c r="B33" i="13"/>
  <c r="D33" i="13" s="1"/>
  <c r="B34" i="13"/>
  <c r="D34" i="13" s="1"/>
  <c r="B35" i="13"/>
  <c r="D35" i="13" s="1"/>
  <c r="B36" i="13"/>
  <c r="D36" i="13" s="1"/>
  <c r="B37" i="13"/>
  <c r="D37" i="13" s="1"/>
  <c r="B38" i="13"/>
  <c r="D38" i="13" s="1"/>
  <c r="B39" i="13"/>
  <c r="D39" i="13" s="1"/>
  <c r="B40" i="13"/>
  <c r="D40" i="13" s="1"/>
  <c r="B41" i="13"/>
  <c r="D41" i="13" s="1"/>
  <c r="B42" i="13"/>
  <c r="D42" i="13" s="1"/>
  <c r="B43" i="13"/>
  <c r="D43" i="13" s="1"/>
  <c r="B44" i="13"/>
  <c r="D44" i="13" s="1"/>
  <c r="B45" i="13"/>
  <c r="D45" i="13" s="1"/>
  <c r="B46" i="13"/>
  <c r="D46" i="13" s="1"/>
  <c r="B47" i="13"/>
  <c r="D47" i="13" s="1"/>
  <c r="B48" i="13"/>
  <c r="D48" i="13" s="1"/>
  <c r="B49" i="13"/>
  <c r="D49" i="13" s="1"/>
  <c r="B50" i="13"/>
  <c r="D50" i="13" s="1"/>
  <c r="B51" i="13"/>
  <c r="D51" i="13" s="1"/>
  <c r="B52" i="13"/>
  <c r="D52" i="13" s="1"/>
  <c r="B53" i="13"/>
  <c r="D53" i="13" s="1"/>
  <c r="B54" i="13"/>
  <c r="D54" i="13" s="1"/>
  <c r="B55" i="13"/>
  <c r="D55" i="13" s="1"/>
  <c r="B56" i="13"/>
  <c r="D56" i="13" s="1"/>
  <c r="B57" i="13"/>
  <c r="D57" i="13" s="1"/>
  <c r="B58" i="13"/>
  <c r="D58" i="13" s="1"/>
  <c r="B59" i="13"/>
  <c r="D59" i="13" s="1"/>
  <c r="B60" i="13"/>
  <c r="D60" i="13" s="1"/>
  <c r="B61" i="13"/>
  <c r="D61" i="13" s="1"/>
  <c r="B62" i="13"/>
  <c r="D62" i="13" s="1"/>
  <c r="B63" i="13"/>
  <c r="D63" i="13" s="1"/>
  <c r="B64" i="13"/>
  <c r="D64" i="13" s="1"/>
  <c r="B65" i="13"/>
  <c r="D65" i="13" s="1"/>
  <c r="B66" i="13"/>
  <c r="D66" i="13" s="1"/>
  <c r="B67" i="13"/>
  <c r="D67" i="13" s="1"/>
  <c r="B68" i="13"/>
  <c r="D68" i="13" s="1"/>
  <c r="B69" i="13"/>
  <c r="D69" i="13" s="1"/>
  <c r="B70" i="13"/>
  <c r="D70" i="13" s="1"/>
  <c r="B71" i="13"/>
  <c r="D71" i="13" s="1"/>
  <c r="B72" i="13"/>
  <c r="D72" i="13" s="1"/>
  <c r="B73" i="13"/>
  <c r="D73" i="13" s="1"/>
  <c r="B74" i="13"/>
  <c r="D74" i="13" s="1"/>
  <c r="B75" i="13"/>
  <c r="D75" i="13" s="1"/>
  <c r="B76" i="13"/>
  <c r="D76" i="13" s="1"/>
  <c r="B77" i="13"/>
  <c r="D77" i="13" s="1"/>
  <c r="B78" i="13"/>
  <c r="D78" i="13" s="1"/>
  <c r="B79" i="13"/>
  <c r="D79" i="13" s="1"/>
  <c r="B80" i="13"/>
  <c r="D80" i="13" s="1"/>
  <c r="B81" i="13"/>
  <c r="D81" i="13" s="1"/>
  <c r="B82" i="13"/>
  <c r="D82" i="13" s="1"/>
  <c r="B83" i="13"/>
  <c r="D83" i="13" s="1"/>
  <c r="B84" i="13"/>
  <c r="D84" i="13" s="1"/>
  <c r="B85" i="13"/>
  <c r="D85" i="13" s="1"/>
  <c r="B86" i="13"/>
  <c r="D86" i="13" s="1"/>
  <c r="B87" i="13"/>
  <c r="D87" i="13" s="1"/>
  <c r="B88" i="13"/>
  <c r="D88" i="13" s="1"/>
  <c r="B89" i="13"/>
  <c r="D89" i="13" s="1"/>
  <c r="B90" i="13"/>
  <c r="D90" i="13" s="1"/>
  <c r="B91" i="13"/>
  <c r="D91" i="13" s="1"/>
  <c r="B92" i="13"/>
  <c r="D92" i="13" s="1"/>
  <c r="B93" i="13"/>
  <c r="D93" i="13" s="1"/>
  <c r="B94" i="13"/>
  <c r="D94" i="13" s="1"/>
  <c r="B95" i="13"/>
  <c r="D95" i="13" s="1"/>
  <c r="B96" i="13"/>
  <c r="D96" i="13" s="1"/>
  <c r="B97" i="13"/>
  <c r="D97" i="13" s="1"/>
  <c r="B98" i="13"/>
  <c r="D98" i="13" s="1"/>
  <c r="B99" i="13"/>
  <c r="D99" i="13" s="1"/>
  <c r="B100" i="13"/>
  <c r="D100" i="13" s="1"/>
  <c r="B101" i="13"/>
  <c r="D101" i="13" s="1"/>
  <c r="B102" i="13"/>
  <c r="D102" i="13" s="1"/>
  <c r="B103" i="13"/>
  <c r="D103" i="13" s="1"/>
  <c r="B104" i="13"/>
  <c r="D104" i="13" s="1"/>
  <c r="B105" i="13"/>
  <c r="D105" i="13" s="1"/>
  <c r="B106" i="13"/>
  <c r="D106" i="13" s="1"/>
  <c r="B107" i="13"/>
  <c r="D107" i="13" s="1"/>
  <c r="B108" i="13"/>
  <c r="D108" i="13" s="1"/>
  <c r="B109" i="13"/>
  <c r="D109" i="13" s="1"/>
  <c r="B110" i="13"/>
  <c r="D110" i="13" s="1"/>
  <c r="B111" i="13"/>
  <c r="D111" i="13" s="1"/>
  <c r="B112" i="13"/>
  <c r="D112" i="13" s="1"/>
  <c r="B113" i="13"/>
  <c r="D113" i="13" s="1"/>
  <c r="B114" i="13"/>
  <c r="D114" i="13" s="1"/>
  <c r="B115" i="13"/>
  <c r="D115" i="13" s="1"/>
  <c r="B116" i="13"/>
  <c r="D116" i="13" s="1"/>
  <c r="B117" i="13"/>
  <c r="D117" i="13" s="1"/>
  <c r="B118" i="13"/>
  <c r="D118" i="13" s="1"/>
  <c r="B119" i="13"/>
  <c r="D119" i="13" s="1"/>
  <c r="B120" i="13"/>
  <c r="D120" i="13" s="1"/>
  <c r="B121" i="13"/>
  <c r="D121" i="13" s="1"/>
  <c r="B122" i="13"/>
  <c r="D122" i="13" s="1"/>
  <c r="B123" i="13"/>
  <c r="D123" i="13" s="1"/>
  <c r="B124" i="13"/>
  <c r="D124" i="13" s="1"/>
  <c r="B125" i="13"/>
  <c r="D125" i="13" s="1"/>
  <c r="B126" i="13"/>
  <c r="D126" i="13" s="1"/>
  <c r="B127" i="13"/>
  <c r="D127" i="13" s="1"/>
  <c r="B128" i="13"/>
  <c r="D128" i="13" s="1"/>
  <c r="B129" i="13"/>
  <c r="D129" i="13" s="1"/>
  <c r="B130" i="13"/>
  <c r="D130" i="13" s="1"/>
  <c r="B131" i="13"/>
  <c r="D131" i="13" s="1"/>
  <c r="B132" i="13"/>
  <c r="D132" i="13" s="1"/>
  <c r="B133" i="13"/>
  <c r="D133" i="13" s="1"/>
  <c r="B134" i="13"/>
  <c r="D134" i="13" s="1"/>
  <c r="B135" i="13"/>
  <c r="D135" i="13" s="1"/>
  <c r="B136" i="13"/>
  <c r="D136" i="13" s="1"/>
  <c r="B137" i="13"/>
  <c r="D137" i="13" s="1"/>
  <c r="B138" i="13"/>
  <c r="D138" i="13" s="1"/>
  <c r="B139" i="13"/>
  <c r="D139" i="13" s="1"/>
  <c r="B140" i="13"/>
  <c r="D140" i="13" s="1"/>
  <c r="B141" i="13"/>
  <c r="D141" i="13" s="1"/>
  <c r="B142" i="13"/>
  <c r="D142" i="13" s="1"/>
  <c r="B143" i="13"/>
  <c r="D143" i="13" s="1"/>
  <c r="B144" i="13"/>
  <c r="D144" i="13" s="1"/>
  <c r="B145" i="13"/>
  <c r="D145" i="13" s="1"/>
  <c r="B146" i="13"/>
  <c r="D146" i="13" s="1"/>
  <c r="B147" i="13"/>
  <c r="D147" i="13" s="1"/>
  <c r="B148" i="13"/>
  <c r="D148" i="13" s="1"/>
  <c r="B149" i="13"/>
  <c r="D149" i="13" s="1"/>
  <c r="B150" i="13"/>
  <c r="D150" i="13" s="1"/>
  <c r="B151" i="13"/>
  <c r="D151" i="13" s="1"/>
  <c r="B152" i="13"/>
  <c r="D152" i="13" s="1"/>
  <c r="B153" i="13"/>
  <c r="D153" i="13" s="1"/>
  <c r="B154" i="13"/>
  <c r="D154" i="13" s="1"/>
  <c r="B155" i="13"/>
  <c r="D155" i="13" s="1"/>
  <c r="B156" i="13"/>
  <c r="D156" i="13" s="1"/>
  <c r="B157" i="13"/>
  <c r="D157" i="13" s="1"/>
  <c r="B158" i="13"/>
  <c r="D158" i="13" s="1"/>
  <c r="B159" i="13"/>
  <c r="D159" i="13" s="1"/>
  <c r="B160" i="13"/>
  <c r="D160" i="13" s="1"/>
  <c r="B161" i="13"/>
  <c r="D161" i="13" s="1"/>
  <c r="B162" i="13"/>
  <c r="D162" i="13" s="1"/>
  <c r="B163" i="13"/>
  <c r="D163" i="13" s="1"/>
  <c r="B164" i="13"/>
  <c r="D164" i="13" s="1"/>
  <c r="B165" i="13"/>
  <c r="D165" i="13" s="1"/>
  <c r="B166" i="13"/>
  <c r="D166" i="13" s="1"/>
  <c r="B167" i="13"/>
  <c r="D167" i="13" s="1"/>
  <c r="B168" i="13"/>
  <c r="D168" i="13" s="1"/>
  <c r="B169" i="13"/>
  <c r="D169" i="13" s="1"/>
  <c r="B170" i="13"/>
  <c r="D170" i="13" s="1"/>
  <c r="B171" i="13"/>
  <c r="D171" i="13" s="1"/>
  <c r="B172" i="13"/>
  <c r="D172" i="13" s="1"/>
  <c r="B173" i="13"/>
  <c r="D173" i="13" s="1"/>
  <c r="B174" i="13"/>
  <c r="D174" i="13" s="1"/>
  <c r="B175" i="13"/>
  <c r="D175" i="13" s="1"/>
  <c r="B176" i="13"/>
  <c r="D176" i="13" s="1"/>
  <c r="B177" i="13"/>
  <c r="D177" i="13" s="1"/>
  <c r="B178" i="13"/>
  <c r="D178" i="13" s="1"/>
  <c r="B179" i="13"/>
  <c r="D179" i="13" s="1"/>
  <c r="B180" i="13"/>
  <c r="D180" i="13" s="1"/>
  <c r="B181" i="13"/>
  <c r="D181" i="13" s="1"/>
  <c r="B182" i="13"/>
  <c r="D182" i="13" s="1"/>
  <c r="B183" i="13"/>
  <c r="D183" i="13" s="1"/>
  <c r="B184" i="13"/>
  <c r="D184" i="13" s="1"/>
  <c r="B185" i="13"/>
  <c r="D185" i="13" s="1"/>
  <c r="B186" i="13"/>
  <c r="D186" i="13" s="1"/>
  <c r="B187" i="13"/>
  <c r="D187" i="13" s="1"/>
  <c r="B188" i="13"/>
  <c r="D188" i="13" s="1"/>
  <c r="B189" i="13"/>
  <c r="D189" i="13" s="1"/>
  <c r="B190" i="13"/>
  <c r="D190" i="13" s="1"/>
  <c r="B191" i="13"/>
  <c r="D191" i="13" s="1"/>
  <c r="B192" i="13"/>
  <c r="D192" i="13" s="1"/>
  <c r="B193" i="13"/>
  <c r="D193" i="13" s="1"/>
  <c r="B194" i="13"/>
  <c r="D194" i="13" s="1"/>
  <c r="B195" i="13"/>
  <c r="D195" i="13" s="1"/>
  <c r="B196" i="13"/>
  <c r="D196" i="13" s="1"/>
  <c r="B197" i="13"/>
  <c r="D197" i="13" s="1"/>
  <c r="B198" i="13"/>
  <c r="D198" i="13" s="1"/>
  <c r="B199" i="13"/>
  <c r="D199" i="13" s="1"/>
  <c r="B200" i="13"/>
  <c r="D200" i="13" s="1"/>
  <c r="B201" i="13"/>
  <c r="D201" i="13" s="1"/>
  <c r="B202" i="13"/>
  <c r="D202" i="13" s="1"/>
  <c r="B203" i="13"/>
  <c r="D203" i="13" s="1"/>
  <c r="B204" i="13"/>
  <c r="D204" i="13" s="1"/>
  <c r="B205" i="13"/>
  <c r="D205" i="13" s="1"/>
  <c r="B206" i="13"/>
  <c r="D206" i="13" s="1"/>
  <c r="B207" i="13"/>
  <c r="D207" i="13" s="1"/>
  <c r="B208" i="13"/>
  <c r="D208" i="13" s="1"/>
  <c r="B209" i="13"/>
  <c r="D209" i="13" s="1"/>
  <c r="B210" i="13"/>
  <c r="D210" i="13" s="1"/>
  <c r="B211" i="13"/>
  <c r="D211" i="13" s="1"/>
  <c r="B212" i="13"/>
  <c r="D212" i="13" s="1"/>
  <c r="B213" i="13"/>
  <c r="D213" i="13" s="1"/>
  <c r="B214" i="13"/>
  <c r="D214" i="13" s="1"/>
  <c r="B215" i="13"/>
  <c r="D215" i="13" s="1"/>
  <c r="B216" i="13"/>
  <c r="D216" i="13" s="1"/>
  <c r="B217" i="13"/>
  <c r="D217" i="13" s="1"/>
  <c r="B218" i="13"/>
  <c r="D218" i="13" s="1"/>
  <c r="B219" i="13"/>
  <c r="D219" i="13" s="1"/>
  <c r="B220" i="13"/>
  <c r="D220" i="13" s="1"/>
  <c r="B221" i="13"/>
  <c r="D221" i="13" s="1"/>
  <c r="B222" i="13"/>
  <c r="D222" i="13" s="1"/>
  <c r="B223" i="13"/>
  <c r="D223" i="13" s="1"/>
  <c r="B224" i="13"/>
  <c r="D224" i="13" s="1"/>
  <c r="B225" i="13"/>
  <c r="D225" i="13" s="1"/>
  <c r="B226" i="13"/>
  <c r="D226" i="13" s="1"/>
  <c r="B227" i="13"/>
  <c r="D227" i="13" s="1"/>
  <c r="B228" i="13"/>
  <c r="D228" i="13" s="1"/>
  <c r="B229" i="13"/>
  <c r="D229" i="13" s="1"/>
  <c r="B230" i="13"/>
  <c r="D230" i="13" s="1"/>
  <c r="B231" i="13"/>
  <c r="D231" i="13" s="1"/>
  <c r="B232" i="13"/>
  <c r="D232" i="13" s="1"/>
  <c r="B233" i="13"/>
  <c r="D233" i="13" s="1"/>
  <c r="B234" i="13"/>
  <c r="D234" i="13" s="1"/>
  <c r="B235" i="13"/>
  <c r="D235" i="13" s="1"/>
  <c r="B236" i="13"/>
  <c r="D236" i="13" s="1"/>
  <c r="B237" i="13"/>
  <c r="D237" i="13" s="1"/>
  <c r="B238" i="13"/>
  <c r="D238" i="13" s="1"/>
  <c r="B239" i="13"/>
  <c r="D239" i="13" s="1"/>
  <c r="B240" i="13"/>
  <c r="D240" i="13" s="1"/>
  <c r="B241" i="13"/>
  <c r="D241" i="13" s="1"/>
  <c r="B242" i="13"/>
  <c r="D242" i="13" s="1"/>
  <c r="B243" i="13"/>
  <c r="D243" i="13" s="1"/>
  <c r="B244" i="13"/>
  <c r="D244" i="13" s="1"/>
  <c r="B245" i="13"/>
  <c r="D245" i="13" s="1"/>
  <c r="B246" i="13"/>
  <c r="D246" i="13" s="1"/>
  <c r="B247" i="13"/>
  <c r="D247" i="13" s="1"/>
  <c r="B248" i="13"/>
  <c r="D248" i="13" s="1"/>
  <c r="B249" i="13"/>
  <c r="D249" i="13" s="1"/>
  <c r="B250" i="13"/>
  <c r="D250" i="13" s="1"/>
  <c r="B251" i="13"/>
  <c r="D251" i="13" s="1"/>
  <c r="B252" i="13"/>
  <c r="D252" i="13" s="1"/>
  <c r="B253" i="13"/>
  <c r="D253" i="13" s="1"/>
  <c r="B254" i="13"/>
  <c r="D254" i="13" s="1"/>
  <c r="B255" i="13"/>
  <c r="D255" i="13" s="1"/>
  <c r="B256" i="13"/>
  <c r="D256" i="13" s="1"/>
  <c r="B257" i="13"/>
  <c r="D257" i="13" s="1"/>
  <c r="B258" i="13"/>
  <c r="D258" i="13" s="1"/>
  <c r="B259" i="13"/>
  <c r="D259" i="13" s="1"/>
  <c r="B260" i="13"/>
  <c r="D260" i="13" s="1"/>
  <c r="B261" i="13"/>
  <c r="D261" i="13" s="1"/>
  <c r="B262" i="13"/>
  <c r="D262" i="13" s="1"/>
  <c r="B263" i="13"/>
  <c r="D263" i="13" s="1"/>
  <c r="B264" i="13"/>
  <c r="D264" i="13" s="1"/>
  <c r="B265" i="13"/>
  <c r="D265" i="13" s="1"/>
  <c r="B266" i="13"/>
  <c r="D266" i="13" s="1"/>
  <c r="B267" i="13"/>
  <c r="D267" i="13" s="1"/>
  <c r="B268" i="13"/>
  <c r="D268" i="13" s="1"/>
  <c r="B269" i="13"/>
  <c r="D269" i="13" s="1"/>
  <c r="B270" i="13"/>
  <c r="D270" i="13" s="1"/>
  <c r="B271" i="13"/>
  <c r="D271" i="13" s="1"/>
  <c r="B272" i="13"/>
  <c r="D272" i="13" s="1"/>
  <c r="B273" i="13"/>
  <c r="D273" i="13" s="1"/>
  <c r="B274" i="13"/>
  <c r="D274" i="13" s="1"/>
  <c r="B275" i="13"/>
  <c r="D275" i="13" s="1"/>
  <c r="B276" i="13"/>
  <c r="D276" i="13" s="1"/>
  <c r="B277" i="13"/>
  <c r="D277" i="13" s="1"/>
  <c r="B278" i="13"/>
  <c r="D278" i="13" s="1"/>
  <c r="B279" i="13"/>
  <c r="D279" i="13" s="1"/>
  <c r="B280" i="13"/>
  <c r="D280" i="13" s="1"/>
  <c r="B281" i="13"/>
  <c r="D281" i="13" s="1"/>
  <c r="B282" i="13"/>
  <c r="D282" i="13" s="1"/>
  <c r="B283" i="13"/>
  <c r="D283" i="13" s="1"/>
  <c r="B284" i="13"/>
  <c r="D284" i="13" s="1"/>
  <c r="B285" i="13"/>
  <c r="D285" i="13" s="1"/>
  <c r="B286" i="13"/>
  <c r="D286" i="13" s="1"/>
  <c r="B287" i="13"/>
  <c r="D287" i="13" s="1"/>
  <c r="B288" i="13"/>
  <c r="D288" i="13" s="1"/>
  <c r="B289" i="13"/>
  <c r="D289" i="13" s="1"/>
  <c r="B290" i="13"/>
  <c r="D290" i="13" s="1"/>
  <c r="B291" i="13"/>
  <c r="D291" i="13" s="1"/>
  <c r="B292" i="13"/>
  <c r="D292" i="13" s="1"/>
  <c r="B293" i="13"/>
  <c r="D293" i="13" s="1"/>
  <c r="B294" i="13"/>
  <c r="D294" i="13" s="1"/>
  <c r="B295" i="13"/>
  <c r="D295" i="13" s="1"/>
  <c r="B296" i="13"/>
  <c r="D296" i="13" s="1"/>
  <c r="B297" i="13"/>
  <c r="D297" i="13" s="1"/>
  <c r="B298" i="13"/>
  <c r="D298" i="13" s="1"/>
  <c r="B299" i="13"/>
  <c r="D299" i="13" s="1"/>
  <c r="B300" i="13"/>
  <c r="D300" i="13" s="1"/>
  <c r="B301" i="13"/>
  <c r="D301" i="13" s="1"/>
  <c r="B302" i="13"/>
  <c r="D302" i="13" s="1"/>
  <c r="B303" i="13"/>
  <c r="D303" i="13" s="1"/>
  <c r="B304" i="13"/>
  <c r="D304" i="13" s="1"/>
  <c r="B305" i="13"/>
  <c r="D305" i="13" s="1"/>
  <c r="B306" i="13"/>
  <c r="D306" i="13" s="1"/>
  <c r="B307" i="13"/>
  <c r="D307" i="13" s="1"/>
  <c r="B308" i="13"/>
  <c r="D308" i="13" s="1"/>
  <c r="B309" i="13"/>
  <c r="D309" i="13" s="1"/>
  <c r="B310" i="13"/>
  <c r="D310" i="13" s="1"/>
  <c r="B311" i="13"/>
  <c r="D311" i="13" s="1"/>
  <c r="B312" i="13"/>
  <c r="D312" i="13" s="1"/>
  <c r="B313" i="13"/>
  <c r="D313" i="13" s="1"/>
  <c r="B314" i="13"/>
  <c r="D314" i="13" s="1"/>
  <c r="B315" i="13"/>
  <c r="D315" i="13" s="1"/>
  <c r="B316" i="13"/>
  <c r="D316" i="13" s="1"/>
  <c r="B317" i="13"/>
  <c r="D317" i="13" s="1"/>
  <c r="B318" i="13"/>
  <c r="D318" i="13" s="1"/>
  <c r="B319" i="13"/>
  <c r="D319" i="13" s="1"/>
  <c r="B320" i="13"/>
  <c r="D320" i="13" s="1"/>
  <c r="B321" i="13"/>
  <c r="D321" i="13" s="1"/>
  <c r="B322" i="13"/>
  <c r="D322" i="13" s="1"/>
  <c r="B323" i="13"/>
  <c r="D323" i="13" s="1"/>
  <c r="B324" i="13"/>
  <c r="D324" i="13" s="1"/>
  <c r="B325" i="13"/>
  <c r="D325" i="13" s="1"/>
  <c r="B326" i="13"/>
  <c r="D326" i="13" s="1"/>
  <c r="B327" i="13"/>
  <c r="D327" i="13" s="1"/>
  <c r="B328" i="13"/>
  <c r="D328" i="13" s="1"/>
  <c r="B329" i="13"/>
  <c r="D329" i="13" s="1"/>
  <c r="B330" i="13"/>
  <c r="D330" i="13" s="1"/>
  <c r="B331" i="13"/>
  <c r="D331" i="13" s="1"/>
  <c r="B332" i="13"/>
  <c r="D332" i="13" s="1"/>
  <c r="B333" i="13"/>
  <c r="D333" i="13" s="1"/>
  <c r="B334" i="13"/>
  <c r="D334" i="13" s="1"/>
  <c r="B335" i="13"/>
  <c r="D335" i="13" s="1"/>
  <c r="B336" i="13"/>
  <c r="D336" i="13" s="1"/>
  <c r="B337" i="13"/>
  <c r="D337" i="13" s="1"/>
  <c r="B338" i="13"/>
  <c r="D338" i="13" s="1"/>
  <c r="B339" i="13"/>
  <c r="D339" i="13" s="1"/>
  <c r="B340" i="13"/>
  <c r="D340" i="13" s="1"/>
  <c r="B341" i="13"/>
  <c r="D341" i="13" s="1"/>
  <c r="B342" i="13"/>
  <c r="D342" i="13" s="1"/>
  <c r="B343" i="13"/>
  <c r="D343" i="13" s="1"/>
  <c r="B344" i="13"/>
  <c r="D344" i="13" s="1"/>
  <c r="B345" i="13"/>
  <c r="D345" i="13" s="1"/>
  <c r="B346" i="13"/>
  <c r="D346" i="13" s="1"/>
  <c r="B347" i="13"/>
  <c r="D347" i="13" s="1"/>
  <c r="B348" i="13"/>
  <c r="D348" i="13" s="1"/>
  <c r="B349" i="13"/>
  <c r="D349" i="13" s="1"/>
  <c r="B350" i="13"/>
  <c r="D350" i="13" s="1"/>
  <c r="B351" i="13"/>
  <c r="D351" i="13" s="1"/>
  <c r="B352" i="13"/>
  <c r="D352" i="13" s="1"/>
  <c r="B353" i="13"/>
  <c r="D353" i="13" s="1"/>
  <c r="B354" i="13"/>
  <c r="D354" i="13" s="1"/>
  <c r="B355" i="13"/>
  <c r="D355" i="13" s="1"/>
  <c r="B356" i="13"/>
  <c r="D356" i="13" s="1"/>
  <c r="B357" i="13"/>
  <c r="D357" i="13" s="1"/>
  <c r="B358" i="13"/>
  <c r="D358" i="13" s="1"/>
  <c r="B359" i="13"/>
  <c r="D359" i="13" s="1"/>
  <c r="B360" i="13"/>
  <c r="D360" i="13" s="1"/>
  <c r="B361" i="13"/>
  <c r="D361" i="13" s="1"/>
  <c r="B362" i="13"/>
  <c r="D362" i="13" s="1"/>
  <c r="B363" i="13"/>
  <c r="D363" i="13" s="1"/>
  <c r="B364" i="13"/>
  <c r="D364" i="13" s="1"/>
  <c r="B365" i="13"/>
  <c r="D365" i="13" s="1"/>
  <c r="B366" i="13"/>
  <c r="D366" i="13" s="1"/>
  <c r="B367" i="13"/>
  <c r="D367" i="13" s="1"/>
  <c r="B368" i="13"/>
  <c r="D368" i="13" s="1"/>
  <c r="B369" i="13"/>
  <c r="D369" i="13" s="1"/>
  <c r="B370" i="13"/>
  <c r="D370" i="13" s="1"/>
  <c r="B371" i="13"/>
  <c r="D371" i="13" s="1"/>
  <c r="B372" i="13"/>
  <c r="D372" i="13" s="1"/>
  <c r="B373" i="13"/>
  <c r="D373" i="13" s="1"/>
  <c r="B374" i="13"/>
  <c r="D374" i="13" s="1"/>
  <c r="B375" i="13"/>
  <c r="D375" i="13" s="1"/>
  <c r="B376" i="13"/>
  <c r="D376" i="13" s="1"/>
  <c r="B377" i="13"/>
  <c r="D377" i="13" s="1"/>
  <c r="B378" i="13"/>
  <c r="D378" i="13" s="1"/>
  <c r="B379" i="13"/>
  <c r="D379" i="13" s="1"/>
  <c r="B380" i="13"/>
  <c r="D380" i="13" s="1"/>
  <c r="B381" i="13"/>
  <c r="D381" i="13" s="1"/>
  <c r="B382" i="13"/>
  <c r="D382" i="13" s="1"/>
  <c r="B383" i="13"/>
  <c r="D383" i="13" s="1"/>
  <c r="B384" i="13"/>
  <c r="D384" i="13" s="1"/>
  <c r="B385" i="13"/>
  <c r="D385" i="13" s="1"/>
  <c r="B386" i="13"/>
  <c r="D386" i="13" s="1"/>
  <c r="B387" i="13"/>
  <c r="D387" i="13" s="1"/>
  <c r="B388" i="13"/>
  <c r="D388" i="13" s="1"/>
  <c r="B389" i="13"/>
  <c r="D389" i="13" s="1"/>
  <c r="B390" i="13"/>
  <c r="D390" i="13" s="1"/>
  <c r="B391" i="13"/>
  <c r="D391" i="13" s="1"/>
  <c r="B392" i="13"/>
  <c r="D392" i="13" s="1"/>
  <c r="B393" i="13"/>
  <c r="D393" i="13" s="1"/>
  <c r="B394" i="13"/>
  <c r="D394" i="13" s="1"/>
  <c r="B395" i="13"/>
  <c r="D395" i="13" s="1"/>
  <c r="B396" i="13"/>
  <c r="D396" i="13" s="1"/>
  <c r="B397" i="13"/>
  <c r="D397" i="13" s="1"/>
  <c r="B398" i="13"/>
  <c r="D398" i="13" s="1"/>
  <c r="B399" i="13"/>
  <c r="D399" i="13" s="1"/>
  <c r="B400" i="13"/>
  <c r="D400" i="13" s="1"/>
  <c r="B401" i="13"/>
  <c r="D401" i="13" s="1"/>
  <c r="B402" i="13"/>
  <c r="D402" i="13" s="1"/>
  <c r="B403" i="13"/>
  <c r="D403" i="13" s="1"/>
  <c r="B404" i="13"/>
  <c r="D404" i="13" s="1"/>
  <c r="B405" i="13"/>
  <c r="D405" i="13" s="1"/>
  <c r="B406" i="13"/>
  <c r="D406" i="13" s="1"/>
  <c r="B407" i="13"/>
  <c r="D407" i="13" s="1"/>
  <c r="B408" i="13"/>
  <c r="D408" i="13" s="1"/>
  <c r="B409" i="13"/>
  <c r="D409" i="13" s="1"/>
  <c r="B410" i="13"/>
  <c r="D410" i="13" s="1"/>
  <c r="B411" i="13"/>
  <c r="D411" i="13" s="1"/>
  <c r="B412" i="13"/>
  <c r="D412" i="13" s="1"/>
  <c r="B413" i="13"/>
  <c r="D413" i="13" s="1"/>
  <c r="B414" i="13"/>
  <c r="D414" i="13" s="1"/>
  <c r="B415" i="13"/>
  <c r="D415" i="13" s="1"/>
  <c r="B416" i="13"/>
  <c r="D416" i="13" s="1"/>
  <c r="B417" i="13"/>
  <c r="D417" i="13" s="1"/>
  <c r="B418" i="13"/>
  <c r="D418" i="13" s="1"/>
  <c r="B419" i="13"/>
  <c r="D419" i="13" s="1"/>
  <c r="B420" i="13"/>
  <c r="D420" i="13" s="1"/>
  <c r="B421" i="13"/>
  <c r="D421" i="13" s="1"/>
  <c r="B422" i="13"/>
  <c r="D422" i="13" s="1"/>
  <c r="B423" i="13"/>
  <c r="D423" i="13" s="1"/>
  <c r="B424" i="13"/>
  <c r="D424" i="13" s="1"/>
  <c r="B425" i="13"/>
  <c r="D425" i="13" s="1"/>
  <c r="B426" i="13"/>
  <c r="D426" i="13" s="1"/>
  <c r="B427" i="13"/>
  <c r="D427" i="13" s="1"/>
  <c r="B428" i="13"/>
  <c r="D428" i="13" s="1"/>
  <c r="B429" i="13"/>
  <c r="D429" i="13" s="1"/>
  <c r="B430" i="13"/>
  <c r="D430" i="13" s="1"/>
  <c r="B431" i="13"/>
  <c r="D431" i="13" s="1"/>
  <c r="B432" i="13"/>
  <c r="D432" i="13" s="1"/>
  <c r="B433" i="13"/>
  <c r="D433" i="13" s="1"/>
  <c r="B434" i="13"/>
  <c r="D434" i="13" s="1"/>
  <c r="B435" i="13"/>
  <c r="D435" i="13" s="1"/>
  <c r="B436" i="13"/>
  <c r="D436" i="13" s="1"/>
  <c r="B437" i="13"/>
  <c r="D437" i="13" s="1"/>
  <c r="B438" i="13"/>
  <c r="D438" i="13" s="1"/>
  <c r="B439" i="13"/>
  <c r="D439" i="13" s="1"/>
  <c r="B440" i="13"/>
  <c r="D440" i="13" s="1"/>
  <c r="B441" i="13"/>
  <c r="D441" i="13" s="1"/>
  <c r="B442" i="13"/>
  <c r="D442" i="13" s="1"/>
  <c r="B443" i="13"/>
  <c r="D443" i="13" s="1"/>
  <c r="B444" i="13"/>
  <c r="D444" i="13" s="1"/>
  <c r="B445" i="13"/>
  <c r="D445" i="13" s="1"/>
  <c r="B446" i="13"/>
  <c r="D446" i="13" s="1"/>
  <c r="B447" i="13"/>
  <c r="D447" i="13" s="1"/>
  <c r="B448" i="13"/>
  <c r="D448" i="13" s="1"/>
  <c r="B449" i="13"/>
  <c r="D449" i="13" s="1"/>
  <c r="B450" i="13"/>
  <c r="D450" i="13" s="1"/>
  <c r="B451" i="13"/>
  <c r="D451" i="13" s="1"/>
  <c r="B452" i="13"/>
  <c r="D452" i="13" s="1"/>
  <c r="B453" i="13"/>
  <c r="D453" i="13" s="1"/>
  <c r="B454" i="13"/>
  <c r="D454" i="13" s="1"/>
  <c r="B455" i="13"/>
  <c r="D455" i="13" s="1"/>
  <c r="B456" i="13"/>
  <c r="D456" i="13" s="1"/>
  <c r="B457" i="13"/>
  <c r="D457" i="13" s="1"/>
  <c r="B458" i="13"/>
  <c r="D458" i="13" s="1"/>
  <c r="B459" i="13"/>
  <c r="D459" i="13" s="1"/>
  <c r="B460" i="13"/>
  <c r="D460" i="13" s="1"/>
  <c r="B461" i="13"/>
  <c r="D461" i="13" s="1"/>
  <c r="B462" i="13"/>
  <c r="D462" i="13" s="1"/>
  <c r="B463" i="13"/>
  <c r="D463" i="13" s="1"/>
  <c r="B464" i="13"/>
  <c r="D464" i="13" s="1"/>
  <c r="B465" i="13"/>
  <c r="D465" i="13" s="1"/>
  <c r="B466" i="13"/>
  <c r="D466" i="13" s="1"/>
  <c r="B467" i="13"/>
  <c r="D467" i="13" s="1"/>
  <c r="B468" i="13"/>
  <c r="D468" i="13" s="1"/>
  <c r="B469" i="13"/>
  <c r="D469" i="13" s="1"/>
  <c r="B470" i="13"/>
  <c r="D470" i="13" s="1"/>
  <c r="B471" i="13"/>
  <c r="D471" i="13" s="1"/>
  <c r="B472" i="13"/>
  <c r="D472" i="13" s="1"/>
  <c r="B473" i="13"/>
  <c r="D473" i="13" s="1"/>
  <c r="B474" i="13"/>
  <c r="D474" i="13" s="1"/>
  <c r="B475" i="13"/>
  <c r="D475" i="13" s="1"/>
  <c r="B476" i="13"/>
  <c r="D476" i="13" s="1"/>
  <c r="B477" i="13"/>
  <c r="D477" i="13" s="1"/>
  <c r="B478" i="13"/>
  <c r="D478" i="13" s="1"/>
  <c r="B479" i="13"/>
  <c r="D479" i="13" s="1"/>
  <c r="B480" i="13"/>
  <c r="D480" i="13" s="1"/>
  <c r="B481" i="13"/>
  <c r="D481" i="13" s="1"/>
  <c r="B482" i="13"/>
  <c r="D482" i="13" s="1"/>
  <c r="B483" i="13"/>
  <c r="D483" i="13" s="1"/>
  <c r="B484" i="13"/>
  <c r="D484" i="13" s="1"/>
  <c r="B485" i="13"/>
  <c r="D485" i="13" s="1"/>
  <c r="B486" i="13"/>
  <c r="D486" i="13" s="1"/>
  <c r="B487" i="13"/>
  <c r="D487" i="13" s="1"/>
  <c r="B488" i="13"/>
  <c r="D488" i="13" s="1"/>
  <c r="B489" i="13"/>
  <c r="D489" i="13" s="1"/>
  <c r="B490" i="13"/>
  <c r="D490" i="13" s="1"/>
  <c r="B491" i="13"/>
  <c r="D491" i="13" s="1"/>
  <c r="B492" i="13"/>
  <c r="D492" i="13" s="1"/>
  <c r="B493" i="13"/>
  <c r="D493" i="13" s="1"/>
  <c r="B494" i="13"/>
  <c r="D494" i="13" s="1"/>
  <c r="B495" i="13"/>
  <c r="D495" i="13" s="1"/>
  <c r="B496" i="13"/>
  <c r="D496" i="13" s="1"/>
  <c r="B497" i="13"/>
  <c r="D497" i="13" s="1"/>
  <c r="B498" i="13"/>
  <c r="D498" i="13" s="1"/>
  <c r="B499" i="13"/>
  <c r="D499" i="13" s="1"/>
  <c r="B500" i="13"/>
  <c r="D500" i="13" s="1"/>
  <c r="B501" i="13"/>
  <c r="D501" i="13" s="1"/>
  <c r="B502" i="13"/>
  <c r="D502" i="13" s="1"/>
  <c r="B503" i="13"/>
  <c r="D503" i="13" s="1"/>
  <c r="B504" i="13"/>
  <c r="D504" i="13" s="1"/>
  <c r="B505" i="13"/>
  <c r="D505" i="13" s="1"/>
  <c r="B506" i="13"/>
  <c r="D506" i="13" s="1"/>
  <c r="B507" i="13"/>
  <c r="D507" i="13" s="1"/>
  <c r="B508" i="13"/>
  <c r="D508" i="13" s="1"/>
  <c r="B509" i="13"/>
  <c r="D509" i="13" s="1"/>
  <c r="B510" i="13"/>
  <c r="D510" i="13" s="1"/>
  <c r="B511" i="13"/>
  <c r="D511" i="13" s="1"/>
  <c r="B512" i="13"/>
  <c r="D512" i="13" s="1"/>
  <c r="B513" i="13"/>
  <c r="D513" i="13" s="1"/>
  <c r="B514" i="13"/>
  <c r="D514" i="13" s="1"/>
  <c r="B515" i="13"/>
  <c r="D515" i="13" s="1"/>
  <c r="B516" i="13"/>
  <c r="D516" i="13" s="1"/>
  <c r="B517" i="13"/>
  <c r="D517" i="13" s="1"/>
  <c r="B518" i="13"/>
  <c r="D518" i="13" s="1"/>
  <c r="B519" i="13"/>
  <c r="D519" i="13" s="1"/>
  <c r="B520" i="13"/>
  <c r="D520" i="13" s="1"/>
  <c r="B521" i="13"/>
  <c r="D521" i="13" s="1"/>
  <c r="B522" i="13"/>
  <c r="D522" i="13" s="1"/>
  <c r="B523" i="13"/>
  <c r="D523" i="13" s="1"/>
  <c r="B524" i="13"/>
  <c r="D524" i="13" s="1"/>
  <c r="B525" i="13"/>
  <c r="D525" i="13" s="1"/>
  <c r="B526" i="13"/>
  <c r="D526" i="13" s="1"/>
  <c r="B527" i="13"/>
  <c r="D527" i="13" s="1"/>
  <c r="B528" i="13"/>
  <c r="D528" i="13" s="1"/>
  <c r="B529" i="13"/>
  <c r="D529" i="13" s="1"/>
  <c r="B530" i="13"/>
  <c r="D530" i="13" s="1"/>
  <c r="B531" i="13"/>
  <c r="D531" i="13" s="1"/>
  <c r="B532" i="13"/>
  <c r="D532" i="13" s="1"/>
  <c r="B533" i="13"/>
  <c r="D533" i="13" s="1"/>
  <c r="B534" i="13"/>
  <c r="D534" i="13" s="1"/>
  <c r="B535" i="13"/>
  <c r="D535" i="13" s="1"/>
  <c r="B536" i="13"/>
  <c r="D536" i="13" s="1"/>
  <c r="B537" i="13"/>
  <c r="D537" i="13" s="1"/>
  <c r="B538" i="13"/>
  <c r="D538" i="13" s="1"/>
  <c r="B539" i="13"/>
  <c r="D539" i="13" s="1"/>
  <c r="B540" i="13"/>
  <c r="D540" i="13" s="1"/>
  <c r="B541" i="13"/>
  <c r="D541" i="13" s="1"/>
  <c r="B542" i="13"/>
  <c r="D542" i="13" s="1"/>
  <c r="B543" i="13"/>
  <c r="D543" i="13" s="1"/>
  <c r="B544" i="13"/>
  <c r="D544" i="13" s="1"/>
  <c r="B545" i="13"/>
  <c r="D545" i="13" s="1"/>
  <c r="B546" i="13"/>
  <c r="D546" i="13" s="1"/>
  <c r="B547" i="13"/>
  <c r="D547" i="13" s="1"/>
  <c r="B548" i="13"/>
  <c r="D548" i="13" s="1"/>
  <c r="B549" i="13"/>
  <c r="D549" i="13" s="1"/>
  <c r="B550" i="13"/>
  <c r="D550" i="13" s="1"/>
  <c r="B551" i="13"/>
  <c r="D551" i="13" s="1"/>
  <c r="B552" i="13"/>
  <c r="D552" i="13" s="1"/>
  <c r="B553" i="13"/>
  <c r="D553" i="13" s="1"/>
  <c r="B554" i="13"/>
  <c r="D554" i="13" s="1"/>
  <c r="B555" i="13"/>
  <c r="D555" i="13" s="1"/>
  <c r="B556" i="13"/>
  <c r="D556" i="13" s="1"/>
  <c r="B557" i="13"/>
  <c r="D557" i="13" s="1"/>
  <c r="B558" i="13"/>
  <c r="D558" i="13" s="1"/>
  <c r="B559" i="13"/>
  <c r="D559" i="13" s="1"/>
  <c r="B560" i="13"/>
  <c r="D560" i="13" s="1"/>
  <c r="B561" i="13"/>
  <c r="D561" i="13" s="1"/>
  <c r="B562" i="13"/>
  <c r="D562" i="13" s="1"/>
  <c r="B563" i="13"/>
  <c r="D563" i="13" s="1"/>
  <c r="B564" i="13"/>
  <c r="D564" i="13" s="1"/>
  <c r="B565" i="13"/>
  <c r="D565" i="13" s="1"/>
  <c r="B566" i="13"/>
  <c r="D566" i="13" s="1"/>
  <c r="B567" i="13"/>
  <c r="D567" i="13" s="1"/>
  <c r="B568" i="13"/>
  <c r="D568" i="13" s="1"/>
  <c r="B569" i="13"/>
  <c r="D569" i="13" s="1"/>
  <c r="B570" i="13"/>
  <c r="D570" i="13" s="1"/>
  <c r="B571" i="13"/>
  <c r="D571" i="13" s="1"/>
  <c r="B572" i="13"/>
  <c r="D572" i="13" s="1"/>
  <c r="B573" i="13"/>
  <c r="D573" i="13" s="1"/>
  <c r="B574" i="13"/>
  <c r="D574" i="13" s="1"/>
  <c r="B575" i="13"/>
  <c r="D575" i="13" s="1"/>
  <c r="B576" i="13"/>
  <c r="D576" i="13" s="1"/>
  <c r="B577" i="13"/>
  <c r="D577" i="13" s="1"/>
  <c r="B578" i="13"/>
  <c r="D578" i="13" s="1"/>
  <c r="B579" i="13"/>
  <c r="D579" i="13" s="1"/>
  <c r="B580" i="13"/>
  <c r="D580" i="13" s="1"/>
  <c r="B581" i="13"/>
  <c r="D581" i="13" s="1"/>
  <c r="B582" i="13"/>
  <c r="D582" i="13" s="1"/>
  <c r="B583" i="13"/>
  <c r="D583" i="13" s="1"/>
  <c r="B584" i="13"/>
  <c r="D584" i="13" s="1"/>
  <c r="B585" i="13"/>
  <c r="D585" i="13" s="1"/>
  <c r="B586" i="13"/>
  <c r="D586" i="13" s="1"/>
  <c r="B587" i="13"/>
  <c r="D587" i="13" s="1"/>
  <c r="B588" i="13"/>
  <c r="D588" i="13" s="1"/>
  <c r="B589" i="13"/>
  <c r="D589" i="13" s="1"/>
  <c r="B590" i="13"/>
  <c r="D590" i="13" s="1"/>
  <c r="B591" i="13"/>
  <c r="D591" i="13" s="1"/>
  <c r="B592" i="13"/>
  <c r="D592" i="13" s="1"/>
  <c r="B593" i="13"/>
  <c r="D593" i="13" s="1"/>
  <c r="B594" i="13"/>
  <c r="D594" i="13" s="1"/>
  <c r="B595" i="13"/>
  <c r="D595" i="13" s="1"/>
  <c r="B596" i="13"/>
  <c r="D596" i="13" s="1"/>
  <c r="B597" i="13"/>
  <c r="D597" i="13" s="1"/>
  <c r="B598" i="13"/>
  <c r="D598" i="13" s="1"/>
  <c r="B599" i="13"/>
  <c r="D599" i="13" s="1"/>
  <c r="B600" i="13"/>
  <c r="D600" i="13" s="1"/>
  <c r="B601" i="13"/>
  <c r="D601" i="13" s="1"/>
  <c r="B602" i="13"/>
  <c r="D602" i="13" s="1"/>
  <c r="B603" i="13"/>
  <c r="D603" i="13" s="1"/>
  <c r="B604" i="13"/>
  <c r="D604" i="13" s="1"/>
  <c r="B605" i="13"/>
  <c r="D605" i="13" s="1"/>
  <c r="B606" i="13"/>
  <c r="D606" i="13" s="1"/>
  <c r="B607" i="13"/>
  <c r="D607" i="13" s="1"/>
  <c r="B608" i="13"/>
  <c r="D608" i="13" s="1"/>
  <c r="B609" i="13"/>
  <c r="D609" i="13" s="1"/>
  <c r="B610" i="13"/>
  <c r="D610" i="13" s="1"/>
  <c r="B611" i="13"/>
  <c r="D611" i="13" s="1"/>
  <c r="B612" i="13"/>
  <c r="D612" i="13" s="1"/>
  <c r="B613" i="13"/>
  <c r="D613" i="13" s="1"/>
  <c r="B614" i="13"/>
  <c r="D614" i="13" s="1"/>
  <c r="B615" i="13"/>
  <c r="D615" i="13" s="1"/>
  <c r="B616" i="13"/>
  <c r="D616" i="13" s="1"/>
  <c r="B617" i="13"/>
  <c r="D617" i="13" s="1"/>
  <c r="B618" i="13"/>
  <c r="D618" i="13" s="1"/>
  <c r="B619" i="13"/>
  <c r="D619" i="13" s="1"/>
  <c r="B620" i="13"/>
  <c r="D620" i="13" s="1"/>
  <c r="B621" i="13"/>
  <c r="D621" i="13" s="1"/>
  <c r="B622" i="13"/>
  <c r="D622" i="13" s="1"/>
  <c r="B623" i="13"/>
  <c r="D623" i="13" s="1"/>
  <c r="B624" i="13"/>
  <c r="D624" i="13" s="1"/>
  <c r="B625" i="13"/>
  <c r="D625" i="13" s="1"/>
  <c r="B626" i="13"/>
  <c r="D626" i="13" s="1"/>
  <c r="B627" i="13"/>
  <c r="D627" i="13" s="1"/>
  <c r="B628" i="13"/>
  <c r="D628" i="13" s="1"/>
  <c r="B629" i="13"/>
  <c r="D629" i="13" s="1"/>
  <c r="B630" i="13"/>
  <c r="D630" i="13" s="1"/>
  <c r="B631" i="13"/>
  <c r="D631" i="13" s="1"/>
  <c r="B632" i="13"/>
  <c r="D632" i="13" s="1"/>
  <c r="B633" i="13"/>
  <c r="D633" i="13" s="1"/>
  <c r="B634" i="13"/>
  <c r="D634" i="13" s="1"/>
  <c r="B635" i="13"/>
  <c r="D635" i="13" s="1"/>
  <c r="B636" i="13"/>
  <c r="D636" i="13" s="1"/>
  <c r="B637" i="13"/>
  <c r="D637" i="13" s="1"/>
  <c r="B638" i="13"/>
  <c r="D638" i="13" s="1"/>
  <c r="B639" i="13"/>
  <c r="D639" i="13" s="1"/>
  <c r="B640" i="13"/>
  <c r="D640" i="13" s="1"/>
  <c r="B641" i="13"/>
  <c r="D641" i="13" s="1"/>
  <c r="B642" i="13"/>
  <c r="D642" i="13" s="1"/>
  <c r="B643" i="13"/>
  <c r="D643" i="13" s="1"/>
  <c r="B644" i="13"/>
  <c r="D644" i="13" s="1"/>
  <c r="B645" i="13"/>
  <c r="D645" i="13" s="1"/>
  <c r="B646" i="13"/>
  <c r="D646" i="13" s="1"/>
  <c r="B647" i="13"/>
  <c r="D647" i="13" s="1"/>
  <c r="B648" i="13"/>
  <c r="D648" i="13" s="1"/>
  <c r="B649" i="13"/>
  <c r="D649" i="13" s="1"/>
  <c r="B650" i="13"/>
  <c r="D650" i="13" s="1"/>
  <c r="B651" i="13"/>
  <c r="D651" i="13" s="1"/>
  <c r="B652" i="13"/>
  <c r="D652" i="13" s="1"/>
  <c r="B653" i="13"/>
  <c r="D653" i="13" s="1"/>
  <c r="B654" i="13"/>
  <c r="D654" i="13" s="1"/>
  <c r="B655" i="13"/>
  <c r="D655" i="13" s="1"/>
  <c r="B656" i="13"/>
  <c r="D656" i="13" s="1"/>
  <c r="B657" i="13"/>
  <c r="D657" i="13" s="1"/>
  <c r="B658" i="13"/>
  <c r="D658" i="13" s="1"/>
  <c r="B659" i="13"/>
  <c r="D659" i="13" s="1"/>
  <c r="B660" i="13"/>
  <c r="D660" i="13" s="1"/>
  <c r="B661" i="13"/>
  <c r="D661" i="13" s="1"/>
  <c r="B662" i="13"/>
  <c r="D662" i="13" s="1"/>
  <c r="B663" i="13"/>
  <c r="D663" i="13" s="1"/>
  <c r="B664" i="13"/>
  <c r="D664" i="13" s="1"/>
  <c r="B665" i="13"/>
  <c r="D665" i="13" s="1"/>
  <c r="B666" i="13"/>
  <c r="D666" i="13" s="1"/>
  <c r="B667" i="13"/>
  <c r="D667" i="13" s="1"/>
  <c r="B668" i="13"/>
  <c r="D668" i="13" s="1"/>
  <c r="B669" i="13"/>
  <c r="D669" i="13" s="1"/>
  <c r="B670" i="13"/>
  <c r="D670" i="13" s="1"/>
  <c r="B671" i="13"/>
  <c r="D671" i="13" s="1"/>
  <c r="B672" i="13"/>
  <c r="D672" i="13" s="1"/>
  <c r="B673" i="13"/>
  <c r="D673" i="13" s="1"/>
  <c r="B674" i="13"/>
  <c r="D674" i="13" s="1"/>
  <c r="B675" i="13"/>
  <c r="D675" i="13" s="1"/>
  <c r="B676" i="13"/>
  <c r="D676" i="13" s="1"/>
  <c r="B677" i="13"/>
  <c r="D677" i="13" s="1"/>
  <c r="B678" i="13"/>
  <c r="D678" i="13" s="1"/>
  <c r="B679" i="13"/>
  <c r="D679" i="13" s="1"/>
  <c r="B680" i="13"/>
  <c r="D680" i="13" s="1"/>
  <c r="B681" i="13"/>
  <c r="D681" i="13" s="1"/>
  <c r="B682" i="13"/>
  <c r="D682" i="13" s="1"/>
  <c r="B683" i="13"/>
  <c r="D683" i="13" s="1"/>
  <c r="B684" i="13"/>
  <c r="D684" i="13" s="1"/>
  <c r="B685" i="13"/>
  <c r="D685" i="13" s="1"/>
  <c r="B686" i="13"/>
  <c r="D686" i="13" s="1"/>
  <c r="B687" i="13"/>
  <c r="D687" i="13" s="1"/>
  <c r="B688" i="13"/>
  <c r="D688" i="13" s="1"/>
  <c r="B689" i="13"/>
  <c r="D689" i="13" s="1"/>
  <c r="B690" i="13"/>
  <c r="D690" i="13" s="1"/>
  <c r="B691" i="13"/>
  <c r="D691" i="13" s="1"/>
  <c r="B692" i="13"/>
  <c r="D692" i="13" s="1"/>
  <c r="B693" i="13"/>
  <c r="D693" i="13" s="1"/>
  <c r="B694" i="13"/>
  <c r="D694" i="13" s="1"/>
  <c r="B695" i="13"/>
  <c r="D695" i="13" s="1"/>
  <c r="B696" i="13"/>
  <c r="D696" i="13" s="1"/>
  <c r="B697" i="13"/>
  <c r="D697" i="13" s="1"/>
  <c r="B698" i="13"/>
  <c r="D698" i="13" s="1"/>
  <c r="B699" i="13"/>
  <c r="D699" i="13" s="1"/>
  <c r="B700" i="13"/>
  <c r="D700" i="13" s="1"/>
  <c r="B701" i="13"/>
  <c r="D701" i="13" s="1"/>
  <c r="B702" i="13"/>
  <c r="D702" i="13" s="1"/>
  <c r="B703" i="13"/>
  <c r="D703" i="13" s="1"/>
  <c r="B704" i="13"/>
  <c r="D704" i="13" s="1"/>
  <c r="B705" i="13"/>
  <c r="D705" i="13" s="1"/>
  <c r="B706" i="13"/>
  <c r="D706" i="13" s="1"/>
  <c r="B707" i="13"/>
  <c r="D707" i="13" s="1"/>
  <c r="B708" i="13"/>
  <c r="D708" i="13" s="1"/>
  <c r="B709" i="13"/>
  <c r="D709" i="13" s="1"/>
  <c r="B710" i="13"/>
  <c r="D710" i="13" s="1"/>
  <c r="B711" i="13"/>
  <c r="D711" i="13" s="1"/>
  <c r="B712" i="13"/>
  <c r="D712" i="13" s="1"/>
  <c r="B713" i="13"/>
  <c r="D713" i="13" s="1"/>
  <c r="B714" i="13"/>
  <c r="D714" i="13" s="1"/>
  <c r="B715" i="13"/>
  <c r="D715" i="13" s="1"/>
  <c r="B716" i="13"/>
  <c r="D716" i="13" s="1"/>
  <c r="B717" i="13"/>
  <c r="D717" i="13" s="1"/>
  <c r="B718" i="13"/>
  <c r="D718" i="13" s="1"/>
  <c r="B719" i="13"/>
  <c r="D719" i="13" s="1"/>
  <c r="B720" i="13"/>
  <c r="D720" i="13" s="1"/>
  <c r="B721" i="13"/>
  <c r="D721" i="13" s="1"/>
  <c r="B722" i="13"/>
  <c r="D722" i="13" s="1"/>
  <c r="B723" i="13"/>
  <c r="D723" i="13" s="1"/>
  <c r="B724" i="13"/>
  <c r="D724" i="13" s="1"/>
  <c r="B725" i="13"/>
  <c r="D725" i="13" s="1"/>
  <c r="B726" i="13"/>
  <c r="D726" i="13" s="1"/>
  <c r="B727" i="13"/>
  <c r="D727" i="13" s="1"/>
  <c r="B728" i="13"/>
  <c r="D728" i="13" s="1"/>
  <c r="B729" i="13"/>
  <c r="D729" i="13" s="1"/>
  <c r="B730" i="13"/>
  <c r="D730" i="13" s="1"/>
  <c r="B731" i="13"/>
  <c r="D731" i="13" s="1"/>
  <c r="B732" i="13"/>
  <c r="D732" i="13" s="1"/>
  <c r="B733" i="13"/>
  <c r="D733" i="13" s="1"/>
  <c r="B734" i="13"/>
  <c r="D734" i="13" s="1"/>
  <c r="B735" i="13"/>
  <c r="D735" i="13" s="1"/>
  <c r="B736" i="13"/>
  <c r="D736" i="13" s="1"/>
  <c r="B737" i="13"/>
  <c r="D737" i="13" s="1"/>
  <c r="B738" i="13"/>
  <c r="D738" i="13" s="1"/>
  <c r="B739" i="13"/>
  <c r="D739" i="13" s="1"/>
  <c r="B740" i="13"/>
  <c r="D740" i="13" s="1"/>
  <c r="B741" i="13"/>
  <c r="D741" i="13" s="1"/>
  <c r="B742" i="13"/>
  <c r="D742" i="13" s="1"/>
  <c r="B743" i="13"/>
  <c r="D743" i="13" s="1"/>
  <c r="B744" i="13"/>
  <c r="D744" i="13" s="1"/>
  <c r="B745" i="13"/>
  <c r="D745" i="13" s="1"/>
  <c r="B746" i="13"/>
  <c r="D746" i="13" s="1"/>
  <c r="B747" i="13"/>
  <c r="D747" i="13" s="1"/>
  <c r="B748" i="13"/>
  <c r="D748" i="13" s="1"/>
  <c r="B749" i="13"/>
  <c r="D749" i="13" s="1"/>
  <c r="B750" i="13"/>
  <c r="D750" i="13" s="1"/>
  <c r="B751" i="13"/>
  <c r="D751" i="13" s="1"/>
  <c r="B752" i="13"/>
  <c r="D752" i="13" s="1"/>
  <c r="B753" i="13"/>
  <c r="D753" i="13" s="1"/>
  <c r="B754" i="13"/>
  <c r="D754" i="13" s="1"/>
  <c r="B755" i="13"/>
  <c r="D755" i="13" s="1"/>
  <c r="B756" i="13"/>
  <c r="D756" i="13" s="1"/>
  <c r="B757" i="13"/>
  <c r="D757" i="13" s="1"/>
  <c r="B758" i="13"/>
  <c r="D758" i="13" s="1"/>
  <c r="B759" i="13"/>
  <c r="D759" i="13" s="1"/>
  <c r="B760" i="13"/>
  <c r="D760" i="13" s="1"/>
  <c r="B761" i="13"/>
  <c r="D761" i="13" s="1"/>
  <c r="B762" i="13"/>
  <c r="D762" i="13" s="1"/>
  <c r="B763" i="13"/>
  <c r="D763" i="13" s="1"/>
  <c r="B764" i="13"/>
  <c r="D764" i="13" s="1"/>
  <c r="B765" i="13"/>
  <c r="D765" i="13" s="1"/>
  <c r="B766" i="13"/>
  <c r="D766" i="13" s="1"/>
  <c r="B767" i="13"/>
  <c r="D767" i="13" s="1"/>
  <c r="B768" i="13"/>
  <c r="D768" i="13" s="1"/>
  <c r="B769" i="13"/>
  <c r="D769" i="13" s="1"/>
  <c r="B770" i="13"/>
  <c r="D770" i="13" s="1"/>
  <c r="B771" i="13"/>
  <c r="D771" i="13" s="1"/>
  <c r="B772" i="13"/>
  <c r="D772" i="13" s="1"/>
  <c r="B773" i="13"/>
  <c r="D773" i="13" s="1"/>
  <c r="B774" i="13"/>
  <c r="D774" i="13" s="1"/>
  <c r="B775" i="13"/>
  <c r="D775" i="13" s="1"/>
  <c r="B776" i="13"/>
  <c r="D776" i="13" s="1"/>
  <c r="B777" i="13"/>
  <c r="D777" i="13" s="1"/>
  <c r="B778" i="13"/>
  <c r="D778" i="13" s="1"/>
  <c r="B779" i="13"/>
  <c r="D779" i="13" s="1"/>
  <c r="B780" i="13"/>
  <c r="D780" i="13" s="1"/>
  <c r="B781" i="13"/>
  <c r="D781" i="13" s="1"/>
  <c r="B782" i="13"/>
  <c r="D782" i="13" s="1"/>
  <c r="B783" i="13"/>
  <c r="D783" i="13" s="1"/>
  <c r="B784" i="13"/>
  <c r="D784" i="13" s="1"/>
  <c r="B785" i="13"/>
  <c r="D785" i="13" s="1"/>
  <c r="B786" i="13"/>
  <c r="D786" i="13" s="1"/>
  <c r="B787" i="13"/>
  <c r="D787" i="13" s="1"/>
  <c r="B788" i="13"/>
  <c r="D788" i="13" s="1"/>
  <c r="B789" i="13"/>
  <c r="D789" i="13" s="1"/>
  <c r="B790" i="13"/>
  <c r="D790" i="13" s="1"/>
  <c r="B791" i="13"/>
  <c r="D791" i="13" s="1"/>
  <c r="B792" i="13"/>
  <c r="D792" i="13" s="1"/>
  <c r="B793" i="13"/>
  <c r="D793" i="13" s="1"/>
  <c r="B794" i="13"/>
  <c r="D794" i="13" s="1"/>
  <c r="B795" i="13"/>
  <c r="D795" i="13" s="1"/>
  <c r="B796" i="13"/>
  <c r="D796" i="13" s="1"/>
  <c r="B797" i="13"/>
  <c r="D797" i="13" s="1"/>
  <c r="B798" i="13"/>
  <c r="D798" i="13" s="1"/>
  <c r="B799" i="13"/>
  <c r="D799" i="13" s="1"/>
  <c r="B800" i="13"/>
  <c r="D800" i="13" s="1"/>
  <c r="B801" i="13"/>
  <c r="D801" i="13" s="1"/>
  <c r="B802" i="13"/>
  <c r="D802" i="13" s="1"/>
  <c r="B803" i="13"/>
  <c r="D803" i="13" s="1"/>
  <c r="B804" i="13"/>
  <c r="D804" i="13" s="1"/>
  <c r="B805" i="13"/>
  <c r="D805" i="13" s="1"/>
  <c r="B806" i="13"/>
  <c r="D806" i="13" s="1"/>
  <c r="B807" i="13"/>
  <c r="D807" i="13" s="1"/>
  <c r="B808" i="13"/>
  <c r="D808" i="13" s="1"/>
  <c r="B809" i="13"/>
  <c r="D809" i="13" s="1"/>
  <c r="B810" i="13"/>
  <c r="D810" i="13" s="1"/>
  <c r="B811" i="13"/>
  <c r="D811" i="13" s="1"/>
  <c r="B812" i="13"/>
  <c r="D812" i="13" s="1"/>
  <c r="B813" i="13"/>
  <c r="D813" i="13" s="1"/>
  <c r="B814" i="13"/>
  <c r="D814" i="13" s="1"/>
  <c r="B815" i="13"/>
  <c r="D815" i="13" s="1"/>
  <c r="B816" i="13"/>
  <c r="D816" i="13" s="1"/>
  <c r="B817" i="13"/>
  <c r="D817" i="13" s="1"/>
  <c r="B818" i="13"/>
  <c r="D818" i="13" s="1"/>
  <c r="B819" i="13"/>
  <c r="D819" i="13" s="1"/>
  <c r="B820" i="13"/>
  <c r="D820" i="13" s="1"/>
  <c r="B821" i="13"/>
  <c r="D821" i="13" s="1"/>
  <c r="B822" i="13"/>
  <c r="D822" i="13" s="1"/>
  <c r="B823" i="13"/>
  <c r="D823" i="13" s="1"/>
  <c r="B824" i="13"/>
  <c r="D824" i="13" s="1"/>
  <c r="B825" i="13"/>
  <c r="D825" i="13" s="1"/>
  <c r="B826" i="13"/>
  <c r="D826" i="13" s="1"/>
  <c r="B827" i="13"/>
  <c r="D827" i="13" s="1"/>
  <c r="B828" i="13"/>
  <c r="D828" i="13" s="1"/>
  <c r="B829" i="13"/>
  <c r="D829" i="13" s="1"/>
  <c r="B830" i="13"/>
  <c r="D830" i="13" s="1"/>
  <c r="B831" i="13"/>
  <c r="D831" i="13" s="1"/>
  <c r="B832" i="13"/>
  <c r="D832" i="13" s="1"/>
  <c r="B833" i="13"/>
  <c r="D833" i="13" s="1"/>
  <c r="B834" i="13"/>
  <c r="D834" i="13" s="1"/>
  <c r="B835" i="13"/>
  <c r="D835" i="13" s="1"/>
  <c r="B836" i="13"/>
  <c r="D836" i="13" s="1"/>
  <c r="B837" i="13"/>
  <c r="D837" i="13" s="1"/>
  <c r="B838" i="13"/>
  <c r="D838" i="13" s="1"/>
  <c r="B839" i="13"/>
  <c r="D839" i="13" s="1"/>
  <c r="B840" i="13"/>
  <c r="D840" i="13" s="1"/>
  <c r="B841" i="13"/>
  <c r="D841" i="13" s="1"/>
  <c r="B842" i="13"/>
  <c r="D842" i="13" s="1"/>
  <c r="B843" i="13"/>
  <c r="D843" i="13" s="1"/>
  <c r="B844" i="13"/>
  <c r="D844" i="13" s="1"/>
  <c r="B845" i="13"/>
  <c r="D845" i="13" s="1"/>
  <c r="B846" i="13"/>
  <c r="D846" i="13" s="1"/>
  <c r="B847" i="13"/>
  <c r="D847" i="13" s="1"/>
  <c r="B848" i="13"/>
  <c r="D848" i="13" s="1"/>
  <c r="B849" i="13"/>
  <c r="D849" i="13" s="1"/>
  <c r="B850" i="13"/>
  <c r="D850" i="13" s="1"/>
  <c r="B851" i="13"/>
  <c r="D851" i="13" s="1"/>
  <c r="B852" i="13"/>
  <c r="D852" i="13" s="1"/>
  <c r="B853" i="13"/>
  <c r="D853" i="13" s="1"/>
  <c r="B854" i="13"/>
  <c r="D854" i="13" s="1"/>
  <c r="B855" i="13"/>
  <c r="D855" i="13" s="1"/>
  <c r="B856" i="13"/>
  <c r="D856" i="13" s="1"/>
  <c r="B857" i="13"/>
  <c r="D857" i="13" s="1"/>
  <c r="B858" i="13"/>
  <c r="D858" i="13" s="1"/>
  <c r="B859" i="13"/>
  <c r="D859" i="13" s="1"/>
  <c r="B860" i="13"/>
  <c r="D860" i="13" s="1"/>
  <c r="B861" i="13"/>
  <c r="D861" i="13" s="1"/>
  <c r="B862" i="13"/>
  <c r="D862" i="13" s="1"/>
  <c r="B863" i="13"/>
  <c r="D863" i="13" s="1"/>
  <c r="B864" i="13"/>
  <c r="D864" i="13" s="1"/>
  <c r="B865" i="13"/>
  <c r="D865" i="13" s="1"/>
  <c r="B866" i="13"/>
  <c r="D866" i="13" s="1"/>
  <c r="B867" i="13"/>
  <c r="D867" i="13" s="1"/>
  <c r="B868" i="13"/>
  <c r="D868" i="13" s="1"/>
  <c r="B869" i="13"/>
  <c r="D869" i="13" s="1"/>
  <c r="B870" i="13"/>
  <c r="D870" i="13" s="1"/>
  <c r="B871" i="13"/>
  <c r="D871" i="13" s="1"/>
  <c r="B872" i="13"/>
  <c r="D872" i="13" s="1"/>
  <c r="B873" i="13"/>
  <c r="D873" i="13" s="1"/>
  <c r="B874" i="13"/>
  <c r="D874" i="13" s="1"/>
  <c r="B875" i="13"/>
  <c r="D875" i="13" s="1"/>
  <c r="B876" i="13"/>
  <c r="D876" i="13" s="1"/>
  <c r="B877" i="13"/>
  <c r="D877" i="13" s="1"/>
  <c r="B878" i="13"/>
  <c r="D878" i="13" s="1"/>
  <c r="B879" i="13"/>
  <c r="D879" i="13" s="1"/>
  <c r="B880" i="13"/>
  <c r="D880" i="13" s="1"/>
  <c r="B881" i="13"/>
  <c r="D881" i="13" s="1"/>
  <c r="B882" i="13"/>
  <c r="D882" i="13" s="1"/>
  <c r="B883" i="13"/>
  <c r="D883" i="13" s="1"/>
  <c r="B884" i="13"/>
  <c r="D884" i="13" s="1"/>
  <c r="B885" i="13"/>
  <c r="D885" i="13" s="1"/>
  <c r="B886" i="13"/>
  <c r="D886" i="13" s="1"/>
  <c r="B887" i="13"/>
  <c r="D887" i="13" s="1"/>
  <c r="B888" i="13"/>
  <c r="D888" i="13" s="1"/>
  <c r="B889" i="13"/>
  <c r="D889" i="13" s="1"/>
  <c r="B890" i="13"/>
  <c r="D890" i="13" s="1"/>
  <c r="B891" i="13"/>
  <c r="D891" i="13" s="1"/>
  <c r="B892" i="13"/>
  <c r="D892" i="13" s="1"/>
  <c r="B893" i="13"/>
  <c r="D893" i="13" s="1"/>
  <c r="B894" i="13"/>
  <c r="D894" i="13" s="1"/>
  <c r="B895" i="13"/>
  <c r="D895" i="13" s="1"/>
  <c r="B896" i="13"/>
  <c r="D896" i="13" s="1"/>
  <c r="B897" i="13"/>
  <c r="D897" i="13" s="1"/>
  <c r="B898" i="13"/>
  <c r="D898" i="13" s="1"/>
  <c r="B899" i="13"/>
  <c r="D899" i="13" s="1"/>
  <c r="B900" i="13"/>
  <c r="D900" i="13" s="1"/>
  <c r="B901" i="13"/>
  <c r="D901" i="13" s="1"/>
  <c r="B902" i="13"/>
  <c r="D902" i="13" s="1"/>
  <c r="B903" i="13"/>
  <c r="D903" i="13" s="1"/>
  <c r="B904" i="13"/>
  <c r="D904" i="13" s="1"/>
  <c r="B905" i="13"/>
  <c r="D905" i="13" s="1"/>
  <c r="B906" i="13"/>
  <c r="D906" i="13" s="1"/>
  <c r="B907" i="13"/>
  <c r="D907" i="13" s="1"/>
  <c r="B908" i="13"/>
  <c r="D908" i="13" s="1"/>
  <c r="B909" i="13"/>
  <c r="D909" i="13" s="1"/>
  <c r="B910" i="13"/>
  <c r="D910" i="13" s="1"/>
  <c r="B911" i="13"/>
  <c r="D911" i="13" s="1"/>
  <c r="B912" i="13"/>
  <c r="D912" i="13" s="1"/>
  <c r="B913" i="13"/>
  <c r="D913" i="13" s="1"/>
  <c r="B914" i="13"/>
  <c r="D914" i="13" s="1"/>
  <c r="B915" i="13"/>
  <c r="D915" i="13" s="1"/>
  <c r="B916" i="13"/>
  <c r="D916" i="13" s="1"/>
  <c r="B917" i="13"/>
  <c r="D917" i="13" s="1"/>
  <c r="B918" i="13"/>
  <c r="D918" i="13" s="1"/>
  <c r="B919" i="13"/>
  <c r="D919" i="13" s="1"/>
  <c r="B920" i="13"/>
  <c r="D920" i="13" s="1"/>
  <c r="B921" i="13"/>
  <c r="D921" i="13" s="1"/>
  <c r="B922" i="13"/>
  <c r="D922" i="13" s="1"/>
  <c r="B923" i="13"/>
  <c r="D923" i="13" s="1"/>
  <c r="B924" i="13"/>
  <c r="D924" i="13" s="1"/>
  <c r="B925" i="13"/>
  <c r="D925" i="13" s="1"/>
  <c r="B926" i="13"/>
  <c r="D926" i="13" s="1"/>
  <c r="B927" i="13"/>
  <c r="D927" i="13" s="1"/>
  <c r="B928" i="13"/>
  <c r="D928" i="13" s="1"/>
  <c r="B929" i="13"/>
  <c r="D929" i="13" s="1"/>
  <c r="B930" i="13"/>
  <c r="D930" i="13" s="1"/>
  <c r="B931" i="13"/>
  <c r="D931" i="13" s="1"/>
  <c r="B932" i="13"/>
  <c r="D932" i="13" s="1"/>
  <c r="B933" i="13"/>
  <c r="D933" i="13" s="1"/>
  <c r="B934" i="13"/>
  <c r="D934" i="13" s="1"/>
  <c r="B935" i="13"/>
  <c r="D935" i="13" s="1"/>
  <c r="B936" i="13"/>
  <c r="D936" i="13" s="1"/>
  <c r="B937" i="13"/>
  <c r="D937" i="13" s="1"/>
  <c r="B938" i="13"/>
  <c r="D938" i="13" s="1"/>
  <c r="B939" i="13"/>
  <c r="D939" i="13" s="1"/>
  <c r="B940" i="13"/>
  <c r="D940" i="13" s="1"/>
  <c r="B941" i="13"/>
  <c r="D941" i="13" s="1"/>
  <c r="B942" i="13"/>
  <c r="D942" i="13" s="1"/>
  <c r="B943" i="13"/>
  <c r="D943" i="13" s="1"/>
  <c r="B944" i="13"/>
  <c r="D944" i="13" s="1"/>
  <c r="B945" i="13"/>
  <c r="D945" i="13" s="1"/>
  <c r="B946" i="13"/>
  <c r="D946" i="13" s="1"/>
  <c r="B947" i="13"/>
  <c r="D947" i="13" s="1"/>
  <c r="B948" i="13"/>
  <c r="D948" i="13" s="1"/>
  <c r="B949" i="13"/>
  <c r="D949" i="13" s="1"/>
  <c r="B950" i="13"/>
  <c r="D950" i="13" s="1"/>
  <c r="B951" i="13"/>
  <c r="D951" i="13" s="1"/>
  <c r="B952" i="13"/>
  <c r="D952" i="13" s="1"/>
  <c r="B953" i="13"/>
  <c r="D953" i="13" s="1"/>
  <c r="B954" i="13"/>
  <c r="D954" i="13" s="1"/>
  <c r="B955" i="13"/>
  <c r="D955" i="13" s="1"/>
  <c r="B956" i="13"/>
  <c r="D956" i="13" s="1"/>
  <c r="B957" i="13"/>
  <c r="D957" i="13" s="1"/>
  <c r="B958" i="13"/>
  <c r="D958" i="13" s="1"/>
  <c r="B959" i="13"/>
  <c r="D959" i="13" s="1"/>
  <c r="B960" i="13"/>
  <c r="D960" i="13" s="1"/>
  <c r="B961" i="13"/>
  <c r="D961" i="13" s="1"/>
  <c r="B962" i="13"/>
  <c r="D962" i="13" s="1"/>
  <c r="B963" i="13"/>
  <c r="D963" i="13" s="1"/>
  <c r="B964" i="13"/>
  <c r="D964" i="13" s="1"/>
  <c r="B965" i="13"/>
  <c r="D965" i="13" s="1"/>
  <c r="B966" i="13"/>
  <c r="D966" i="13" s="1"/>
  <c r="B967" i="13"/>
  <c r="D967" i="13" s="1"/>
  <c r="B968" i="13"/>
  <c r="D968" i="13" s="1"/>
  <c r="B969" i="13"/>
  <c r="D969" i="13" s="1"/>
  <c r="B970" i="13"/>
  <c r="D970" i="13" s="1"/>
  <c r="B971" i="13"/>
  <c r="D971" i="13" s="1"/>
  <c r="B972" i="13"/>
  <c r="D972" i="13" s="1"/>
  <c r="B973" i="13"/>
  <c r="D973" i="13" s="1"/>
  <c r="B974" i="13"/>
  <c r="D974" i="13" s="1"/>
  <c r="B975" i="13"/>
  <c r="D975" i="13" s="1"/>
  <c r="B976" i="13"/>
  <c r="D976" i="13" s="1"/>
  <c r="B977" i="13"/>
  <c r="D977" i="13" s="1"/>
  <c r="B978" i="13"/>
  <c r="D978" i="13" s="1"/>
  <c r="B979" i="13"/>
  <c r="D979" i="13" s="1"/>
  <c r="B980" i="13"/>
  <c r="D980" i="13" s="1"/>
  <c r="B981" i="13"/>
  <c r="D981" i="13" s="1"/>
  <c r="B982" i="13"/>
  <c r="D982" i="13" s="1"/>
  <c r="B983" i="13"/>
  <c r="D983" i="13" s="1"/>
  <c r="B984" i="13"/>
  <c r="D984" i="13" s="1"/>
  <c r="B985" i="13"/>
  <c r="D985" i="13" s="1"/>
  <c r="B986" i="13"/>
  <c r="D986" i="13" s="1"/>
  <c r="B987" i="13"/>
  <c r="D987" i="13" s="1"/>
  <c r="B988" i="13"/>
  <c r="D988" i="13" s="1"/>
  <c r="B989" i="13"/>
  <c r="D989" i="13" s="1"/>
  <c r="B990" i="13"/>
  <c r="D990" i="13" s="1"/>
  <c r="B991" i="13"/>
  <c r="D991" i="13" s="1"/>
  <c r="B992" i="13"/>
  <c r="D992" i="13" s="1"/>
  <c r="B993" i="13"/>
  <c r="D993" i="13" s="1"/>
  <c r="B994" i="13"/>
  <c r="D994" i="13" s="1"/>
  <c r="B995" i="13"/>
  <c r="D995" i="13" s="1"/>
  <c r="B996" i="13"/>
  <c r="D996" i="13" s="1"/>
  <c r="B997" i="13"/>
  <c r="D997" i="13" s="1"/>
  <c r="B998" i="13"/>
  <c r="D998" i="13" s="1"/>
  <c r="B999" i="13"/>
  <c r="D999" i="13" s="1"/>
  <c r="B1000" i="13"/>
  <c r="D1000" i="13" s="1"/>
  <c r="B1001" i="13"/>
  <c r="D1001" i="13" s="1"/>
  <c r="B1002" i="13"/>
  <c r="D1002" i="13" s="1"/>
  <c r="B1003" i="13"/>
  <c r="D1003" i="13" s="1"/>
  <c r="B1004" i="13"/>
  <c r="D1004" i="13" s="1"/>
  <c r="B1005" i="13"/>
  <c r="D1005" i="13" s="1"/>
  <c r="B1006" i="13"/>
  <c r="D1006" i="13" s="1"/>
  <c r="B1007" i="13"/>
  <c r="D1007" i="13" s="1"/>
  <c r="B1008" i="13"/>
  <c r="D1008" i="13" s="1"/>
  <c r="B1009" i="13"/>
  <c r="D1009" i="13" s="1"/>
  <c r="B1010" i="13"/>
  <c r="D1010" i="13" s="1"/>
  <c r="B1011" i="13"/>
  <c r="D1011" i="13" s="1"/>
  <c r="B1012" i="13"/>
  <c r="D1012" i="13" s="1"/>
  <c r="B1013" i="13"/>
  <c r="D1013" i="13" s="1"/>
  <c r="B1014" i="13"/>
  <c r="D1014" i="13" s="1"/>
  <c r="B1015" i="13"/>
  <c r="D1015" i="13" s="1"/>
  <c r="B1016" i="13"/>
  <c r="D1016" i="13" s="1"/>
  <c r="B1017" i="13"/>
  <c r="D1017" i="13" s="1"/>
  <c r="B1018" i="13"/>
  <c r="D1018" i="13" s="1"/>
  <c r="B1019" i="13"/>
  <c r="D1019" i="13" s="1"/>
  <c r="B1020" i="13"/>
  <c r="D1020" i="13" s="1"/>
  <c r="B1021" i="13"/>
  <c r="D1021" i="13" s="1"/>
  <c r="B1022" i="13"/>
  <c r="D1022" i="13" s="1"/>
  <c r="B1023" i="13"/>
  <c r="D1023" i="13" s="1"/>
  <c r="B1024" i="13"/>
  <c r="D1024" i="13" s="1"/>
  <c r="B1025" i="13"/>
  <c r="D1025" i="13" s="1"/>
  <c r="B1026" i="13"/>
  <c r="D1026" i="13" s="1"/>
  <c r="B1027" i="13"/>
  <c r="D1027" i="13" s="1"/>
  <c r="B1028" i="13"/>
  <c r="D1028" i="13" s="1"/>
  <c r="B1029" i="13"/>
  <c r="D1029" i="13" s="1"/>
  <c r="B1030" i="13"/>
  <c r="D1030" i="13" s="1"/>
  <c r="B1031" i="13"/>
  <c r="D1031" i="13" s="1"/>
  <c r="B1032" i="13"/>
  <c r="D1032" i="13" s="1"/>
  <c r="B1033" i="13"/>
  <c r="D1033" i="13" s="1"/>
  <c r="B1034" i="13"/>
  <c r="D1034" i="13" s="1"/>
  <c r="B1035" i="13"/>
  <c r="D1035" i="13" s="1"/>
  <c r="B1036" i="13"/>
  <c r="D1036" i="13" s="1"/>
  <c r="B1037" i="13"/>
  <c r="D1037" i="13" s="1"/>
  <c r="B1038" i="13"/>
  <c r="D1038" i="13" s="1"/>
  <c r="B1039" i="13"/>
  <c r="D1039" i="13" s="1"/>
  <c r="B1040" i="13"/>
  <c r="D1040" i="13" s="1"/>
  <c r="B1041" i="13"/>
  <c r="D1041" i="13" s="1"/>
  <c r="B1042" i="13"/>
  <c r="D1042" i="13" s="1"/>
  <c r="B1043" i="13"/>
  <c r="D1043" i="13" s="1"/>
  <c r="B1044" i="13"/>
  <c r="D1044" i="13" s="1"/>
  <c r="B1045" i="13"/>
  <c r="D1045" i="13" s="1"/>
  <c r="B1046" i="13"/>
  <c r="D1046" i="13" s="1"/>
  <c r="B1047" i="13"/>
  <c r="D1047" i="13" s="1"/>
  <c r="B1048" i="13"/>
  <c r="D1048" i="13" s="1"/>
  <c r="B1049" i="13"/>
  <c r="D1049" i="13" s="1"/>
  <c r="B1050" i="13"/>
  <c r="D1050" i="13" s="1"/>
  <c r="B1051" i="13"/>
  <c r="D1051" i="13" s="1"/>
  <c r="B1052" i="13"/>
  <c r="D1052" i="13" s="1"/>
  <c r="B1053" i="13"/>
  <c r="D1053" i="13" s="1"/>
  <c r="B1054" i="13"/>
  <c r="D1054" i="13" s="1"/>
  <c r="B1055" i="13"/>
  <c r="D1055" i="13" s="1"/>
  <c r="B1056" i="13"/>
  <c r="D1056" i="13" s="1"/>
  <c r="B1057" i="13"/>
  <c r="D1057" i="13" s="1"/>
  <c r="B1058" i="13"/>
  <c r="D1058" i="13" s="1"/>
  <c r="B1059" i="13"/>
  <c r="D1059" i="13" s="1"/>
  <c r="B1060" i="13"/>
  <c r="D1060" i="13" s="1"/>
  <c r="B1061" i="13"/>
  <c r="D1061" i="13" s="1"/>
  <c r="B1062" i="13"/>
  <c r="D1062" i="13" s="1"/>
  <c r="B1063" i="13"/>
  <c r="D1063" i="13" s="1"/>
  <c r="B1064" i="13"/>
  <c r="D1064" i="13" s="1"/>
  <c r="B1065" i="13"/>
  <c r="D1065" i="13" s="1"/>
  <c r="B1066" i="13"/>
  <c r="D1066" i="13" s="1"/>
  <c r="B1067" i="13"/>
  <c r="D1067" i="13" s="1"/>
  <c r="B1068" i="13"/>
  <c r="D1068" i="13" s="1"/>
  <c r="B1069" i="13"/>
  <c r="D1069" i="13" s="1"/>
  <c r="B1070" i="13"/>
  <c r="D1070" i="13" s="1"/>
  <c r="B1071" i="13"/>
  <c r="D1071" i="13" s="1"/>
  <c r="B1072" i="13"/>
  <c r="D1072" i="13" s="1"/>
  <c r="B1073" i="13"/>
  <c r="D1073" i="13" s="1"/>
  <c r="B1074" i="13"/>
  <c r="D1074" i="13" s="1"/>
  <c r="B1075" i="13"/>
  <c r="D1075" i="13" s="1"/>
  <c r="B1076" i="13"/>
  <c r="D1076" i="13" s="1"/>
  <c r="B1077" i="13"/>
  <c r="D1077" i="13" s="1"/>
  <c r="B1078" i="13"/>
  <c r="D1078" i="13" s="1"/>
  <c r="B1079" i="13"/>
  <c r="D1079" i="13" s="1"/>
  <c r="B1080" i="13"/>
  <c r="D1080" i="13" s="1"/>
  <c r="B1081" i="13"/>
  <c r="D1081" i="13" s="1"/>
  <c r="B1082" i="13"/>
  <c r="D1082" i="13" s="1"/>
  <c r="B1083" i="13"/>
  <c r="D1083" i="13" s="1"/>
  <c r="B1084" i="13"/>
  <c r="D1084" i="13" s="1"/>
  <c r="B1085" i="13"/>
  <c r="D1085" i="13" s="1"/>
  <c r="B1086" i="13"/>
  <c r="D1086" i="13" s="1"/>
  <c r="B1087" i="13"/>
  <c r="D1087" i="13" s="1"/>
  <c r="B1088" i="13"/>
  <c r="D1088" i="13" s="1"/>
  <c r="B1089" i="13"/>
  <c r="D1089" i="13" s="1"/>
  <c r="B1090" i="13"/>
  <c r="D1090" i="13" s="1"/>
  <c r="B1091" i="13"/>
  <c r="D1091" i="13" s="1"/>
  <c r="B1092" i="13"/>
  <c r="D1092" i="13" s="1"/>
  <c r="B1093" i="13"/>
  <c r="D1093" i="13" s="1"/>
  <c r="B1094" i="13"/>
  <c r="D1094" i="13" s="1"/>
  <c r="B1095" i="13"/>
  <c r="D1095" i="13" s="1"/>
  <c r="B1096" i="13"/>
  <c r="D1096" i="13" s="1"/>
  <c r="B1097" i="13"/>
  <c r="D1097" i="13" s="1"/>
  <c r="B1098" i="13"/>
  <c r="D1098" i="13" s="1"/>
  <c r="B1099" i="13"/>
  <c r="D1099" i="13" s="1"/>
  <c r="B1100" i="13"/>
  <c r="D1100" i="13" s="1"/>
  <c r="B1101" i="13"/>
  <c r="D1101" i="13" s="1"/>
  <c r="B1102" i="13"/>
  <c r="D1102" i="13" s="1"/>
  <c r="B1103" i="13"/>
  <c r="D1103" i="13" s="1"/>
  <c r="B1104" i="13"/>
  <c r="D1104" i="13" s="1"/>
  <c r="B1105" i="13"/>
  <c r="D1105" i="13" s="1"/>
  <c r="B1106" i="13"/>
  <c r="D1106" i="13" s="1"/>
  <c r="B1107" i="13"/>
  <c r="D1107" i="13" s="1"/>
  <c r="B1108" i="13"/>
  <c r="D1108" i="13" s="1"/>
  <c r="B1109" i="13"/>
  <c r="D1109" i="13" s="1"/>
  <c r="B1110" i="13"/>
  <c r="D1110" i="13" s="1"/>
  <c r="B1111" i="13"/>
  <c r="D1111" i="13" s="1"/>
  <c r="B1112" i="13"/>
  <c r="D1112" i="13" s="1"/>
  <c r="B1113" i="13"/>
  <c r="D1113" i="13" s="1"/>
  <c r="B1114" i="13"/>
  <c r="D1114" i="13" s="1"/>
  <c r="B1115" i="13"/>
  <c r="D1115" i="13" s="1"/>
  <c r="B1116" i="13"/>
  <c r="D1116" i="13" s="1"/>
  <c r="B1117" i="13"/>
  <c r="D1117" i="13" s="1"/>
  <c r="B1118" i="13"/>
  <c r="D1118" i="13" s="1"/>
  <c r="B1119" i="13"/>
  <c r="D1119" i="13" s="1"/>
  <c r="B1120" i="13"/>
  <c r="D1120" i="13" s="1"/>
  <c r="B1121" i="13"/>
  <c r="D1121" i="13" s="1"/>
  <c r="B1122" i="13"/>
  <c r="D1122" i="13" s="1"/>
  <c r="B1123" i="13"/>
  <c r="D1123" i="13" s="1"/>
  <c r="B1124" i="13"/>
  <c r="D1124" i="13" s="1"/>
  <c r="B1125" i="13"/>
  <c r="D1125" i="13" s="1"/>
  <c r="B1126" i="13"/>
  <c r="D1126" i="13" s="1"/>
  <c r="B1127" i="13"/>
  <c r="D1127" i="13" s="1"/>
  <c r="B1128" i="13"/>
  <c r="D1128" i="13" s="1"/>
  <c r="B1129" i="13"/>
  <c r="D1129" i="13" s="1"/>
  <c r="B1130" i="13"/>
  <c r="D1130" i="13" s="1"/>
  <c r="B1131" i="13"/>
  <c r="D1131" i="13" s="1"/>
  <c r="B1132" i="13"/>
  <c r="D1132" i="13" s="1"/>
  <c r="B1133" i="13"/>
  <c r="D1133" i="13" s="1"/>
  <c r="B1134" i="13"/>
  <c r="D1134" i="13" s="1"/>
  <c r="B1135" i="13"/>
  <c r="D1135" i="13" s="1"/>
  <c r="B1136" i="13"/>
  <c r="D1136" i="13" s="1"/>
  <c r="B1137" i="13"/>
  <c r="D1137" i="13" s="1"/>
  <c r="B1138" i="13"/>
  <c r="D1138" i="13" s="1"/>
  <c r="B1139" i="13"/>
  <c r="D1139" i="13" s="1"/>
  <c r="B1140" i="13"/>
  <c r="D1140" i="13" s="1"/>
  <c r="B1141" i="13"/>
  <c r="D1141" i="13" s="1"/>
  <c r="B1142" i="13"/>
  <c r="D1142" i="13" s="1"/>
  <c r="B1143" i="13"/>
  <c r="D1143" i="13" s="1"/>
  <c r="B1144" i="13"/>
  <c r="D1144" i="13" s="1"/>
  <c r="B1145" i="13"/>
  <c r="D1145" i="13" s="1"/>
  <c r="B1146" i="13"/>
  <c r="D1146" i="13" s="1"/>
  <c r="B1147" i="13"/>
  <c r="D1147" i="13" s="1"/>
  <c r="B1148" i="13"/>
  <c r="D1148" i="13" s="1"/>
  <c r="B1149" i="13"/>
  <c r="D1149" i="13" s="1"/>
  <c r="B1150" i="13"/>
  <c r="D1150" i="13" s="1"/>
  <c r="B1151" i="13"/>
  <c r="D1151" i="13" s="1"/>
  <c r="B1152" i="13"/>
  <c r="D1152" i="13" s="1"/>
  <c r="B1153" i="13"/>
  <c r="D1153" i="13" s="1"/>
  <c r="B1154" i="13"/>
  <c r="D1154" i="13" s="1"/>
  <c r="B1155" i="13"/>
  <c r="D1155" i="13" s="1"/>
  <c r="B1156" i="13"/>
  <c r="D1156" i="13" s="1"/>
  <c r="B1157" i="13"/>
  <c r="D1157" i="13" s="1"/>
  <c r="B1158" i="13"/>
  <c r="D1158" i="13" s="1"/>
  <c r="B1159" i="13"/>
  <c r="D1159" i="13" s="1"/>
  <c r="B1160" i="13"/>
  <c r="D1160" i="13" s="1"/>
  <c r="B1161" i="13"/>
  <c r="D1161" i="13" s="1"/>
  <c r="B1162" i="13"/>
  <c r="D1162" i="13" s="1"/>
  <c r="B1163" i="13"/>
  <c r="D1163" i="13" s="1"/>
  <c r="B1164" i="13"/>
  <c r="D1164" i="13" s="1"/>
  <c r="B1165" i="13"/>
  <c r="D1165" i="13" s="1"/>
  <c r="B1166" i="13"/>
  <c r="D1166" i="13" s="1"/>
  <c r="B1167" i="13"/>
  <c r="D1167" i="13" s="1"/>
  <c r="B1168" i="13"/>
  <c r="D1168" i="13" s="1"/>
  <c r="B1169" i="13"/>
  <c r="D1169" i="13" s="1"/>
  <c r="B1170" i="13"/>
  <c r="D1170" i="13" s="1"/>
  <c r="B1171" i="13"/>
  <c r="D1171" i="13" s="1"/>
  <c r="B1172" i="13"/>
  <c r="D1172" i="13" s="1"/>
  <c r="B1173" i="13"/>
  <c r="D1173" i="13" s="1"/>
  <c r="B1174" i="13"/>
  <c r="D1174" i="13" s="1"/>
  <c r="B1175" i="13"/>
  <c r="D1175" i="13" s="1"/>
  <c r="B1176" i="13"/>
  <c r="D1176" i="13" s="1"/>
  <c r="B1177" i="13"/>
  <c r="D1177" i="13" s="1"/>
  <c r="B1178" i="13"/>
  <c r="D1178" i="13" s="1"/>
  <c r="B1179" i="13"/>
  <c r="D1179" i="13" s="1"/>
  <c r="B1180" i="13"/>
  <c r="D1180" i="13" s="1"/>
  <c r="B1181" i="13"/>
  <c r="D1181" i="13" s="1"/>
  <c r="B1182" i="13"/>
  <c r="D1182" i="13" s="1"/>
  <c r="B1183" i="13"/>
  <c r="D1183" i="13" s="1"/>
  <c r="B1184" i="13"/>
  <c r="D1184" i="13" s="1"/>
  <c r="B1185" i="13"/>
  <c r="D1185" i="13" s="1"/>
  <c r="B1186" i="13"/>
  <c r="D1186" i="13" s="1"/>
  <c r="B1187" i="13"/>
  <c r="D1187" i="13" s="1"/>
  <c r="B1188" i="13"/>
  <c r="D1188" i="13" s="1"/>
  <c r="B1189" i="13"/>
  <c r="D1189" i="13" s="1"/>
  <c r="B1190" i="13"/>
  <c r="D1190" i="13" s="1"/>
  <c r="B1191" i="13"/>
  <c r="D1191" i="13" s="1"/>
  <c r="B1192" i="13"/>
  <c r="D1192" i="13" s="1"/>
  <c r="B1193" i="13"/>
  <c r="D1193" i="13" s="1"/>
  <c r="B1194" i="13"/>
  <c r="D1194" i="13" s="1"/>
  <c r="B1195" i="13"/>
  <c r="D1195" i="13" s="1"/>
  <c r="B1196" i="13"/>
  <c r="D1196" i="13" s="1"/>
  <c r="B1197" i="13"/>
  <c r="D1197" i="13" s="1"/>
  <c r="B1198" i="13"/>
  <c r="D1198" i="13" s="1"/>
  <c r="B1199" i="13"/>
  <c r="D1199" i="13" s="1"/>
  <c r="B1200" i="13"/>
  <c r="D1200" i="13" s="1"/>
  <c r="B1201" i="13"/>
  <c r="D1201" i="13" s="1"/>
  <c r="B1202" i="13"/>
  <c r="D1202" i="13" s="1"/>
  <c r="B1203" i="13"/>
  <c r="D1203" i="13" s="1"/>
  <c r="B1204" i="13"/>
  <c r="D1204" i="13" s="1"/>
  <c r="B1205" i="13"/>
  <c r="D1205" i="13" s="1"/>
  <c r="B1206" i="13"/>
  <c r="D1206" i="13" s="1"/>
  <c r="B1207" i="13"/>
  <c r="D1207" i="13" s="1"/>
  <c r="B1208" i="13"/>
  <c r="D1208" i="13" s="1"/>
  <c r="B1209" i="13"/>
  <c r="D1209" i="13" s="1"/>
  <c r="B1210" i="13"/>
  <c r="D1210" i="13" s="1"/>
  <c r="B1211" i="13"/>
  <c r="D1211" i="13" s="1"/>
  <c r="B1212" i="13"/>
  <c r="D1212" i="13" s="1"/>
  <c r="B1213" i="13"/>
  <c r="D1213" i="13" s="1"/>
  <c r="B1214" i="13"/>
  <c r="D1214" i="13" s="1"/>
  <c r="B1215" i="13"/>
  <c r="D1215" i="13" s="1"/>
  <c r="B1216" i="13"/>
  <c r="D1216" i="13" s="1"/>
  <c r="B1217" i="13"/>
  <c r="D1217" i="13" s="1"/>
  <c r="B1218" i="13"/>
  <c r="D1218" i="13" s="1"/>
  <c r="B1219" i="13"/>
  <c r="D1219" i="13" s="1"/>
  <c r="B1220" i="13"/>
  <c r="D1220" i="13" s="1"/>
  <c r="B1221" i="13"/>
  <c r="D1221" i="13" s="1"/>
  <c r="B1222" i="13"/>
  <c r="D1222" i="13" s="1"/>
  <c r="B1223" i="13"/>
  <c r="D1223" i="13" s="1"/>
  <c r="B1224" i="13"/>
  <c r="D1224" i="13" s="1"/>
  <c r="B1225" i="13"/>
  <c r="D1225" i="13" s="1"/>
  <c r="B1226" i="13"/>
  <c r="D1226" i="13" s="1"/>
  <c r="B1227" i="13"/>
  <c r="D1227" i="13" s="1"/>
  <c r="B1228" i="13"/>
  <c r="D1228" i="13" s="1"/>
  <c r="B1229" i="13"/>
  <c r="D1229" i="13" s="1"/>
  <c r="B1230" i="13"/>
  <c r="D1230" i="13" s="1"/>
  <c r="B1231" i="13"/>
  <c r="D1231" i="13" s="1"/>
  <c r="B1232" i="13"/>
  <c r="D1232" i="13" s="1"/>
  <c r="B1233" i="13"/>
  <c r="D1233" i="13" s="1"/>
  <c r="B1234" i="13"/>
  <c r="D1234" i="13" s="1"/>
  <c r="B1235" i="13"/>
  <c r="D1235" i="13" s="1"/>
  <c r="B1236" i="13"/>
  <c r="D1236" i="13" s="1"/>
  <c r="B1237" i="13"/>
  <c r="D1237" i="13" s="1"/>
  <c r="B1238" i="13"/>
  <c r="D1238" i="13" s="1"/>
  <c r="B1239" i="13"/>
  <c r="D1239" i="13" s="1"/>
  <c r="B1240" i="13"/>
  <c r="D1240" i="13" s="1"/>
  <c r="B1241" i="13"/>
  <c r="D1241" i="13" s="1"/>
  <c r="B1242" i="13"/>
  <c r="D1242" i="13" s="1"/>
  <c r="B1243" i="13"/>
  <c r="D1243" i="13" s="1"/>
  <c r="B1244" i="13"/>
  <c r="D1244" i="13" s="1"/>
  <c r="B1245" i="13"/>
  <c r="D1245" i="13" s="1"/>
  <c r="B1246" i="13"/>
  <c r="D1246" i="13" s="1"/>
  <c r="B1247" i="13"/>
  <c r="D1247" i="13" s="1"/>
  <c r="B1248" i="13"/>
  <c r="D1248" i="13" s="1"/>
  <c r="B1249" i="13"/>
  <c r="D1249" i="13" s="1"/>
  <c r="B1250" i="13"/>
  <c r="D1250" i="13" s="1"/>
  <c r="B1251" i="13"/>
  <c r="D1251" i="13" s="1"/>
  <c r="B1252" i="13"/>
  <c r="D1252" i="13" s="1"/>
  <c r="B1253" i="13"/>
  <c r="D1253" i="13" s="1"/>
  <c r="B1254" i="13"/>
  <c r="D1254" i="13" s="1"/>
  <c r="B1255" i="13"/>
  <c r="D1255" i="13" s="1"/>
  <c r="B1256" i="13"/>
  <c r="D1256" i="13" s="1"/>
  <c r="B1257" i="13"/>
  <c r="D1257" i="13" s="1"/>
  <c r="B1258" i="13"/>
  <c r="D1258" i="13" s="1"/>
  <c r="B1259" i="13"/>
  <c r="D1259" i="13" s="1"/>
  <c r="B1260" i="13"/>
  <c r="D1260" i="13" s="1"/>
  <c r="B1261" i="13"/>
  <c r="D1261" i="13" s="1"/>
  <c r="B1262" i="13"/>
  <c r="D1262" i="13" s="1"/>
  <c r="B1263" i="13"/>
  <c r="D1263" i="13" s="1"/>
  <c r="B1264" i="13"/>
  <c r="D1264" i="13" s="1"/>
  <c r="B1265" i="13"/>
  <c r="D1265" i="13" s="1"/>
  <c r="B1266" i="13"/>
  <c r="D1266" i="13" s="1"/>
  <c r="B1267" i="13"/>
  <c r="D1267" i="13" s="1"/>
  <c r="B1268" i="13"/>
  <c r="D1268" i="13" s="1"/>
  <c r="B1269" i="13"/>
  <c r="D1269" i="13" s="1"/>
  <c r="B1270" i="13"/>
  <c r="D1270" i="13" s="1"/>
  <c r="B1271" i="13"/>
  <c r="D1271" i="13" s="1"/>
  <c r="B1272" i="13"/>
  <c r="D1272" i="13" s="1"/>
  <c r="B1273" i="13"/>
  <c r="D1273" i="13" s="1"/>
  <c r="B1274" i="13"/>
  <c r="D1274" i="13" s="1"/>
  <c r="B1275" i="13"/>
  <c r="D1275" i="13" s="1"/>
  <c r="B1276" i="13"/>
  <c r="D1276" i="13" s="1"/>
  <c r="B1277" i="13"/>
  <c r="D1277" i="13" s="1"/>
  <c r="B1278" i="13"/>
  <c r="D1278" i="13" s="1"/>
  <c r="B1279" i="13"/>
  <c r="D1279" i="13" s="1"/>
  <c r="B1280" i="13"/>
  <c r="D1280" i="13" s="1"/>
  <c r="B1281" i="13"/>
  <c r="D1281" i="13" s="1"/>
  <c r="B1282" i="13"/>
  <c r="D1282" i="13" s="1"/>
  <c r="B1283" i="13"/>
  <c r="D1283" i="13" s="1"/>
  <c r="B1284" i="13"/>
  <c r="D1284" i="13" s="1"/>
  <c r="B1285" i="13"/>
  <c r="D1285" i="13" s="1"/>
  <c r="B1286" i="13"/>
  <c r="D1286" i="13" s="1"/>
  <c r="B1287" i="13"/>
  <c r="D1287" i="13" s="1"/>
  <c r="B1288" i="13"/>
  <c r="D1288" i="13" s="1"/>
  <c r="B1289" i="13"/>
  <c r="D1289" i="13" s="1"/>
  <c r="B1290" i="13"/>
  <c r="D1290" i="13" s="1"/>
  <c r="B1291" i="13"/>
  <c r="D1291" i="13" s="1"/>
  <c r="B1292" i="13"/>
  <c r="D1292" i="13" s="1"/>
  <c r="B1293" i="13"/>
  <c r="D1293" i="13" s="1"/>
  <c r="B1294" i="13"/>
  <c r="D1294" i="13" s="1"/>
  <c r="B1295" i="13"/>
  <c r="D1295" i="13" s="1"/>
  <c r="B1296" i="13"/>
  <c r="D1296" i="13" s="1"/>
  <c r="B1297" i="13"/>
  <c r="D1297" i="13" s="1"/>
  <c r="B1298" i="13"/>
  <c r="D1298" i="13" s="1"/>
  <c r="B1299" i="13"/>
  <c r="D1299" i="13" s="1"/>
  <c r="B1300" i="13"/>
  <c r="D1300" i="13" s="1"/>
  <c r="B1301" i="13"/>
  <c r="D1301" i="13" s="1"/>
  <c r="B1302" i="13"/>
  <c r="D1302" i="13" s="1"/>
  <c r="B1303" i="13"/>
  <c r="D1303" i="13" s="1"/>
  <c r="B1304" i="13"/>
  <c r="D1304" i="13" s="1"/>
  <c r="B1305" i="13"/>
  <c r="D1305" i="13" s="1"/>
  <c r="B1306" i="13"/>
  <c r="D1306" i="13" s="1"/>
  <c r="B1307" i="13"/>
  <c r="D1307" i="13" s="1"/>
  <c r="B1308" i="13"/>
  <c r="D1308" i="13" s="1"/>
  <c r="B1309" i="13"/>
  <c r="D1309" i="13" s="1"/>
  <c r="B1310" i="13"/>
  <c r="D1310" i="13" s="1"/>
  <c r="B1311" i="13"/>
  <c r="D1311" i="13" s="1"/>
  <c r="B1312" i="13"/>
  <c r="D1312" i="13" s="1"/>
  <c r="B1313" i="13"/>
  <c r="D1313" i="13" s="1"/>
  <c r="B1314" i="13"/>
  <c r="D1314" i="13" s="1"/>
  <c r="B1315" i="13"/>
  <c r="D1315" i="13" s="1"/>
  <c r="B1316" i="13"/>
  <c r="D1316" i="13" s="1"/>
  <c r="B1317" i="13"/>
  <c r="D1317" i="13" s="1"/>
  <c r="B1318" i="13"/>
  <c r="D1318" i="13" s="1"/>
  <c r="B1319" i="13"/>
  <c r="D1319" i="13" s="1"/>
  <c r="B1320" i="13"/>
  <c r="D1320" i="13" s="1"/>
  <c r="B1321" i="13"/>
  <c r="D1321" i="13" s="1"/>
  <c r="B1322" i="13"/>
  <c r="D1322" i="13" s="1"/>
  <c r="B1323" i="13"/>
  <c r="D1323" i="13" s="1"/>
  <c r="B1324" i="13"/>
  <c r="D1324" i="13" s="1"/>
  <c r="B1325" i="13"/>
  <c r="D1325" i="13" s="1"/>
  <c r="B1326" i="13"/>
  <c r="D1326" i="13" s="1"/>
  <c r="B1327" i="13"/>
  <c r="D1327" i="13" s="1"/>
  <c r="B1328" i="13"/>
  <c r="D1328" i="13" s="1"/>
  <c r="B1329" i="13"/>
  <c r="D1329" i="13" s="1"/>
  <c r="B1330" i="13"/>
  <c r="D1330" i="13" s="1"/>
  <c r="B1331" i="13"/>
  <c r="D1331" i="13" s="1"/>
  <c r="B1332" i="13"/>
  <c r="D1332" i="13" s="1"/>
  <c r="B1333" i="13"/>
  <c r="D1333" i="13" s="1"/>
  <c r="B1334" i="13"/>
  <c r="D1334" i="13" s="1"/>
  <c r="B1335" i="13"/>
  <c r="D1335" i="13" s="1"/>
  <c r="B1336" i="13"/>
  <c r="D1336" i="13" s="1"/>
  <c r="B1337" i="13"/>
  <c r="D1337" i="13" s="1"/>
  <c r="B1338" i="13"/>
  <c r="D1338" i="13" s="1"/>
  <c r="B1339" i="13"/>
  <c r="D1339" i="13" s="1"/>
  <c r="B1340" i="13"/>
  <c r="D1340" i="13" s="1"/>
  <c r="B1341" i="13"/>
  <c r="D1341" i="13" s="1"/>
  <c r="B1342" i="13"/>
  <c r="D1342" i="13" s="1"/>
  <c r="B1343" i="13"/>
  <c r="D1343" i="13" s="1"/>
  <c r="B1344" i="13"/>
  <c r="D1344" i="13" s="1"/>
  <c r="B1345" i="13"/>
  <c r="D1345" i="13" s="1"/>
  <c r="B1346" i="13"/>
  <c r="D1346" i="13" s="1"/>
  <c r="B1347" i="13"/>
  <c r="D1347" i="13" s="1"/>
  <c r="B1348" i="13"/>
  <c r="D1348" i="13" s="1"/>
  <c r="B1349" i="13"/>
  <c r="D1349" i="13" s="1"/>
  <c r="B1350" i="13"/>
  <c r="D1350" i="13" s="1"/>
  <c r="B1351" i="13"/>
  <c r="D1351" i="13" s="1"/>
  <c r="B1352" i="13"/>
  <c r="D1352" i="13" s="1"/>
  <c r="B1353" i="13"/>
  <c r="D1353" i="13" s="1"/>
  <c r="B1354" i="13"/>
  <c r="D1354" i="13" s="1"/>
  <c r="B1355" i="13"/>
  <c r="D1355" i="13" s="1"/>
  <c r="B1356" i="13"/>
  <c r="D1356" i="13" s="1"/>
  <c r="B1357" i="13"/>
  <c r="D1357" i="13" s="1"/>
  <c r="B1358" i="13"/>
  <c r="D1358" i="13" s="1"/>
  <c r="B1359" i="13"/>
  <c r="D1359" i="13" s="1"/>
  <c r="B1360" i="13"/>
  <c r="D1360" i="13" s="1"/>
  <c r="B1361" i="13"/>
  <c r="D1361" i="13" s="1"/>
  <c r="B1362" i="13"/>
  <c r="D1362" i="13" s="1"/>
  <c r="B1363" i="13"/>
  <c r="D1363" i="13" s="1"/>
  <c r="B1364" i="13"/>
  <c r="D1364" i="13" s="1"/>
  <c r="B1365" i="13"/>
  <c r="D1365" i="13" s="1"/>
  <c r="B1366" i="13"/>
  <c r="D1366" i="13" s="1"/>
  <c r="B1367" i="13"/>
  <c r="D1367" i="13" s="1"/>
  <c r="B1368" i="13"/>
  <c r="D1368" i="13" s="1"/>
  <c r="B1369" i="13"/>
  <c r="D1369" i="13" s="1"/>
  <c r="B1370" i="13"/>
  <c r="D1370" i="13" s="1"/>
  <c r="B1371" i="13"/>
  <c r="D1371" i="13" s="1"/>
  <c r="B1372" i="13"/>
  <c r="D1372" i="13" s="1"/>
  <c r="B1373" i="13"/>
  <c r="D1373" i="13" s="1"/>
  <c r="B1374" i="13"/>
  <c r="D1374" i="13" s="1"/>
  <c r="B1375" i="13"/>
  <c r="D1375" i="13" s="1"/>
  <c r="B1376" i="13"/>
  <c r="D1376" i="13" s="1"/>
  <c r="B1377" i="13"/>
  <c r="D1377" i="13" s="1"/>
  <c r="B1378" i="13"/>
  <c r="D1378" i="13" s="1"/>
  <c r="B1379" i="13"/>
  <c r="D1379" i="13" s="1"/>
  <c r="B1380" i="13"/>
  <c r="D1380" i="13" s="1"/>
  <c r="B1381" i="13"/>
  <c r="D1381" i="13" s="1"/>
  <c r="B1382" i="13"/>
  <c r="D1382" i="13" s="1"/>
  <c r="B1383" i="13"/>
  <c r="D1383" i="13" s="1"/>
  <c r="B1384" i="13"/>
  <c r="D1384" i="13" s="1"/>
  <c r="B1385" i="13"/>
  <c r="D1385" i="13" s="1"/>
  <c r="B1386" i="13"/>
  <c r="D1386" i="13" s="1"/>
  <c r="B1387" i="13"/>
  <c r="D1387" i="13" s="1"/>
  <c r="B1388" i="13"/>
  <c r="D1388" i="13" s="1"/>
  <c r="B1389" i="13"/>
  <c r="D1389" i="13" s="1"/>
  <c r="B1390" i="13"/>
  <c r="D1390" i="13" s="1"/>
  <c r="B1391" i="13"/>
  <c r="D1391" i="13" s="1"/>
  <c r="B1392" i="13"/>
  <c r="D1392" i="13" s="1"/>
  <c r="B1393" i="13"/>
  <c r="D1393" i="13" s="1"/>
  <c r="B1394" i="13"/>
  <c r="D1394" i="13" s="1"/>
  <c r="B1395" i="13"/>
  <c r="D1395" i="13" s="1"/>
  <c r="B1396" i="13"/>
  <c r="D1396" i="13" s="1"/>
  <c r="B1397" i="13"/>
  <c r="D1397" i="13" s="1"/>
  <c r="B1398" i="13"/>
  <c r="D1398" i="13" s="1"/>
  <c r="B1399" i="13"/>
  <c r="D1399" i="13" s="1"/>
  <c r="B1400" i="13"/>
  <c r="D1400" i="13" s="1"/>
  <c r="B1401" i="13"/>
  <c r="D1401" i="13" s="1"/>
  <c r="B1402" i="13"/>
  <c r="D1402" i="13" s="1"/>
  <c r="B1403" i="13"/>
  <c r="D1403" i="13" s="1"/>
  <c r="B1404" i="13"/>
  <c r="D1404" i="13" s="1"/>
  <c r="B1405" i="13"/>
  <c r="D1405" i="13" s="1"/>
  <c r="B1406" i="13"/>
  <c r="D1406" i="13" s="1"/>
  <c r="B1407" i="13"/>
  <c r="D1407" i="13" s="1"/>
  <c r="B1408" i="13"/>
  <c r="D1408" i="13" s="1"/>
  <c r="B1409" i="13"/>
  <c r="D1409" i="13" s="1"/>
  <c r="B1410" i="13"/>
  <c r="D1410" i="13" s="1"/>
  <c r="B1411" i="13"/>
  <c r="D1411" i="13" s="1"/>
  <c r="B1412" i="13"/>
  <c r="D1412" i="13" s="1"/>
  <c r="B1413" i="13"/>
  <c r="D1413" i="13" s="1"/>
  <c r="B1414" i="13"/>
  <c r="D1414" i="13" s="1"/>
  <c r="B1415" i="13"/>
  <c r="D1415" i="13" s="1"/>
  <c r="B1416" i="13"/>
  <c r="D1416" i="13" s="1"/>
  <c r="B1417" i="13"/>
  <c r="D1417" i="13" s="1"/>
  <c r="B1418" i="13"/>
  <c r="D1418" i="13" s="1"/>
  <c r="B1419" i="13"/>
  <c r="D1419" i="13" s="1"/>
  <c r="B1420" i="13"/>
  <c r="D1420" i="13" s="1"/>
  <c r="B1421" i="13"/>
  <c r="D1421" i="13" s="1"/>
  <c r="B1422" i="13"/>
  <c r="D1422" i="13" s="1"/>
  <c r="B1423" i="13"/>
  <c r="D1423" i="13" s="1"/>
  <c r="B1424" i="13"/>
  <c r="D1424" i="13" s="1"/>
  <c r="B1425" i="13"/>
  <c r="D1425" i="13" s="1"/>
  <c r="B1426" i="13"/>
  <c r="D1426" i="13" s="1"/>
  <c r="B1427" i="13"/>
  <c r="D1427" i="13" s="1"/>
  <c r="B1428" i="13"/>
  <c r="D1428" i="13" s="1"/>
  <c r="B1429" i="13"/>
  <c r="D1429" i="13" s="1"/>
  <c r="B1430" i="13"/>
  <c r="D1430" i="13" s="1"/>
  <c r="B1431" i="13"/>
  <c r="D1431" i="13" s="1"/>
  <c r="B1432" i="13"/>
  <c r="D1432" i="13" s="1"/>
  <c r="B1433" i="13"/>
  <c r="D1433" i="13" s="1"/>
  <c r="B1434" i="13"/>
  <c r="D1434" i="13" s="1"/>
  <c r="B1435" i="13"/>
  <c r="D1435" i="13" s="1"/>
  <c r="B1436" i="13"/>
  <c r="D1436" i="13" s="1"/>
  <c r="B1437" i="13"/>
  <c r="D1437" i="13" s="1"/>
  <c r="B1438" i="13"/>
  <c r="D1438" i="13" s="1"/>
  <c r="B1439" i="13"/>
  <c r="D1439" i="13" s="1"/>
  <c r="B1440" i="13"/>
  <c r="D1440" i="13" s="1"/>
  <c r="B1441" i="13"/>
  <c r="D1441" i="13" s="1"/>
  <c r="B1442" i="13"/>
  <c r="D1442" i="13" s="1"/>
  <c r="B1443" i="13"/>
  <c r="D1443" i="13" s="1"/>
  <c r="B1444" i="13"/>
  <c r="D1444" i="13" s="1"/>
  <c r="B1445" i="13"/>
  <c r="D1445" i="13" s="1"/>
  <c r="B1446" i="13"/>
  <c r="D1446" i="13" s="1"/>
  <c r="B1447" i="13"/>
  <c r="D1447" i="13" s="1"/>
  <c r="B1448" i="13"/>
  <c r="D1448" i="13" s="1"/>
  <c r="B1449" i="13"/>
  <c r="D1449" i="13" s="1"/>
  <c r="B1450" i="13"/>
  <c r="D1450" i="13" s="1"/>
  <c r="B1451" i="13"/>
  <c r="D1451" i="13" s="1"/>
  <c r="B1452" i="13"/>
  <c r="D1452" i="13" s="1"/>
  <c r="B1453" i="13"/>
  <c r="D1453" i="13" s="1"/>
  <c r="B1454" i="13"/>
  <c r="D1454" i="13" s="1"/>
  <c r="B1455" i="13"/>
  <c r="D1455" i="13" s="1"/>
  <c r="B1456" i="13"/>
  <c r="D1456" i="13" s="1"/>
  <c r="B1457" i="13"/>
  <c r="D1457" i="13" s="1"/>
  <c r="B1458" i="13"/>
  <c r="D1458" i="13" s="1"/>
  <c r="B1459" i="13"/>
  <c r="D1459" i="13" s="1"/>
  <c r="B1460" i="13"/>
  <c r="D1460" i="13" s="1"/>
  <c r="B1461" i="13"/>
  <c r="D1461" i="13" s="1"/>
  <c r="B1462" i="13"/>
  <c r="D1462" i="13" s="1"/>
  <c r="B1463" i="13"/>
  <c r="D1463" i="13" s="1"/>
  <c r="B1464" i="13"/>
  <c r="D1464" i="13" s="1"/>
  <c r="B1465" i="13"/>
  <c r="D1465" i="13" s="1"/>
  <c r="B1466" i="13"/>
  <c r="D1466" i="13" s="1"/>
  <c r="B1467" i="13"/>
  <c r="D1467" i="13" s="1"/>
  <c r="B1468" i="13"/>
  <c r="D1468" i="13" s="1"/>
  <c r="B1469" i="13"/>
  <c r="D1469" i="13" s="1"/>
  <c r="B1470" i="13"/>
  <c r="D1470" i="13" s="1"/>
  <c r="B1471" i="13"/>
  <c r="D1471" i="13" s="1"/>
  <c r="B1472" i="13"/>
  <c r="D1472" i="13" s="1"/>
  <c r="B1473" i="13"/>
  <c r="D1473" i="13" s="1"/>
  <c r="B1474" i="13"/>
  <c r="D1474" i="13" s="1"/>
  <c r="B1475" i="13"/>
  <c r="D1475" i="13" s="1"/>
  <c r="B1476" i="13"/>
  <c r="D1476" i="13" s="1"/>
  <c r="B1477" i="13"/>
  <c r="D1477" i="13" s="1"/>
  <c r="B1478" i="13"/>
  <c r="D1478" i="13" s="1"/>
  <c r="B1479" i="13"/>
  <c r="D1479" i="13" s="1"/>
  <c r="B1480" i="13"/>
  <c r="D1480" i="13" s="1"/>
  <c r="B1481" i="13"/>
  <c r="D1481" i="13" s="1"/>
  <c r="B1482" i="13"/>
  <c r="D1482" i="13" s="1"/>
  <c r="B1483" i="13"/>
  <c r="D1483" i="13" s="1"/>
  <c r="B1484" i="13"/>
  <c r="D1484" i="13" s="1"/>
  <c r="B1485" i="13"/>
  <c r="D1485" i="13" s="1"/>
  <c r="B1486" i="13"/>
  <c r="D1486" i="13" s="1"/>
  <c r="B1487" i="13"/>
  <c r="D1487" i="13" s="1"/>
  <c r="B1488" i="13"/>
  <c r="D1488" i="13" s="1"/>
  <c r="B1489" i="13"/>
  <c r="D1489" i="13" s="1"/>
  <c r="B1490" i="13"/>
  <c r="D1490" i="13" s="1"/>
  <c r="B1491" i="13"/>
  <c r="D1491" i="13" s="1"/>
  <c r="B1492" i="13"/>
  <c r="D1492" i="13" s="1"/>
  <c r="B1493" i="13"/>
  <c r="D1493" i="13" s="1"/>
  <c r="B1494" i="13"/>
  <c r="D1494" i="13" s="1"/>
  <c r="B1495" i="13"/>
  <c r="D1495" i="13" s="1"/>
  <c r="B1496" i="13"/>
  <c r="D1496" i="13" s="1"/>
  <c r="B1497" i="13"/>
  <c r="D1497" i="13" s="1"/>
  <c r="B1498" i="13"/>
  <c r="D1498" i="13" s="1"/>
  <c r="B1499" i="13"/>
  <c r="D1499" i="13" s="1"/>
  <c r="B1500" i="13"/>
  <c r="D1500" i="13" s="1"/>
  <c r="B1501" i="13"/>
  <c r="D1501" i="13" s="1"/>
  <c r="B1502" i="13"/>
  <c r="D1502" i="13" s="1"/>
  <c r="B15" i="13"/>
  <c r="D15" i="13" s="1"/>
  <c r="B2" i="12"/>
  <c r="D2" i="12" s="1"/>
  <c r="B2" i="11"/>
  <c r="D2" i="11" s="1"/>
  <c r="B3" i="6"/>
  <c r="D3" i="6" s="1"/>
  <c r="B4" i="6"/>
  <c r="D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" i="6"/>
  <c r="D2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41" i="6"/>
  <c r="D41" i="6" s="1"/>
  <c r="B42" i="6"/>
  <c r="D42" i="6" s="1"/>
  <c r="B43" i="6"/>
  <c r="D43" i="6" s="1"/>
  <c r="B44" i="6"/>
  <c r="D44" i="6" s="1"/>
  <c r="B45" i="6"/>
  <c r="D45" i="6" s="1"/>
  <c r="B46" i="6"/>
  <c r="D46" i="6" s="1"/>
  <c r="B47" i="6"/>
  <c r="D47" i="6" s="1"/>
  <c r="B48" i="6"/>
  <c r="D48" i="6" s="1"/>
  <c r="B49" i="6"/>
  <c r="D49" i="6" s="1"/>
  <c r="B50" i="6"/>
  <c r="D50" i="6" s="1"/>
  <c r="B51" i="6"/>
  <c r="D51" i="6" s="1"/>
  <c r="B52" i="6"/>
  <c r="D52" i="6" s="1"/>
  <c r="B53" i="6"/>
  <c r="D53" i="6" s="1"/>
  <c r="B54" i="6"/>
  <c r="D54" i="6" s="1"/>
  <c r="B55" i="6"/>
  <c r="D55" i="6" s="1"/>
  <c r="B56" i="6"/>
  <c r="D56" i="6" s="1"/>
  <c r="B57" i="6"/>
  <c r="D57" i="6" s="1"/>
  <c r="B58" i="6"/>
  <c r="D58" i="6" s="1"/>
  <c r="B59" i="6"/>
  <c r="D59" i="6" s="1"/>
  <c r="B60" i="6"/>
  <c r="D60" i="6" s="1"/>
  <c r="B61" i="6"/>
  <c r="D61" i="6" s="1"/>
  <c r="B62" i="6"/>
  <c r="D62" i="6" s="1"/>
  <c r="B63" i="6"/>
  <c r="D63" i="6" s="1"/>
  <c r="B64" i="6"/>
  <c r="D64" i="6" s="1"/>
  <c r="B65" i="6"/>
  <c r="D65" i="6" s="1"/>
  <c r="B66" i="6"/>
  <c r="D66" i="6" s="1"/>
  <c r="B67" i="6"/>
  <c r="D67" i="6" s="1"/>
  <c r="B68" i="6"/>
  <c r="D68" i="6" s="1"/>
  <c r="B69" i="6"/>
  <c r="D69" i="6" s="1"/>
  <c r="B70" i="6"/>
  <c r="D70" i="6" s="1"/>
  <c r="B71" i="6"/>
  <c r="D71" i="6" s="1"/>
  <c r="B72" i="6"/>
  <c r="D72" i="6" s="1"/>
  <c r="B73" i="6"/>
  <c r="D73" i="6" s="1"/>
  <c r="B74" i="6"/>
  <c r="D74" i="6" s="1"/>
  <c r="B75" i="6"/>
  <c r="D75" i="6" s="1"/>
  <c r="B76" i="6"/>
  <c r="D76" i="6" s="1"/>
  <c r="B77" i="6"/>
  <c r="D77" i="6" s="1"/>
  <c r="B78" i="6"/>
  <c r="D78" i="6" s="1"/>
  <c r="B79" i="6"/>
  <c r="D79" i="6" s="1"/>
  <c r="B80" i="6"/>
  <c r="D80" i="6" s="1"/>
  <c r="B81" i="6"/>
  <c r="D81" i="6" s="1"/>
  <c r="B82" i="6"/>
  <c r="D82" i="6" s="1"/>
  <c r="B83" i="6"/>
  <c r="D83" i="6" s="1"/>
  <c r="B84" i="6"/>
  <c r="D84" i="6" s="1"/>
  <c r="B85" i="6"/>
  <c r="D85" i="6" s="1"/>
  <c r="B86" i="6"/>
  <c r="D86" i="6" s="1"/>
  <c r="B87" i="6"/>
  <c r="D87" i="6" s="1"/>
  <c r="B88" i="6"/>
  <c r="D88" i="6" s="1"/>
  <c r="B89" i="6"/>
  <c r="D89" i="6" s="1"/>
  <c r="B90" i="6"/>
  <c r="D90" i="6" s="1"/>
  <c r="B91" i="6"/>
  <c r="D91" i="6" s="1"/>
  <c r="B92" i="6"/>
  <c r="D92" i="6" s="1"/>
  <c r="B93" i="6"/>
  <c r="D93" i="6" s="1"/>
  <c r="B94" i="6"/>
  <c r="D94" i="6" s="1"/>
  <c r="B95" i="6"/>
  <c r="D95" i="6" s="1"/>
  <c r="B96" i="6"/>
  <c r="D96" i="6" s="1"/>
  <c r="B97" i="6"/>
  <c r="D97" i="6" s="1"/>
  <c r="B98" i="6"/>
  <c r="D98" i="6" s="1"/>
  <c r="B99" i="6"/>
  <c r="D99" i="6" s="1"/>
  <c r="B100" i="6"/>
  <c r="D100" i="6" s="1"/>
  <c r="B101" i="6"/>
  <c r="D101" i="6" s="1"/>
  <c r="B102" i="6"/>
  <c r="D102" i="6" s="1"/>
  <c r="B103" i="6"/>
  <c r="D103" i="6" s="1"/>
  <c r="B104" i="6"/>
  <c r="D104" i="6" s="1"/>
  <c r="B105" i="6"/>
  <c r="D105" i="6" s="1"/>
  <c r="B106" i="6"/>
  <c r="D106" i="6" s="1"/>
  <c r="B107" i="6"/>
  <c r="D107" i="6" s="1"/>
  <c r="B108" i="6"/>
  <c r="D108" i="6" s="1"/>
  <c r="B109" i="6"/>
  <c r="D109" i="6" s="1"/>
  <c r="B110" i="6"/>
  <c r="D110" i="6" s="1"/>
  <c r="B111" i="6"/>
  <c r="D111" i="6" s="1"/>
  <c r="B112" i="6"/>
  <c r="D112" i="6" s="1"/>
  <c r="B113" i="6"/>
  <c r="D113" i="6" s="1"/>
  <c r="B114" i="6"/>
  <c r="D114" i="6" s="1"/>
  <c r="B115" i="6"/>
  <c r="D115" i="6" s="1"/>
  <c r="B116" i="6"/>
  <c r="D116" i="6" s="1"/>
  <c r="B117" i="6"/>
  <c r="D117" i="6" s="1"/>
  <c r="B118" i="6"/>
  <c r="D118" i="6" s="1"/>
  <c r="B119" i="6"/>
  <c r="D119" i="6" s="1"/>
  <c r="B120" i="6"/>
  <c r="D120" i="6" s="1"/>
  <c r="B121" i="6"/>
  <c r="D121" i="6" s="1"/>
  <c r="B122" i="6"/>
  <c r="D122" i="6" s="1"/>
  <c r="B123" i="6"/>
  <c r="D123" i="6" s="1"/>
  <c r="B124" i="6"/>
  <c r="D124" i="6" s="1"/>
  <c r="B125" i="6"/>
  <c r="D125" i="6" s="1"/>
  <c r="B126" i="6"/>
  <c r="D126" i="6" s="1"/>
  <c r="B127" i="6"/>
  <c r="D127" i="6" s="1"/>
  <c r="B128" i="6"/>
  <c r="D128" i="6" s="1"/>
  <c r="B129" i="6"/>
  <c r="D129" i="6" s="1"/>
  <c r="B130" i="6"/>
  <c r="D130" i="6" s="1"/>
  <c r="B131" i="6"/>
  <c r="D131" i="6" s="1"/>
  <c r="B132" i="6"/>
  <c r="D132" i="6" s="1"/>
  <c r="B133" i="6"/>
  <c r="D133" i="6" s="1"/>
  <c r="B134" i="6"/>
  <c r="D134" i="6" s="1"/>
  <c r="B135" i="6"/>
  <c r="D135" i="6" s="1"/>
  <c r="B136" i="6"/>
  <c r="D136" i="6" s="1"/>
  <c r="B137" i="6"/>
  <c r="D137" i="6" s="1"/>
  <c r="B138" i="6"/>
  <c r="D138" i="6" s="1"/>
  <c r="B139" i="6"/>
  <c r="D139" i="6" s="1"/>
  <c r="B140" i="6"/>
  <c r="D140" i="6" s="1"/>
  <c r="B141" i="6"/>
  <c r="D141" i="6" s="1"/>
  <c r="B142" i="6"/>
  <c r="D142" i="6" s="1"/>
  <c r="B143" i="6"/>
  <c r="D143" i="6" s="1"/>
  <c r="B144" i="6"/>
  <c r="D144" i="6" s="1"/>
  <c r="B145" i="6"/>
  <c r="D145" i="6" s="1"/>
  <c r="B146" i="6"/>
  <c r="D146" i="6" s="1"/>
  <c r="B147" i="6"/>
  <c r="D147" i="6" s="1"/>
  <c r="B148" i="6"/>
  <c r="D148" i="6" s="1"/>
  <c r="B149" i="6"/>
  <c r="D149" i="6" s="1"/>
  <c r="B150" i="6"/>
  <c r="D150" i="6" s="1"/>
  <c r="B151" i="6"/>
  <c r="D151" i="6" s="1"/>
  <c r="B152" i="6"/>
  <c r="D152" i="6" s="1"/>
  <c r="B153" i="6"/>
  <c r="D153" i="6" s="1"/>
  <c r="B154" i="6"/>
  <c r="D154" i="6" s="1"/>
  <c r="B155" i="6"/>
  <c r="D155" i="6" s="1"/>
  <c r="B156" i="6"/>
  <c r="D156" i="6" s="1"/>
  <c r="B157" i="6"/>
  <c r="D157" i="6" s="1"/>
  <c r="B158" i="6"/>
  <c r="D158" i="6" s="1"/>
  <c r="B159" i="6"/>
  <c r="D159" i="6" s="1"/>
  <c r="B160" i="6"/>
  <c r="D160" i="6" s="1"/>
  <c r="B161" i="6"/>
  <c r="D161" i="6" s="1"/>
  <c r="B162" i="6"/>
  <c r="D162" i="6" s="1"/>
  <c r="B163" i="6"/>
  <c r="D163" i="6" s="1"/>
  <c r="B164" i="6"/>
  <c r="D164" i="6" s="1"/>
  <c r="B165" i="6"/>
  <c r="D165" i="6" s="1"/>
  <c r="B166" i="6"/>
  <c r="D166" i="6" s="1"/>
  <c r="B167" i="6"/>
  <c r="D167" i="6" s="1"/>
  <c r="B168" i="6"/>
  <c r="D168" i="6" s="1"/>
  <c r="B169" i="6"/>
  <c r="D169" i="6" s="1"/>
  <c r="B170" i="6"/>
  <c r="D170" i="6" s="1"/>
  <c r="B171" i="6"/>
  <c r="D171" i="6" s="1"/>
  <c r="B172" i="6"/>
  <c r="D172" i="6" s="1"/>
  <c r="B173" i="6"/>
  <c r="D173" i="6" s="1"/>
  <c r="B174" i="6"/>
  <c r="D174" i="6" s="1"/>
  <c r="B175" i="6"/>
  <c r="D175" i="6" s="1"/>
  <c r="B176" i="6"/>
  <c r="D176" i="6" s="1"/>
  <c r="B177" i="6"/>
  <c r="D177" i="6" s="1"/>
  <c r="B178" i="6"/>
  <c r="D178" i="6" s="1"/>
  <c r="B179" i="6"/>
  <c r="D179" i="6" s="1"/>
  <c r="B180" i="6"/>
  <c r="D180" i="6" s="1"/>
  <c r="B181" i="6"/>
  <c r="D181" i="6" s="1"/>
  <c r="B182" i="6"/>
  <c r="D182" i="6" s="1"/>
  <c r="B183" i="6"/>
  <c r="D183" i="6" s="1"/>
  <c r="B184" i="6"/>
  <c r="D184" i="6" s="1"/>
  <c r="B185" i="6"/>
  <c r="D185" i="6" s="1"/>
  <c r="B186" i="6"/>
  <c r="D186" i="6" s="1"/>
  <c r="B187" i="6"/>
  <c r="D187" i="6" s="1"/>
  <c r="B188" i="6"/>
  <c r="D188" i="6" s="1"/>
  <c r="B189" i="6"/>
  <c r="D189" i="6" s="1"/>
  <c r="B190" i="6"/>
  <c r="D190" i="6" s="1"/>
  <c r="B191" i="6"/>
  <c r="D191" i="6" s="1"/>
  <c r="B192" i="6"/>
  <c r="D192" i="6" s="1"/>
  <c r="B193" i="6"/>
  <c r="D193" i="6" s="1"/>
  <c r="B194" i="6"/>
  <c r="D194" i="6" s="1"/>
  <c r="B195" i="6"/>
  <c r="D195" i="6" s="1"/>
  <c r="B196" i="6"/>
  <c r="D196" i="6" s="1"/>
  <c r="B197" i="6"/>
  <c r="D197" i="6" s="1"/>
  <c r="B198" i="6"/>
  <c r="D198" i="6" s="1"/>
  <c r="B199" i="6"/>
  <c r="D199" i="6" s="1"/>
  <c r="B200" i="6"/>
  <c r="D200" i="6" s="1"/>
  <c r="B201" i="6"/>
  <c r="D201" i="6" s="1"/>
  <c r="B202" i="6"/>
  <c r="D202" i="6" s="1"/>
  <c r="B203" i="6"/>
  <c r="D203" i="6" s="1"/>
  <c r="B204" i="6"/>
  <c r="D204" i="6" s="1"/>
  <c r="B205" i="6"/>
  <c r="D205" i="6" s="1"/>
  <c r="B206" i="6"/>
  <c r="D206" i="6" s="1"/>
  <c r="B207" i="6"/>
  <c r="D207" i="6" s="1"/>
  <c r="B208" i="6"/>
  <c r="D208" i="6" s="1"/>
  <c r="B209" i="6"/>
  <c r="D209" i="6" s="1"/>
  <c r="B210" i="6"/>
  <c r="D210" i="6" s="1"/>
  <c r="B211" i="6"/>
  <c r="D211" i="6" s="1"/>
  <c r="B212" i="6"/>
  <c r="D212" i="6" s="1"/>
  <c r="B213" i="6"/>
  <c r="D213" i="6" s="1"/>
  <c r="B214" i="6"/>
  <c r="D214" i="6" s="1"/>
  <c r="B215" i="6"/>
  <c r="D215" i="6" s="1"/>
  <c r="B216" i="6"/>
  <c r="D216" i="6" s="1"/>
  <c r="B217" i="6"/>
  <c r="D217" i="6" s="1"/>
  <c r="B218" i="6"/>
  <c r="D218" i="6" s="1"/>
  <c r="B219" i="6"/>
  <c r="D219" i="6" s="1"/>
  <c r="B220" i="6"/>
  <c r="D220" i="6" s="1"/>
  <c r="B221" i="6"/>
  <c r="D221" i="6" s="1"/>
  <c r="B222" i="6"/>
  <c r="D222" i="6" s="1"/>
  <c r="B223" i="6"/>
  <c r="D223" i="6" s="1"/>
  <c r="B224" i="6"/>
  <c r="D224" i="6" s="1"/>
  <c r="B225" i="6"/>
  <c r="D225" i="6" s="1"/>
  <c r="B226" i="6"/>
  <c r="D226" i="6" s="1"/>
  <c r="B227" i="6"/>
  <c r="D227" i="6" s="1"/>
  <c r="B228" i="6"/>
  <c r="D228" i="6" s="1"/>
  <c r="B229" i="6"/>
  <c r="D229" i="6" s="1"/>
  <c r="B230" i="6"/>
  <c r="D230" i="6" s="1"/>
  <c r="B231" i="6"/>
  <c r="D231" i="6" s="1"/>
  <c r="B232" i="6"/>
  <c r="D232" i="6" s="1"/>
  <c r="B233" i="6"/>
  <c r="D233" i="6" s="1"/>
  <c r="B234" i="6"/>
  <c r="D234" i="6" s="1"/>
  <c r="B235" i="6"/>
  <c r="D235" i="6" s="1"/>
  <c r="B236" i="6"/>
  <c r="D236" i="6" s="1"/>
  <c r="B237" i="6"/>
  <c r="D237" i="6" s="1"/>
  <c r="B238" i="6"/>
  <c r="D238" i="6" s="1"/>
  <c r="B239" i="6"/>
  <c r="D239" i="6" s="1"/>
  <c r="B240" i="6"/>
  <c r="D240" i="6" s="1"/>
  <c r="B241" i="6"/>
  <c r="D241" i="6" s="1"/>
  <c r="B242" i="6"/>
  <c r="D242" i="6" s="1"/>
  <c r="B243" i="6"/>
  <c r="D243" i="6" s="1"/>
  <c r="B244" i="6"/>
  <c r="D244" i="6" s="1"/>
  <c r="B245" i="6"/>
  <c r="D245" i="6" s="1"/>
  <c r="B246" i="6"/>
  <c r="D246" i="6" s="1"/>
  <c r="B247" i="6"/>
  <c r="D247" i="6" s="1"/>
  <c r="B248" i="6"/>
  <c r="D248" i="6" s="1"/>
  <c r="B249" i="6"/>
  <c r="D249" i="6" s="1"/>
  <c r="B250" i="6"/>
  <c r="D250" i="6" s="1"/>
  <c r="B251" i="6"/>
  <c r="D251" i="6" s="1"/>
  <c r="B252" i="6"/>
  <c r="D252" i="6" s="1"/>
  <c r="B253" i="6"/>
  <c r="D253" i="6" s="1"/>
  <c r="B254" i="6"/>
  <c r="D254" i="6" s="1"/>
  <c r="B255" i="6"/>
  <c r="D255" i="6" s="1"/>
  <c r="B256" i="6"/>
  <c r="D256" i="6" s="1"/>
  <c r="B257" i="6"/>
  <c r="D257" i="6" s="1"/>
  <c r="B258" i="6"/>
  <c r="D258" i="6" s="1"/>
  <c r="B259" i="6"/>
  <c r="D259" i="6" s="1"/>
  <c r="B260" i="6"/>
  <c r="D260" i="6" s="1"/>
  <c r="B261" i="6"/>
  <c r="D261" i="6" s="1"/>
  <c r="B262" i="6"/>
  <c r="D262" i="6" s="1"/>
  <c r="B263" i="6"/>
  <c r="D263" i="6" s="1"/>
  <c r="B264" i="6"/>
  <c r="D264" i="6" s="1"/>
  <c r="B265" i="6"/>
  <c r="D265" i="6" s="1"/>
  <c r="B266" i="6"/>
  <c r="D266" i="6" s="1"/>
  <c r="B267" i="6"/>
  <c r="D267" i="6" s="1"/>
  <c r="B268" i="6"/>
  <c r="D268" i="6" s="1"/>
  <c r="B269" i="6"/>
  <c r="D269" i="6" s="1"/>
  <c r="B270" i="6"/>
  <c r="D270" i="6" s="1"/>
  <c r="B271" i="6"/>
  <c r="D271" i="6" s="1"/>
  <c r="B272" i="6"/>
  <c r="D272" i="6" s="1"/>
  <c r="B273" i="6"/>
  <c r="D273" i="6" s="1"/>
  <c r="B274" i="6"/>
  <c r="D274" i="6" s="1"/>
  <c r="B275" i="6"/>
  <c r="D275" i="6" s="1"/>
  <c r="B276" i="6"/>
  <c r="D276" i="6" s="1"/>
  <c r="B277" i="6"/>
  <c r="D277" i="6" s="1"/>
  <c r="B278" i="6"/>
  <c r="D278" i="6" s="1"/>
  <c r="B279" i="6"/>
  <c r="D279" i="6" s="1"/>
  <c r="B280" i="6"/>
  <c r="D280" i="6" s="1"/>
  <c r="B281" i="6"/>
  <c r="D281" i="6" s="1"/>
  <c r="B282" i="6"/>
  <c r="D282" i="6" s="1"/>
  <c r="B283" i="6"/>
  <c r="D283" i="6" s="1"/>
  <c r="B284" i="6"/>
  <c r="D284" i="6" s="1"/>
  <c r="B285" i="6"/>
  <c r="D285" i="6" s="1"/>
  <c r="B286" i="6"/>
  <c r="D286" i="6" s="1"/>
  <c r="B287" i="6"/>
  <c r="D287" i="6" s="1"/>
  <c r="B288" i="6"/>
  <c r="D288" i="6" s="1"/>
  <c r="B289" i="6"/>
  <c r="D289" i="6" s="1"/>
  <c r="B290" i="6"/>
  <c r="D290" i="6" s="1"/>
  <c r="B291" i="6"/>
  <c r="D291" i="6" s="1"/>
  <c r="B292" i="6"/>
  <c r="D292" i="6" s="1"/>
  <c r="B293" i="6"/>
  <c r="D293" i="6" s="1"/>
  <c r="B294" i="6"/>
  <c r="D294" i="6" s="1"/>
  <c r="B295" i="6"/>
  <c r="D295" i="6" s="1"/>
  <c r="B296" i="6"/>
  <c r="D296" i="6" s="1"/>
  <c r="B297" i="6"/>
  <c r="D297" i="6" s="1"/>
  <c r="B298" i="6"/>
  <c r="D298" i="6" s="1"/>
  <c r="B299" i="6"/>
  <c r="D299" i="6" s="1"/>
  <c r="B300" i="6"/>
  <c r="D300" i="6" s="1"/>
  <c r="B301" i="6"/>
  <c r="D301" i="6" s="1"/>
  <c r="B302" i="6"/>
  <c r="D302" i="6" s="1"/>
  <c r="B303" i="6"/>
  <c r="D303" i="6" s="1"/>
  <c r="B304" i="6"/>
  <c r="D304" i="6" s="1"/>
  <c r="B305" i="6"/>
  <c r="D305" i="6" s="1"/>
  <c r="B306" i="6"/>
  <c r="D306" i="6" s="1"/>
  <c r="B307" i="6"/>
  <c r="D307" i="6" s="1"/>
  <c r="B308" i="6"/>
  <c r="D308" i="6" s="1"/>
  <c r="B309" i="6"/>
  <c r="D309" i="6" s="1"/>
  <c r="B310" i="6"/>
  <c r="D310" i="6" s="1"/>
  <c r="B311" i="6"/>
  <c r="D311" i="6" s="1"/>
  <c r="B312" i="6"/>
  <c r="D312" i="6" s="1"/>
  <c r="B313" i="6"/>
  <c r="D313" i="6" s="1"/>
  <c r="B314" i="6"/>
  <c r="D314" i="6" s="1"/>
  <c r="B315" i="6"/>
  <c r="D315" i="6" s="1"/>
  <c r="B316" i="6"/>
  <c r="D316" i="6" s="1"/>
  <c r="B317" i="6"/>
  <c r="D317" i="6" s="1"/>
  <c r="B318" i="6"/>
  <c r="D318" i="6" s="1"/>
  <c r="B319" i="6"/>
  <c r="D319" i="6" s="1"/>
  <c r="B320" i="6"/>
  <c r="D320" i="6" s="1"/>
  <c r="B321" i="6"/>
  <c r="D321" i="6" s="1"/>
  <c r="B322" i="6"/>
  <c r="D322" i="6" s="1"/>
  <c r="B323" i="6"/>
  <c r="D323" i="6" s="1"/>
  <c r="B324" i="6"/>
  <c r="D324" i="6" s="1"/>
  <c r="B325" i="6"/>
  <c r="D325" i="6" s="1"/>
  <c r="B326" i="6"/>
  <c r="D326" i="6" s="1"/>
  <c r="B327" i="6"/>
  <c r="D327" i="6" s="1"/>
  <c r="B328" i="6"/>
  <c r="D328" i="6" s="1"/>
  <c r="B329" i="6"/>
  <c r="D329" i="6" s="1"/>
  <c r="B330" i="6"/>
  <c r="D330" i="6" s="1"/>
  <c r="B331" i="6"/>
  <c r="D331" i="6" s="1"/>
  <c r="B332" i="6"/>
  <c r="D332" i="6" s="1"/>
  <c r="B333" i="6"/>
  <c r="D333" i="6" s="1"/>
  <c r="B334" i="6"/>
  <c r="D334" i="6" s="1"/>
  <c r="B335" i="6"/>
  <c r="D335" i="6" s="1"/>
  <c r="B336" i="6"/>
  <c r="D336" i="6" s="1"/>
  <c r="B337" i="6"/>
  <c r="D337" i="6" s="1"/>
  <c r="B338" i="6"/>
  <c r="D338" i="6" s="1"/>
  <c r="B339" i="6"/>
  <c r="D339" i="6" s="1"/>
  <c r="B340" i="6"/>
  <c r="D340" i="6" s="1"/>
  <c r="B341" i="6"/>
  <c r="D341" i="6" s="1"/>
  <c r="B342" i="6"/>
  <c r="D342" i="6" s="1"/>
  <c r="B343" i="6"/>
  <c r="D343" i="6" s="1"/>
  <c r="B344" i="6"/>
  <c r="D344" i="6" s="1"/>
  <c r="B345" i="6"/>
  <c r="D345" i="6" s="1"/>
  <c r="B346" i="6"/>
  <c r="D346" i="6" s="1"/>
  <c r="B347" i="6"/>
  <c r="D347" i="6" s="1"/>
  <c r="B348" i="6"/>
  <c r="D348" i="6" s="1"/>
  <c r="B349" i="6"/>
  <c r="D349" i="6" s="1"/>
  <c r="B350" i="6"/>
  <c r="D350" i="6" s="1"/>
  <c r="B351" i="6"/>
  <c r="D351" i="6" s="1"/>
  <c r="B352" i="6"/>
  <c r="D352" i="6" s="1"/>
  <c r="B353" i="6"/>
  <c r="D353" i="6" s="1"/>
  <c r="B354" i="6"/>
  <c r="D354" i="6" s="1"/>
  <c r="B355" i="6"/>
  <c r="D355" i="6" s="1"/>
  <c r="B356" i="6"/>
  <c r="D356" i="6" s="1"/>
  <c r="B357" i="6"/>
  <c r="D357" i="6" s="1"/>
  <c r="B358" i="6"/>
  <c r="D358" i="6" s="1"/>
  <c r="B359" i="6"/>
  <c r="D359" i="6" s="1"/>
  <c r="B360" i="6"/>
  <c r="D360" i="6" s="1"/>
  <c r="B361" i="6"/>
  <c r="D361" i="6" s="1"/>
  <c r="B362" i="6"/>
  <c r="D362" i="6" s="1"/>
  <c r="B363" i="6"/>
  <c r="D363" i="6" s="1"/>
  <c r="B364" i="6"/>
  <c r="D364" i="6" s="1"/>
  <c r="B365" i="6"/>
  <c r="D365" i="6" s="1"/>
  <c r="B366" i="6"/>
  <c r="D366" i="6" s="1"/>
  <c r="B367" i="6"/>
  <c r="D367" i="6" s="1"/>
  <c r="B368" i="6"/>
  <c r="D368" i="6" s="1"/>
  <c r="B369" i="6"/>
  <c r="D369" i="6" s="1"/>
  <c r="B370" i="6"/>
  <c r="D370" i="6" s="1"/>
  <c r="B371" i="6"/>
  <c r="D371" i="6" s="1"/>
  <c r="B372" i="6"/>
  <c r="D372" i="6" s="1"/>
  <c r="B373" i="6"/>
  <c r="D373" i="6" s="1"/>
  <c r="B374" i="6"/>
  <c r="D374" i="6" s="1"/>
  <c r="B375" i="6"/>
  <c r="D375" i="6" s="1"/>
  <c r="B376" i="6"/>
  <c r="D376" i="6" s="1"/>
  <c r="B377" i="6"/>
  <c r="D377" i="6" s="1"/>
  <c r="B378" i="6"/>
  <c r="D378" i="6" s="1"/>
  <c r="B379" i="6"/>
  <c r="D379" i="6" s="1"/>
  <c r="B380" i="6"/>
  <c r="D380" i="6" s="1"/>
  <c r="B381" i="6"/>
  <c r="D381" i="6" s="1"/>
  <c r="B382" i="6"/>
  <c r="D382" i="6" s="1"/>
  <c r="B383" i="6"/>
  <c r="D383" i="6" s="1"/>
  <c r="B384" i="6"/>
  <c r="D384" i="6" s="1"/>
  <c r="B385" i="6"/>
  <c r="D385" i="6" s="1"/>
  <c r="B386" i="6"/>
  <c r="D386" i="6" s="1"/>
  <c r="B387" i="6"/>
  <c r="D387" i="6" s="1"/>
  <c r="B388" i="6"/>
  <c r="D388" i="6" s="1"/>
  <c r="B389" i="6"/>
  <c r="D389" i="6" s="1"/>
  <c r="B390" i="6"/>
  <c r="D390" i="6" s="1"/>
  <c r="B391" i="6"/>
  <c r="D391" i="6" s="1"/>
  <c r="B392" i="6"/>
  <c r="D392" i="6" s="1"/>
  <c r="B393" i="6"/>
  <c r="D393" i="6" s="1"/>
  <c r="B394" i="6"/>
  <c r="D394" i="6" s="1"/>
  <c r="B395" i="6"/>
  <c r="D395" i="6" s="1"/>
  <c r="B396" i="6"/>
  <c r="D396" i="6" s="1"/>
  <c r="B397" i="6"/>
  <c r="D397" i="6" s="1"/>
  <c r="B398" i="6"/>
  <c r="D398" i="6" s="1"/>
  <c r="B399" i="6"/>
  <c r="D399" i="6" s="1"/>
  <c r="B400" i="6"/>
  <c r="D400" i="6" s="1"/>
  <c r="B401" i="6"/>
  <c r="D401" i="6" s="1"/>
  <c r="B402" i="6"/>
  <c r="D402" i="6" s="1"/>
  <c r="B403" i="6"/>
  <c r="D403" i="6" s="1"/>
  <c r="B404" i="6"/>
  <c r="D404" i="6" s="1"/>
  <c r="B405" i="6"/>
  <c r="D405" i="6" s="1"/>
  <c r="B406" i="6"/>
  <c r="D406" i="6" s="1"/>
  <c r="B407" i="6"/>
  <c r="D407" i="6" s="1"/>
  <c r="B408" i="6"/>
  <c r="D408" i="6" s="1"/>
  <c r="B409" i="6"/>
  <c r="D409" i="6" s="1"/>
  <c r="B410" i="6"/>
  <c r="D410" i="6" s="1"/>
  <c r="B411" i="6"/>
  <c r="D411" i="6" s="1"/>
  <c r="B412" i="6"/>
  <c r="D412" i="6" s="1"/>
  <c r="B413" i="6"/>
  <c r="D413" i="6" s="1"/>
  <c r="B414" i="6"/>
  <c r="D414" i="6" s="1"/>
  <c r="B415" i="6"/>
  <c r="D415" i="6" s="1"/>
  <c r="B416" i="6"/>
  <c r="D416" i="6" s="1"/>
  <c r="B417" i="6"/>
  <c r="D417" i="6" s="1"/>
  <c r="B418" i="6"/>
  <c r="D418" i="6" s="1"/>
  <c r="B419" i="6"/>
  <c r="D419" i="6" s="1"/>
  <c r="B420" i="6"/>
  <c r="D420" i="6" s="1"/>
  <c r="B421" i="6"/>
  <c r="D421" i="6" s="1"/>
  <c r="B422" i="6"/>
  <c r="D422" i="6" s="1"/>
  <c r="B423" i="6"/>
  <c r="D423" i="6" s="1"/>
  <c r="B424" i="6"/>
  <c r="D424" i="6" s="1"/>
  <c r="B425" i="6"/>
  <c r="D425" i="6" s="1"/>
  <c r="B426" i="6"/>
  <c r="D426" i="6" s="1"/>
  <c r="B427" i="6"/>
  <c r="D427" i="6" s="1"/>
  <c r="B428" i="6"/>
  <c r="D428" i="6" s="1"/>
  <c r="B429" i="6"/>
  <c r="D429" i="6" s="1"/>
  <c r="B430" i="6"/>
  <c r="D430" i="6" s="1"/>
  <c r="B431" i="6"/>
  <c r="D431" i="6" s="1"/>
  <c r="B432" i="6"/>
  <c r="D432" i="6" s="1"/>
  <c r="B433" i="6"/>
  <c r="D433" i="6" s="1"/>
  <c r="B434" i="6"/>
  <c r="D434" i="6" s="1"/>
  <c r="B435" i="6"/>
  <c r="D435" i="6" s="1"/>
  <c r="B436" i="6"/>
  <c r="D436" i="6" s="1"/>
  <c r="B437" i="6"/>
  <c r="D437" i="6" s="1"/>
  <c r="B438" i="6"/>
  <c r="D438" i="6" s="1"/>
  <c r="B439" i="6"/>
  <c r="D439" i="6" s="1"/>
  <c r="B440" i="6"/>
  <c r="D440" i="6" s="1"/>
  <c r="B441" i="6"/>
  <c r="D441" i="6" s="1"/>
  <c r="B442" i="6"/>
  <c r="D442" i="6" s="1"/>
  <c r="B443" i="6"/>
  <c r="D443" i="6" s="1"/>
  <c r="B444" i="6"/>
  <c r="D444" i="6" s="1"/>
  <c r="B445" i="6"/>
  <c r="D445" i="6" s="1"/>
  <c r="B446" i="6"/>
  <c r="D446" i="6" s="1"/>
  <c r="B447" i="6"/>
  <c r="D447" i="6" s="1"/>
  <c r="B448" i="6"/>
  <c r="D448" i="6" s="1"/>
  <c r="B449" i="6"/>
  <c r="D449" i="6" s="1"/>
  <c r="B450" i="6"/>
  <c r="D450" i="6" s="1"/>
  <c r="B451" i="6"/>
  <c r="D451" i="6" s="1"/>
  <c r="B452" i="6"/>
  <c r="D452" i="6" s="1"/>
  <c r="B453" i="6"/>
  <c r="D453" i="6" s="1"/>
  <c r="B454" i="6"/>
  <c r="D454" i="6" s="1"/>
  <c r="B455" i="6"/>
  <c r="D455" i="6" s="1"/>
  <c r="B456" i="6"/>
  <c r="D456" i="6" s="1"/>
  <c r="B457" i="6"/>
  <c r="D457" i="6" s="1"/>
  <c r="B458" i="6"/>
  <c r="D458" i="6" s="1"/>
  <c r="B459" i="6"/>
  <c r="D459" i="6" s="1"/>
  <c r="B460" i="6"/>
  <c r="D460" i="6" s="1"/>
  <c r="B461" i="6"/>
  <c r="D461" i="6" s="1"/>
  <c r="B462" i="6"/>
  <c r="D462" i="6" s="1"/>
  <c r="B463" i="6"/>
  <c r="D463" i="6" s="1"/>
  <c r="B464" i="6"/>
  <c r="D464" i="6" s="1"/>
  <c r="B465" i="6"/>
  <c r="D465" i="6" s="1"/>
  <c r="B466" i="6"/>
  <c r="D466" i="6" s="1"/>
  <c r="B467" i="6"/>
  <c r="D467" i="6" s="1"/>
  <c r="B468" i="6"/>
  <c r="D468" i="6" s="1"/>
  <c r="B469" i="6"/>
  <c r="D469" i="6" s="1"/>
  <c r="B470" i="6"/>
  <c r="D470" i="6" s="1"/>
  <c r="B471" i="6"/>
  <c r="D471" i="6" s="1"/>
  <c r="B472" i="6"/>
  <c r="D472" i="6" s="1"/>
  <c r="B473" i="6"/>
  <c r="D473" i="6" s="1"/>
  <c r="B474" i="6"/>
  <c r="D474" i="6" s="1"/>
  <c r="B475" i="6"/>
  <c r="D475" i="6" s="1"/>
  <c r="B476" i="6"/>
  <c r="D476" i="6" s="1"/>
  <c r="B477" i="6"/>
  <c r="D477" i="6" s="1"/>
  <c r="B478" i="6"/>
  <c r="D478" i="6" s="1"/>
  <c r="B479" i="6"/>
  <c r="D479" i="6" s="1"/>
  <c r="B481" i="6"/>
  <c r="D481" i="6" s="1"/>
  <c r="B482" i="6"/>
  <c r="D482" i="6" s="1"/>
  <c r="B483" i="6"/>
  <c r="D483" i="6" s="1"/>
  <c r="B484" i="6"/>
  <c r="D484" i="6" s="1"/>
  <c r="B485" i="6"/>
  <c r="D485" i="6" s="1"/>
  <c r="B486" i="6"/>
  <c r="D486" i="6" s="1"/>
  <c r="B487" i="6"/>
  <c r="D487" i="6" s="1"/>
  <c r="B488" i="6"/>
  <c r="D488" i="6" s="1"/>
  <c r="B489" i="6"/>
  <c r="D489" i="6" s="1"/>
  <c r="B490" i="6"/>
  <c r="D490" i="6" s="1"/>
  <c r="B491" i="6"/>
  <c r="D491" i="6" s="1"/>
  <c r="B492" i="6"/>
  <c r="D492" i="6" s="1"/>
  <c r="B493" i="6"/>
  <c r="D493" i="6" s="1"/>
  <c r="B494" i="6"/>
  <c r="D494" i="6" s="1"/>
  <c r="B495" i="6"/>
  <c r="D495" i="6" s="1"/>
  <c r="B496" i="6"/>
  <c r="D496" i="6" s="1"/>
  <c r="B497" i="6"/>
  <c r="D497" i="6" s="1"/>
  <c r="B498" i="6"/>
  <c r="D498" i="6" s="1"/>
  <c r="B499" i="6"/>
  <c r="D499" i="6" s="1"/>
  <c r="B500" i="6"/>
  <c r="D500" i="6" s="1"/>
  <c r="B501" i="6"/>
  <c r="D501" i="6" s="1"/>
  <c r="B502" i="6"/>
  <c r="D502" i="6" s="1"/>
  <c r="B503" i="6"/>
  <c r="D503" i="6" s="1"/>
  <c r="B504" i="6"/>
  <c r="D504" i="6" s="1"/>
  <c r="B505" i="6"/>
  <c r="D505" i="6" s="1"/>
  <c r="B506" i="6"/>
  <c r="D506" i="6" s="1"/>
  <c r="B507" i="6"/>
  <c r="D507" i="6" s="1"/>
  <c r="B508" i="6"/>
  <c r="D508" i="6" s="1"/>
  <c r="B509" i="6"/>
  <c r="D509" i="6" s="1"/>
  <c r="B510" i="6"/>
  <c r="D510" i="6" s="1"/>
  <c r="B511" i="6"/>
  <c r="D511" i="6" s="1"/>
  <c r="B512" i="6"/>
  <c r="D512" i="6" s="1"/>
  <c r="B513" i="6"/>
  <c r="D513" i="6" s="1"/>
  <c r="B514" i="6"/>
  <c r="D514" i="6" s="1"/>
  <c r="B515" i="6"/>
  <c r="D515" i="6" s="1"/>
  <c r="B516" i="6"/>
  <c r="D516" i="6" s="1"/>
  <c r="B517" i="6"/>
  <c r="D517" i="6" s="1"/>
  <c r="B518" i="6"/>
  <c r="D518" i="6" s="1"/>
  <c r="B519" i="6"/>
  <c r="D519" i="6" s="1"/>
  <c r="B520" i="6"/>
  <c r="D520" i="6" s="1"/>
  <c r="B521" i="6"/>
  <c r="D521" i="6" s="1"/>
  <c r="B522" i="6"/>
  <c r="D522" i="6" s="1"/>
  <c r="B523" i="6"/>
  <c r="D523" i="6" s="1"/>
  <c r="B524" i="6"/>
  <c r="D524" i="6" s="1"/>
  <c r="B525" i="6"/>
  <c r="D525" i="6" s="1"/>
  <c r="B526" i="6"/>
  <c r="D526" i="6" s="1"/>
  <c r="B527" i="6"/>
  <c r="D527" i="6" s="1"/>
  <c r="B528" i="6"/>
  <c r="D528" i="6" s="1"/>
  <c r="B529" i="6"/>
  <c r="D529" i="6" s="1"/>
  <c r="B530" i="6"/>
  <c r="D530" i="6" s="1"/>
  <c r="B531" i="6"/>
  <c r="D531" i="6" s="1"/>
  <c r="B532" i="6"/>
  <c r="D532" i="6" s="1"/>
  <c r="B533" i="6"/>
  <c r="D533" i="6" s="1"/>
  <c r="B534" i="6"/>
  <c r="D534" i="6" s="1"/>
  <c r="B535" i="6"/>
  <c r="D535" i="6" s="1"/>
  <c r="B536" i="6"/>
  <c r="D536" i="6" s="1"/>
  <c r="B537" i="6"/>
  <c r="D537" i="6" s="1"/>
  <c r="B538" i="6"/>
  <c r="D538" i="6" s="1"/>
  <c r="B539" i="6"/>
  <c r="D539" i="6" s="1"/>
  <c r="B540" i="6"/>
  <c r="D540" i="6" s="1"/>
  <c r="B541" i="6"/>
  <c r="D541" i="6" s="1"/>
  <c r="B542" i="6"/>
  <c r="D542" i="6" s="1"/>
  <c r="B543" i="6"/>
  <c r="D543" i="6" s="1"/>
  <c r="B544" i="6"/>
  <c r="D544" i="6" s="1"/>
  <c r="B545" i="6"/>
  <c r="D545" i="6" s="1"/>
  <c r="B546" i="6"/>
  <c r="D546" i="6" s="1"/>
  <c r="B547" i="6"/>
  <c r="D547" i="6" s="1"/>
  <c r="B548" i="6"/>
  <c r="D548" i="6" s="1"/>
  <c r="B549" i="6"/>
  <c r="D549" i="6" s="1"/>
  <c r="B550" i="6"/>
  <c r="D550" i="6" s="1"/>
  <c r="B551" i="6"/>
  <c r="D551" i="6" s="1"/>
  <c r="B552" i="6"/>
  <c r="D552" i="6" s="1"/>
  <c r="B553" i="6"/>
  <c r="D553" i="6" s="1"/>
  <c r="B554" i="6"/>
  <c r="D554" i="6" s="1"/>
  <c r="B555" i="6"/>
  <c r="D555" i="6" s="1"/>
  <c r="B556" i="6"/>
  <c r="D556" i="6" s="1"/>
  <c r="B557" i="6"/>
  <c r="D557" i="6" s="1"/>
  <c r="B558" i="6"/>
  <c r="D558" i="6" s="1"/>
  <c r="B559" i="6"/>
  <c r="D559" i="6" s="1"/>
  <c r="B560" i="6"/>
  <c r="D560" i="6" s="1"/>
  <c r="B561" i="6"/>
  <c r="D561" i="6" s="1"/>
  <c r="B562" i="6"/>
  <c r="D562" i="6" s="1"/>
  <c r="B563" i="6"/>
  <c r="D563" i="6" s="1"/>
  <c r="B564" i="6"/>
  <c r="D564" i="6" s="1"/>
  <c r="B565" i="6"/>
  <c r="D565" i="6" s="1"/>
  <c r="B566" i="6"/>
  <c r="D566" i="6" s="1"/>
  <c r="B567" i="6"/>
  <c r="D567" i="6" s="1"/>
  <c r="B568" i="6"/>
  <c r="D568" i="6" s="1"/>
  <c r="B569" i="6"/>
  <c r="D569" i="6" s="1"/>
  <c r="B570" i="6"/>
  <c r="D570" i="6" s="1"/>
  <c r="B571" i="6"/>
  <c r="D571" i="6" s="1"/>
  <c r="B572" i="6"/>
  <c r="D572" i="6" s="1"/>
  <c r="B573" i="6"/>
  <c r="D573" i="6" s="1"/>
  <c r="B574" i="6"/>
  <c r="D574" i="6" s="1"/>
  <c r="B575" i="6"/>
  <c r="D575" i="6" s="1"/>
  <c r="B576" i="6"/>
  <c r="D576" i="6" s="1"/>
  <c r="B577" i="6"/>
  <c r="D577" i="6" s="1"/>
  <c r="B578" i="6"/>
  <c r="D578" i="6" s="1"/>
  <c r="B579" i="6"/>
  <c r="D579" i="6" s="1"/>
  <c r="B580" i="6"/>
  <c r="D580" i="6" s="1"/>
  <c r="B581" i="6"/>
  <c r="D581" i="6" s="1"/>
  <c r="B582" i="6"/>
  <c r="D582" i="6" s="1"/>
  <c r="B583" i="6"/>
  <c r="D583" i="6" s="1"/>
  <c r="B584" i="6"/>
  <c r="D584" i="6" s="1"/>
  <c r="B585" i="6"/>
  <c r="D585" i="6" s="1"/>
  <c r="B586" i="6"/>
  <c r="D586" i="6" s="1"/>
  <c r="B587" i="6"/>
  <c r="D587" i="6" s="1"/>
  <c r="B588" i="6"/>
  <c r="D588" i="6" s="1"/>
  <c r="B589" i="6"/>
  <c r="D589" i="6" s="1"/>
  <c r="B590" i="6"/>
  <c r="D590" i="6" s="1"/>
  <c r="B591" i="6"/>
  <c r="D591" i="6" s="1"/>
  <c r="B592" i="6"/>
  <c r="D592" i="6" s="1"/>
  <c r="B593" i="6"/>
  <c r="D593" i="6" s="1"/>
  <c r="B594" i="6"/>
  <c r="D594" i="6" s="1"/>
  <c r="B595" i="6"/>
  <c r="D595" i="6" s="1"/>
  <c r="B596" i="6"/>
  <c r="D596" i="6" s="1"/>
  <c r="B597" i="6"/>
  <c r="D597" i="6" s="1"/>
  <c r="B598" i="6"/>
  <c r="D598" i="6" s="1"/>
  <c r="B599" i="6"/>
  <c r="D599" i="6" s="1"/>
  <c r="B600" i="6"/>
  <c r="D600" i="6" s="1"/>
  <c r="B601" i="6"/>
  <c r="D601" i="6" s="1"/>
  <c r="B602" i="6"/>
  <c r="D602" i="6" s="1"/>
  <c r="B603" i="6"/>
  <c r="D603" i="6" s="1"/>
  <c r="B604" i="6"/>
  <c r="D604" i="6" s="1"/>
  <c r="B605" i="6"/>
  <c r="D605" i="6" s="1"/>
  <c r="B606" i="6"/>
  <c r="D606" i="6" s="1"/>
  <c r="B607" i="6"/>
  <c r="D607" i="6" s="1"/>
  <c r="B608" i="6"/>
  <c r="D608" i="6" s="1"/>
  <c r="B609" i="6"/>
  <c r="D609" i="6" s="1"/>
  <c r="B610" i="6"/>
  <c r="D610" i="6" s="1"/>
  <c r="B611" i="6"/>
  <c r="D611" i="6" s="1"/>
  <c r="B612" i="6"/>
  <c r="D612" i="6" s="1"/>
  <c r="B613" i="6"/>
  <c r="D613" i="6" s="1"/>
  <c r="B614" i="6"/>
  <c r="D614" i="6" s="1"/>
  <c r="B615" i="6"/>
  <c r="D615" i="6" s="1"/>
  <c r="B616" i="6"/>
  <c r="D616" i="6" s="1"/>
  <c r="B617" i="6"/>
  <c r="D617" i="6" s="1"/>
  <c r="B618" i="6"/>
  <c r="D618" i="6" s="1"/>
  <c r="B619" i="6"/>
  <c r="D619" i="6" s="1"/>
  <c r="B620" i="6"/>
  <c r="D620" i="6" s="1"/>
  <c r="B621" i="6"/>
  <c r="D621" i="6" s="1"/>
  <c r="B622" i="6"/>
  <c r="D622" i="6" s="1"/>
  <c r="B623" i="6"/>
  <c r="D623" i="6" s="1"/>
  <c r="B624" i="6"/>
  <c r="D624" i="6" s="1"/>
  <c r="B625" i="6"/>
  <c r="D625" i="6" s="1"/>
  <c r="B626" i="6"/>
  <c r="D626" i="6" s="1"/>
  <c r="B627" i="6"/>
  <c r="D627" i="6" s="1"/>
  <c r="B628" i="6"/>
  <c r="D628" i="6" s="1"/>
  <c r="B629" i="6"/>
  <c r="D629" i="6" s="1"/>
  <c r="B630" i="6"/>
  <c r="D630" i="6" s="1"/>
  <c r="B631" i="6"/>
  <c r="D631" i="6" s="1"/>
  <c r="B632" i="6"/>
  <c r="D632" i="6" s="1"/>
  <c r="B633" i="6"/>
  <c r="D633" i="6" s="1"/>
  <c r="B634" i="6"/>
  <c r="D634" i="6" s="1"/>
  <c r="B635" i="6"/>
  <c r="D635" i="6" s="1"/>
  <c r="B636" i="6"/>
  <c r="D636" i="6" s="1"/>
  <c r="B637" i="6"/>
  <c r="D637" i="6" s="1"/>
  <c r="B638" i="6"/>
  <c r="D638" i="6" s="1"/>
  <c r="B639" i="6"/>
  <c r="D639" i="6" s="1"/>
  <c r="B640" i="6"/>
  <c r="D640" i="6" s="1"/>
  <c r="B641" i="6"/>
  <c r="D641" i="6" s="1"/>
  <c r="B642" i="6"/>
  <c r="D642" i="6" s="1"/>
  <c r="B643" i="6"/>
  <c r="D643" i="6" s="1"/>
  <c r="B644" i="6"/>
  <c r="D644" i="6" s="1"/>
  <c r="B645" i="6"/>
  <c r="D645" i="6" s="1"/>
  <c r="B646" i="6"/>
  <c r="D646" i="6" s="1"/>
  <c r="B647" i="6"/>
  <c r="D647" i="6" s="1"/>
  <c r="B648" i="6"/>
  <c r="D648" i="6" s="1"/>
  <c r="B649" i="6"/>
  <c r="D649" i="6" s="1"/>
  <c r="B650" i="6"/>
  <c r="D650" i="6" s="1"/>
  <c r="B651" i="6"/>
  <c r="D651" i="6" s="1"/>
  <c r="B652" i="6"/>
  <c r="D652" i="6" s="1"/>
  <c r="B653" i="6"/>
  <c r="D653" i="6" s="1"/>
  <c r="B654" i="6"/>
  <c r="D654" i="6" s="1"/>
  <c r="B655" i="6"/>
  <c r="D655" i="6" s="1"/>
  <c r="B656" i="6"/>
  <c r="D656" i="6" s="1"/>
  <c r="B657" i="6"/>
  <c r="D657" i="6" s="1"/>
  <c r="B658" i="6"/>
  <c r="D658" i="6" s="1"/>
  <c r="B659" i="6"/>
  <c r="D659" i="6" s="1"/>
  <c r="B660" i="6"/>
  <c r="D660" i="6" s="1"/>
  <c r="B661" i="6"/>
  <c r="D661" i="6" s="1"/>
  <c r="B662" i="6"/>
  <c r="D662" i="6" s="1"/>
  <c r="B663" i="6"/>
  <c r="D663" i="6" s="1"/>
  <c r="B664" i="6"/>
  <c r="D664" i="6" s="1"/>
  <c r="B665" i="6"/>
  <c r="D665" i="6" s="1"/>
  <c r="B666" i="6"/>
  <c r="D666" i="6" s="1"/>
  <c r="B667" i="6"/>
  <c r="D667" i="6" s="1"/>
  <c r="B668" i="6"/>
  <c r="D668" i="6" s="1"/>
  <c r="B669" i="6"/>
  <c r="D669" i="6" s="1"/>
  <c r="B670" i="6"/>
  <c r="D670" i="6" s="1"/>
  <c r="B671" i="6"/>
  <c r="D671" i="6" s="1"/>
  <c r="B672" i="6"/>
  <c r="D672" i="6" s="1"/>
  <c r="B673" i="6"/>
  <c r="D673" i="6" s="1"/>
  <c r="B674" i="6"/>
  <c r="D674" i="6" s="1"/>
  <c r="B675" i="6"/>
  <c r="D675" i="6" s="1"/>
  <c r="B676" i="6"/>
  <c r="D676" i="6" s="1"/>
  <c r="B677" i="6"/>
  <c r="D677" i="6" s="1"/>
  <c r="B678" i="6"/>
  <c r="D678" i="6" s="1"/>
  <c r="B679" i="6"/>
  <c r="D679" i="6" s="1"/>
  <c r="B680" i="6"/>
  <c r="D680" i="6" s="1"/>
  <c r="B681" i="6"/>
  <c r="D681" i="6" s="1"/>
  <c r="B682" i="6"/>
  <c r="D682" i="6" s="1"/>
  <c r="B683" i="6"/>
  <c r="D683" i="6" s="1"/>
  <c r="B684" i="6"/>
  <c r="D684" i="6" s="1"/>
  <c r="B685" i="6"/>
  <c r="D685" i="6" s="1"/>
  <c r="B686" i="6"/>
  <c r="D686" i="6" s="1"/>
  <c r="B687" i="6"/>
  <c r="D687" i="6" s="1"/>
  <c r="B688" i="6"/>
  <c r="D688" i="6" s="1"/>
  <c r="B689" i="6"/>
  <c r="D689" i="6" s="1"/>
  <c r="B690" i="6"/>
  <c r="D690" i="6" s="1"/>
  <c r="B691" i="6"/>
  <c r="D691" i="6" s="1"/>
  <c r="B692" i="6"/>
  <c r="D692" i="6" s="1"/>
  <c r="B693" i="6"/>
  <c r="D693" i="6" s="1"/>
  <c r="B694" i="6"/>
  <c r="D694" i="6" s="1"/>
  <c r="B695" i="6"/>
  <c r="D695" i="6" s="1"/>
  <c r="B696" i="6"/>
  <c r="D696" i="6" s="1"/>
  <c r="B697" i="6"/>
  <c r="D697" i="6" s="1"/>
  <c r="B698" i="6"/>
  <c r="D698" i="6" s="1"/>
  <c r="B699" i="6"/>
  <c r="D699" i="6" s="1"/>
  <c r="B700" i="6"/>
  <c r="D700" i="6" s="1"/>
  <c r="B701" i="6"/>
  <c r="D701" i="6" s="1"/>
  <c r="B702" i="6"/>
  <c r="D702" i="6" s="1"/>
  <c r="B703" i="6"/>
  <c r="D703" i="6" s="1"/>
  <c r="B704" i="6"/>
  <c r="D704" i="6" s="1"/>
  <c r="B705" i="6"/>
  <c r="D705" i="6" s="1"/>
  <c r="B706" i="6"/>
  <c r="D706" i="6" s="1"/>
  <c r="B707" i="6"/>
  <c r="D707" i="6" s="1"/>
  <c r="B708" i="6"/>
  <c r="D708" i="6" s="1"/>
  <c r="B709" i="6"/>
  <c r="D709" i="6" s="1"/>
  <c r="B710" i="6"/>
  <c r="D710" i="6" s="1"/>
  <c r="B711" i="6"/>
  <c r="D711" i="6" s="1"/>
  <c r="B712" i="6"/>
  <c r="D712" i="6" s="1"/>
  <c r="B713" i="6"/>
  <c r="D713" i="6" s="1"/>
  <c r="B714" i="6"/>
  <c r="D714" i="6" s="1"/>
  <c r="B715" i="6"/>
  <c r="D715" i="6" s="1"/>
  <c r="B716" i="6"/>
  <c r="D716" i="6" s="1"/>
  <c r="B717" i="6"/>
  <c r="D717" i="6" s="1"/>
  <c r="B718" i="6"/>
  <c r="D718" i="6" s="1"/>
  <c r="B719" i="6"/>
  <c r="D719" i="6" s="1"/>
  <c r="B720" i="6"/>
  <c r="D720" i="6" s="1"/>
  <c r="B721" i="6"/>
  <c r="D721" i="6" s="1"/>
  <c r="B722" i="6"/>
  <c r="D722" i="6" s="1"/>
  <c r="B723" i="6"/>
  <c r="D723" i="6" s="1"/>
  <c r="B724" i="6"/>
  <c r="D724" i="6" s="1"/>
  <c r="B725" i="6"/>
  <c r="D725" i="6" s="1"/>
  <c r="B726" i="6"/>
  <c r="D726" i="6" s="1"/>
  <c r="B727" i="6"/>
  <c r="D727" i="6" s="1"/>
  <c r="B728" i="6"/>
  <c r="D728" i="6" s="1"/>
  <c r="B729" i="6"/>
  <c r="D729" i="6" s="1"/>
  <c r="B730" i="6"/>
  <c r="D730" i="6" s="1"/>
  <c r="B731" i="6"/>
  <c r="D731" i="6" s="1"/>
  <c r="B732" i="6"/>
  <c r="D732" i="6" s="1"/>
  <c r="B733" i="6"/>
  <c r="D733" i="6" s="1"/>
  <c r="B734" i="6"/>
  <c r="D734" i="6" s="1"/>
  <c r="B735" i="6"/>
  <c r="D735" i="6" s="1"/>
  <c r="B736" i="6"/>
  <c r="D736" i="6" s="1"/>
  <c r="B737" i="6"/>
  <c r="D737" i="6" s="1"/>
  <c r="B738" i="6"/>
  <c r="D738" i="6" s="1"/>
  <c r="B739" i="6"/>
  <c r="D739" i="6" s="1"/>
  <c r="B740" i="6"/>
  <c r="D740" i="6" s="1"/>
  <c r="B741" i="6"/>
  <c r="D741" i="6" s="1"/>
  <c r="B742" i="6"/>
  <c r="D742" i="6" s="1"/>
  <c r="B743" i="6"/>
  <c r="D743" i="6" s="1"/>
  <c r="B744" i="6"/>
  <c r="D744" i="6" s="1"/>
  <c r="B745" i="6"/>
  <c r="D745" i="6" s="1"/>
  <c r="B746" i="6"/>
  <c r="D746" i="6" s="1"/>
  <c r="B747" i="6"/>
  <c r="D747" i="6" s="1"/>
  <c r="B748" i="6"/>
  <c r="D748" i="6" s="1"/>
  <c r="B749" i="6"/>
  <c r="D749" i="6" s="1"/>
  <c r="B750" i="6"/>
  <c r="D750" i="6" s="1"/>
  <c r="B751" i="6"/>
  <c r="D751" i="6" s="1"/>
  <c r="B752" i="6"/>
  <c r="D752" i="6" s="1"/>
  <c r="B753" i="6"/>
  <c r="D753" i="6" s="1"/>
  <c r="B754" i="6"/>
  <c r="D754" i="6" s="1"/>
  <c r="B755" i="6"/>
  <c r="D755" i="6" s="1"/>
  <c r="B756" i="6"/>
  <c r="D756" i="6" s="1"/>
  <c r="B757" i="6"/>
  <c r="D757" i="6" s="1"/>
  <c r="B758" i="6"/>
  <c r="D758" i="6" s="1"/>
  <c r="B759" i="6"/>
  <c r="D759" i="6" s="1"/>
  <c r="B760" i="6"/>
  <c r="D760" i="6" s="1"/>
  <c r="B761" i="6"/>
  <c r="D761" i="6" s="1"/>
  <c r="B762" i="6"/>
  <c r="D762" i="6" s="1"/>
  <c r="B763" i="6"/>
  <c r="D763" i="6" s="1"/>
  <c r="B764" i="6"/>
  <c r="D764" i="6" s="1"/>
  <c r="B765" i="6"/>
  <c r="D765" i="6" s="1"/>
  <c r="B766" i="6"/>
  <c r="D766" i="6" s="1"/>
  <c r="B767" i="6"/>
  <c r="D767" i="6" s="1"/>
  <c r="B768" i="6"/>
  <c r="D768" i="6" s="1"/>
  <c r="B769" i="6"/>
  <c r="D769" i="6" s="1"/>
  <c r="B770" i="6"/>
  <c r="D770" i="6" s="1"/>
  <c r="B771" i="6"/>
  <c r="D771" i="6" s="1"/>
  <c r="B772" i="6"/>
  <c r="D772" i="6" s="1"/>
  <c r="B773" i="6"/>
  <c r="D773" i="6" s="1"/>
  <c r="B774" i="6"/>
  <c r="D774" i="6" s="1"/>
  <c r="B775" i="6"/>
  <c r="D775" i="6" s="1"/>
  <c r="B776" i="6"/>
  <c r="D776" i="6" s="1"/>
  <c r="B777" i="6"/>
  <c r="D777" i="6" s="1"/>
  <c r="B778" i="6"/>
  <c r="D778" i="6" s="1"/>
  <c r="B779" i="6"/>
  <c r="D779" i="6" s="1"/>
  <c r="B780" i="6"/>
  <c r="D780" i="6" s="1"/>
  <c r="B781" i="6"/>
  <c r="D781" i="6" s="1"/>
  <c r="B782" i="6"/>
  <c r="D782" i="6" s="1"/>
  <c r="B783" i="6"/>
  <c r="D783" i="6" s="1"/>
  <c r="B784" i="6"/>
  <c r="D784" i="6" s="1"/>
  <c r="B785" i="6"/>
  <c r="D785" i="6" s="1"/>
  <c r="B786" i="6"/>
  <c r="D786" i="6" s="1"/>
  <c r="B787" i="6"/>
  <c r="D787" i="6" s="1"/>
  <c r="B788" i="6"/>
  <c r="D788" i="6" s="1"/>
  <c r="B789" i="6"/>
  <c r="D789" i="6" s="1"/>
  <c r="B790" i="6"/>
  <c r="D790" i="6" s="1"/>
  <c r="B791" i="6"/>
  <c r="D791" i="6" s="1"/>
  <c r="B792" i="6"/>
  <c r="D792" i="6" s="1"/>
  <c r="B793" i="6"/>
  <c r="D793" i="6" s="1"/>
  <c r="B794" i="6"/>
  <c r="D794" i="6" s="1"/>
  <c r="B795" i="6"/>
  <c r="D795" i="6" s="1"/>
  <c r="B796" i="6"/>
  <c r="D796" i="6" s="1"/>
  <c r="B797" i="6"/>
  <c r="D797" i="6" s="1"/>
  <c r="B798" i="6"/>
  <c r="D798" i="6" s="1"/>
  <c r="B799" i="6"/>
  <c r="D799" i="6" s="1"/>
  <c r="B800" i="6"/>
  <c r="D800" i="6" s="1"/>
  <c r="B801" i="6"/>
  <c r="D801" i="6" s="1"/>
  <c r="B802" i="6"/>
  <c r="D802" i="6" s="1"/>
  <c r="B803" i="6"/>
  <c r="D803" i="6" s="1"/>
  <c r="B804" i="6"/>
  <c r="D804" i="6" s="1"/>
  <c r="B805" i="6"/>
  <c r="D805" i="6" s="1"/>
  <c r="B806" i="6"/>
  <c r="D806" i="6" s="1"/>
  <c r="B807" i="6"/>
  <c r="D807" i="6" s="1"/>
  <c r="B808" i="6"/>
  <c r="D808" i="6" s="1"/>
  <c r="B809" i="6"/>
  <c r="D809" i="6" s="1"/>
  <c r="B810" i="6"/>
  <c r="D810" i="6" s="1"/>
  <c r="B811" i="6"/>
  <c r="D811" i="6" s="1"/>
  <c r="B812" i="6"/>
  <c r="D812" i="6" s="1"/>
  <c r="B813" i="6"/>
  <c r="D813" i="6" s="1"/>
  <c r="B814" i="6"/>
  <c r="D814" i="6" s="1"/>
  <c r="B815" i="6"/>
  <c r="D815" i="6" s="1"/>
  <c r="B816" i="6"/>
  <c r="D816" i="6" s="1"/>
  <c r="B817" i="6"/>
  <c r="D817" i="6" s="1"/>
  <c r="B818" i="6"/>
  <c r="D818" i="6" s="1"/>
  <c r="B819" i="6"/>
  <c r="D819" i="6" s="1"/>
  <c r="B820" i="6"/>
  <c r="D820" i="6" s="1"/>
  <c r="B821" i="6"/>
  <c r="D821" i="6" s="1"/>
  <c r="B822" i="6"/>
  <c r="D822" i="6" s="1"/>
  <c r="B823" i="6"/>
  <c r="D823" i="6" s="1"/>
  <c r="B824" i="6"/>
  <c r="D824" i="6" s="1"/>
  <c r="B825" i="6"/>
  <c r="D825" i="6" s="1"/>
  <c r="B826" i="6"/>
  <c r="D826" i="6" s="1"/>
  <c r="B827" i="6"/>
  <c r="D827" i="6" s="1"/>
  <c r="B828" i="6"/>
  <c r="D828" i="6" s="1"/>
  <c r="B829" i="6"/>
  <c r="D829" i="6" s="1"/>
  <c r="B830" i="6"/>
  <c r="D830" i="6" s="1"/>
  <c r="B831" i="6"/>
  <c r="D831" i="6" s="1"/>
  <c r="B832" i="6"/>
  <c r="D832" i="6" s="1"/>
  <c r="B833" i="6"/>
  <c r="D833" i="6" s="1"/>
  <c r="B834" i="6"/>
  <c r="D834" i="6" s="1"/>
  <c r="B835" i="6"/>
  <c r="D835" i="6" s="1"/>
  <c r="B836" i="6"/>
  <c r="D836" i="6" s="1"/>
  <c r="B837" i="6"/>
  <c r="D837" i="6" s="1"/>
  <c r="B838" i="6"/>
  <c r="D838" i="6" s="1"/>
  <c r="B839" i="6"/>
  <c r="D839" i="6" s="1"/>
  <c r="B840" i="6"/>
  <c r="D840" i="6" s="1"/>
  <c r="B841" i="6"/>
  <c r="D841" i="6" s="1"/>
  <c r="B842" i="6"/>
  <c r="D842" i="6" s="1"/>
  <c r="B843" i="6"/>
  <c r="D843" i="6" s="1"/>
  <c r="B844" i="6"/>
  <c r="D844" i="6" s="1"/>
  <c r="B845" i="6"/>
  <c r="D845" i="6" s="1"/>
  <c r="B846" i="6"/>
  <c r="D846" i="6" s="1"/>
  <c r="B847" i="6"/>
  <c r="D847" i="6" s="1"/>
  <c r="B848" i="6"/>
  <c r="D848" i="6" s="1"/>
  <c r="B849" i="6"/>
  <c r="D849" i="6" s="1"/>
  <c r="B850" i="6"/>
  <c r="D850" i="6" s="1"/>
  <c r="B851" i="6"/>
  <c r="D851" i="6" s="1"/>
  <c r="B852" i="6"/>
  <c r="D852" i="6" s="1"/>
  <c r="B853" i="6"/>
  <c r="D853" i="6" s="1"/>
  <c r="B854" i="6"/>
  <c r="D854" i="6" s="1"/>
  <c r="B855" i="6"/>
  <c r="D855" i="6" s="1"/>
  <c r="B856" i="6"/>
  <c r="D856" i="6" s="1"/>
  <c r="B857" i="6"/>
  <c r="D857" i="6" s="1"/>
  <c r="B858" i="6"/>
  <c r="D858" i="6" s="1"/>
  <c r="B859" i="6"/>
  <c r="D859" i="6" s="1"/>
  <c r="B860" i="6"/>
  <c r="D860" i="6" s="1"/>
  <c r="B861" i="6"/>
  <c r="D861" i="6" s="1"/>
  <c r="B862" i="6"/>
  <c r="D862" i="6" s="1"/>
  <c r="B863" i="6"/>
  <c r="D863" i="6" s="1"/>
  <c r="B864" i="6"/>
  <c r="D864" i="6" s="1"/>
  <c r="B865" i="6"/>
  <c r="D865" i="6" s="1"/>
  <c r="B866" i="6"/>
  <c r="D866" i="6" s="1"/>
  <c r="B867" i="6"/>
  <c r="D867" i="6" s="1"/>
  <c r="B868" i="6"/>
  <c r="D868" i="6" s="1"/>
  <c r="B869" i="6"/>
  <c r="D869" i="6" s="1"/>
  <c r="B870" i="6"/>
  <c r="D870" i="6" s="1"/>
  <c r="B871" i="6"/>
  <c r="D871" i="6" s="1"/>
  <c r="B872" i="6"/>
  <c r="D872" i="6" s="1"/>
  <c r="B873" i="6"/>
  <c r="D873" i="6" s="1"/>
  <c r="B874" i="6"/>
  <c r="D874" i="6" s="1"/>
  <c r="B875" i="6"/>
  <c r="D875" i="6" s="1"/>
  <c r="B876" i="6"/>
  <c r="D876" i="6" s="1"/>
  <c r="B877" i="6"/>
  <c r="D877" i="6" s="1"/>
  <c r="B878" i="6"/>
  <c r="D878" i="6" s="1"/>
  <c r="B879" i="6"/>
  <c r="D879" i="6" s="1"/>
  <c r="B880" i="6"/>
  <c r="D880" i="6" s="1"/>
  <c r="B881" i="6"/>
  <c r="D881" i="6" s="1"/>
  <c r="B882" i="6"/>
  <c r="D882" i="6" s="1"/>
  <c r="B883" i="6"/>
  <c r="D883" i="6" s="1"/>
  <c r="B884" i="6"/>
  <c r="D884" i="6" s="1"/>
  <c r="B885" i="6"/>
  <c r="D885" i="6" s="1"/>
  <c r="B886" i="6"/>
  <c r="D886" i="6" s="1"/>
  <c r="B887" i="6"/>
  <c r="D887" i="6" s="1"/>
  <c r="B888" i="6"/>
  <c r="D888" i="6" s="1"/>
  <c r="B889" i="6"/>
  <c r="D889" i="6" s="1"/>
  <c r="B890" i="6"/>
  <c r="D890" i="6" s="1"/>
  <c r="B891" i="6"/>
  <c r="D891" i="6" s="1"/>
  <c r="B892" i="6"/>
  <c r="D892" i="6" s="1"/>
  <c r="B893" i="6"/>
  <c r="D893" i="6" s="1"/>
  <c r="B894" i="6"/>
  <c r="D894" i="6" s="1"/>
  <c r="B895" i="6"/>
  <c r="D895" i="6" s="1"/>
  <c r="B896" i="6"/>
  <c r="D896" i="6" s="1"/>
  <c r="B897" i="6"/>
  <c r="D897" i="6" s="1"/>
  <c r="B898" i="6"/>
  <c r="D898" i="6" s="1"/>
  <c r="B899" i="6"/>
  <c r="D899" i="6" s="1"/>
  <c r="B900" i="6"/>
  <c r="D900" i="6" s="1"/>
  <c r="B901" i="6"/>
  <c r="D901" i="6" s="1"/>
  <c r="B902" i="6"/>
  <c r="D902" i="6" s="1"/>
  <c r="B903" i="6"/>
  <c r="D903" i="6" s="1"/>
  <c r="B904" i="6"/>
  <c r="D904" i="6" s="1"/>
  <c r="B905" i="6"/>
  <c r="D905" i="6" s="1"/>
  <c r="B906" i="6"/>
  <c r="D906" i="6" s="1"/>
  <c r="B907" i="6"/>
  <c r="D907" i="6" s="1"/>
  <c r="B908" i="6"/>
  <c r="D908" i="6" s="1"/>
  <c r="B909" i="6"/>
  <c r="D909" i="6" s="1"/>
  <c r="B910" i="6"/>
  <c r="D910" i="6" s="1"/>
  <c r="B911" i="6"/>
  <c r="D911" i="6" s="1"/>
  <c r="B912" i="6"/>
  <c r="D912" i="6" s="1"/>
  <c r="B913" i="6"/>
  <c r="D913" i="6" s="1"/>
  <c r="B914" i="6"/>
  <c r="D914" i="6" s="1"/>
  <c r="B915" i="6"/>
  <c r="D915" i="6" s="1"/>
  <c r="B916" i="6"/>
  <c r="D916" i="6" s="1"/>
  <c r="B917" i="6"/>
  <c r="D917" i="6" s="1"/>
  <c r="B918" i="6"/>
  <c r="D918" i="6" s="1"/>
  <c r="B919" i="6"/>
  <c r="D919" i="6" s="1"/>
  <c r="B920" i="6"/>
  <c r="D920" i="6" s="1"/>
  <c r="B921" i="6"/>
  <c r="D921" i="6" s="1"/>
  <c r="B922" i="6"/>
  <c r="D922" i="6" s="1"/>
  <c r="B923" i="6"/>
  <c r="D923" i="6" s="1"/>
  <c r="B924" i="6"/>
  <c r="D924" i="6" s="1"/>
  <c r="B925" i="6"/>
  <c r="D925" i="6" s="1"/>
  <c r="B926" i="6"/>
  <c r="D926" i="6" s="1"/>
  <c r="B927" i="6"/>
  <c r="D927" i="6" s="1"/>
  <c r="B928" i="6"/>
  <c r="D928" i="6" s="1"/>
  <c r="B929" i="6"/>
  <c r="D929" i="6" s="1"/>
  <c r="B930" i="6"/>
  <c r="D930" i="6" s="1"/>
  <c r="B931" i="6"/>
  <c r="D931" i="6" s="1"/>
  <c r="B932" i="6"/>
  <c r="D932" i="6" s="1"/>
  <c r="B933" i="6"/>
  <c r="D933" i="6" s="1"/>
  <c r="B934" i="6"/>
  <c r="D934" i="6" s="1"/>
  <c r="B935" i="6"/>
  <c r="D935" i="6" s="1"/>
  <c r="B936" i="6"/>
  <c r="D936" i="6" s="1"/>
  <c r="B937" i="6"/>
  <c r="D937" i="6" s="1"/>
  <c r="B938" i="6"/>
  <c r="D938" i="6" s="1"/>
  <c r="B939" i="6"/>
  <c r="D939" i="6" s="1"/>
  <c r="B940" i="6"/>
  <c r="D940" i="6" s="1"/>
  <c r="B941" i="6"/>
  <c r="D941" i="6" s="1"/>
  <c r="B942" i="6"/>
  <c r="D942" i="6" s="1"/>
  <c r="B943" i="6"/>
  <c r="D943" i="6" s="1"/>
  <c r="B944" i="6"/>
  <c r="D944" i="6" s="1"/>
  <c r="B945" i="6"/>
  <c r="D945" i="6" s="1"/>
  <c r="B946" i="6"/>
  <c r="D946" i="6" s="1"/>
  <c r="B947" i="6"/>
  <c r="D947" i="6" s="1"/>
  <c r="B948" i="6"/>
  <c r="D948" i="6" s="1"/>
  <c r="B949" i="6"/>
  <c r="D949" i="6" s="1"/>
  <c r="B950" i="6"/>
  <c r="D950" i="6" s="1"/>
  <c r="B951" i="6"/>
  <c r="D951" i="6" s="1"/>
  <c r="B952" i="6"/>
  <c r="D952" i="6" s="1"/>
  <c r="B953" i="6"/>
  <c r="D953" i="6" s="1"/>
  <c r="B954" i="6"/>
  <c r="D954" i="6" s="1"/>
  <c r="B955" i="6"/>
  <c r="D955" i="6" s="1"/>
  <c r="B956" i="6"/>
  <c r="D956" i="6" s="1"/>
  <c r="B957" i="6"/>
  <c r="D957" i="6" s="1"/>
  <c r="B958" i="6"/>
  <c r="D958" i="6" s="1"/>
  <c r="B959" i="6"/>
  <c r="D959" i="6" s="1"/>
  <c r="B960" i="6"/>
  <c r="D960" i="6" s="1"/>
  <c r="B961" i="6"/>
  <c r="D961" i="6" s="1"/>
  <c r="B962" i="6"/>
  <c r="D962" i="6" s="1"/>
  <c r="B963" i="6"/>
  <c r="D963" i="6" s="1"/>
  <c r="B964" i="6"/>
  <c r="D964" i="6" s="1"/>
  <c r="B965" i="6"/>
  <c r="D965" i="6" s="1"/>
  <c r="B966" i="6"/>
  <c r="D966" i="6" s="1"/>
  <c r="B967" i="6"/>
  <c r="D967" i="6" s="1"/>
  <c r="B968" i="6"/>
  <c r="D968" i="6" s="1"/>
  <c r="B969" i="6"/>
  <c r="D969" i="6" s="1"/>
  <c r="B970" i="6"/>
  <c r="D970" i="6" s="1"/>
  <c r="B971" i="6"/>
  <c r="D971" i="6" s="1"/>
  <c r="B972" i="6"/>
  <c r="D972" i="6" s="1"/>
  <c r="B973" i="6"/>
  <c r="D973" i="6" s="1"/>
  <c r="B974" i="6"/>
  <c r="D974" i="6" s="1"/>
  <c r="B975" i="6"/>
  <c r="D975" i="6" s="1"/>
  <c r="B976" i="6"/>
  <c r="D976" i="6" s="1"/>
  <c r="B977" i="6"/>
  <c r="D977" i="6" s="1"/>
  <c r="B978" i="6"/>
  <c r="D978" i="6" s="1"/>
  <c r="B979" i="6"/>
  <c r="D979" i="6" s="1"/>
  <c r="B980" i="6"/>
  <c r="D980" i="6" s="1"/>
  <c r="B981" i="6"/>
  <c r="D981" i="6" s="1"/>
  <c r="B982" i="6"/>
  <c r="D982" i="6" s="1"/>
  <c r="B983" i="6"/>
  <c r="D983" i="6" s="1"/>
  <c r="B984" i="6"/>
  <c r="D984" i="6" s="1"/>
  <c r="B985" i="6"/>
  <c r="D985" i="6" s="1"/>
  <c r="B986" i="6"/>
  <c r="D986" i="6" s="1"/>
  <c r="B987" i="6"/>
  <c r="D987" i="6" s="1"/>
  <c r="B988" i="6"/>
  <c r="D988" i="6" s="1"/>
  <c r="B989" i="6"/>
  <c r="D989" i="6" s="1"/>
  <c r="B990" i="6"/>
  <c r="D990" i="6" s="1"/>
  <c r="B991" i="6"/>
  <c r="D991" i="6" s="1"/>
  <c r="B992" i="6"/>
  <c r="D992" i="6" s="1"/>
  <c r="B993" i="6"/>
  <c r="D993" i="6" s="1"/>
  <c r="B994" i="6"/>
  <c r="D994" i="6" s="1"/>
  <c r="B995" i="6"/>
  <c r="D995" i="6" s="1"/>
  <c r="B996" i="6"/>
  <c r="D996" i="6" s="1"/>
  <c r="B997" i="6"/>
  <c r="D997" i="6" s="1"/>
  <c r="B998" i="6"/>
  <c r="D998" i="6" s="1"/>
  <c r="B999" i="6"/>
  <c r="D999" i="6" s="1"/>
  <c r="B1000" i="6"/>
  <c r="D1000" i="6" s="1"/>
  <c r="B2" i="8"/>
  <c r="D2" i="8" s="1"/>
  <c r="B3" i="8"/>
  <c r="D3" i="8" s="1"/>
  <c r="B4" i="8"/>
  <c r="D4" i="8" s="1"/>
  <c r="B5" i="8"/>
  <c r="D5" i="8" s="1"/>
  <c r="B6" i="8"/>
  <c r="D6" i="8" s="1"/>
  <c r="B7" i="8"/>
  <c r="D7" i="8" s="1"/>
  <c r="B8" i="8"/>
  <c r="D8" i="8" s="1"/>
  <c r="B9" i="8"/>
  <c r="D9" i="8" s="1"/>
  <c r="B10" i="8"/>
  <c r="D10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2" i="8"/>
  <c r="D32" i="8" s="1"/>
  <c r="B33" i="8"/>
  <c r="D33" i="8" s="1"/>
  <c r="B34" i="8"/>
  <c r="D34" i="8" s="1"/>
  <c r="B35" i="8"/>
  <c r="D35" i="8" s="1"/>
  <c r="B36" i="8"/>
  <c r="D36" i="8" s="1"/>
  <c r="B37" i="8"/>
  <c r="D37" i="8" s="1"/>
  <c r="B38" i="8"/>
  <c r="D38" i="8" s="1"/>
  <c r="B39" i="8"/>
  <c r="D39" i="8" s="1"/>
  <c r="B40" i="8"/>
  <c r="D40" i="8" s="1"/>
  <c r="B41" i="8"/>
  <c r="D41" i="8" s="1"/>
  <c r="B42" i="8"/>
  <c r="D42" i="8" s="1"/>
  <c r="B43" i="8"/>
  <c r="D43" i="8" s="1"/>
  <c r="B44" i="8"/>
  <c r="D44" i="8" s="1"/>
  <c r="B45" i="8"/>
  <c r="D45" i="8" s="1"/>
  <c r="B46" i="8"/>
  <c r="D46" i="8" s="1"/>
  <c r="B47" i="8"/>
  <c r="D47" i="8" s="1"/>
  <c r="B48" i="8"/>
  <c r="D48" i="8" s="1"/>
  <c r="B49" i="8"/>
  <c r="D49" i="8" s="1"/>
  <c r="B50" i="8"/>
  <c r="D50" i="8" s="1"/>
  <c r="B51" i="8"/>
  <c r="D51" i="8" s="1"/>
  <c r="B52" i="8"/>
  <c r="D52" i="8" s="1"/>
  <c r="B53" i="8"/>
  <c r="D53" i="8" s="1"/>
  <c r="B54" i="8"/>
  <c r="D54" i="8" s="1"/>
  <c r="B55" i="8"/>
  <c r="D55" i="8" s="1"/>
  <c r="B56" i="8"/>
  <c r="D56" i="8" s="1"/>
  <c r="B57" i="8"/>
  <c r="D57" i="8" s="1"/>
  <c r="B58" i="8"/>
  <c r="D58" i="8" s="1"/>
  <c r="B59" i="8"/>
  <c r="D59" i="8" s="1"/>
  <c r="B60" i="8"/>
  <c r="D60" i="8" s="1"/>
  <c r="B61" i="8"/>
  <c r="D61" i="8" s="1"/>
  <c r="B62" i="8"/>
  <c r="D62" i="8" s="1"/>
  <c r="B63" i="8"/>
  <c r="D63" i="8" s="1"/>
  <c r="B64" i="8"/>
  <c r="D64" i="8" s="1"/>
  <c r="B65" i="8"/>
  <c r="D65" i="8" s="1"/>
  <c r="B66" i="8"/>
  <c r="D66" i="8" s="1"/>
  <c r="B67" i="8"/>
  <c r="D67" i="8" s="1"/>
  <c r="B68" i="8"/>
  <c r="D68" i="8" s="1"/>
  <c r="B69" i="8"/>
  <c r="D69" i="8" s="1"/>
  <c r="B70" i="8"/>
  <c r="D70" i="8" s="1"/>
  <c r="B71" i="8"/>
  <c r="D71" i="8" s="1"/>
  <c r="B72" i="8"/>
  <c r="D72" i="8" s="1"/>
  <c r="B73" i="8"/>
  <c r="D73" i="8" s="1"/>
  <c r="B74" i="8"/>
  <c r="D74" i="8" s="1"/>
  <c r="B75" i="8"/>
  <c r="D75" i="8" s="1"/>
  <c r="B76" i="8"/>
  <c r="D76" i="8" s="1"/>
  <c r="B77" i="8"/>
  <c r="D77" i="8" s="1"/>
  <c r="B78" i="8"/>
  <c r="D78" i="8" s="1"/>
  <c r="B79" i="8"/>
  <c r="D79" i="8" s="1"/>
  <c r="B80" i="8"/>
  <c r="D80" i="8" s="1"/>
  <c r="B81" i="8"/>
  <c r="D81" i="8" s="1"/>
  <c r="B82" i="8"/>
  <c r="D82" i="8" s="1"/>
  <c r="B83" i="8"/>
  <c r="D83" i="8" s="1"/>
  <c r="B84" i="8"/>
  <c r="D84" i="8" s="1"/>
  <c r="B85" i="8"/>
  <c r="D85" i="8" s="1"/>
  <c r="B86" i="8"/>
  <c r="D86" i="8" s="1"/>
  <c r="B87" i="8"/>
  <c r="D87" i="8" s="1"/>
  <c r="B88" i="8"/>
  <c r="D88" i="8" s="1"/>
  <c r="B89" i="8"/>
  <c r="D89" i="8" s="1"/>
  <c r="B90" i="8"/>
  <c r="D90" i="8" s="1"/>
  <c r="B91" i="8"/>
  <c r="D91" i="8" s="1"/>
  <c r="B92" i="8"/>
  <c r="D92" i="8" s="1"/>
  <c r="B93" i="8"/>
  <c r="D93" i="8" s="1"/>
  <c r="B94" i="8"/>
  <c r="D94" i="8" s="1"/>
  <c r="B95" i="8"/>
  <c r="D95" i="8" s="1"/>
  <c r="B96" i="8"/>
  <c r="D96" i="8" s="1"/>
  <c r="B97" i="8"/>
  <c r="D97" i="8" s="1"/>
  <c r="B98" i="8"/>
  <c r="D98" i="8" s="1"/>
  <c r="B99" i="8"/>
  <c r="D99" i="8" s="1"/>
  <c r="B100" i="8"/>
  <c r="D100" i="8" s="1"/>
  <c r="B101" i="8"/>
  <c r="D101" i="8" s="1"/>
  <c r="B102" i="8"/>
  <c r="D102" i="8" s="1"/>
  <c r="B103" i="8"/>
  <c r="D103" i="8" s="1"/>
  <c r="B104" i="8"/>
  <c r="D104" i="8" s="1"/>
  <c r="B105" i="8"/>
  <c r="D105" i="8" s="1"/>
  <c r="B106" i="8"/>
  <c r="D106" i="8" s="1"/>
  <c r="B107" i="8"/>
  <c r="D107" i="8" s="1"/>
  <c r="B108" i="8"/>
  <c r="D108" i="8" s="1"/>
  <c r="B109" i="8"/>
  <c r="D109" i="8" s="1"/>
  <c r="B110" i="8"/>
  <c r="D110" i="8" s="1"/>
  <c r="B111" i="8"/>
  <c r="D111" i="8" s="1"/>
  <c r="B112" i="8"/>
  <c r="D112" i="8" s="1"/>
  <c r="B113" i="8"/>
  <c r="D113" i="8" s="1"/>
  <c r="B114" i="8"/>
  <c r="D114" i="8" s="1"/>
  <c r="B115" i="8"/>
  <c r="D115" i="8" s="1"/>
  <c r="B116" i="8"/>
  <c r="D116" i="8" s="1"/>
  <c r="B117" i="8"/>
  <c r="D117" i="8" s="1"/>
  <c r="B118" i="8"/>
  <c r="D118" i="8" s="1"/>
  <c r="B119" i="8"/>
  <c r="D119" i="8" s="1"/>
  <c r="B120" i="8"/>
  <c r="D120" i="8" s="1"/>
  <c r="B121" i="8"/>
  <c r="D121" i="8" s="1"/>
  <c r="B122" i="8"/>
  <c r="D122" i="8" s="1"/>
  <c r="B123" i="8"/>
  <c r="D123" i="8" s="1"/>
  <c r="B124" i="8"/>
  <c r="D124" i="8" s="1"/>
  <c r="B125" i="8"/>
  <c r="D125" i="8" s="1"/>
  <c r="B126" i="8"/>
  <c r="D126" i="8" s="1"/>
  <c r="B127" i="8"/>
  <c r="D127" i="8" s="1"/>
  <c r="B128" i="8"/>
  <c r="D128" i="8" s="1"/>
  <c r="B129" i="8"/>
  <c r="D129" i="8" s="1"/>
  <c r="B130" i="8"/>
  <c r="D130" i="8" s="1"/>
  <c r="B131" i="8"/>
  <c r="D131" i="8" s="1"/>
  <c r="B132" i="8"/>
  <c r="D132" i="8" s="1"/>
  <c r="B133" i="8"/>
  <c r="D133" i="8" s="1"/>
  <c r="B134" i="8"/>
  <c r="D134" i="8" s="1"/>
  <c r="B135" i="8"/>
  <c r="D135" i="8" s="1"/>
  <c r="B136" i="8"/>
  <c r="D136" i="8" s="1"/>
  <c r="B137" i="8"/>
  <c r="D137" i="8" s="1"/>
  <c r="B138" i="8"/>
  <c r="D138" i="8" s="1"/>
  <c r="B139" i="8"/>
  <c r="D139" i="8" s="1"/>
  <c r="B140" i="8"/>
  <c r="D140" i="8" s="1"/>
  <c r="B141" i="8"/>
  <c r="D141" i="8" s="1"/>
  <c r="B142" i="8"/>
  <c r="D142" i="8" s="1"/>
  <c r="B143" i="8"/>
  <c r="D143" i="8" s="1"/>
  <c r="B144" i="8"/>
  <c r="D144" i="8" s="1"/>
  <c r="B145" i="8"/>
  <c r="D145" i="8" s="1"/>
  <c r="B146" i="8"/>
  <c r="D146" i="8" s="1"/>
  <c r="B147" i="8"/>
  <c r="D147" i="8" s="1"/>
  <c r="B148" i="8"/>
  <c r="D148" i="8" s="1"/>
  <c r="B149" i="8"/>
  <c r="D149" i="8" s="1"/>
  <c r="B150" i="8"/>
  <c r="D150" i="8" s="1"/>
  <c r="B151" i="8"/>
  <c r="D151" i="8" s="1"/>
  <c r="B152" i="8"/>
  <c r="D152" i="8" s="1"/>
  <c r="B153" i="8"/>
  <c r="D153" i="8" s="1"/>
  <c r="B154" i="8"/>
  <c r="D154" i="8" s="1"/>
  <c r="B155" i="8"/>
  <c r="D155" i="8" s="1"/>
  <c r="B156" i="8"/>
  <c r="D156" i="8" s="1"/>
  <c r="B157" i="8"/>
  <c r="D157" i="8" s="1"/>
  <c r="B158" i="8"/>
  <c r="D158" i="8" s="1"/>
  <c r="B159" i="8"/>
  <c r="D159" i="8" s="1"/>
  <c r="B160" i="8"/>
  <c r="D160" i="8" s="1"/>
  <c r="B161" i="8"/>
  <c r="D161" i="8" s="1"/>
  <c r="B162" i="8"/>
  <c r="D162" i="8" s="1"/>
  <c r="B163" i="8"/>
  <c r="D163" i="8" s="1"/>
  <c r="B164" i="8"/>
  <c r="D164" i="8" s="1"/>
  <c r="B165" i="8"/>
  <c r="D165" i="8" s="1"/>
  <c r="B166" i="8"/>
  <c r="D166" i="8" s="1"/>
  <c r="B167" i="8"/>
  <c r="D167" i="8" s="1"/>
  <c r="B168" i="8"/>
  <c r="D168" i="8" s="1"/>
  <c r="B169" i="8"/>
  <c r="D169" i="8" s="1"/>
  <c r="B170" i="8"/>
  <c r="D170" i="8" s="1"/>
  <c r="B171" i="8"/>
  <c r="D171" i="8" s="1"/>
  <c r="B172" i="8"/>
  <c r="D172" i="8" s="1"/>
  <c r="B173" i="8"/>
  <c r="D173" i="8" s="1"/>
  <c r="B174" i="8"/>
  <c r="D174" i="8" s="1"/>
  <c r="B175" i="8"/>
  <c r="D175" i="8" s="1"/>
  <c r="B176" i="8"/>
  <c r="D176" i="8" s="1"/>
  <c r="B177" i="8"/>
  <c r="D177" i="8" s="1"/>
  <c r="B178" i="8"/>
  <c r="D178" i="8" s="1"/>
  <c r="B179" i="8"/>
  <c r="D179" i="8" s="1"/>
  <c r="B180" i="8"/>
  <c r="D180" i="8" s="1"/>
  <c r="B181" i="8"/>
  <c r="D181" i="8" s="1"/>
  <c r="B182" i="8"/>
  <c r="D182" i="8" s="1"/>
  <c r="B183" i="8"/>
  <c r="D183" i="8" s="1"/>
  <c r="B184" i="8"/>
  <c r="D184" i="8" s="1"/>
  <c r="B185" i="8"/>
  <c r="D185" i="8" s="1"/>
  <c r="B186" i="8"/>
  <c r="D186" i="8" s="1"/>
  <c r="B187" i="8"/>
  <c r="D187" i="8" s="1"/>
  <c r="B188" i="8"/>
  <c r="D188" i="8" s="1"/>
  <c r="B189" i="8"/>
  <c r="D189" i="8" s="1"/>
  <c r="B190" i="8"/>
  <c r="D190" i="8" s="1"/>
  <c r="B191" i="8"/>
  <c r="D191" i="8" s="1"/>
  <c r="B192" i="8"/>
  <c r="D192" i="8" s="1"/>
  <c r="B193" i="8"/>
  <c r="D193" i="8" s="1"/>
  <c r="B194" i="8"/>
  <c r="D194" i="8" s="1"/>
  <c r="B195" i="8"/>
  <c r="D195" i="8" s="1"/>
  <c r="B196" i="8"/>
  <c r="D196" i="8" s="1"/>
  <c r="B197" i="8"/>
  <c r="D197" i="8" s="1"/>
  <c r="B198" i="8"/>
  <c r="D198" i="8" s="1"/>
  <c r="B199" i="8"/>
  <c r="D199" i="8" s="1"/>
  <c r="B200" i="8"/>
  <c r="D200" i="8" s="1"/>
  <c r="B201" i="8"/>
  <c r="D201" i="8" s="1"/>
  <c r="B202" i="8"/>
  <c r="D202" i="8" s="1"/>
  <c r="B203" i="8"/>
  <c r="D203" i="8" s="1"/>
  <c r="B204" i="8"/>
  <c r="D204" i="8" s="1"/>
  <c r="B205" i="8"/>
  <c r="D205" i="8" s="1"/>
  <c r="B206" i="8"/>
  <c r="D206" i="8" s="1"/>
  <c r="B207" i="8"/>
  <c r="D207" i="8" s="1"/>
  <c r="B208" i="8"/>
  <c r="D208" i="8" s="1"/>
  <c r="B209" i="8"/>
  <c r="D209" i="8" s="1"/>
  <c r="B210" i="8"/>
  <c r="D210" i="8" s="1"/>
  <c r="B211" i="8"/>
  <c r="D211" i="8" s="1"/>
  <c r="B212" i="8"/>
  <c r="D212" i="8" s="1"/>
  <c r="B213" i="8"/>
  <c r="D213" i="8" s="1"/>
  <c r="B214" i="8"/>
  <c r="D214" i="8" s="1"/>
  <c r="B215" i="8"/>
  <c r="D215" i="8" s="1"/>
  <c r="B216" i="8"/>
  <c r="D216" i="8" s="1"/>
  <c r="B217" i="8"/>
  <c r="D217" i="8" s="1"/>
  <c r="B218" i="8"/>
  <c r="D218" i="8" s="1"/>
  <c r="B219" i="8"/>
  <c r="D219" i="8" s="1"/>
  <c r="B220" i="8"/>
  <c r="D220" i="8" s="1"/>
  <c r="B221" i="8"/>
  <c r="D221" i="8" s="1"/>
  <c r="B222" i="8"/>
  <c r="D222" i="8" s="1"/>
  <c r="B223" i="8"/>
  <c r="D223" i="8" s="1"/>
  <c r="B224" i="8"/>
  <c r="D224" i="8" s="1"/>
  <c r="B225" i="8"/>
  <c r="D225" i="8" s="1"/>
  <c r="B226" i="8"/>
  <c r="D226" i="8" s="1"/>
  <c r="B227" i="8"/>
  <c r="D227" i="8" s="1"/>
  <c r="B228" i="8"/>
  <c r="D228" i="8" s="1"/>
  <c r="B229" i="8"/>
  <c r="D229" i="8" s="1"/>
  <c r="B230" i="8"/>
  <c r="D230" i="8" s="1"/>
  <c r="B231" i="8"/>
  <c r="D231" i="8" s="1"/>
  <c r="B232" i="8"/>
  <c r="D232" i="8" s="1"/>
  <c r="B233" i="8"/>
  <c r="D233" i="8" s="1"/>
  <c r="B234" i="8"/>
  <c r="D234" i="8" s="1"/>
  <c r="B235" i="8"/>
  <c r="D235" i="8" s="1"/>
  <c r="B236" i="8"/>
  <c r="D236" i="8" s="1"/>
  <c r="B237" i="8"/>
  <c r="D237" i="8" s="1"/>
  <c r="B238" i="8"/>
  <c r="D238" i="8" s="1"/>
  <c r="B239" i="8"/>
  <c r="D239" i="8" s="1"/>
  <c r="B240" i="8"/>
  <c r="D240" i="8" s="1"/>
  <c r="B241" i="8"/>
  <c r="D241" i="8" s="1"/>
  <c r="B242" i="8"/>
  <c r="D242" i="8" s="1"/>
  <c r="B243" i="8"/>
  <c r="D243" i="8" s="1"/>
  <c r="B244" i="8"/>
  <c r="D244" i="8" s="1"/>
  <c r="B245" i="8"/>
  <c r="D245" i="8" s="1"/>
  <c r="B246" i="8"/>
  <c r="D246" i="8" s="1"/>
  <c r="B247" i="8"/>
  <c r="D247" i="8" s="1"/>
  <c r="B248" i="8"/>
  <c r="D248" i="8" s="1"/>
  <c r="B249" i="8"/>
  <c r="D249" i="8" s="1"/>
  <c r="B250" i="8"/>
  <c r="D250" i="8" s="1"/>
  <c r="B251" i="8"/>
  <c r="D251" i="8" s="1"/>
  <c r="B252" i="8"/>
  <c r="D252" i="8" s="1"/>
  <c r="B253" i="8"/>
  <c r="D253" i="8" s="1"/>
  <c r="B254" i="8"/>
  <c r="D254" i="8" s="1"/>
  <c r="B255" i="8"/>
  <c r="D255" i="8" s="1"/>
  <c r="B256" i="8"/>
  <c r="D256" i="8" s="1"/>
  <c r="B257" i="8"/>
  <c r="D257" i="8" s="1"/>
  <c r="B258" i="8"/>
  <c r="D258" i="8" s="1"/>
  <c r="B259" i="8"/>
  <c r="D259" i="8" s="1"/>
  <c r="B260" i="8"/>
  <c r="D260" i="8" s="1"/>
  <c r="B261" i="8"/>
  <c r="D261" i="8" s="1"/>
  <c r="B262" i="8"/>
  <c r="D262" i="8" s="1"/>
  <c r="B263" i="8"/>
  <c r="D263" i="8" s="1"/>
  <c r="B264" i="8"/>
  <c r="D264" i="8" s="1"/>
  <c r="B265" i="8"/>
  <c r="D265" i="8" s="1"/>
  <c r="B266" i="8"/>
  <c r="D266" i="8" s="1"/>
  <c r="B267" i="8"/>
  <c r="D267" i="8" s="1"/>
  <c r="B268" i="8"/>
  <c r="D268" i="8" s="1"/>
  <c r="B269" i="8"/>
  <c r="D269" i="8" s="1"/>
  <c r="B270" i="8"/>
  <c r="D270" i="8" s="1"/>
  <c r="B271" i="8"/>
  <c r="D271" i="8" s="1"/>
  <c r="B272" i="8"/>
  <c r="D272" i="8" s="1"/>
  <c r="B273" i="8"/>
  <c r="D273" i="8" s="1"/>
  <c r="B274" i="8"/>
  <c r="D274" i="8" s="1"/>
  <c r="B275" i="8"/>
  <c r="D275" i="8" s="1"/>
  <c r="B276" i="8"/>
  <c r="D276" i="8" s="1"/>
  <c r="B277" i="8"/>
  <c r="D277" i="8" s="1"/>
  <c r="B278" i="8"/>
  <c r="D278" i="8" s="1"/>
  <c r="B279" i="8"/>
  <c r="D279" i="8" s="1"/>
  <c r="B280" i="8"/>
  <c r="D280" i="8" s="1"/>
  <c r="B281" i="8"/>
  <c r="D281" i="8" s="1"/>
  <c r="B282" i="8"/>
  <c r="D282" i="8" s="1"/>
  <c r="B283" i="8"/>
  <c r="D283" i="8" s="1"/>
  <c r="B284" i="8"/>
  <c r="D284" i="8" s="1"/>
  <c r="B285" i="8"/>
  <c r="D285" i="8" s="1"/>
  <c r="B286" i="8"/>
  <c r="D286" i="8" s="1"/>
  <c r="B287" i="8"/>
  <c r="D287" i="8" s="1"/>
  <c r="B288" i="8"/>
  <c r="D288" i="8" s="1"/>
  <c r="B289" i="8"/>
  <c r="D289" i="8" s="1"/>
  <c r="B290" i="8"/>
  <c r="D290" i="8" s="1"/>
  <c r="B291" i="8"/>
  <c r="D291" i="8" s="1"/>
  <c r="B292" i="8"/>
  <c r="D292" i="8" s="1"/>
  <c r="B293" i="8"/>
  <c r="D293" i="8" s="1"/>
  <c r="B294" i="8"/>
  <c r="D294" i="8" s="1"/>
  <c r="B295" i="8"/>
  <c r="D295" i="8" s="1"/>
  <c r="B296" i="8"/>
  <c r="D296" i="8" s="1"/>
  <c r="B297" i="8"/>
  <c r="D297" i="8" s="1"/>
  <c r="B298" i="8"/>
  <c r="D298" i="8" s="1"/>
  <c r="B299" i="8"/>
  <c r="D299" i="8" s="1"/>
  <c r="B300" i="8"/>
  <c r="D300" i="8" s="1"/>
  <c r="B301" i="8"/>
  <c r="D301" i="8" s="1"/>
  <c r="B302" i="8"/>
  <c r="D302" i="8" s="1"/>
  <c r="B303" i="8"/>
  <c r="D303" i="8" s="1"/>
  <c r="B304" i="8"/>
  <c r="D304" i="8" s="1"/>
  <c r="B305" i="8"/>
  <c r="D305" i="8" s="1"/>
  <c r="B306" i="8"/>
  <c r="D306" i="8" s="1"/>
  <c r="B307" i="8"/>
  <c r="D307" i="8" s="1"/>
  <c r="B308" i="8"/>
  <c r="D308" i="8" s="1"/>
  <c r="B309" i="8"/>
  <c r="D309" i="8" s="1"/>
  <c r="B310" i="8"/>
  <c r="D310" i="8" s="1"/>
  <c r="B311" i="8"/>
  <c r="D311" i="8" s="1"/>
  <c r="B312" i="8"/>
  <c r="D312" i="8" s="1"/>
  <c r="B313" i="8"/>
  <c r="D313" i="8" s="1"/>
  <c r="B314" i="8"/>
  <c r="D314" i="8" s="1"/>
  <c r="B315" i="8"/>
  <c r="D315" i="8" s="1"/>
  <c r="B316" i="8"/>
  <c r="D316" i="8" s="1"/>
  <c r="B317" i="8"/>
  <c r="D317" i="8" s="1"/>
  <c r="B318" i="8"/>
  <c r="D318" i="8" s="1"/>
  <c r="B319" i="8"/>
  <c r="D319" i="8" s="1"/>
  <c r="B320" i="8"/>
  <c r="D320" i="8" s="1"/>
  <c r="B321" i="8"/>
  <c r="D321" i="8" s="1"/>
  <c r="B322" i="8"/>
  <c r="D322" i="8" s="1"/>
  <c r="B323" i="8"/>
  <c r="D323" i="8" s="1"/>
  <c r="B324" i="8"/>
  <c r="D324" i="8" s="1"/>
  <c r="B325" i="8"/>
  <c r="D325" i="8" s="1"/>
  <c r="B326" i="8"/>
  <c r="D326" i="8" s="1"/>
  <c r="B327" i="8"/>
  <c r="D327" i="8" s="1"/>
  <c r="B328" i="8"/>
  <c r="D328" i="8" s="1"/>
  <c r="B329" i="8"/>
  <c r="D329" i="8" s="1"/>
  <c r="B330" i="8"/>
  <c r="D330" i="8" s="1"/>
  <c r="B331" i="8"/>
  <c r="D331" i="8" s="1"/>
  <c r="B332" i="8"/>
  <c r="D332" i="8" s="1"/>
  <c r="B333" i="8"/>
  <c r="D333" i="8" s="1"/>
  <c r="B334" i="8"/>
  <c r="D334" i="8" s="1"/>
  <c r="B335" i="8"/>
  <c r="D335" i="8" s="1"/>
  <c r="B336" i="8"/>
  <c r="D336" i="8" s="1"/>
  <c r="B337" i="8"/>
  <c r="D337" i="8" s="1"/>
  <c r="B338" i="8"/>
  <c r="D338" i="8" s="1"/>
  <c r="B339" i="8"/>
  <c r="D339" i="8" s="1"/>
  <c r="B340" i="8"/>
  <c r="D340" i="8" s="1"/>
  <c r="B341" i="8"/>
  <c r="D341" i="8" s="1"/>
  <c r="B342" i="8"/>
  <c r="D342" i="8" s="1"/>
  <c r="B343" i="8"/>
  <c r="D343" i="8" s="1"/>
  <c r="B344" i="8"/>
  <c r="D344" i="8" s="1"/>
  <c r="B345" i="8"/>
  <c r="D345" i="8" s="1"/>
  <c r="B346" i="8"/>
  <c r="D346" i="8" s="1"/>
  <c r="B347" i="8"/>
  <c r="D347" i="8" s="1"/>
  <c r="B348" i="8"/>
  <c r="D348" i="8" s="1"/>
  <c r="B349" i="8"/>
  <c r="D349" i="8" s="1"/>
  <c r="B350" i="8"/>
  <c r="D350" i="8" s="1"/>
  <c r="B351" i="8"/>
  <c r="D351" i="8" s="1"/>
  <c r="B352" i="8"/>
  <c r="D352" i="8" s="1"/>
  <c r="B353" i="8"/>
  <c r="D353" i="8" s="1"/>
  <c r="B354" i="8"/>
  <c r="D354" i="8" s="1"/>
  <c r="B355" i="8"/>
  <c r="D355" i="8" s="1"/>
  <c r="B356" i="8"/>
  <c r="D356" i="8" s="1"/>
  <c r="B357" i="8"/>
  <c r="D357" i="8" s="1"/>
  <c r="B358" i="8"/>
  <c r="D358" i="8" s="1"/>
  <c r="B359" i="8"/>
  <c r="D359" i="8" s="1"/>
  <c r="B360" i="8"/>
  <c r="D360" i="8" s="1"/>
  <c r="B361" i="8"/>
  <c r="D361" i="8" s="1"/>
  <c r="B362" i="8"/>
  <c r="D362" i="8" s="1"/>
  <c r="B363" i="8"/>
  <c r="D363" i="8" s="1"/>
  <c r="B364" i="8"/>
  <c r="D364" i="8" s="1"/>
  <c r="B365" i="8"/>
  <c r="D365" i="8" s="1"/>
  <c r="B366" i="8"/>
  <c r="D366" i="8" s="1"/>
  <c r="B367" i="8"/>
  <c r="D367" i="8" s="1"/>
  <c r="B368" i="8"/>
  <c r="D368" i="8" s="1"/>
  <c r="B369" i="8"/>
  <c r="D369" i="8" s="1"/>
  <c r="B370" i="8"/>
  <c r="D370" i="8" s="1"/>
  <c r="B371" i="8"/>
  <c r="D371" i="8" s="1"/>
  <c r="B372" i="8"/>
  <c r="D372" i="8" s="1"/>
  <c r="B373" i="8"/>
  <c r="D373" i="8" s="1"/>
  <c r="B374" i="8"/>
  <c r="D374" i="8" s="1"/>
  <c r="B375" i="8"/>
  <c r="D375" i="8" s="1"/>
  <c r="B376" i="8"/>
  <c r="D376" i="8" s="1"/>
  <c r="B377" i="8"/>
  <c r="D377" i="8" s="1"/>
  <c r="B378" i="8"/>
  <c r="D378" i="8" s="1"/>
  <c r="B379" i="8"/>
  <c r="D379" i="8" s="1"/>
  <c r="B380" i="8"/>
  <c r="D380" i="8" s="1"/>
  <c r="B381" i="8"/>
  <c r="D381" i="8" s="1"/>
  <c r="B382" i="8"/>
  <c r="D382" i="8" s="1"/>
  <c r="B383" i="8"/>
  <c r="D383" i="8" s="1"/>
  <c r="B384" i="8"/>
  <c r="D384" i="8" s="1"/>
  <c r="B385" i="8"/>
  <c r="D385" i="8" s="1"/>
  <c r="B386" i="8"/>
  <c r="D386" i="8" s="1"/>
  <c r="B387" i="8"/>
  <c r="D387" i="8" s="1"/>
  <c r="B388" i="8"/>
  <c r="D388" i="8" s="1"/>
  <c r="B389" i="8"/>
  <c r="D389" i="8" s="1"/>
  <c r="B390" i="8"/>
  <c r="D390" i="8" s="1"/>
  <c r="B391" i="8"/>
  <c r="D391" i="8" s="1"/>
  <c r="B392" i="8"/>
  <c r="D392" i="8" s="1"/>
  <c r="B393" i="8"/>
  <c r="D393" i="8" s="1"/>
  <c r="B394" i="8"/>
  <c r="D394" i="8" s="1"/>
  <c r="B395" i="8"/>
  <c r="D395" i="8" s="1"/>
  <c r="B396" i="8"/>
  <c r="D396" i="8" s="1"/>
  <c r="B397" i="8"/>
  <c r="D397" i="8" s="1"/>
  <c r="B398" i="8"/>
  <c r="D398" i="8" s="1"/>
  <c r="B399" i="8"/>
  <c r="D399" i="8" s="1"/>
  <c r="B400" i="8"/>
  <c r="D400" i="8" s="1"/>
  <c r="B401" i="8"/>
  <c r="D401" i="8" s="1"/>
  <c r="B402" i="8"/>
  <c r="D402" i="8" s="1"/>
  <c r="B403" i="8"/>
  <c r="D403" i="8" s="1"/>
  <c r="B404" i="8"/>
  <c r="D404" i="8" s="1"/>
  <c r="B405" i="8"/>
  <c r="D405" i="8" s="1"/>
  <c r="B406" i="8"/>
  <c r="D406" i="8" s="1"/>
  <c r="B407" i="8"/>
  <c r="D407" i="8" s="1"/>
  <c r="B408" i="8"/>
  <c r="D408" i="8" s="1"/>
  <c r="B409" i="8"/>
  <c r="D409" i="8" s="1"/>
  <c r="B410" i="8"/>
  <c r="D410" i="8" s="1"/>
  <c r="B411" i="8"/>
  <c r="D411" i="8" s="1"/>
  <c r="B412" i="8"/>
  <c r="D412" i="8" s="1"/>
  <c r="B413" i="8"/>
  <c r="D413" i="8" s="1"/>
  <c r="B414" i="8"/>
  <c r="D414" i="8" s="1"/>
  <c r="B415" i="8"/>
  <c r="D415" i="8" s="1"/>
  <c r="B416" i="8"/>
  <c r="D416" i="8" s="1"/>
  <c r="B417" i="8"/>
  <c r="D417" i="8" s="1"/>
  <c r="B418" i="8"/>
  <c r="D418" i="8" s="1"/>
  <c r="B419" i="8"/>
  <c r="D419" i="8" s="1"/>
  <c r="B420" i="8"/>
  <c r="D420" i="8" s="1"/>
  <c r="B421" i="8"/>
  <c r="D421" i="8" s="1"/>
  <c r="B422" i="8"/>
  <c r="D422" i="8" s="1"/>
  <c r="B423" i="8"/>
  <c r="D423" i="8" s="1"/>
  <c r="B424" i="8"/>
  <c r="D424" i="8" s="1"/>
  <c r="B425" i="8"/>
  <c r="D425" i="8" s="1"/>
  <c r="B426" i="8"/>
  <c r="D426" i="8" s="1"/>
  <c r="B427" i="8"/>
  <c r="D427" i="8" s="1"/>
  <c r="B428" i="8"/>
  <c r="D428" i="8" s="1"/>
  <c r="B429" i="8"/>
  <c r="D429" i="8" s="1"/>
  <c r="B430" i="8"/>
  <c r="D430" i="8" s="1"/>
  <c r="B431" i="8"/>
  <c r="D431" i="8" s="1"/>
  <c r="B432" i="8"/>
  <c r="D432" i="8" s="1"/>
  <c r="B433" i="8"/>
  <c r="D433" i="8" s="1"/>
  <c r="B434" i="8"/>
  <c r="D434" i="8" s="1"/>
  <c r="B435" i="8"/>
  <c r="D435" i="8" s="1"/>
  <c r="B436" i="8"/>
  <c r="D436" i="8" s="1"/>
  <c r="B437" i="8"/>
  <c r="D437" i="8" s="1"/>
  <c r="B438" i="8"/>
  <c r="D438" i="8" s="1"/>
  <c r="B439" i="8"/>
  <c r="D439" i="8" s="1"/>
  <c r="B440" i="8"/>
  <c r="D440" i="8" s="1"/>
  <c r="B441" i="8"/>
  <c r="D441" i="8" s="1"/>
  <c r="B442" i="8"/>
  <c r="D442" i="8" s="1"/>
  <c r="B443" i="8"/>
  <c r="D443" i="8" s="1"/>
  <c r="B444" i="8"/>
  <c r="D444" i="8" s="1"/>
  <c r="B445" i="8"/>
  <c r="D445" i="8" s="1"/>
  <c r="B446" i="8"/>
  <c r="D446" i="8" s="1"/>
  <c r="B447" i="8"/>
  <c r="D447" i="8" s="1"/>
  <c r="B448" i="8"/>
  <c r="D448" i="8" s="1"/>
  <c r="B449" i="8"/>
  <c r="D449" i="8" s="1"/>
  <c r="B450" i="8"/>
  <c r="D450" i="8" s="1"/>
  <c r="B451" i="8"/>
  <c r="D451" i="8" s="1"/>
  <c r="B452" i="8"/>
  <c r="D452" i="8" s="1"/>
  <c r="B453" i="8"/>
  <c r="D453" i="8" s="1"/>
  <c r="B454" i="8"/>
  <c r="D454" i="8" s="1"/>
  <c r="B455" i="8"/>
  <c r="D455" i="8" s="1"/>
  <c r="B456" i="8"/>
  <c r="D456" i="8" s="1"/>
  <c r="B457" i="8"/>
  <c r="D457" i="8" s="1"/>
  <c r="B458" i="8"/>
  <c r="D458" i="8" s="1"/>
  <c r="B459" i="8"/>
  <c r="D459" i="8" s="1"/>
  <c r="B460" i="8"/>
  <c r="D460" i="8" s="1"/>
  <c r="B461" i="8"/>
  <c r="D461" i="8" s="1"/>
  <c r="B462" i="8"/>
  <c r="D462" i="8" s="1"/>
  <c r="B463" i="8"/>
  <c r="D463" i="8" s="1"/>
  <c r="B464" i="8"/>
  <c r="D464" i="8" s="1"/>
  <c r="B465" i="8"/>
  <c r="D465" i="8" s="1"/>
  <c r="B466" i="8"/>
  <c r="D466" i="8" s="1"/>
  <c r="B467" i="8"/>
  <c r="D467" i="8" s="1"/>
  <c r="B468" i="8"/>
  <c r="D468" i="8" s="1"/>
  <c r="B469" i="8"/>
  <c r="D469" i="8" s="1"/>
  <c r="B470" i="8"/>
  <c r="D470" i="8" s="1"/>
  <c r="B471" i="8"/>
  <c r="D471" i="8" s="1"/>
  <c r="B472" i="8"/>
  <c r="D472" i="8" s="1"/>
  <c r="B473" i="8"/>
  <c r="D473" i="8" s="1"/>
  <c r="B474" i="8"/>
  <c r="D474" i="8" s="1"/>
  <c r="B475" i="8"/>
  <c r="D475" i="8" s="1"/>
  <c r="B476" i="8"/>
  <c r="D476" i="8" s="1"/>
  <c r="B477" i="8"/>
  <c r="D477" i="8" s="1"/>
  <c r="B478" i="8"/>
  <c r="D478" i="8" s="1"/>
  <c r="B479" i="8"/>
  <c r="D479" i="8" s="1"/>
  <c r="B480" i="8"/>
  <c r="D480" i="8" s="1"/>
  <c r="B481" i="8"/>
  <c r="D481" i="8" s="1"/>
  <c r="B482" i="8"/>
  <c r="D482" i="8" s="1"/>
  <c r="B483" i="8"/>
  <c r="D483" i="8" s="1"/>
  <c r="B484" i="8"/>
  <c r="D484" i="8" s="1"/>
  <c r="B485" i="8"/>
  <c r="D485" i="8" s="1"/>
  <c r="B486" i="8"/>
  <c r="D486" i="8" s="1"/>
  <c r="B487" i="8"/>
  <c r="D487" i="8" s="1"/>
  <c r="B488" i="8"/>
  <c r="D488" i="8" s="1"/>
  <c r="B489" i="8"/>
  <c r="D489" i="8" s="1"/>
  <c r="B490" i="8"/>
  <c r="D490" i="8" s="1"/>
  <c r="B491" i="8"/>
  <c r="D491" i="8" s="1"/>
  <c r="B492" i="8"/>
  <c r="D492" i="8" s="1"/>
  <c r="B493" i="8"/>
  <c r="D493" i="8" s="1"/>
  <c r="B494" i="8"/>
  <c r="D494" i="8" s="1"/>
  <c r="B495" i="8"/>
  <c r="D495" i="8" s="1"/>
  <c r="B496" i="8"/>
  <c r="D496" i="8" s="1"/>
  <c r="B497" i="8"/>
  <c r="D497" i="8" s="1"/>
  <c r="B498" i="8"/>
  <c r="D498" i="8" s="1"/>
  <c r="B499" i="8"/>
  <c r="D499" i="8" s="1"/>
  <c r="B500" i="8"/>
  <c r="D500" i="8" s="1"/>
  <c r="B501" i="8"/>
  <c r="D501" i="8" s="1"/>
  <c r="B3" i="12"/>
  <c r="D3" i="12" s="1"/>
  <c r="B4" i="12"/>
  <c r="D4" i="12" s="1"/>
  <c r="B5" i="12"/>
  <c r="D5" i="12" s="1"/>
  <c r="B6" i="12"/>
  <c r="D6" i="12" s="1"/>
  <c r="B7" i="12"/>
  <c r="D7" i="12" s="1"/>
  <c r="B8" i="12"/>
  <c r="D8" i="12" s="1"/>
  <c r="B9" i="12"/>
  <c r="D9" i="12" s="1"/>
  <c r="B10" i="12"/>
  <c r="D10" i="12" s="1"/>
  <c r="B11" i="12"/>
  <c r="D11" i="12" s="1"/>
  <c r="B12" i="12"/>
  <c r="D12" i="12" s="1"/>
  <c r="B13" i="12"/>
  <c r="D13" i="12" s="1"/>
  <c r="B14" i="12"/>
  <c r="D14" i="12" s="1"/>
  <c r="B15" i="12"/>
  <c r="D15" i="12" s="1"/>
  <c r="B16" i="12"/>
  <c r="D16" i="12" s="1"/>
  <c r="B17" i="12"/>
  <c r="D17" i="12" s="1"/>
  <c r="B18" i="12"/>
  <c r="D18" i="12" s="1"/>
  <c r="B19" i="12"/>
  <c r="D19" i="12" s="1"/>
  <c r="B20" i="12"/>
  <c r="D20" i="12" s="1"/>
  <c r="B21" i="12"/>
  <c r="D21" i="12" s="1"/>
  <c r="B22" i="12"/>
  <c r="D22" i="12" s="1"/>
  <c r="B23" i="12"/>
  <c r="D23" i="12" s="1"/>
  <c r="B24" i="12"/>
  <c r="D24" i="12" s="1"/>
  <c r="B25" i="12"/>
  <c r="D25" i="12" s="1"/>
  <c r="B26" i="12"/>
  <c r="D26" i="12" s="1"/>
  <c r="B27" i="12"/>
  <c r="D27" i="12" s="1"/>
  <c r="B28" i="12"/>
  <c r="D28" i="12" s="1"/>
  <c r="B29" i="12"/>
  <c r="D29" i="12" s="1"/>
  <c r="B30" i="12"/>
  <c r="D30" i="12" s="1"/>
  <c r="B31" i="12"/>
  <c r="D31" i="12" s="1"/>
  <c r="B32" i="12"/>
  <c r="D32" i="12" s="1"/>
  <c r="B33" i="12"/>
  <c r="D33" i="12" s="1"/>
  <c r="B34" i="12"/>
  <c r="D34" i="12" s="1"/>
  <c r="B35" i="12"/>
  <c r="D35" i="12" s="1"/>
  <c r="B36" i="12"/>
  <c r="D36" i="12" s="1"/>
  <c r="B37" i="12"/>
  <c r="D37" i="12" s="1"/>
  <c r="B38" i="12"/>
  <c r="D38" i="12" s="1"/>
  <c r="B39" i="12"/>
  <c r="D39" i="12" s="1"/>
  <c r="B40" i="12"/>
  <c r="D40" i="12" s="1"/>
  <c r="B41" i="12"/>
  <c r="D41" i="12" s="1"/>
  <c r="B42" i="12"/>
  <c r="D42" i="12" s="1"/>
  <c r="B43" i="12"/>
  <c r="D43" i="12" s="1"/>
  <c r="B44" i="12"/>
  <c r="D44" i="12" s="1"/>
  <c r="B46" i="12"/>
  <c r="D46" i="12" s="1"/>
  <c r="B47" i="12"/>
  <c r="D47" i="12" s="1"/>
  <c r="B48" i="12"/>
  <c r="D48" i="12" s="1"/>
  <c r="B49" i="12"/>
  <c r="D49" i="12" s="1"/>
  <c r="B50" i="12"/>
  <c r="D50" i="12" s="1"/>
  <c r="B51" i="12"/>
  <c r="D51" i="12" s="1"/>
  <c r="B52" i="12"/>
  <c r="D52" i="12" s="1"/>
  <c r="B53" i="12"/>
  <c r="D53" i="12" s="1"/>
  <c r="B54" i="12"/>
  <c r="D54" i="12" s="1"/>
  <c r="B55" i="12"/>
  <c r="D55" i="12" s="1"/>
  <c r="B56" i="12"/>
  <c r="D56" i="12" s="1"/>
  <c r="B57" i="12"/>
  <c r="D57" i="12" s="1"/>
  <c r="B58" i="12"/>
  <c r="D58" i="12" s="1"/>
  <c r="B59" i="12"/>
  <c r="D59" i="12" s="1"/>
  <c r="B60" i="12"/>
  <c r="D60" i="12" s="1"/>
  <c r="B61" i="12"/>
  <c r="D61" i="12" s="1"/>
  <c r="B62" i="12"/>
  <c r="D62" i="12" s="1"/>
  <c r="B63" i="12"/>
  <c r="D63" i="12" s="1"/>
  <c r="B64" i="12"/>
  <c r="D64" i="12" s="1"/>
  <c r="B65" i="12"/>
  <c r="D65" i="12" s="1"/>
  <c r="B66" i="12"/>
  <c r="D66" i="12" s="1"/>
  <c r="B67" i="12"/>
  <c r="D67" i="12" s="1"/>
  <c r="B68" i="12"/>
  <c r="D68" i="12" s="1"/>
  <c r="B69" i="12"/>
  <c r="D69" i="12" s="1"/>
  <c r="B70" i="12"/>
  <c r="D70" i="12" s="1"/>
  <c r="B71" i="12"/>
  <c r="D71" i="12" s="1"/>
  <c r="B72" i="12"/>
  <c r="D72" i="12" s="1"/>
  <c r="B73" i="12"/>
  <c r="D73" i="12" s="1"/>
  <c r="B74" i="12"/>
  <c r="D74" i="12" s="1"/>
  <c r="B75" i="12"/>
  <c r="D75" i="12" s="1"/>
  <c r="B76" i="12"/>
  <c r="D76" i="12" s="1"/>
  <c r="B77" i="12"/>
  <c r="D77" i="12" s="1"/>
  <c r="B78" i="12"/>
  <c r="D78" i="12" s="1"/>
  <c r="B79" i="12"/>
  <c r="D79" i="12" s="1"/>
  <c r="B80" i="12"/>
  <c r="D80" i="12" s="1"/>
  <c r="B81" i="12"/>
  <c r="D81" i="12" s="1"/>
  <c r="B82" i="12"/>
  <c r="D82" i="12" s="1"/>
  <c r="B83" i="12"/>
  <c r="D83" i="12" s="1"/>
  <c r="B84" i="12"/>
  <c r="D84" i="12" s="1"/>
  <c r="B85" i="12"/>
  <c r="D85" i="12" s="1"/>
  <c r="B86" i="12"/>
  <c r="D86" i="12" s="1"/>
  <c r="B87" i="12"/>
  <c r="D87" i="12" s="1"/>
  <c r="B88" i="12"/>
  <c r="D88" i="12" s="1"/>
  <c r="B89" i="12"/>
  <c r="D89" i="12" s="1"/>
  <c r="B90" i="12"/>
  <c r="D90" i="12" s="1"/>
  <c r="B91" i="12"/>
  <c r="D91" i="12" s="1"/>
  <c r="B92" i="12"/>
  <c r="D92" i="12" s="1"/>
  <c r="B93" i="12"/>
  <c r="D93" i="12" s="1"/>
  <c r="B94" i="12"/>
  <c r="D94" i="12" s="1"/>
  <c r="B95" i="12"/>
  <c r="D95" i="12" s="1"/>
  <c r="B96" i="12"/>
  <c r="D96" i="12" s="1"/>
  <c r="B97" i="12"/>
  <c r="D97" i="12" s="1"/>
  <c r="B98" i="12"/>
  <c r="D98" i="12" s="1"/>
  <c r="B99" i="12"/>
  <c r="D99" i="12" s="1"/>
  <c r="B100" i="12"/>
  <c r="D100" i="12" s="1"/>
  <c r="B101" i="12"/>
  <c r="D101" i="12" s="1"/>
  <c r="B102" i="12"/>
  <c r="D102" i="12" s="1"/>
  <c r="B103" i="12"/>
  <c r="D103" i="12" s="1"/>
  <c r="B104" i="12"/>
  <c r="D104" i="12" s="1"/>
  <c r="B105" i="12"/>
  <c r="D105" i="12" s="1"/>
  <c r="B106" i="12"/>
  <c r="D106" i="12" s="1"/>
  <c r="B107" i="12"/>
  <c r="D107" i="12" s="1"/>
  <c r="B108" i="12"/>
  <c r="D108" i="12" s="1"/>
  <c r="B109" i="12"/>
  <c r="D109" i="12" s="1"/>
  <c r="B110" i="12"/>
  <c r="D110" i="12" s="1"/>
  <c r="B111" i="12"/>
  <c r="D111" i="12" s="1"/>
  <c r="B112" i="12"/>
  <c r="D112" i="12" s="1"/>
  <c r="B113" i="12"/>
  <c r="D113" i="12" s="1"/>
  <c r="B114" i="12"/>
  <c r="D114" i="12" s="1"/>
  <c r="B115" i="12"/>
  <c r="D115" i="12" s="1"/>
  <c r="B116" i="12"/>
  <c r="D116" i="12" s="1"/>
  <c r="B117" i="12"/>
  <c r="D117" i="12" s="1"/>
  <c r="B118" i="12"/>
  <c r="D118" i="12" s="1"/>
  <c r="B119" i="12"/>
  <c r="D119" i="12" s="1"/>
  <c r="B120" i="12"/>
  <c r="D120" i="12" s="1"/>
  <c r="B121" i="12"/>
  <c r="D121" i="12" s="1"/>
  <c r="B122" i="12"/>
  <c r="D122" i="12" s="1"/>
  <c r="B123" i="12"/>
  <c r="D123" i="12" s="1"/>
  <c r="B124" i="12"/>
  <c r="D124" i="12" s="1"/>
  <c r="B125" i="12"/>
  <c r="D125" i="12" s="1"/>
  <c r="B126" i="12"/>
  <c r="D126" i="12" s="1"/>
  <c r="B127" i="12"/>
  <c r="D127" i="12" s="1"/>
  <c r="B128" i="12"/>
  <c r="D128" i="12" s="1"/>
  <c r="B129" i="12"/>
  <c r="D129" i="12" s="1"/>
  <c r="B130" i="12"/>
  <c r="D130" i="12" s="1"/>
  <c r="B131" i="12"/>
  <c r="D131" i="12" s="1"/>
  <c r="B132" i="12"/>
  <c r="D132" i="12" s="1"/>
  <c r="B133" i="12"/>
  <c r="D133" i="12" s="1"/>
  <c r="B134" i="12"/>
  <c r="D134" i="12" s="1"/>
  <c r="B135" i="12"/>
  <c r="D135" i="12" s="1"/>
  <c r="B136" i="12"/>
  <c r="D136" i="12" s="1"/>
  <c r="B137" i="12"/>
  <c r="D137" i="12" s="1"/>
  <c r="B138" i="12"/>
  <c r="D138" i="12" s="1"/>
  <c r="B139" i="12"/>
  <c r="D139" i="12" s="1"/>
  <c r="B140" i="12"/>
  <c r="D140" i="12" s="1"/>
  <c r="B141" i="12"/>
  <c r="D141" i="12" s="1"/>
  <c r="B142" i="12"/>
  <c r="D142" i="12" s="1"/>
  <c r="B143" i="12"/>
  <c r="D143" i="12" s="1"/>
  <c r="B144" i="12"/>
  <c r="D144" i="12" s="1"/>
  <c r="B145" i="12"/>
  <c r="D145" i="12" s="1"/>
  <c r="B146" i="12"/>
  <c r="D146" i="12" s="1"/>
  <c r="B147" i="12"/>
  <c r="D147" i="12" s="1"/>
  <c r="B148" i="12"/>
  <c r="D148" i="12" s="1"/>
  <c r="B149" i="12"/>
  <c r="D149" i="12" s="1"/>
  <c r="B150" i="12"/>
  <c r="D150" i="12" s="1"/>
  <c r="B151" i="12"/>
  <c r="D151" i="12" s="1"/>
  <c r="B3" i="11"/>
  <c r="D3" i="11" s="1"/>
  <c r="B4" i="11"/>
  <c r="D4" i="11" s="1"/>
  <c r="B5" i="11"/>
  <c r="D5" i="11" s="1"/>
  <c r="B8" i="11"/>
  <c r="D8" i="11" s="1"/>
  <c r="B9" i="11"/>
  <c r="D9" i="11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40" i="11"/>
  <c r="D40" i="11" s="1"/>
  <c r="B41" i="11"/>
  <c r="D41" i="11" s="1"/>
  <c r="B42" i="11"/>
  <c r="D42" i="11" s="1"/>
  <c r="B43" i="11"/>
  <c r="D43" i="11" s="1"/>
  <c r="B44" i="11"/>
  <c r="D44" i="11" s="1"/>
  <c r="B45" i="11"/>
  <c r="D45" i="11" s="1"/>
  <c r="B46" i="11"/>
  <c r="D46" i="11" s="1"/>
  <c r="B47" i="11"/>
  <c r="D47" i="11" s="1"/>
  <c r="B48" i="11"/>
  <c r="D48" i="11" s="1"/>
  <c r="B49" i="11"/>
  <c r="D49" i="11" s="1"/>
  <c r="B50" i="11"/>
  <c r="D50" i="11" s="1"/>
  <c r="B51" i="11"/>
  <c r="D51" i="11" s="1"/>
  <c r="B52" i="11"/>
  <c r="D52" i="11" s="1"/>
  <c r="B53" i="11"/>
  <c r="D53" i="11" s="1"/>
  <c r="B54" i="11"/>
  <c r="D54" i="11" s="1"/>
  <c r="B55" i="11"/>
  <c r="D55" i="11" s="1"/>
  <c r="B56" i="11"/>
  <c r="D56" i="11" s="1"/>
  <c r="B57" i="11"/>
  <c r="D57" i="11" s="1"/>
  <c r="B58" i="11"/>
  <c r="D58" i="11" s="1"/>
  <c r="B59" i="11"/>
  <c r="D59" i="11" s="1"/>
  <c r="B60" i="11"/>
  <c r="D60" i="11" s="1"/>
  <c r="B61" i="11"/>
  <c r="D61" i="11" s="1"/>
  <c r="B62" i="11"/>
  <c r="D62" i="11" s="1"/>
  <c r="B63" i="11"/>
  <c r="D63" i="11" s="1"/>
  <c r="B64" i="11"/>
  <c r="D64" i="11" s="1"/>
  <c r="B65" i="11"/>
  <c r="D65" i="11" s="1"/>
  <c r="B66" i="11"/>
  <c r="D66" i="11" s="1"/>
  <c r="B67" i="11"/>
  <c r="D67" i="11" s="1"/>
  <c r="B68" i="11"/>
  <c r="D68" i="11" s="1"/>
  <c r="B69" i="11"/>
  <c r="D69" i="11" s="1"/>
  <c r="B70" i="11"/>
  <c r="D70" i="11" s="1"/>
  <c r="B71" i="11"/>
  <c r="D71" i="11" s="1"/>
  <c r="B72" i="11"/>
  <c r="D72" i="11" s="1"/>
  <c r="B73" i="11"/>
  <c r="D73" i="11" s="1"/>
  <c r="B74" i="11"/>
  <c r="D74" i="11" s="1"/>
  <c r="B75" i="11"/>
  <c r="D75" i="11" s="1"/>
  <c r="B76" i="11"/>
  <c r="D76" i="11" s="1"/>
  <c r="B77" i="11"/>
  <c r="D77" i="11" s="1"/>
  <c r="B78" i="11"/>
  <c r="D78" i="11" s="1"/>
  <c r="B79" i="11"/>
  <c r="D79" i="11" s="1"/>
  <c r="B80" i="11"/>
  <c r="D80" i="11" s="1"/>
  <c r="B81" i="11"/>
  <c r="D81" i="11" s="1"/>
  <c r="B82" i="11"/>
  <c r="D82" i="11" s="1"/>
  <c r="B83" i="11"/>
  <c r="D83" i="11" s="1"/>
  <c r="B84" i="11"/>
  <c r="D84" i="11" s="1"/>
  <c r="B85" i="11"/>
  <c r="D85" i="11" s="1"/>
  <c r="B86" i="11"/>
  <c r="D86" i="11" s="1"/>
  <c r="B87" i="11"/>
  <c r="D87" i="11" s="1"/>
  <c r="B88" i="11"/>
  <c r="D88" i="11" s="1"/>
  <c r="B89" i="11"/>
  <c r="D89" i="11" s="1"/>
  <c r="B90" i="11"/>
  <c r="D90" i="11" s="1"/>
  <c r="B91" i="11"/>
  <c r="D91" i="11" s="1"/>
  <c r="B92" i="11"/>
  <c r="D92" i="11" s="1"/>
  <c r="B93" i="11"/>
  <c r="D93" i="11" s="1"/>
  <c r="B94" i="11"/>
  <c r="D94" i="11" s="1"/>
  <c r="B95" i="11"/>
  <c r="D95" i="11" s="1"/>
  <c r="B96" i="11"/>
  <c r="D96" i="11" s="1"/>
  <c r="B97" i="11"/>
  <c r="D97" i="11" s="1"/>
  <c r="B98" i="11"/>
  <c r="D98" i="11" s="1"/>
  <c r="B99" i="11"/>
  <c r="D99" i="11" s="1"/>
  <c r="B100" i="11"/>
  <c r="D100" i="11" s="1"/>
  <c r="B101" i="11"/>
  <c r="D101" i="11" s="1"/>
  <c r="B102" i="11"/>
  <c r="D102" i="11" s="1"/>
  <c r="B103" i="11"/>
  <c r="D103" i="11" s="1"/>
  <c r="B104" i="11"/>
  <c r="D104" i="11" s="1"/>
  <c r="B105" i="11"/>
  <c r="D105" i="11" s="1"/>
  <c r="B106" i="11"/>
  <c r="D106" i="11" s="1"/>
  <c r="B107" i="11"/>
  <c r="D107" i="11" s="1"/>
  <c r="B108" i="11"/>
  <c r="D108" i="11" s="1"/>
  <c r="B109" i="11"/>
  <c r="D109" i="11" s="1"/>
  <c r="B110" i="11"/>
  <c r="D110" i="11" s="1"/>
  <c r="B111" i="11"/>
  <c r="D111" i="11" s="1"/>
  <c r="B112" i="11"/>
  <c r="D112" i="11" s="1"/>
  <c r="B113" i="11"/>
  <c r="D113" i="11" s="1"/>
  <c r="B114" i="11"/>
  <c r="D114" i="11" s="1"/>
  <c r="B115" i="11"/>
  <c r="D115" i="11" s="1"/>
  <c r="B116" i="11"/>
  <c r="D116" i="11" s="1"/>
  <c r="B117" i="11"/>
  <c r="D117" i="11" s="1"/>
  <c r="B118" i="11"/>
  <c r="D118" i="11" s="1"/>
  <c r="B119" i="11"/>
  <c r="D119" i="11" s="1"/>
  <c r="B120" i="11"/>
  <c r="D120" i="11" s="1"/>
  <c r="B121" i="11"/>
  <c r="D121" i="11" s="1"/>
  <c r="B122" i="11"/>
  <c r="D122" i="11" s="1"/>
  <c r="B123" i="11"/>
  <c r="D123" i="11" s="1"/>
  <c r="B124" i="11"/>
  <c r="D124" i="11" s="1"/>
  <c r="B125" i="11"/>
  <c r="D125" i="11" s="1"/>
  <c r="B126" i="11"/>
  <c r="D126" i="11" s="1"/>
  <c r="B127" i="11"/>
  <c r="D127" i="11" s="1"/>
  <c r="B128" i="11"/>
  <c r="D128" i="11" s="1"/>
  <c r="B129" i="11"/>
  <c r="D129" i="11" s="1"/>
  <c r="B130" i="11"/>
  <c r="D130" i="11" s="1"/>
  <c r="B131" i="11"/>
  <c r="D131" i="11" s="1"/>
  <c r="B132" i="11"/>
  <c r="D132" i="11" s="1"/>
  <c r="B133" i="11"/>
  <c r="D133" i="11" s="1"/>
  <c r="B134" i="11"/>
  <c r="D134" i="11" s="1"/>
  <c r="B135" i="11"/>
  <c r="D135" i="11" s="1"/>
  <c r="B136" i="11"/>
  <c r="D136" i="11" s="1"/>
  <c r="B137" i="11"/>
  <c r="D137" i="11" s="1"/>
  <c r="B138" i="11"/>
  <c r="D138" i="11" s="1"/>
  <c r="B139" i="11"/>
  <c r="D139" i="11" s="1"/>
  <c r="B140" i="11"/>
  <c r="D140" i="11" s="1"/>
  <c r="B141" i="11"/>
  <c r="D141" i="11" s="1"/>
  <c r="B142" i="11"/>
  <c r="D142" i="11" s="1"/>
  <c r="B143" i="11"/>
  <c r="D143" i="11" s="1"/>
  <c r="B144" i="11"/>
  <c r="D144" i="11" s="1"/>
  <c r="B145" i="11"/>
  <c r="D145" i="11" s="1"/>
  <c r="B146" i="11"/>
  <c r="D146" i="11" s="1"/>
  <c r="B147" i="11"/>
  <c r="D147" i="11" s="1"/>
  <c r="B148" i="11"/>
  <c r="D148" i="11" s="1"/>
  <c r="B149" i="11"/>
  <c r="D149" i="11" s="1"/>
  <c r="B150" i="11"/>
  <c r="D150" i="11" s="1"/>
  <c r="B151" i="11"/>
  <c r="D151" i="11" s="1"/>
  <c r="B152" i="11"/>
  <c r="D152" i="11" s="1"/>
  <c r="B153" i="11"/>
  <c r="D153" i="11" s="1"/>
  <c r="B154" i="11"/>
  <c r="D154" i="11" s="1"/>
  <c r="B155" i="11"/>
  <c r="D155" i="11" s="1"/>
  <c r="B156" i="11"/>
  <c r="D156" i="11" s="1"/>
  <c r="B157" i="11"/>
  <c r="D157" i="11" s="1"/>
  <c r="B158" i="11"/>
  <c r="D158" i="11" s="1"/>
  <c r="B159" i="11"/>
  <c r="D159" i="11" s="1"/>
  <c r="B160" i="11"/>
  <c r="D160" i="11" s="1"/>
  <c r="B161" i="11"/>
  <c r="D161" i="11" s="1"/>
  <c r="B162" i="11"/>
  <c r="D162" i="11" s="1"/>
  <c r="B163" i="11"/>
  <c r="D163" i="11" s="1"/>
  <c r="B164" i="11"/>
  <c r="D164" i="11" s="1"/>
  <c r="B165" i="11"/>
  <c r="D165" i="11" s="1"/>
  <c r="B166" i="11"/>
  <c r="D166" i="11" s="1"/>
  <c r="B167" i="11"/>
  <c r="D167" i="11" s="1"/>
  <c r="B168" i="11"/>
  <c r="D168" i="11" s="1"/>
  <c r="B169" i="11"/>
  <c r="D169" i="11" s="1"/>
  <c r="B170" i="11"/>
  <c r="D170" i="11" s="1"/>
  <c r="B171" i="11"/>
  <c r="D171" i="11" s="1"/>
  <c r="B172" i="11"/>
  <c r="D172" i="11" s="1"/>
  <c r="B173" i="11"/>
  <c r="D173" i="11" s="1"/>
  <c r="B174" i="11"/>
  <c r="D174" i="11" s="1"/>
  <c r="B175" i="11"/>
  <c r="D175" i="11" s="1"/>
  <c r="B176" i="11"/>
  <c r="D176" i="11" s="1"/>
  <c r="B177" i="11"/>
  <c r="D177" i="11" s="1"/>
  <c r="B178" i="11"/>
  <c r="D178" i="11" s="1"/>
  <c r="B179" i="11"/>
  <c r="D179" i="11" s="1"/>
  <c r="B180" i="11"/>
  <c r="D180" i="11" s="1"/>
  <c r="B181" i="11"/>
  <c r="D181" i="11" s="1"/>
  <c r="B182" i="11"/>
  <c r="D182" i="11" s="1"/>
  <c r="B183" i="11"/>
  <c r="D183" i="11" s="1"/>
  <c r="B184" i="11"/>
  <c r="D184" i="11" s="1"/>
  <c r="B185" i="11"/>
  <c r="D185" i="11" s="1"/>
  <c r="B186" i="11"/>
  <c r="D186" i="11" s="1"/>
  <c r="B187" i="11"/>
  <c r="D187" i="11" s="1"/>
  <c r="B188" i="11"/>
  <c r="D188" i="11" s="1"/>
  <c r="B189" i="11"/>
  <c r="D189" i="11" s="1"/>
  <c r="B190" i="11"/>
  <c r="D190" i="11" s="1"/>
  <c r="B191" i="11"/>
  <c r="D191" i="11" s="1"/>
  <c r="B192" i="11"/>
  <c r="D192" i="11" s="1"/>
  <c r="B193" i="11"/>
  <c r="D193" i="11" s="1"/>
  <c r="B194" i="11"/>
  <c r="D194" i="11" s="1"/>
  <c r="B195" i="11"/>
  <c r="D195" i="11" s="1"/>
  <c r="B196" i="11"/>
  <c r="D196" i="11" s="1"/>
  <c r="B197" i="11"/>
  <c r="D197" i="11" s="1"/>
  <c r="B198" i="11"/>
  <c r="D198" i="11" s="1"/>
  <c r="B199" i="11"/>
  <c r="D199" i="11" s="1"/>
  <c r="B200" i="11"/>
  <c r="D200" i="11" s="1"/>
  <c r="B201" i="11"/>
  <c r="D201" i="11" s="1"/>
  <c r="D14" i="14" l="1"/>
  <c r="E14" i="14"/>
  <c r="C1503" i="13" l="1"/>
  <c r="G15" i="13"/>
  <c r="E2" i="12" l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F1307" i="13" a="1"/>
  <c r="F1378" i="13" a="1"/>
  <c r="F511" i="13" a="1"/>
  <c r="F194" i="13" a="1"/>
  <c r="F6" i="13" a="1"/>
  <c r="F782" i="13" a="1"/>
  <c r="F1282" i="13" a="1"/>
  <c r="F707" i="13" a="1"/>
  <c r="F1322" i="13" a="1"/>
  <c r="F1030" i="13" a="1"/>
  <c r="F788" i="13" a="1"/>
  <c r="F564" i="13" a="1"/>
  <c r="F1233" i="13" a="1"/>
  <c r="F991" i="13" a="1"/>
  <c r="F1495" i="13" a="1"/>
  <c r="F589" i="13" a="1"/>
  <c r="F1347" i="13" a="1"/>
  <c r="F845" i="13" a="1"/>
  <c r="F1436" i="13" a="1"/>
  <c r="F555" i="13" a="1"/>
  <c r="F1477" i="13" a="1"/>
  <c r="F537" i="13" a="1"/>
  <c r="F639" i="13" a="1"/>
  <c r="F235" i="13" a="1"/>
  <c r="F867" i="13" a="1"/>
  <c r="F353" i="13" a="1"/>
  <c r="F827" i="13" a="1"/>
  <c r="F1135" i="13" a="1"/>
  <c r="F1126" i="13" a="1"/>
  <c r="F138" i="13" a="1"/>
  <c r="F352" i="13" a="1"/>
  <c r="F546" i="13" a="1"/>
  <c r="F635" i="13" a="1"/>
  <c r="F570" i="13" a="1"/>
  <c r="F808" i="13" a="1"/>
  <c r="F363" i="13" a="1"/>
  <c r="F465" i="13" a="1"/>
  <c r="F872" i="13" a="1"/>
  <c r="F387" i="13" a="1"/>
  <c r="F433" i="13" a="1"/>
  <c r="F660" i="13" a="1"/>
  <c r="F1053" i="13" a="1"/>
  <c r="F168" i="13" a="1"/>
  <c r="F397" i="13" a="1"/>
  <c r="F347" i="13" a="1"/>
  <c r="F928" i="13" a="1"/>
  <c r="F131" i="13" a="1"/>
  <c r="F999" i="13" a="1"/>
  <c r="F494" i="13" a="1"/>
  <c r="F718" i="13" a="1"/>
  <c r="F979" i="13" a="1"/>
  <c r="F179" i="13" a="1"/>
  <c r="F920" i="13" a="1"/>
  <c r="F1274" i="13" a="1"/>
  <c r="F1077" i="13" a="1"/>
  <c r="F1321" i="13" a="1"/>
  <c r="F959" i="13" a="1"/>
  <c r="F1261" i="13" a="1"/>
  <c r="F576" i="13" a="1"/>
  <c r="F386" i="13" a="1"/>
  <c r="F367" i="13" a="1"/>
  <c r="F1192" i="13" a="1"/>
  <c r="F1403" i="13" a="1"/>
  <c r="F372" i="13" a="1"/>
  <c r="F366" i="13" a="1"/>
  <c r="F360" i="13" a="1"/>
  <c r="F441" i="13" a="1"/>
  <c r="F1004" i="13" a="1"/>
  <c r="F1149" i="13" a="1"/>
  <c r="F137" i="13" a="1"/>
  <c r="F743" i="13" a="1"/>
  <c r="F199" i="13" a="1"/>
  <c r="F198" i="13" a="1"/>
  <c r="F578" i="13" a="1"/>
  <c r="F1352" i="13" a="1"/>
  <c r="F1439" i="13" a="1"/>
  <c r="F1390" i="13" a="1"/>
  <c r="F1217" i="13" a="1"/>
  <c r="F945" i="13" a="1"/>
  <c r="F1154" i="13" a="1"/>
  <c r="F1168" i="13" a="1"/>
  <c r="F1092" i="13" a="1"/>
  <c r="F274" i="13" a="1"/>
  <c r="F424" i="13" a="1"/>
  <c r="F1473" i="13" a="1"/>
  <c r="F418" i="13" a="1"/>
  <c r="F1391" i="13" a="1"/>
  <c r="F1372" i="13" a="1"/>
  <c r="F1085" i="13" a="1"/>
  <c r="F687" i="13" a="1"/>
  <c r="F1482" i="13" a="1"/>
  <c r="F1329" i="13" a="1"/>
  <c r="F830" i="13" a="1"/>
  <c r="F740" i="13" a="1"/>
  <c r="F937" i="13" a="1"/>
  <c r="F333" i="13" a="1"/>
  <c r="F485" i="13" a="1"/>
  <c r="F1222" i="13" a="1"/>
  <c r="F1476" i="13" a="1"/>
  <c r="F1241" i="13" a="1"/>
  <c r="F1456" i="13" a="1"/>
  <c r="F251" i="13" a="1"/>
  <c r="F1485" i="13" a="1"/>
  <c r="F135" i="13" a="1"/>
  <c r="F1038" i="13" a="1"/>
  <c r="F118" i="13" a="1"/>
  <c r="F327" i="13" a="1"/>
  <c r="F510" i="13" a="1"/>
  <c r="F1454" i="13" a="1"/>
  <c r="F877" i="13" a="1"/>
  <c r="F148" i="13" a="1"/>
  <c r="F885" i="13" a="1"/>
  <c r="F1156" i="13" a="1"/>
  <c r="F1060" i="13" a="1"/>
  <c r="F927" i="13" a="1"/>
  <c r="F1299" i="13" a="1"/>
  <c r="F1150" i="13" a="1"/>
  <c r="F919" i="13" a="1"/>
  <c r="F886" i="13" a="1"/>
  <c r="F655" i="13" a="1"/>
  <c r="F817" i="13" a="1"/>
  <c r="F672" i="13" a="1"/>
  <c r="F571" i="13" a="1"/>
  <c r="F385" i="13" a="1"/>
  <c r="F1020" i="13" a="1"/>
  <c r="F490" i="13" a="1"/>
  <c r="F143" i="13" a="1"/>
  <c r="F1104" i="13" a="1"/>
  <c r="F768" i="13" a="1"/>
  <c r="F3" i="13" a="1"/>
  <c r="F147" i="13" a="1"/>
  <c r="F401" i="13" a="1"/>
  <c r="F821" i="13" a="1"/>
  <c r="F1431" i="13" a="1"/>
  <c r="F1463" i="13" a="1"/>
  <c r="F951" i="13" a="1"/>
  <c r="F735" i="13" a="1"/>
  <c r="F934" i="13" a="1"/>
  <c r="F622" i="13" a="1"/>
  <c r="F1139" i="13" a="1"/>
  <c r="F1101" i="13" a="1"/>
  <c r="F593" i="13" a="1"/>
  <c r="F455" i="13" a="1"/>
  <c r="F513" i="13" a="1"/>
  <c r="F1449" i="13" a="1"/>
  <c r="F243" i="13" a="1"/>
  <c r="F301" i="13" a="1"/>
  <c r="F1367" i="13" a="1"/>
  <c r="F127" i="13" a="1"/>
  <c r="F1354" i="13" a="1"/>
  <c r="F551" i="13" a="1"/>
  <c r="F120" i="13" a="1"/>
  <c r="F220" i="13" a="1"/>
  <c r="F780" i="13" a="1"/>
  <c r="F568" i="13" a="1"/>
  <c r="F765" i="13" a="1"/>
  <c r="F1027" i="13" a="1"/>
  <c r="F1186" i="13" a="1"/>
  <c r="F1292" i="13" a="1"/>
  <c r="F297" i="13" a="1"/>
  <c r="F1368" i="13" a="1"/>
  <c r="F966" i="13" a="1"/>
  <c r="F256" i="13" a="1"/>
  <c r="F940" i="13" a="1"/>
  <c r="F245" i="13" a="1"/>
  <c r="F1162" i="13" a="1"/>
  <c r="F598" i="13" a="1"/>
  <c r="F1383" i="13" a="1"/>
  <c r="F291" i="13" a="1"/>
  <c r="F204" i="13" a="1"/>
  <c r="F505" i="13" a="1"/>
  <c r="F852" i="13" a="1"/>
  <c r="F716" i="13" a="1"/>
  <c r="F171" i="13" a="1"/>
  <c r="F1175" i="13" a="1"/>
  <c r="F757" i="13" a="1"/>
  <c r="F221" i="13" a="1"/>
  <c r="F1353" i="13" a="1"/>
  <c r="F1400" i="13" a="1"/>
  <c r="F1176" i="13" a="1"/>
  <c r="F429" i="13" a="1"/>
  <c r="F1200" i="13" a="1"/>
  <c r="F523" i="13" a="1"/>
  <c r="F1466" i="13" a="1"/>
  <c r="F595" i="13" a="1"/>
  <c r="F766" i="13" a="1"/>
  <c r="F290" i="13" a="1"/>
  <c r="F1025" i="13" a="1"/>
  <c r="F964" i="13" a="1"/>
  <c r="F686" i="13" a="1"/>
  <c r="F464" i="13" a="1"/>
  <c r="F1066" i="13" a="1"/>
  <c r="F970" i="13" a="1"/>
  <c r="F533" i="13" a="1"/>
  <c r="F1408" i="13" a="1"/>
  <c r="F1356" i="13" a="1"/>
  <c r="F1182" i="13" a="1"/>
  <c r="F596" i="13" a="1"/>
  <c r="F19" i="13" a="1"/>
  <c r="F266" i="13" a="1"/>
  <c r="F1220" i="13" a="1"/>
  <c r="F1484" i="13" a="1"/>
  <c r="F654" i="13" a="1"/>
  <c r="F302" i="13" a="1"/>
  <c r="F681" i="13" a="1"/>
  <c r="F404" i="13" a="1"/>
  <c r="F229" i="13" a="1"/>
  <c r="F865" i="13" a="1"/>
  <c r="F477" i="13" a="1"/>
  <c r="F1179" i="13" a="1"/>
  <c r="F931" i="13" a="1"/>
  <c r="F641" i="13" a="1"/>
  <c r="F831" i="13" a="1"/>
  <c r="F1202" i="13" a="1"/>
  <c r="F249" i="13" a="1"/>
  <c r="F1284" i="13" a="1"/>
  <c r="F764" i="13" a="1"/>
  <c r="F616" i="13" a="1"/>
  <c r="F563" i="13" a="1"/>
  <c r="F396" i="13" a="1"/>
  <c r="F778" i="13" a="1"/>
  <c r="F468" i="13" a="1"/>
  <c r="F324" i="13" a="1"/>
  <c r="F1313" i="13" a="1"/>
  <c r="F177" i="13" a="1"/>
  <c r="F861" i="13" a="1"/>
  <c r="F556" i="13" a="1"/>
  <c r="F1392" i="13" a="1"/>
  <c r="F507" i="13" a="1"/>
  <c r="F258" i="13" a="1"/>
  <c r="F1355" i="13" a="1"/>
  <c r="F727" i="13" a="1"/>
  <c r="F893" i="13" a="1"/>
  <c r="F1339" i="13" a="1"/>
  <c r="F1437" i="13" a="1"/>
  <c r="F344" i="13" a="1"/>
  <c r="F140" i="13" a="1"/>
  <c r="F269" i="13" a="1"/>
  <c r="F869" i="13" a="1"/>
  <c r="F1164" i="13" a="1"/>
  <c r="F1102" i="13" a="1"/>
  <c r="F910" i="13" a="1"/>
  <c r="F1095" i="13" a="1"/>
  <c r="F1344" i="13" a="1"/>
  <c r="F504" i="13" a="1"/>
  <c r="F554" i="13" a="1"/>
  <c r="F1268" i="13" a="1"/>
  <c r="F1420" i="13" a="1"/>
  <c r="F193" i="13" a="1"/>
  <c r="F516" i="13" a="1"/>
  <c r="F475" i="13" a="1"/>
  <c r="F442" i="13" a="1"/>
  <c r="F559" i="13" a="1"/>
  <c r="F231" i="13" a="1"/>
  <c r="F317" i="13" a="1"/>
  <c r="F1364" i="13" a="1"/>
  <c r="F1089" i="13" a="1"/>
  <c r="F18" i="13" a="1"/>
  <c r="F607" i="13" a="1"/>
  <c r="F1398" i="13" a="1"/>
  <c r="F773" i="13" a="1"/>
  <c r="F1021" i="13" a="1"/>
  <c r="F1310" i="13" a="1"/>
  <c r="F250" i="13" a="1"/>
  <c r="F227" i="13" a="1"/>
  <c r="F248" i="13" a="1"/>
  <c r="F736" i="13" a="1"/>
  <c r="F472" i="13" a="1"/>
  <c r="F1418" i="13" a="1"/>
  <c r="F760" i="13" a="1"/>
  <c r="F1421" i="13" a="1"/>
  <c r="F719" i="13" a="1"/>
  <c r="F608" i="13" a="1"/>
  <c r="F331" i="13" a="1"/>
  <c r="F746" i="13" a="1"/>
  <c r="F1462" i="13" a="1"/>
  <c r="F794" i="13" a="1"/>
  <c r="F321" i="13" a="1"/>
  <c r="F1118" i="13" a="1"/>
  <c r="F1312" i="13" a="1"/>
  <c r="F799" i="13" a="1"/>
  <c r="F674" i="13" a="1"/>
  <c r="F1286" i="13" a="1"/>
  <c r="F417" i="13" a="1"/>
  <c r="F1228" i="13" a="1"/>
  <c r="F304" i="13" a="1"/>
  <c r="F1483" i="13" a="1"/>
  <c r="F1059" i="13" a="1"/>
  <c r="F1120" i="13" a="1"/>
  <c r="F949" i="13" a="1"/>
  <c r="F350" i="13" a="1"/>
  <c r="F190" i="13" a="1"/>
  <c r="F701" i="13" a="1"/>
  <c r="F400" i="13" a="1"/>
  <c r="F354" i="13" a="1"/>
  <c r="F1017" i="13" a="1"/>
  <c r="F123" i="13" a="1"/>
  <c r="F260" i="13" a="1"/>
  <c r="F875" i="13" a="1"/>
  <c r="F744" i="13" a="1"/>
  <c r="F357" i="13" a="1"/>
  <c r="F702" i="13" a="1"/>
  <c r="F1171" i="13" a="1"/>
  <c r="F908" i="13" a="1"/>
  <c r="F1029" i="13" a="1"/>
  <c r="F1459" i="13" a="1"/>
  <c r="F1481" i="13" a="1"/>
  <c r="F164" i="13" a="1"/>
  <c r="F747" i="13" a="1"/>
  <c r="F1264" i="13" a="1"/>
  <c r="F300" i="13" a="1"/>
  <c r="F255" i="13" a="1"/>
  <c r="F1271" i="13" a="1"/>
  <c r="F1409" i="13" a="1"/>
  <c r="F876" i="13" a="1"/>
  <c r="F982" i="13" a="1"/>
  <c r="F779" i="13" a="1"/>
  <c r="F1444" i="13" a="1"/>
  <c r="F1079" i="13" a="1"/>
  <c r="F218" i="13" a="1"/>
  <c r="F1332" i="13" a="1"/>
  <c r="F499" i="13" a="1"/>
  <c r="F1142" i="13" a="1"/>
  <c r="F1493" i="13" a="1"/>
  <c r="F1091" i="13" a="1"/>
  <c r="F816" i="13" a="1"/>
  <c r="F606" i="13" a="1"/>
  <c r="F1277" i="13" a="1"/>
  <c r="F1218" i="13" a="1"/>
  <c r="F1001" i="13" a="1"/>
  <c r="F1147" i="13" a="1"/>
  <c r="F1315" i="13" a="1"/>
  <c r="F234" i="13" a="1"/>
  <c r="F777" i="13" a="1"/>
  <c r="F847" i="13" a="1"/>
  <c r="F703" i="13" a="1"/>
  <c r="F922" i="13" a="1"/>
  <c r="F1387" i="13" a="1"/>
  <c r="F586" i="13" a="1"/>
  <c r="F704" i="13" a="1"/>
  <c r="F326" i="13" a="1"/>
  <c r="F941" i="13" a="1"/>
  <c r="F522" i="13" a="1"/>
  <c r="F590" i="13" a="1"/>
  <c r="F938" i="13" a="1"/>
  <c r="F1494" i="13" a="1"/>
  <c r="F548" i="13" a="1"/>
  <c r="F1134" i="13" a="1"/>
  <c r="F676" i="13" a="1"/>
  <c r="F496" i="13" a="1"/>
  <c r="F201" i="13" a="1"/>
  <c r="F612" i="13" a="1"/>
  <c r="F1480" i="13" a="1"/>
  <c r="F368" i="13" a="1"/>
  <c r="F1058" i="13" a="1"/>
  <c r="F318" i="13" a="1"/>
  <c r="F452" i="13" a="1"/>
  <c r="F689" i="13" a="1"/>
  <c r="F1152" i="13" a="1"/>
  <c r="F1474" i="13" a="1"/>
  <c r="F1341" i="13" a="1"/>
  <c r="F557" i="13" a="1"/>
  <c r="F268" i="13" a="1"/>
  <c r="F399" i="13" a="1"/>
  <c r="F1381" i="13" a="1"/>
  <c r="F950" i="13" a="1"/>
  <c r="F873" i="13" a="1"/>
  <c r="F2" i="13" a="1"/>
  <c r="F583" i="13" a="1"/>
  <c r="F508" i="13" a="1"/>
  <c r="F351" i="13" a="1"/>
  <c r="F278" i="13" a="1"/>
  <c r="F733" i="13" a="1"/>
  <c r="F1215" i="13" a="1"/>
  <c r="F600" i="13" a="1"/>
  <c r="F737" i="13" a="1"/>
  <c r="F610" i="13" a="1"/>
  <c r="F369" i="13" a="1"/>
  <c r="F1404" i="13" a="1"/>
  <c r="F628" i="13" a="1"/>
  <c r="F776" i="13" a="1"/>
  <c r="F149" i="13" a="1"/>
  <c r="F1194" i="13" a="1"/>
  <c r="F1050" i="13" a="1"/>
  <c r="F286" i="13" a="1"/>
  <c r="F921" i="13" a="1"/>
  <c r="F648" i="13" a="1"/>
  <c r="F1252" i="13" a="1"/>
  <c r="F540" i="13" a="1"/>
  <c r="F395" i="13" a="1"/>
  <c r="F948" i="13" a="1"/>
  <c r="F1338" i="13" a="1"/>
  <c r="F378" i="13" a="1"/>
  <c r="F1073" i="13" a="1"/>
  <c r="F912" i="13" a="1"/>
  <c r="F1048" i="13" a="1"/>
  <c r="F183" i="13" a="1"/>
  <c r="F895" i="13" a="1"/>
  <c r="F1316" i="13" a="1"/>
  <c r="F299" i="13" a="1"/>
  <c r="F763" i="13" a="1"/>
  <c r="F180" i="13" a="1"/>
  <c r="F1399" i="13" a="1"/>
  <c r="F451" i="13" a="1"/>
  <c r="F789" i="13" a="1"/>
  <c r="F413" i="13" a="1"/>
  <c r="F855" i="13" a="1"/>
  <c r="F965" i="13" a="1"/>
  <c r="F1499" i="13" a="1"/>
  <c r="F1280" i="13" a="1"/>
  <c r="F328" i="13" a="1"/>
  <c r="F486" i="13" a="1"/>
  <c r="F623" i="13" a="1"/>
  <c r="F145" i="13" a="1"/>
  <c r="F495" i="13" a="1"/>
  <c r="F1180" i="13" a="1"/>
  <c r="F1402" i="13" a="1"/>
  <c r="F983" i="13" a="1"/>
  <c r="F1296" i="13" a="1"/>
  <c r="F423" i="13" a="1"/>
  <c r="F994" i="13" a="1"/>
  <c r="F976" i="13" a="1"/>
  <c r="F1221" i="13" a="1"/>
  <c r="F1453" i="13" a="1"/>
  <c r="F946" i="13" a="1"/>
  <c r="F1432" i="13" a="1"/>
  <c r="F1081" i="13" a="1"/>
  <c r="F1189" i="13" a="1"/>
  <c r="F633" i="13" a="1"/>
  <c r="F1109" i="13" a="1"/>
  <c r="F545" i="13" a="1"/>
  <c r="F1324" i="13" a="1"/>
  <c r="F582" i="13" a="1"/>
  <c r="F153" i="13" a="1"/>
  <c r="F656" i="13" a="1"/>
  <c r="F1490" i="13" a="1"/>
  <c r="F863" i="13" a="1"/>
  <c r="F447" i="13" a="1"/>
  <c r="F376" i="13" a="1"/>
  <c r="F1161" i="13" a="1"/>
  <c r="F683" i="13" a="1"/>
  <c r="F985" i="13" a="1"/>
  <c r="F152" i="13" a="1"/>
  <c r="F942" i="13" a="1"/>
  <c r="F1229" i="13" a="1"/>
  <c r="F1385" i="13" a="1"/>
  <c r="F684" i="13" a="1"/>
  <c r="F930" i="13" a="1"/>
  <c r="F293" i="13" a="1"/>
  <c r="F339" i="13" a="1"/>
  <c r="F1238" i="13" a="1"/>
  <c r="F449" i="13" a="1"/>
  <c r="F820" i="13" a="1"/>
  <c r="F1036" i="13" a="1"/>
  <c r="F1125" i="13" a="1"/>
  <c r="F1090" i="13" a="1"/>
  <c r="F313" i="13" a="1"/>
  <c r="F1107" i="13" a="1"/>
  <c r="F1412" i="13" a="1"/>
  <c r="F862" i="13" a="1"/>
  <c r="F262" i="13" a="1"/>
  <c r="F1297" i="13" a="1"/>
  <c r="F374" i="13" a="1"/>
  <c r="F489" i="13" a="1"/>
  <c r="F755" i="13" a="1"/>
  <c r="F337" i="13" a="1"/>
  <c r="F430" i="13" a="1"/>
  <c r="F601" i="13" a="1"/>
  <c r="F889" i="13" a="1"/>
  <c r="F1116" i="13" a="1"/>
  <c r="F1244" i="13" a="1"/>
  <c r="F1057" i="13" a="1"/>
  <c r="F228" i="13" a="1"/>
  <c r="F813" i="13" a="1"/>
  <c r="F1069" i="13" a="1"/>
  <c r="F203" i="13" a="1"/>
  <c r="F422" i="13" a="1"/>
  <c r="F1445" i="13" a="1"/>
  <c r="F1063" i="13" a="1"/>
  <c r="F197" i="13" a="1"/>
  <c r="F1257" i="13" a="1"/>
  <c r="F272" i="13" a="1"/>
  <c r="F407" i="13" a="1"/>
  <c r="F843" i="13" a="1"/>
  <c r="F406" i="13" a="1"/>
  <c r="F512" i="13" a="1"/>
  <c r="F1342" i="13" a="1"/>
  <c r="F730" i="13" a="1"/>
  <c r="F438" i="13" a="1"/>
  <c r="F709" i="13" a="1"/>
  <c r="F17" i="13" a="1"/>
  <c r="F1438" i="13" a="1"/>
  <c r="F189" i="13" a="1"/>
  <c r="F1121" i="13" a="1"/>
  <c r="F1088" i="13" a="1"/>
  <c r="F722" i="13" a="1"/>
  <c r="F663" i="13" a="1"/>
  <c r="F117" i="13" a="1"/>
  <c r="F1323" i="13" a="1"/>
  <c r="F1240" i="13" a="1"/>
  <c r="F219" i="13" a="1"/>
  <c r="F211" i="13" a="1"/>
  <c r="F954" i="13" a="1"/>
  <c r="F1019" i="13" a="1"/>
  <c r="F878" i="13" a="1"/>
  <c r="F484" i="13" a="1"/>
  <c r="F15" i="13" a="1"/>
  <c r="F882" i="13" a="1"/>
  <c r="F1413" i="13" a="1"/>
  <c r="F1382" i="13" a="1"/>
  <c r="F1450" i="13" a="1"/>
  <c r="F752" i="13" a="1"/>
  <c r="F1416" i="13" a="1"/>
  <c r="F669" i="13" a="1"/>
  <c r="F1433" i="13" a="1"/>
  <c r="F1018" i="13" a="1"/>
  <c r="F1303" i="13" a="1"/>
  <c r="F932" i="13" a="1"/>
  <c r="F132" i="13" a="1"/>
  <c r="F771" i="13" a="1"/>
  <c r="F1146" i="13" a="1"/>
  <c r="F1335" i="13" a="1"/>
  <c r="F529" i="13" a="1"/>
  <c r="F1411" i="13" a="1"/>
  <c r="F1167" i="13" a="1"/>
  <c r="F1106" i="13" a="1"/>
  <c r="F1290" i="13" a="1"/>
  <c r="F1379" i="13" a="1"/>
  <c r="F815" i="13" a="1"/>
  <c r="F933" i="13" a="1"/>
  <c r="F1190" i="13" a="1"/>
  <c r="F520" i="13" a="1"/>
  <c r="F1006" i="13" a="1"/>
  <c r="F892" i="13" a="1"/>
  <c r="F265" i="13" a="1"/>
  <c r="F1464" i="13" a="1"/>
  <c r="F558" i="13" a="1"/>
  <c r="F796" i="13" a="1"/>
  <c r="F536" i="13" a="1"/>
  <c r="F1153" i="13" a="1"/>
  <c r="F1330" i="13" a="1"/>
  <c r="F1165" i="13" a="1"/>
  <c r="F466" i="13" a="1"/>
  <c r="F1207" i="13" a="1"/>
  <c r="F21" i="13" a="1"/>
  <c r="F1489" i="13" a="1"/>
  <c r="F1232" i="13" a="1"/>
  <c r="F1084" i="13" a="1"/>
  <c r="F187" i="13" a="1"/>
  <c r="F1042" i="13" a="1"/>
  <c r="F750" i="13" a="1"/>
  <c r="F206" i="13" a="1"/>
  <c r="F781" i="13" a="1"/>
  <c r="F1181" i="13" a="1"/>
  <c r="F421" i="13" a="1"/>
  <c r="F514" i="13" a="1"/>
  <c r="F1349" i="13" a="1"/>
  <c r="F1136" i="13" a="1"/>
  <c r="F680" i="13" a="1"/>
  <c r="F454" i="13" a="1"/>
  <c r="F443" i="13" a="1"/>
  <c r="F1251" i="13" a="1"/>
  <c r="F662" i="13" a="1"/>
  <c r="F993" i="13" a="1"/>
  <c r="F1080" i="13" a="1"/>
  <c r="F644" i="13" a="1"/>
  <c r="F411" i="13" a="1"/>
  <c r="F113" i="13" a="1"/>
  <c r="F657" i="13" a="1"/>
  <c r="F192" i="13" a="1"/>
  <c r="F1119" i="13" a="1"/>
  <c r="F252" i="13" a="1"/>
  <c r="F1113" i="13" a="1"/>
  <c r="F1331" i="13" a="1"/>
  <c r="F1465" i="13" a="1"/>
  <c r="F1174" i="13" a="1"/>
  <c r="F1210" i="13" a="1"/>
  <c r="F330" i="13" a="1"/>
  <c r="F1056" i="13" a="1"/>
  <c r="F312" i="13" a="1"/>
  <c r="F1351" i="13" a="1"/>
  <c r="F223" i="13" a="1"/>
  <c r="F470" i="13" a="1"/>
  <c r="F935" i="13" a="1"/>
  <c r="F1276" i="13" a="1"/>
  <c r="F270" i="13" a="1"/>
  <c r="F405" i="13" a="1"/>
  <c r="F1158" i="13" a="1"/>
  <c r="F208" i="13" a="1"/>
  <c r="F460" i="13" a="1"/>
  <c r="F125" i="13" a="1"/>
  <c r="F538" i="13" a="1"/>
  <c r="F971" i="13" a="1"/>
  <c r="F370" i="13" a="1"/>
  <c r="F956" i="13" a="1"/>
  <c r="F380" i="13" a="1"/>
  <c r="F1486" i="13" a="1"/>
  <c r="F459" i="13" a="1"/>
  <c r="F1023" i="13" a="1"/>
  <c r="F410" i="13" a="1"/>
  <c r="F550" i="13" a="1"/>
  <c r="F1283" i="13" a="1"/>
  <c r="F1205" i="13" a="1"/>
  <c r="F341" i="13" a="1"/>
  <c r="F1246" i="13" a="1"/>
  <c r="F711" i="13" a="1"/>
  <c r="F322" i="13" a="1"/>
  <c r="F497" i="13" a="1"/>
  <c r="F445" i="13" a="1"/>
  <c r="F159" i="13" a="1"/>
  <c r="F161" i="13" a="1"/>
  <c r="F890" i="13" a="1"/>
  <c r="F1314" i="13" a="1"/>
  <c r="F1132" i="13" a="1"/>
  <c r="F1184" i="13" a="1"/>
  <c r="F692" i="13" a="1"/>
  <c r="F784" i="13" a="1"/>
  <c r="F632" i="13" a="1"/>
  <c r="F311" i="13" a="1"/>
  <c r="F1272" i="13" a="1"/>
  <c r="F1447" i="13" a="1"/>
  <c r="F642" i="13" a="1"/>
  <c r="F1230" i="13" a="1"/>
  <c r="F1458" i="13" a="1"/>
  <c r="F1467" i="13" a="1"/>
  <c r="F1108" i="13" a="1"/>
  <c r="F1369" i="13" a="1"/>
  <c r="F807" i="13" a="1"/>
  <c r="F196" i="13" a="1"/>
  <c r="F762" i="13" a="1"/>
  <c r="F1185" i="13" a="1"/>
  <c r="F905" i="13" a="1"/>
  <c r="F1014" i="13" a="1"/>
  <c r="F756" i="13" a="1"/>
  <c r="F694" i="13" a="1"/>
  <c r="F205" i="13" a="1"/>
  <c r="F383" i="13" a="1"/>
  <c r="F769" i="13" a="1"/>
  <c r="F136" i="13" a="1"/>
  <c r="F280" i="13" a="1"/>
  <c r="F1350" i="13" a="1"/>
  <c r="F1145" i="13" a="1"/>
  <c r="F668" i="13" a="1"/>
  <c r="F646" i="13" a="1"/>
  <c r="F1265" i="13" a="1"/>
  <c r="F384" i="13" a="1"/>
  <c r="F1183" i="13" a="1"/>
  <c r="F1197" i="13" a="1"/>
  <c r="F651" i="13" a="1"/>
  <c r="F1410" i="13" a="1"/>
  <c r="F371" i="13" a="1"/>
  <c r="F698" i="13" a="1"/>
  <c r="F1170" i="13" a="1"/>
  <c r="F450" i="13" a="1"/>
  <c r="F995" i="13" a="1"/>
  <c r="F677" i="13" a="1"/>
  <c r="F866" i="13" a="1"/>
  <c r="F1479" i="13" a="1"/>
  <c r="F388" i="13" a="1"/>
  <c r="F1062" i="13" a="1"/>
  <c r="F728" i="13" a="1"/>
  <c r="F834" i="13" a="1"/>
  <c r="F170" i="13" a="1"/>
  <c r="F1141" i="13" a="1"/>
  <c r="F894" i="13" a="1"/>
  <c r="F222" i="13" a="1"/>
  <c r="F972" i="13" a="1"/>
  <c r="F436" i="13" a="1"/>
  <c r="F1055" i="13" a="1"/>
  <c r="F1028" i="13" a="1"/>
  <c r="F1143" i="13" a="1"/>
  <c r="F414" i="13" a="1"/>
  <c r="F720" i="13" a="1"/>
  <c r="F963" i="13" a="1"/>
  <c r="F552" i="13" a="1"/>
  <c r="F1239" i="13" a="1"/>
  <c r="F947" i="13" a="1"/>
  <c r="F739" i="13" a="1"/>
  <c r="F1011" i="13" a="1"/>
  <c r="F627" i="13" a="1"/>
  <c r="F625" i="13" a="1"/>
  <c r="F409" i="13" a="1"/>
  <c r="F1302" i="13" a="1"/>
  <c r="F888" i="13" a="1"/>
  <c r="F435" i="13" a="1"/>
  <c r="F1037" i="13" a="1"/>
  <c r="F1423" i="13" a="1"/>
  <c r="F124" i="13" a="1"/>
  <c r="F121" i="13" a="1"/>
  <c r="F1430" i="13" a="1"/>
  <c r="F1128" i="13" a="1"/>
  <c r="F613" i="13" a="1"/>
  <c r="F1488" i="13" a="1"/>
  <c r="F527" i="13" a="1"/>
  <c r="F1424" i="13" a="1"/>
  <c r="F1123" i="13" a="1"/>
  <c r="F1203" i="13" a="1"/>
  <c r="F1288" i="13" a="1"/>
  <c r="F1226" i="13" a="1"/>
  <c r="F167" i="13" a="1"/>
  <c r="F553" i="13" a="1"/>
  <c r="F998" i="13" a="1"/>
  <c r="F1070" i="13" a="1"/>
  <c r="F519" i="13" a="1"/>
  <c r="F1491" i="13" a="1"/>
  <c r="F162" i="13" a="1"/>
  <c r="F818" i="13" a="1"/>
  <c r="F254" i="13" a="1"/>
  <c r="F156" i="13" a="1"/>
  <c r="F1010" i="13" a="1"/>
  <c r="F854" i="13" a="1"/>
  <c r="F1267" i="13" a="1"/>
  <c r="F734" i="13" a="1"/>
  <c r="F319" i="13" a="1"/>
  <c r="F186" i="13" a="1"/>
  <c r="F425" i="13" a="1"/>
  <c r="F48" i="13" a="1"/>
  <c r="F108" i="13" a="1"/>
  <c r="F61" i="13" a="1"/>
  <c r="F36" i="13" a="1"/>
  <c r="F111" i="13" a="1"/>
  <c r="F57" i="13" a="1"/>
  <c r="F90" i="13" a="1"/>
  <c r="F103" i="13" a="1"/>
  <c r="F34" i="13" a="1"/>
  <c r="F26" i="13" a="1"/>
  <c r="F14" i="13" a="1"/>
  <c r="F33" i="13" a="1"/>
  <c r="F1133" i="13" a="1"/>
  <c r="F482" i="13" a="1"/>
  <c r="F1478" i="13" a="1"/>
  <c r="F481" i="13" a="1"/>
  <c r="F1224" i="13" a="1"/>
  <c r="F825" i="13" a="1"/>
  <c r="F1452" i="13" a="1"/>
  <c r="F284" i="13" a="1"/>
  <c r="F1407" i="13" a="1"/>
  <c r="F141" i="13" a="1"/>
  <c r="F432" i="13" a="1"/>
  <c r="F926" i="13" a="1"/>
  <c r="F697" i="13" a="1"/>
  <c r="F99" i="13" a="1"/>
  <c r="F46" i="13" a="1"/>
  <c r="F63" i="13" a="1"/>
  <c r="F306" i="13" a="1"/>
  <c r="F531" i="13" a="1"/>
  <c r="F859" i="13" a="1"/>
  <c r="F1337" i="13" a="1"/>
  <c r="F1204" i="13" a="1"/>
  <c r="F1457" i="13" a="1"/>
  <c r="F296" i="13" a="1"/>
  <c r="F615" i="13" a="1"/>
  <c r="F1501" i="13" a="1"/>
  <c r="F1243" i="13" a="1"/>
  <c r="F1333" i="13" a="1"/>
  <c r="F1227" i="13" a="1"/>
  <c r="F631" i="13" a="1"/>
  <c r="F638" i="13" a="1"/>
  <c r="F314" i="13" a="1"/>
  <c r="F811" i="13" a="1"/>
  <c r="F195" i="13" a="1"/>
  <c r="F165" i="13" a="1"/>
  <c r="F315" i="13" a="1"/>
  <c r="F1075" i="13" a="1"/>
  <c r="F1254" i="13" a="1"/>
  <c r="F1111" i="13" a="1"/>
  <c r="F915" i="13" a="1"/>
  <c r="F1039" i="13" a="1"/>
  <c r="F1429" i="13" a="1"/>
  <c r="F362" i="13" a="1"/>
  <c r="F1043" i="13" a="1"/>
  <c r="F715" i="13" a="1"/>
  <c r="F1394" i="13" a="1"/>
  <c r="F653" i="13" a="1"/>
  <c r="F717" i="13" a="1"/>
  <c r="F1318" i="13" a="1"/>
  <c r="F759" i="13" a="1"/>
  <c r="F1160" i="13" a="1"/>
  <c r="F1083" i="13" a="1"/>
  <c r="F871" i="13" a="1"/>
  <c r="F214" i="13" a="1"/>
  <c r="F1397" i="13" a="1"/>
  <c r="F448" i="13" a="1"/>
  <c r="F263" i="13" a="1"/>
  <c r="F588" i="13" a="1"/>
  <c r="F767" i="13" a="1"/>
  <c r="F870" i="13" a="1"/>
  <c r="F1122" i="13" a="1"/>
  <c r="F479" i="13" a="1"/>
  <c r="F679" i="13" a="1"/>
  <c r="F471" i="13" a="1"/>
  <c r="F1026" i="13" a="1"/>
  <c r="F483" i="13" a="1"/>
  <c r="F1247" i="13" a="1"/>
  <c r="F690" i="13" a="1"/>
  <c r="F579" i="13" a="1"/>
  <c r="F806" i="13" a="1"/>
  <c r="F1163" i="13" a="1"/>
  <c r="F1022" i="13" a="1"/>
  <c r="F1087" i="13" a="1"/>
  <c r="F575" i="13" a="1"/>
  <c r="F1448" i="13" a="1"/>
  <c r="F975" i="13" a="1"/>
  <c r="F829" i="13" a="1"/>
  <c r="F1199" i="13" a="1"/>
  <c r="F566" i="13" a="1"/>
  <c r="F1327" i="13" a="1"/>
  <c r="F1231" i="13" a="1"/>
  <c r="F244" i="13" a="1"/>
  <c r="F1173" i="13" a="1"/>
  <c r="F572" i="13" a="1"/>
  <c r="F336" i="13" a="1"/>
  <c r="F857" i="13" a="1"/>
  <c r="F881" i="13" a="1"/>
  <c r="F961" i="13" a="1"/>
  <c r="F1375" i="13" a="1"/>
  <c r="F594" i="13" a="1"/>
  <c r="F1373" i="13" a="1"/>
  <c r="F515" i="13" a="1"/>
  <c r="F561" i="13" a="1"/>
  <c r="F826" i="13" a="1"/>
  <c r="F880" i="13" a="1"/>
  <c r="F1358" i="13" a="1"/>
  <c r="F310" i="13" a="1"/>
  <c r="F1211" i="13" a="1"/>
  <c r="F1024" i="13" a="1"/>
  <c r="F1249" i="13" a="1"/>
  <c r="F1031" i="13" a="1"/>
  <c r="F841" i="13" a="1"/>
  <c r="F287" i="13" a="1"/>
  <c r="F549" i="13" a="1"/>
  <c r="F824" i="13" a="1"/>
  <c r="F795" i="13" a="1"/>
  <c r="F1304" i="13" a="1"/>
  <c r="F359" i="13" a="1"/>
  <c r="F261" i="13" a="1"/>
  <c r="F1117" i="13" a="1"/>
  <c r="F1425" i="13" a="1"/>
  <c r="F1071" i="13" a="1"/>
  <c r="F491" i="13" a="1"/>
  <c r="F1461" i="13" a="1"/>
  <c r="F1446" i="13" a="1"/>
  <c r="F30" i="13" a="1"/>
  <c r="F47" i="13" a="1"/>
  <c r="F110" i="13" a="1"/>
  <c r="F38" i="13" a="1"/>
  <c r="F39" i="13" a="1"/>
  <c r="F10" i="13" a="1"/>
  <c r="F8" i="13" a="1"/>
  <c r="F23" i="13" a="1"/>
  <c r="F92" i="13" a="1"/>
  <c r="F32" i="13" a="1"/>
  <c r="F4" i="13" a="1"/>
  <c r="F54" i="13" a="1"/>
  <c r="F85" i="13" a="1"/>
  <c r="F9" i="13" a="1"/>
  <c r="F78" i="13" a="1"/>
  <c r="F1191" i="13" a="1"/>
  <c r="F1502" i="13" a="1"/>
  <c r="F431" i="13" a="1"/>
  <c r="F710" i="13" a="1"/>
  <c r="F155" i="13" a="1"/>
  <c r="F953" i="13" a="1"/>
  <c r="F225" i="13" a="1"/>
  <c r="F390" i="13" a="1"/>
  <c r="F814" i="13" a="1"/>
  <c r="F349" i="13" a="1"/>
  <c r="F173" i="13" a="1"/>
  <c r="F967" i="13" a="1"/>
  <c r="F1317" i="13" a="1"/>
  <c r="F1487" i="13" a="1"/>
  <c r="F748" i="13" a="1"/>
  <c r="F35" i="13" a="1"/>
  <c r="F76" i="13" a="1"/>
  <c r="F94" i="13" a="1"/>
  <c r="F581" i="13" a="1"/>
  <c r="F562" i="13" a="1"/>
  <c r="F1049" i="13" a="1"/>
  <c r="F626" i="13" a="1"/>
  <c r="F984" i="13" a="1"/>
  <c r="F200" i="13" a="1"/>
  <c r="F498" i="13" a="1"/>
  <c r="F1357" i="13" a="1"/>
  <c r="F340" i="13" a="1"/>
  <c r="F918" i="13" a="1"/>
  <c r="F618" i="13" a="1"/>
  <c r="F343" i="13" a="1"/>
  <c r="F849" i="13" a="1"/>
  <c r="F305" i="13" a="1"/>
  <c r="F797" i="13" a="1"/>
  <c r="F700" i="13" a="1"/>
  <c r="F146" i="13" a="1"/>
  <c r="F151" i="13" a="1"/>
  <c r="F969" i="13" a="1"/>
  <c r="F426" i="13" a="1"/>
  <c r="F184" i="13" a="1"/>
  <c r="F13" i="13" a="1"/>
  <c r="F725" i="13" a="1"/>
  <c r="F247" i="13" a="1"/>
  <c r="F502" i="13" a="1"/>
  <c r="F573" i="13" a="1"/>
  <c r="F1273" i="13" a="1"/>
  <c r="F212" i="13" a="1"/>
  <c r="F695" i="13" a="1"/>
  <c r="F375" i="13" a="1"/>
  <c r="F1395" i="13" a="1"/>
  <c r="F1067" i="13" a="1"/>
  <c r="F461" i="13" a="1"/>
  <c r="F832" i="13" a="1"/>
  <c r="F382" i="13" a="1"/>
  <c r="F1188" i="13" a="1"/>
  <c r="F770" i="13" a="1"/>
  <c r="F896" i="13" a="1"/>
  <c r="F670" i="13" a="1"/>
  <c r="F996" i="13" a="1"/>
  <c r="F1178" i="13" a="1"/>
  <c r="F1214" i="13" a="1"/>
  <c r="F1422" i="13" a="1"/>
  <c r="F1279" i="13" a="1"/>
  <c r="F838" i="13" a="1"/>
  <c r="F325" i="13" a="1"/>
  <c r="F391" i="13" a="1"/>
  <c r="F1016" i="13" a="1"/>
  <c r="F1015" i="13" a="1"/>
  <c r="F753" i="13" a="1"/>
  <c r="F652" i="13" a="1"/>
  <c r="F188" i="13" a="1"/>
  <c r="F883" i="13" a="1"/>
  <c r="F731" i="13" a="1"/>
  <c r="F1242" i="13" a="1"/>
  <c r="F986" i="13" a="1"/>
  <c r="F1245" i="13" a="1"/>
  <c r="F1166" i="13" a="1"/>
  <c r="F664" i="13" a="1"/>
  <c r="F924" i="13" a="1"/>
  <c r="F774" i="13" a="1"/>
  <c r="F1442" i="13" a="1"/>
  <c r="F437" i="13" a="1"/>
  <c r="F501" i="13" a="1"/>
  <c r="F453" i="13" a="1"/>
  <c r="F377" i="13" a="1"/>
  <c r="F355" i="13" a="1"/>
  <c r="F1417" i="13" a="1"/>
  <c r="F1291" i="13" a="1"/>
  <c r="F133" i="13" a="1"/>
  <c r="F1195" i="13" a="1"/>
  <c r="F1435" i="13" a="1"/>
  <c r="F1319" i="13" a="1"/>
  <c r="F158" i="13" a="1"/>
  <c r="F1198" i="13" a="1"/>
  <c r="F1054" i="13" a="1"/>
  <c r="F521" i="13" a="1"/>
  <c r="F240" i="13" a="1"/>
  <c r="F358" i="13" a="1"/>
  <c r="F1034" i="13" a="1"/>
  <c r="F1266" i="13" a="1"/>
  <c r="F1013" i="13" a="1"/>
  <c r="F858" i="13" a="1"/>
  <c r="F1386" i="13" a="1"/>
  <c r="F1096" i="13" a="1"/>
  <c r="F840" i="13" a="1"/>
  <c r="F1209" i="13" a="1"/>
  <c r="F682" i="13" a="1"/>
  <c r="F567" i="13" a="1"/>
  <c r="F346" i="13" a="1"/>
  <c r="F678" i="13" a="1"/>
  <c r="F1035" i="13" a="1"/>
  <c r="F476" i="13" a="1"/>
  <c r="F874" i="13" a="1"/>
  <c r="F917" i="13" a="1"/>
  <c r="F1285" i="13" a="1"/>
  <c r="F332" i="13" a="1"/>
  <c r="F213" i="13" a="1"/>
  <c r="F100" i="13" a="1"/>
  <c r="F52" i="13" a="1"/>
  <c r="F80" i="13" a="1"/>
  <c r="F88" i="13" a="1"/>
  <c r="F82" i="13" a="1"/>
  <c r="F106" i="13" a="1"/>
  <c r="F71" i="13" a="1"/>
  <c r="F75" i="13" a="1"/>
  <c r="F67" i="13" a="1"/>
  <c r="F128" i="13" a="1"/>
  <c r="F1309" i="13" a="1"/>
  <c r="F542" i="13" a="1"/>
  <c r="F560" i="13" a="1"/>
  <c r="F1097" i="13" a="1"/>
  <c r="F1396" i="13" a="1"/>
  <c r="F706" i="13" a="1"/>
  <c r="F1213" i="13" a="1"/>
  <c r="F790" i="13" a="1"/>
  <c r="F348" i="13" a="1"/>
  <c r="F528" i="13" a="1"/>
  <c r="F1366" i="13" a="1"/>
  <c r="F1426" i="13" a="1"/>
  <c r="F257" i="13" a="1"/>
  <c r="F1258" i="13" a="1"/>
  <c r="F609" i="13" a="1"/>
  <c r="F43" i="13" a="1"/>
  <c r="F66" i="13" a="1"/>
  <c r="F50" i="13" a="1"/>
  <c r="F1415" i="13" a="1"/>
  <c r="F1263" i="13" a="1"/>
  <c r="F1000" i="13" a="1"/>
  <c r="F605" i="13" a="1"/>
  <c r="F176" i="13" a="1"/>
  <c r="F1334" i="13" a="1"/>
  <c r="F844" i="13" a="1"/>
  <c r="F1235" i="13" a="1"/>
  <c r="F835" i="13" a="1"/>
  <c r="F923" i="13" a="1"/>
  <c r="F1293" i="13" a="1"/>
  <c r="F783" i="13" a="1"/>
  <c r="F285" i="13" a="1"/>
  <c r="F1068" i="13" a="1"/>
  <c r="F749" i="13" a="1"/>
  <c r="F1148" i="13" a="1"/>
  <c r="F419" i="13" a="1"/>
  <c r="F1040" i="13" a="1"/>
  <c r="F416" i="13" a="1"/>
  <c r="F673" i="13" a="1"/>
  <c r="F640" i="13" a="1"/>
  <c r="F671" i="13" a="1"/>
  <c r="F604" i="13" a="1"/>
  <c r="F169" i="13" a="1"/>
  <c r="F691" i="13" a="1"/>
  <c r="F901" i="13" a="1"/>
  <c r="F444" i="13" a="1"/>
  <c r="F1451" i="13" a="1"/>
  <c r="F1325" i="13" a="1"/>
  <c r="F210" i="13" a="1"/>
  <c r="F667" i="13" a="1"/>
  <c r="F792" i="13" a="1"/>
  <c r="F1098" i="13" a="1"/>
  <c r="F1419" i="13" a="1"/>
  <c r="F440" i="13" a="1"/>
  <c r="F1289" i="13" a="1"/>
  <c r="F1468" i="13" a="1"/>
  <c r="F1187" i="13" a="1"/>
  <c r="F389" i="13" a="1"/>
  <c r="F1497" i="13" a="1"/>
  <c r="F584" i="13" a="1"/>
  <c r="F624" i="13" a="1"/>
  <c r="F361" i="13" a="1"/>
  <c r="F1012" i="13" a="1"/>
  <c r="F1072" i="13" a="1"/>
  <c r="F1306" i="13" a="1"/>
  <c r="F850" i="13" a="1"/>
  <c r="F1278" i="13" a="1"/>
  <c r="F427" i="13" a="1"/>
  <c r="F939" i="13" a="1"/>
  <c r="F955" i="13" a="1"/>
  <c r="F191" i="13" a="1"/>
  <c r="F565" i="13" a="1"/>
  <c r="F1362" i="13" a="1"/>
  <c r="F12" i="13" a="1"/>
  <c r="F68" i="13" a="1"/>
  <c r="F5" i="13" a="1"/>
  <c r="F1295" i="13" a="1"/>
  <c r="F742" i="13" a="1"/>
  <c r="F754" i="13" a="1"/>
  <c r="F860" i="13" a="1"/>
  <c r="F215" i="13" a="1"/>
  <c r="F334" i="13" a="1"/>
  <c r="F288" i="13" a="1"/>
  <c r="F1401" i="13" a="1"/>
  <c r="F828" i="13" a="1"/>
  <c r="F992" i="13" a="1"/>
  <c r="F525" i="13" a="1"/>
  <c r="F1110" i="13" a="1"/>
  <c r="F988" i="13" a="1"/>
  <c r="F1434" i="13" a="1"/>
  <c r="F775" i="13" a="1"/>
  <c r="F643" i="13" a="1"/>
  <c r="F647" i="13" a="1"/>
  <c r="F957" i="13" a="1"/>
  <c r="F1380" i="13" a="1"/>
  <c r="F1472" i="13" a="1"/>
  <c r="F381" i="13" a="1"/>
  <c r="F1105" i="13" a="1"/>
  <c r="F1047" i="13" a="1"/>
  <c r="F914" i="13" a="1"/>
  <c r="F1255" i="13" a="1"/>
  <c r="F241" i="13" a="1"/>
  <c r="F271" i="13" a="1"/>
  <c r="F943" i="13" a="1"/>
  <c r="F116" i="13" a="1"/>
  <c r="F1455" i="13" a="1"/>
  <c r="F1326" i="13" a="1"/>
  <c r="F503" i="13" a="1"/>
  <c r="F629" i="13" a="1"/>
  <c r="F1151" i="13" a="1"/>
  <c r="F1002" i="13" a="1"/>
  <c r="F1124" i="13" a="1"/>
  <c r="F1475" i="13" a="1"/>
  <c r="F823" i="13" a="1"/>
  <c r="F1051" i="13" a="1"/>
  <c r="F1159" i="13" a="1"/>
  <c r="F298" i="13" a="1"/>
  <c r="F224" i="13" a="1"/>
  <c r="F1360" i="13" a="1"/>
  <c r="F1253" i="13" a="1"/>
  <c r="F308" i="13" a="1"/>
  <c r="F1365" i="13" a="1"/>
  <c r="F122" i="13" a="1"/>
  <c r="F487" i="13" a="1"/>
  <c r="F846" i="13" a="1"/>
  <c r="F1298" i="13" a="1"/>
  <c r="F1270" i="13" a="1"/>
  <c r="F524" i="13" a="1"/>
  <c r="F463" i="13" a="1"/>
  <c r="F281" i="13" a="1"/>
  <c r="F509" i="13" a="1"/>
  <c r="F242" i="13" a="1"/>
  <c r="F500" i="13" a="1"/>
  <c r="F289" i="13" a="1"/>
  <c r="F364" i="13" a="1"/>
  <c r="F1370" i="13" a="1"/>
  <c r="F1414" i="13" a="1"/>
  <c r="F1336" i="13" a="1"/>
  <c r="F1114" i="13" a="1"/>
  <c r="F603" i="13" a="1"/>
  <c r="F809" i="13" a="1"/>
  <c r="F292" i="13" a="1"/>
  <c r="F467" i="13" a="1"/>
  <c r="F913" i="13" a="1"/>
  <c r="F534" i="13" a="1"/>
  <c r="F544" i="13" a="1"/>
  <c r="F398" i="13" a="1"/>
  <c r="F115" i="13" a="1"/>
  <c r="F688" i="13" a="1"/>
  <c r="F181" i="13" a="1"/>
  <c r="F175" i="13" a="1"/>
  <c r="F1237" i="13" a="1"/>
  <c r="F264" i="13" a="1"/>
  <c r="F11" i="13" a="1"/>
  <c r="F738" i="13" a="1"/>
  <c r="F506" i="13" a="1"/>
  <c r="F1100" i="13" a="1"/>
  <c r="F1076" i="13" a="1"/>
  <c r="F980" i="13" a="1"/>
  <c r="F1052" i="13" a="1"/>
  <c r="F434" i="13" a="1"/>
  <c r="F478" i="13" a="1"/>
  <c r="F819" i="13" a="1"/>
  <c r="F547" i="13" a="1"/>
  <c r="F163" i="13" a="1"/>
  <c r="F279" i="13" a="1"/>
  <c r="F745" i="13" a="1"/>
  <c r="F649" i="13" a="1"/>
  <c r="F791" i="13" a="1"/>
  <c r="F1259" i="13" a="1"/>
  <c r="F864" i="13" a="1"/>
  <c r="F488" i="13" a="1"/>
  <c r="F469" i="13" a="1"/>
  <c r="F637" i="13" a="1"/>
  <c r="F87" i="13" a="1"/>
  <c r="F53" i="13" a="1"/>
  <c r="F97" i="13" a="1"/>
  <c r="F7" i="13" a="1"/>
  <c r="F77" i="13" a="1"/>
  <c r="F25" i="13" a="1"/>
  <c r="F56" i="13" a="1"/>
  <c r="F44" i="13" a="1"/>
  <c r="F41" i="13" a="1"/>
  <c r="F79" i="13" a="1"/>
  <c r="F73" i="13" a="1"/>
  <c r="F64" i="13" a="1"/>
  <c r="F952" i="13" a="1"/>
  <c r="F541" i="13" a="1"/>
  <c r="F474" i="13" a="1"/>
  <c r="F1345" i="13" a="1"/>
  <c r="F787" i="13" a="1"/>
  <c r="F142" i="13" a="1"/>
  <c r="F1500" i="13" a="1"/>
  <c r="F273" i="13" a="1"/>
  <c r="F577" i="13" a="1"/>
  <c r="F323" i="13" a="1"/>
  <c r="F620" i="13" a="1"/>
  <c r="F804" i="13" a="1"/>
  <c r="F696" i="13" a="1"/>
  <c r="F805" i="13" a="1"/>
  <c r="F275" i="13" a="1"/>
  <c r="F962" i="13" a="1"/>
  <c r="F1340" i="13" a="1"/>
  <c r="F925" i="13" a="1"/>
  <c r="F793" i="13" a="1"/>
  <c r="F182" i="13" a="1"/>
  <c r="F216" i="13" a="1"/>
  <c r="F958" i="13" a="1"/>
  <c r="F420" i="13" a="1"/>
  <c r="F1343" i="13" a="1"/>
  <c r="F929" i="13" a="1"/>
  <c r="F1348" i="13" a="1"/>
  <c r="F802" i="13" a="1"/>
  <c r="F772" i="13" a="1"/>
  <c r="F758" i="13" a="1"/>
  <c r="F1065" i="13" a="1"/>
  <c r="F1046" i="13" a="1"/>
  <c r="F543" i="13" a="1"/>
  <c r="F493" i="13" a="1"/>
  <c r="F833" i="13" a="1"/>
  <c r="F1225" i="13" a="1"/>
  <c r="F1045" i="13" a="1"/>
  <c r="F114" i="13" a="1"/>
  <c r="F316" i="13" a="1"/>
  <c r="F592" i="13" a="1"/>
  <c r="F619" i="13" a="1"/>
  <c r="F342" i="13" a="1"/>
  <c r="F365" i="13" a="1"/>
  <c r="F230" i="13" a="1"/>
  <c r="F897" i="13" a="1"/>
  <c r="F535" i="13" a="1"/>
  <c r="F856" i="13" a="1"/>
  <c r="F1041" i="13" a="1"/>
  <c r="F645" i="13" a="1"/>
  <c r="F904" i="13" a="1"/>
  <c r="F1361" i="13" a="1"/>
  <c r="F172" i="13" a="1"/>
  <c r="F803" i="13" a="1"/>
  <c r="F906" i="13" a="1"/>
  <c r="F1196" i="13" a="1"/>
  <c r="F960" i="13" a="1"/>
  <c r="F393" i="13" a="1"/>
  <c r="F836" i="13" a="1"/>
  <c r="F987" i="13" a="1"/>
  <c r="F456" i="13" a="1"/>
  <c r="F458" i="13" a="1"/>
  <c r="F1262" i="13" a="1"/>
  <c r="F457" i="13" a="1"/>
  <c r="F492" i="13" a="1"/>
  <c r="F1137" i="13" a="1"/>
  <c r="F1131" i="13" a="1"/>
  <c r="F944" i="13" a="1"/>
  <c r="F1138" i="13" a="1"/>
  <c r="F621" i="13" a="1"/>
  <c r="F569" i="13" a="1"/>
  <c r="F1248" i="13" a="1"/>
  <c r="F1234" i="13" a="1"/>
  <c r="F1371" i="13" a="1"/>
  <c r="F282" i="13" a="1"/>
  <c r="F408" i="13" a="1"/>
  <c r="F246" i="13" a="1"/>
  <c r="F591" i="13" a="1"/>
  <c r="F1498" i="13" a="1"/>
  <c r="F373" i="13" a="1"/>
  <c r="F1460" i="13" a="1"/>
  <c r="F102" i="13" a="1"/>
  <c r="F55" i="13" a="1"/>
  <c r="F74" i="13" a="1"/>
  <c r="F81" i="13" a="1"/>
  <c r="F812" i="13" a="1"/>
  <c r="F126" i="13" a="1"/>
  <c r="F1428" i="13" a="1"/>
  <c r="F898" i="13" a="1"/>
  <c r="F650" i="13" a="1"/>
  <c r="F84" i="13" a="1"/>
  <c r="F303" i="13" a="1"/>
  <c r="F1346" i="13" a="1"/>
  <c r="F392" i="13" a="1"/>
  <c r="F530" i="13" a="1"/>
  <c r="F394" i="13" a="1"/>
  <c r="F1094" i="13" a="1"/>
  <c r="F134" i="13" a="1"/>
  <c r="F49" i="13" a="1"/>
  <c r="F101" i="13" a="1"/>
  <c r="F93" i="13" a="1"/>
  <c r="F379" i="13" a="1"/>
  <c r="F1305" i="13" a="1"/>
  <c r="F801" i="13" a="1"/>
  <c r="F712" i="13" a="1"/>
  <c r="F1103" i="13" a="1"/>
  <c r="F1008" i="13" a="1"/>
  <c r="F879" i="13" a="1"/>
  <c r="F517" i="13" a="1"/>
  <c r="F726" i="13" a="1"/>
  <c r="F899" i="13" a="1"/>
  <c r="F295" i="13" a="1"/>
  <c r="F1140" i="13" a="1"/>
  <c r="F990" i="13" a="1"/>
  <c r="F1236" i="13" a="1"/>
  <c r="F462" i="13" a="1"/>
  <c r="F119" i="13" a="1"/>
  <c r="F1099" i="13" a="1"/>
  <c r="F428" i="13" a="1"/>
  <c r="F884" i="13" a="1"/>
  <c r="F283" i="13" a="1"/>
  <c r="F1201" i="13" a="1"/>
  <c r="F1172" i="13" a="1"/>
  <c r="F1169" i="13" a="1"/>
  <c r="F259" i="13" a="1"/>
  <c r="F1061" i="13" a="1"/>
  <c r="F1086" i="13" a="1"/>
  <c r="F911" i="13" a="1"/>
  <c r="F309" i="13" a="1"/>
  <c r="F1256" i="13" a="1"/>
  <c r="F1469" i="13" a="1"/>
  <c r="F439" i="13" a="1"/>
  <c r="F40" i="13" a="1"/>
  <c r="F45" i="13" a="1"/>
  <c r="F107" i="13" a="1"/>
  <c r="F62" i="13" a="1"/>
  <c r="F729" i="13" a="1"/>
  <c r="F480" i="13" a="1"/>
  <c r="F587" i="13" a="1"/>
  <c r="F900" i="13" a="1"/>
  <c r="F31" i="13" a="1"/>
  <c r="F58" i="13" a="1"/>
  <c r="F329" i="13" a="1"/>
  <c r="F1044" i="13" a="1"/>
  <c r="F446" i="13" a="1"/>
  <c r="F1074" i="13" a="1"/>
  <c r="F154" i="13" a="1"/>
  <c r="F518" i="13" a="1"/>
  <c r="F185" i="13" a="1"/>
  <c r="F634" i="13" a="1"/>
  <c r="F37" i="13" a="1"/>
  <c r="F1374" i="13" a="1"/>
  <c r="F22" i="13" a="1"/>
  <c r="F974" i="13" a="1"/>
  <c r="F1082" i="13" a="1"/>
  <c r="F539" i="13" a="1"/>
  <c r="F936" i="13" a="1"/>
  <c r="F810" i="13" a="1"/>
  <c r="F1377" i="13" a="1"/>
  <c r="F1009" i="13" a="1"/>
  <c r="F345" i="13" a="1"/>
  <c r="F1064" i="13" a="1"/>
  <c r="F602" i="13" a="1"/>
  <c r="F1093" i="13" a="1"/>
  <c r="F1300" i="13" a="1"/>
  <c r="F713" i="13" a="1"/>
  <c r="F202" i="13" a="1"/>
  <c r="F1223" i="13" a="1"/>
  <c r="F226" i="13" a="1"/>
  <c r="F978" i="13" a="1"/>
  <c r="F977" i="13" a="1"/>
  <c r="F1388" i="13" a="1"/>
  <c r="F630" i="13" a="1"/>
  <c r="F666" i="13" a="1"/>
  <c r="F785" i="13" a="1"/>
  <c r="F1212" i="13" a="1"/>
  <c r="F233" i="13" a="1"/>
  <c r="F217" i="13" a="1"/>
  <c r="F473" i="13" a="1"/>
  <c r="F130" i="13" a="1"/>
  <c r="F144" i="13" a="1"/>
  <c r="F1492" i="13" a="1"/>
  <c r="F665" i="13" a="1"/>
  <c r="F60" i="13" a="1"/>
  <c r="F42" i="13" a="1"/>
  <c r="F95" i="13" a="1"/>
  <c r="F98" i="13" a="1"/>
  <c r="F89" i="13" a="1"/>
  <c r="F1005" i="13" a="1"/>
  <c r="F724" i="13" a="1"/>
  <c r="F307" i="13" a="1"/>
  <c r="F751" i="13" a="1"/>
  <c r="F1376" i="13" a="1"/>
  <c r="F112" i="13" a="1"/>
  <c r="F732" i="13" a="1"/>
  <c r="F402" i="13" a="1"/>
  <c r="F160" i="13" a="1"/>
  <c r="F1440" i="13" a="1"/>
  <c r="F868" i="13" a="1"/>
  <c r="F909" i="13" a="1"/>
  <c r="F786" i="13" a="1"/>
  <c r="F699" i="13" a="1"/>
  <c r="F96" i="13" a="1"/>
  <c r="F614" i="13" a="1"/>
  <c r="F1033" i="13" a="1"/>
  <c r="F1406" i="13" a="1"/>
  <c r="F1078" i="13" a="1"/>
  <c r="F1405" i="13" a="1"/>
  <c r="F973" i="13" a="1"/>
  <c r="F1441" i="13" a="1"/>
  <c r="F723" i="13" a="1"/>
  <c r="F902" i="13" a="1"/>
  <c r="F1250" i="13" a="1"/>
  <c r="F1320" i="13" a="1"/>
  <c r="F356" i="13" a="1"/>
  <c r="F237" i="13" a="1"/>
  <c r="F1206" i="13" a="1"/>
  <c r="F1112" i="13" a="1"/>
  <c r="F1003" i="13" a="1"/>
  <c r="F403" i="13" a="1"/>
  <c r="F104" i="13" a="1"/>
  <c r="F1328" i="13" a="1"/>
  <c r="F851" i="13" a="1"/>
  <c r="F916" i="13" a="1"/>
  <c r="F1129" i="13" a="1"/>
  <c r="F708" i="13" a="1"/>
  <c r="F1308" i="13" a="1"/>
  <c r="F1470" i="13" a="1"/>
  <c r="F580" i="13" a="1"/>
  <c r="F51" i="13" a="1"/>
  <c r="F70" i="13" a="1"/>
  <c r="F1260" i="13" a="1"/>
  <c r="F714" i="13" a="1"/>
  <c r="F658" i="13" a="1"/>
  <c r="F1384" i="13" a="1"/>
  <c r="F1389" i="13" a="1"/>
  <c r="F320" i="13" a="1"/>
  <c r="F1301" i="13" a="1"/>
  <c r="F1275" i="13" a="1"/>
  <c r="F1144" i="13" a="1"/>
  <c r="F839" i="13" a="1"/>
  <c r="F16" i="13" a="1"/>
  <c r="F1471" i="13" a="1"/>
  <c r="F1311" i="13" a="1"/>
  <c r="F209" i="13" a="1"/>
  <c r="F800" i="13" a="1"/>
  <c r="F798" i="13" a="1"/>
  <c r="F693" i="13" a="1"/>
  <c r="F150" i="13" a="1"/>
  <c r="F842" i="13" a="1"/>
  <c r="F1032" i="13" a="1"/>
  <c r="F599" i="13" a="1"/>
  <c r="F661" i="13" a="1"/>
  <c r="F891" i="13" a="1"/>
  <c r="F675" i="13" a="1"/>
  <c r="F1281" i="13" a="1"/>
  <c r="F989" i="13" a="1"/>
  <c r="F412" i="13" a="1"/>
  <c r="F1130" i="13" a="1"/>
  <c r="F574" i="13" a="1"/>
  <c r="F1359" i="13" a="1"/>
  <c r="F1177" i="13" a="1"/>
  <c r="F24" i="13" a="1"/>
  <c r="F83" i="13" a="1"/>
  <c r="F105" i="13" a="1"/>
  <c r="F69" i="13" a="1"/>
  <c r="F72" i="13" a="1"/>
  <c r="F86" i="13" a="1"/>
  <c r="F253" i="13" a="1"/>
  <c r="F761" i="13" a="1"/>
  <c r="F1393" i="13" a="1"/>
  <c r="F267" i="13" a="1"/>
  <c r="F981" i="13" a="1"/>
  <c r="F1007" i="13" a="1"/>
  <c r="F1363" i="13" a="1"/>
  <c r="F1216" i="13" a="1"/>
  <c r="F207" i="13" a="1"/>
  <c r="F659" i="13" a="1"/>
  <c r="F415" i="13" a="1"/>
  <c r="F139" i="13" a="1"/>
  <c r="F597" i="13" a="1"/>
  <c r="F1127" i="13" a="1"/>
  <c r="F178" i="13" a="1"/>
  <c r="F1287" i="13" a="1"/>
  <c r="F239" i="13" a="1"/>
  <c r="F532" i="13" a="1"/>
  <c r="F294" i="13" a="1"/>
  <c r="F997" i="13" a="1"/>
  <c r="F335" i="13" a="1"/>
  <c r="F1157" i="13" a="1"/>
  <c r="F238" i="13" a="1"/>
  <c r="F1269" i="13" a="1"/>
  <c r="F1496" i="13" a="1"/>
  <c r="F1427" i="13" a="1"/>
  <c r="F232" i="13" a="1"/>
  <c r="F617" i="13" a="1"/>
  <c r="F1443" i="13" a="1"/>
  <c r="F236" i="13" a="1"/>
  <c r="F1155" i="13" a="1"/>
  <c r="F685" i="13" a="1"/>
  <c r="F741" i="13" a="1"/>
  <c r="F887" i="13" a="1"/>
  <c r="F1193" i="13" a="1"/>
  <c r="F705" i="13" a="1"/>
  <c r="F636" i="13" a="1"/>
  <c r="F174" i="13" a="1"/>
  <c r="F166" i="13" a="1"/>
  <c r="F1208" i="13" a="1"/>
  <c r="F338" i="13" a="1"/>
  <c r="F903" i="13" a="1"/>
  <c r="F20" i="13" a="1"/>
  <c r="F837" i="13" a="1"/>
  <c r="F968" i="13" a="1"/>
  <c r="F59" i="13" a="1"/>
  <c r="F91" i="13" a="1"/>
  <c r="F65" i="13" a="1"/>
  <c r="F277" i="13" a="1"/>
  <c r="F157" i="13" a="1"/>
  <c r="F822" i="13" a="1"/>
  <c r="F907" i="13" a="1"/>
  <c r="F853" i="13" a="1"/>
  <c r="F1115" i="13" a="1"/>
  <c r="F276" i="13" a="1"/>
  <c r="F1294" i="13" a="1"/>
  <c r="F526" i="13" a="1"/>
  <c r="F1219" i="13" a="1"/>
  <c r="F721" i="13" a="1"/>
  <c r="F611" i="13" a="1"/>
  <c r="F129" i="13" a="1"/>
  <c r="F585" i="13" a="1"/>
  <c r="F848" i="13" a="1"/>
  <c r="F109" i="13" a="1"/>
  <c r="F1446" i="13" l="1"/>
  <c r="F425" i="13"/>
  <c r="F439" i="13"/>
  <c r="F1460" i="13"/>
  <c r="F614" i="13"/>
  <c r="F637" i="13"/>
  <c r="F748" i="13"/>
  <c r="F213" i="13"/>
  <c r="F1461" i="13"/>
  <c r="F186" i="13"/>
  <c r="F968" i="13"/>
  <c r="F1177" i="13"/>
  <c r="F580" i="13"/>
  <c r="F469" i="13"/>
  <c r="F609" i="13"/>
  <c r="F332" i="13"/>
  <c r="F491" i="13"/>
  <c r="F319" i="13"/>
  <c r="F403" i="13"/>
  <c r="F665" i="13"/>
  <c r="F1469" i="13"/>
  <c r="F488" i="13"/>
  <c r="F697" i="13"/>
  <c r="F1285" i="13"/>
  <c r="F1071" i="13"/>
  <c r="F734" i="13"/>
  <c r="F373" i="13"/>
  <c r="F1374" i="13"/>
  <c r="F837" i="13"/>
  <c r="F864" i="13"/>
  <c r="F1487" i="13"/>
  <c r="F917" i="13"/>
  <c r="F1425" i="13"/>
  <c r="F1267" i="13"/>
  <c r="F1359" i="13"/>
  <c r="F699" i="13"/>
  <c r="F1376" i="13"/>
  <c r="F1259" i="13"/>
  <c r="F1362" i="13"/>
  <c r="F874" i="13"/>
  <c r="F1117" i="13"/>
  <c r="F854" i="13"/>
  <c r="F1492" i="13"/>
  <c r="F1256" i="13"/>
  <c r="F1498" i="13"/>
  <c r="F791" i="13"/>
  <c r="F1258" i="13"/>
  <c r="F476" i="13"/>
  <c r="F261" i="13"/>
  <c r="F1010" i="13"/>
  <c r="F1127" i="13"/>
  <c r="F20" i="13"/>
  <c r="F574" i="13"/>
  <c r="F649" i="13"/>
  <c r="F926" i="13"/>
  <c r="F1035" i="13"/>
  <c r="F359" i="13"/>
  <c r="F156" i="13"/>
  <c r="F634" i="13"/>
  <c r="F650" i="13"/>
  <c r="F144" i="13"/>
  <c r="F745" i="13"/>
  <c r="F1317" i="13"/>
  <c r="F678" i="13"/>
  <c r="F1304" i="13"/>
  <c r="F254" i="13"/>
  <c r="F309" i="13"/>
  <c r="F591" i="13"/>
  <c r="F848" i="13"/>
  <c r="F279" i="13"/>
  <c r="F257" i="13"/>
  <c r="F346" i="13"/>
  <c r="F795" i="13"/>
  <c r="F818" i="13"/>
  <c r="F903" i="13"/>
  <c r="F1130" i="13"/>
  <c r="F786" i="13"/>
  <c r="F163" i="13"/>
  <c r="F432" i="13"/>
  <c r="F567" i="13"/>
  <c r="F824" i="13"/>
  <c r="F162" i="13"/>
  <c r="F900" i="13"/>
  <c r="F130" i="13"/>
  <c r="F911" i="13"/>
  <c r="F547" i="13"/>
  <c r="F565" i="13"/>
  <c r="F682" i="13"/>
  <c r="F549" i="13"/>
  <c r="F1491" i="13"/>
  <c r="F246" i="13"/>
  <c r="F597" i="13"/>
  <c r="F338" i="13"/>
  <c r="F819" i="13"/>
  <c r="F967" i="13"/>
  <c r="F1209" i="13"/>
  <c r="F287" i="13"/>
  <c r="F519" i="13"/>
  <c r="F412" i="13"/>
  <c r="F134" i="13"/>
  <c r="F1003" i="13"/>
  <c r="F478" i="13"/>
  <c r="F1426" i="13"/>
  <c r="F840" i="13"/>
  <c r="F841" i="13"/>
  <c r="F1070" i="13"/>
  <c r="F473" i="13"/>
  <c r="F1086" i="13"/>
  <c r="F408" i="13"/>
  <c r="F434" i="13"/>
  <c r="F141" i="13"/>
  <c r="F1096" i="13"/>
  <c r="F1031" i="13"/>
  <c r="F998" i="13"/>
  <c r="F585" i="13"/>
  <c r="F1208" i="13"/>
  <c r="F989" i="13"/>
  <c r="F1052" i="13"/>
  <c r="F191" i="13"/>
  <c r="F1386" i="13"/>
  <c r="F1249" i="13"/>
  <c r="F553" i="13"/>
  <c r="F1470" i="13"/>
  <c r="F751" i="13"/>
  <c r="F217" i="13"/>
  <c r="F980" i="13"/>
  <c r="F173" i="13"/>
  <c r="F858" i="13"/>
  <c r="F1024" i="13"/>
  <c r="F167" i="13"/>
  <c r="F1061" i="13"/>
  <c r="F282" i="13"/>
  <c r="F129" i="13"/>
  <c r="F1076" i="13"/>
  <c r="F1366" i="13"/>
  <c r="F1013" i="13"/>
  <c r="F1211" i="13"/>
  <c r="F1226" i="13"/>
  <c r="F166" i="13"/>
  <c r="F1281" i="13"/>
  <c r="F185" i="13"/>
  <c r="F1100" i="13"/>
  <c r="F1407" i="13"/>
  <c r="F1266" i="13"/>
  <c r="F310" i="13"/>
  <c r="F1288" i="13"/>
  <c r="F898" i="13"/>
  <c r="F233" i="13"/>
  <c r="F259" i="13"/>
  <c r="F506" i="13"/>
  <c r="F349" i="13"/>
  <c r="F1034" i="13"/>
  <c r="F1358" i="13"/>
  <c r="F1203" i="13"/>
  <c r="F1371" i="13"/>
  <c r="F139" i="13"/>
  <c r="F174" i="13"/>
  <c r="F738" i="13"/>
  <c r="F955" i="13"/>
  <c r="F358" i="13"/>
  <c r="F880" i="13"/>
  <c r="F1123" i="13"/>
  <c r="F675" i="13"/>
  <c r="F909" i="13"/>
  <c r="F587" i="13"/>
  <c r="F11" i="13"/>
  <c r="F528" i="13"/>
  <c r="F240" i="13"/>
  <c r="F826" i="13"/>
  <c r="F1424" i="13"/>
  <c r="F1212" i="13"/>
  <c r="F1169" i="13"/>
  <c r="F1234" i="13"/>
  <c r="F264" i="13"/>
  <c r="F284" i="13"/>
  <c r="F521" i="13"/>
  <c r="F561" i="13"/>
  <c r="F527" i="13"/>
  <c r="F611" i="13"/>
  <c r="F636" i="13"/>
  <c r="F891" i="13"/>
  <c r="F1237" i="13"/>
  <c r="F814" i="13"/>
  <c r="F1054" i="13"/>
  <c r="F515" i="13"/>
  <c r="F1488" i="13"/>
  <c r="F1094" i="13"/>
  <c r="F1112" i="13"/>
  <c r="F785" i="13"/>
  <c r="F175" i="13"/>
  <c r="F939" i="13"/>
  <c r="F1198" i="13"/>
  <c r="F1373" i="13"/>
  <c r="F613" i="13"/>
  <c r="F1172" i="13"/>
  <c r="F1248" i="13"/>
  <c r="F415" i="13"/>
  <c r="F181" i="13"/>
  <c r="F348" i="13"/>
  <c r="F158" i="13"/>
  <c r="F594" i="13"/>
  <c r="F1128" i="13"/>
  <c r="F705" i="13"/>
  <c r="F661" i="13"/>
  <c r="F1308" i="13"/>
  <c r="F688" i="13"/>
  <c r="F1452" i="13"/>
  <c r="F1319" i="13"/>
  <c r="F1375" i="13"/>
  <c r="F1430" i="13"/>
  <c r="F307" i="13"/>
  <c r="F666" i="13"/>
  <c r="F1201" i="13"/>
  <c r="F115" i="13"/>
  <c r="F390" i="13"/>
  <c r="F1435" i="13"/>
  <c r="F961" i="13"/>
  <c r="F121" i="13"/>
  <c r="F569" i="13"/>
  <c r="F721" i="13"/>
  <c r="F1193" i="13"/>
  <c r="F398" i="13"/>
  <c r="F790" i="13"/>
  <c r="F1195" i="13"/>
  <c r="F881" i="13"/>
  <c r="F124" i="13"/>
  <c r="F599" i="13"/>
  <c r="F518" i="13"/>
  <c r="F1428" i="13"/>
  <c r="F544" i="13"/>
  <c r="F427" i="13"/>
  <c r="F133" i="13"/>
  <c r="F857" i="13"/>
  <c r="F1423" i="13"/>
  <c r="F630" i="13"/>
  <c r="F283" i="13"/>
  <c r="F621" i="13"/>
  <c r="F534" i="13"/>
  <c r="F825" i="13"/>
  <c r="F1291" i="13"/>
  <c r="F336" i="13"/>
  <c r="F1037" i="13"/>
  <c r="F659" i="13"/>
  <c r="F887" i="13"/>
  <c r="F1032" i="13"/>
  <c r="F913" i="13"/>
  <c r="F225" i="13"/>
  <c r="F1417" i="13"/>
  <c r="F572" i="13"/>
  <c r="F435" i="13"/>
  <c r="F868" i="13"/>
  <c r="F480" i="13"/>
  <c r="F1388" i="13"/>
  <c r="F467" i="13"/>
  <c r="F1213" i="13"/>
  <c r="F355" i="13"/>
  <c r="F1173" i="13"/>
  <c r="F888" i="13"/>
  <c r="F884" i="13"/>
  <c r="F1138" i="13"/>
  <c r="F1219" i="13"/>
  <c r="F292" i="13"/>
  <c r="F953" i="13"/>
  <c r="F377" i="13"/>
  <c r="F244" i="13"/>
  <c r="F1302" i="13"/>
  <c r="F741" i="13"/>
  <c r="F842" i="13"/>
  <c r="F394" i="13"/>
  <c r="F809" i="13"/>
  <c r="F1224" i="13"/>
  <c r="F453" i="13"/>
  <c r="F1231" i="13"/>
  <c r="F409" i="13"/>
  <c r="F1206" i="13"/>
  <c r="F977" i="13"/>
  <c r="F428" i="13"/>
  <c r="F603" i="13"/>
  <c r="F1278" i="13"/>
  <c r="F501" i="13"/>
  <c r="F1327" i="13"/>
  <c r="F625" i="13"/>
  <c r="F944" i="13"/>
  <c r="F207" i="13"/>
  <c r="F685" i="13"/>
  <c r="F1114" i="13"/>
  <c r="F706" i="13"/>
  <c r="F437" i="13"/>
  <c r="F566" i="13"/>
  <c r="F627" i="13"/>
  <c r="F150" i="13"/>
  <c r="F708" i="13"/>
  <c r="F724" i="13"/>
  <c r="F1336" i="13"/>
  <c r="F155" i="13"/>
  <c r="F1442" i="13"/>
  <c r="F1199" i="13"/>
  <c r="F1011" i="13"/>
  <c r="F978" i="13"/>
  <c r="F1099" i="13"/>
  <c r="F1131" i="13"/>
  <c r="F1414" i="13"/>
  <c r="F481" i="13"/>
  <c r="F774" i="13"/>
  <c r="F829" i="13"/>
  <c r="F739" i="13"/>
  <c r="F526" i="13"/>
  <c r="F1155" i="13"/>
  <c r="F693" i="13"/>
  <c r="F1370" i="13"/>
  <c r="F850" i="13"/>
  <c r="F924" i="13"/>
  <c r="F975" i="13"/>
  <c r="F947" i="13"/>
  <c r="F154" i="13"/>
  <c r="F126" i="13"/>
  <c r="F226" i="13"/>
  <c r="F364" i="13"/>
  <c r="F1396" i="13"/>
  <c r="F664" i="13"/>
  <c r="F1448" i="13"/>
  <c r="F1239" i="13"/>
  <c r="F119" i="13"/>
  <c r="F1137" i="13"/>
  <c r="F1216" i="13"/>
  <c r="F289" i="13"/>
  <c r="F710" i="13"/>
  <c r="F1166" i="13"/>
  <c r="F575" i="13"/>
  <c r="F552" i="13"/>
  <c r="F236" i="13"/>
  <c r="F798" i="13"/>
  <c r="F1440" i="13"/>
  <c r="F500" i="13"/>
  <c r="F1478" i="13"/>
  <c r="F1245" i="13"/>
  <c r="F1087" i="13"/>
  <c r="F963" i="13"/>
  <c r="F237" i="13"/>
  <c r="F1223" i="13"/>
  <c r="F462" i="13"/>
  <c r="F242" i="13"/>
  <c r="F1097" i="13"/>
  <c r="F986" i="13"/>
  <c r="F1022" i="13"/>
  <c r="F720" i="13"/>
  <c r="F492" i="13"/>
  <c r="F1294" i="13"/>
  <c r="F1443" i="13"/>
  <c r="F509" i="13"/>
  <c r="F1306" i="13"/>
  <c r="F1242" i="13"/>
  <c r="F1163" i="13"/>
  <c r="F414" i="13"/>
  <c r="F800" i="13"/>
  <c r="F530" i="13"/>
  <c r="F729" i="13"/>
  <c r="F281" i="13"/>
  <c r="F431" i="13"/>
  <c r="F731" i="13"/>
  <c r="F806" i="13"/>
  <c r="F1143" i="13"/>
  <c r="F202" i="13"/>
  <c r="F1236" i="13"/>
  <c r="F457" i="13"/>
  <c r="F463" i="13"/>
  <c r="F482" i="13"/>
  <c r="F883" i="13"/>
  <c r="F579" i="13"/>
  <c r="F1028" i="13"/>
  <c r="F1363" i="13"/>
  <c r="F617" i="13"/>
  <c r="F209" i="13"/>
  <c r="F524" i="13"/>
  <c r="F560" i="13"/>
  <c r="F188" i="13"/>
  <c r="F690" i="13"/>
  <c r="F1055" i="13"/>
  <c r="F1129" i="13"/>
  <c r="F356" i="13"/>
  <c r="F713" i="13"/>
  <c r="F1270" i="13"/>
  <c r="F1072" i="13"/>
  <c r="F652" i="13"/>
  <c r="F1247" i="13"/>
  <c r="F436" i="13"/>
  <c r="F990" i="13"/>
  <c r="F1262" i="13"/>
  <c r="F276" i="13"/>
  <c r="F1298" i="13"/>
  <c r="F231" i="13"/>
  <c r="F143" i="13"/>
  <c r="F1502" i="13"/>
  <c r="F753" i="13"/>
  <c r="F483" i="13"/>
  <c r="F972" i="13"/>
  <c r="F232" i="13"/>
  <c r="F1311" i="13"/>
  <c r="F559" i="13"/>
  <c r="F490" i="13"/>
  <c r="F1074" i="13"/>
  <c r="F846" i="13"/>
  <c r="F542" i="13"/>
  <c r="F1015" i="13"/>
  <c r="F1026" i="13"/>
  <c r="F222" i="13"/>
  <c r="F442" i="13"/>
  <c r="F1020" i="13"/>
  <c r="F812" i="13"/>
  <c r="F1300" i="13"/>
  <c r="F1140" i="13"/>
  <c r="F487" i="13"/>
  <c r="F211" i="13"/>
  <c r="F369" i="13"/>
  <c r="F475" i="13"/>
  <c r="F385" i="13"/>
  <c r="F1012" i="13"/>
  <c r="F1016" i="13"/>
  <c r="F471" i="13"/>
  <c r="F894" i="13"/>
  <c r="F219" i="13"/>
  <c r="F610" i="13"/>
  <c r="F516" i="13"/>
  <c r="F571" i="13"/>
  <c r="F458" i="13"/>
  <c r="F1007" i="13"/>
  <c r="F1427" i="13"/>
  <c r="F122" i="13"/>
  <c r="F1240" i="13"/>
  <c r="F737" i="13"/>
  <c r="F193" i="13"/>
  <c r="F672" i="13"/>
  <c r="F1133" i="13"/>
  <c r="F391" i="13"/>
  <c r="F679" i="13"/>
  <c r="F1141" i="13"/>
  <c r="F1323" i="13"/>
  <c r="F600" i="13"/>
  <c r="F1420" i="13"/>
  <c r="F817" i="13"/>
  <c r="F1471" i="13"/>
  <c r="F160" i="13"/>
  <c r="F1005" i="13"/>
  <c r="F1365" i="13"/>
  <c r="F117" i="13"/>
  <c r="F1215" i="13"/>
  <c r="F1268" i="13"/>
  <c r="F655" i="13"/>
  <c r="F1309" i="13"/>
  <c r="F325" i="13"/>
  <c r="F479" i="13"/>
  <c r="F170" i="13"/>
  <c r="F663" i="13"/>
  <c r="F733" i="13"/>
  <c r="F554" i="13"/>
  <c r="F886" i="13"/>
  <c r="F1093" i="13"/>
  <c r="F295" i="13"/>
  <c r="F456" i="13"/>
  <c r="F308" i="13"/>
  <c r="F722" i="13"/>
  <c r="F278" i="13"/>
  <c r="F504" i="13"/>
  <c r="F919" i="13"/>
  <c r="F361" i="13"/>
  <c r="F838" i="13"/>
  <c r="F1122" i="13"/>
  <c r="F834" i="13"/>
  <c r="F1088" i="13"/>
  <c r="F351" i="13"/>
  <c r="F1344" i="13"/>
  <c r="F1150" i="13"/>
  <c r="F1115" i="13"/>
  <c r="F1496" i="13"/>
  <c r="F632" i="13"/>
  <c r="F16" i="13"/>
  <c r="F1121" i="13"/>
  <c r="F508" i="13"/>
  <c r="F1095" i="13"/>
  <c r="F1299" i="13"/>
  <c r="F1253" i="13"/>
  <c r="F624" i="13"/>
  <c r="F784" i="13"/>
  <c r="F1279" i="13"/>
  <c r="F189" i="13"/>
  <c r="F583" i="13"/>
  <c r="F910" i="13"/>
  <c r="F927" i="13"/>
  <c r="F870" i="13"/>
  <c r="F728" i="13"/>
  <c r="F692" i="13"/>
  <c r="F392" i="13"/>
  <c r="F1438" i="13"/>
  <c r="F2" i="13"/>
  <c r="F1102" i="13"/>
  <c r="F1060" i="13"/>
  <c r="F1320" i="13"/>
  <c r="F602" i="13"/>
  <c r="F1184" i="13"/>
  <c r="F1360" i="13"/>
  <c r="F17" i="13"/>
  <c r="F873" i="13"/>
  <c r="F1164" i="13"/>
  <c r="F1156" i="13"/>
  <c r="F1191" i="13"/>
  <c r="F1422" i="13"/>
  <c r="F1132" i="13"/>
  <c r="F767" i="13"/>
  <c r="F709" i="13"/>
  <c r="F950" i="13"/>
  <c r="F869" i="13"/>
  <c r="F885" i="13"/>
  <c r="F1062" i="13"/>
  <c r="F899" i="13"/>
  <c r="F1314" i="13"/>
  <c r="F987" i="13"/>
  <c r="F438" i="13"/>
  <c r="F1381" i="13"/>
  <c r="F269" i="13"/>
  <c r="F148" i="13"/>
  <c r="F981" i="13"/>
  <c r="F224" i="13"/>
  <c r="F890" i="13"/>
  <c r="F584" i="13"/>
  <c r="F730" i="13"/>
  <c r="F399" i="13"/>
  <c r="F140" i="13"/>
  <c r="F877" i="13"/>
  <c r="F1214" i="13"/>
  <c r="F588" i="13"/>
  <c r="F161" i="13"/>
  <c r="F388" i="13"/>
  <c r="F1342" i="13"/>
  <c r="F268" i="13"/>
  <c r="F344" i="13"/>
  <c r="F1454" i="13"/>
  <c r="F1269" i="13"/>
  <c r="F839" i="13"/>
  <c r="F159" i="13"/>
  <c r="F916" i="13"/>
  <c r="F512" i="13"/>
  <c r="F557" i="13"/>
  <c r="F1437" i="13"/>
  <c r="F510" i="13"/>
  <c r="F298" i="13"/>
  <c r="F128" i="13"/>
  <c r="F445" i="13"/>
  <c r="F1178" i="13"/>
  <c r="F406" i="13"/>
  <c r="F1341" i="13"/>
  <c r="F1339" i="13"/>
  <c r="F327" i="13"/>
  <c r="F263" i="13"/>
  <c r="F1479" i="13"/>
  <c r="F497" i="13"/>
  <c r="F1250" i="13"/>
  <c r="F843" i="13"/>
  <c r="F1474" i="13"/>
  <c r="F893" i="13"/>
  <c r="F118" i="13"/>
  <c r="F1064" i="13"/>
  <c r="F726" i="13"/>
  <c r="F322" i="13"/>
  <c r="F1159" i="13"/>
  <c r="F407" i="13"/>
  <c r="F1152" i="13"/>
  <c r="F727" i="13"/>
  <c r="F1038" i="13"/>
  <c r="F1497" i="13"/>
  <c r="F996" i="13"/>
  <c r="F711" i="13"/>
  <c r="F448" i="13"/>
  <c r="F272" i="13"/>
  <c r="F689" i="13"/>
  <c r="F1355" i="13"/>
  <c r="F135" i="13"/>
  <c r="F866" i="13"/>
  <c r="F836" i="13"/>
  <c r="F1246" i="13"/>
  <c r="F853" i="13"/>
  <c r="F1257" i="13"/>
  <c r="F452" i="13"/>
  <c r="F258" i="13"/>
  <c r="F1485" i="13"/>
  <c r="F238" i="13"/>
  <c r="F1051" i="13"/>
  <c r="F341" i="13"/>
  <c r="F389" i="13"/>
  <c r="F197" i="13"/>
  <c r="F318" i="13"/>
  <c r="F507" i="13"/>
  <c r="F251" i="13"/>
  <c r="F670" i="13"/>
  <c r="F1397" i="13"/>
  <c r="F1205" i="13"/>
  <c r="F677" i="13"/>
  <c r="F1063" i="13"/>
  <c r="F1058" i="13"/>
  <c r="F1392" i="13"/>
  <c r="F1456" i="13"/>
  <c r="F1144" i="13"/>
  <c r="F446" i="13"/>
  <c r="F1283" i="13"/>
  <c r="F902" i="13"/>
  <c r="F1445" i="13"/>
  <c r="F368" i="13"/>
  <c r="F556" i="13"/>
  <c r="F1241" i="13"/>
  <c r="F823" i="13"/>
  <c r="F1187" i="13"/>
  <c r="F550" i="13"/>
  <c r="F896" i="13"/>
  <c r="F422" i="13"/>
  <c r="F1480" i="13"/>
  <c r="F861" i="13"/>
  <c r="F1476" i="13"/>
  <c r="F214" i="13"/>
  <c r="F995" i="13"/>
  <c r="F410" i="13"/>
  <c r="F345" i="13"/>
  <c r="F203" i="13"/>
  <c r="F612" i="13"/>
  <c r="F177" i="13"/>
  <c r="F1222" i="13"/>
  <c r="F517" i="13"/>
  <c r="F393" i="13"/>
  <c r="F1023" i="13"/>
  <c r="F1475" i="13"/>
  <c r="F1069" i="13"/>
  <c r="F201" i="13"/>
  <c r="F1313" i="13"/>
  <c r="F485" i="13"/>
  <c r="F1468" i="13"/>
  <c r="F770" i="13"/>
  <c r="F459" i="13"/>
  <c r="F871" i="13"/>
  <c r="F813" i="13"/>
  <c r="F496" i="13"/>
  <c r="F324" i="13"/>
  <c r="F333" i="13"/>
  <c r="F450" i="13"/>
  <c r="F267" i="13"/>
  <c r="F1486" i="13"/>
  <c r="F1157" i="13"/>
  <c r="F228" i="13"/>
  <c r="F676" i="13"/>
  <c r="F468" i="13"/>
  <c r="F937" i="13"/>
  <c r="F1275" i="13"/>
  <c r="F1124" i="13"/>
  <c r="F380" i="13"/>
  <c r="F1289" i="13"/>
  <c r="F1057" i="13"/>
  <c r="F1134" i="13"/>
  <c r="F778" i="13"/>
  <c r="F740" i="13"/>
  <c r="F1188" i="13"/>
  <c r="F1083" i="13"/>
  <c r="F956" i="13"/>
  <c r="F1170" i="13"/>
  <c r="F1244" i="13"/>
  <c r="F548" i="13"/>
  <c r="F396" i="13"/>
  <c r="F830" i="13"/>
  <c r="F402" i="13"/>
  <c r="F723" i="13"/>
  <c r="F370" i="13"/>
  <c r="F1009" i="13"/>
  <c r="F1116" i="13"/>
  <c r="F1494" i="13"/>
  <c r="F563" i="13"/>
  <c r="F1329" i="13"/>
  <c r="F1002" i="13"/>
  <c r="F440" i="13"/>
  <c r="F971" i="13"/>
  <c r="F382" i="13"/>
  <c r="F889" i="13"/>
  <c r="F938" i="13"/>
  <c r="F616" i="13"/>
  <c r="F1482" i="13"/>
  <c r="F1160" i="13"/>
  <c r="F698" i="13"/>
  <c r="F538" i="13"/>
  <c r="F879" i="13"/>
  <c r="F601" i="13"/>
  <c r="F590" i="13"/>
  <c r="F764" i="13"/>
  <c r="F687" i="13"/>
  <c r="F960" i="13"/>
  <c r="F907" i="13"/>
  <c r="F125" i="13"/>
  <c r="F1151" i="13"/>
  <c r="F430" i="13"/>
  <c r="F522" i="13"/>
  <c r="F1284" i="13"/>
  <c r="F1085" i="13"/>
  <c r="F1419" i="13"/>
  <c r="F832" i="13"/>
  <c r="F460" i="13"/>
  <c r="F759" i="13"/>
  <c r="F337" i="13"/>
  <c r="F941" i="13"/>
  <c r="F249" i="13"/>
  <c r="F1372" i="13"/>
  <c r="F371" i="13"/>
  <c r="F335" i="13"/>
  <c r="F208" i="13"/>
  <c r="F1301" i="13"/>
  <c r="F755" i="13"/>
  <c r="F326" i="13"/>
  <c r="F1202" i="13"/>
  <c r="F1391" i="13"/>
  <c r="F1346" i="13"/>
  <c r="F629" i="13"/>
  <c r="F1158" i="13"/>
  <c r="F1098" i="13"/>
  <c r="F489" i="13"/>
  <c r="F704" i="13"/>
  <c r="F831" i="13"/>
  <c r="F418" i="13"/>
  <c r="F461" i="13"/>
  <c r="F1318" i="13"/>
  <c r="F405" i="13"/>
  <c r="F1410" i="13"/>
  <c r="F374" i="13"/>
  <c r="F586" i="13"/>
  <c r="F641" i="13"/>
  <c r="F1473" i="13"/>
  <c r="F1441" i="13"/>
  <c r="F1377" i="13"/>
  <c r="F270" i="13"/>
  <c r="F1008" i="13"/>
  <c r="F1297" i="13"/>
  <c r="F1387" i="13"/>
  <c r="F931" i="13"/>
  <c r="F424" i="13"/>
  <c r="F503" i="13"/>
  <c r="F792" i="13"/>
  <c r="F1276" i="13"/>
  <c r="F1067" i="13"/>
  <c r="F262" i="13"/>
  <c r="F922" i="13"/>
  <c r="F1179" i="13"/>
  <c r="F274" i="13"/>
  <c r="F717" i="13"/>
  <c r="F651" i="13"/>
  <c r="F935" i="13"/>
  <c r="F645" i="13"/>
  <c r="F862" i="13"/>
  <c r="F703" i="13"/>
  <c r="F477" i="13"/>
  <c r="F1092" i="13"/>
  <c r="F1196" i="13"/>
  <c r="F1393" i="13"/>
  <c r="F470" i="13"/>
  <c r="F1326" i="13"/>
  <c r="F1412" i="13"/>
  <c r="F847" i="13"/>
  <c r="F865" i="13"/>
  <c r="F1168" i="13"/>
  <c r="F667" i="13"/>
  <c r="F1395" i="13"/>
  <c r="F223" i="13"/>
  <c r="F653" i="13"/>
  <c r="F1107" i="13"/>
  <c r="F777" i="13"/>
  <c r="F229" i="13"/>
  <c r="F1154" i="13"/>
  <c r="F1197" i="13"/>
  <c r="F1041" i="13"/>
  <c r="F1351" i="13"/>
  <c r="F997" i="13"/>
  <c r="F313" i="13"/>
  <c r="F234" i="13"/>
  <c r="F404" i="13"/>
  <c r="F945" i="13"/>
  <c r="F320" i="13"/>
  <c r="F1455" i="13"/>
  <c r="F312" i="13"/>
  <c r="F210" i="13"/>
  <c r="F1090" i="13"/>
  <c r="F1315" i="13"/>
  <c r="F681" i="13"/>
  <c r="F1217" i="13"/>
  <c r="F375" i="13"/>
  <c r="F1394" i="13"/>
  <c r="F1056" i="13"/>
  <c r="F1183" i="13"/>
  <c r="F1125" i="13"/>
  <c r="F1147" i="13"/>
  <c r="F302" i="13"/>
  <c r="F1390" i="13"/>
  <c r="F856" i="13"/>
  <c r="F1044" i="13"/>
  <c r="F330" i="13"/>
  <c r="F973" i="13"/>
  <c r="F1036" i="13"/>
  <c r="F1001" i="13"/>
  <c r="F654" i="13"/>
  <c r="F1439" i="13"/>
  <c r="F116" i="13"/>
  <c r="F1325" i="13"/>
  <c r="F1210" i="13"/>
  <c r="F695" i="13"/>
  <c r="F820" i="13"/>
  <c r="F1218" i="13"/>
  <c r="F1484" i="13"/>
  <c r="F1352" i="13"/>
  <c r="F715" i="13"/>
  <c r="F384" i="13"/>
  <c r="F1174" i="13"/>
  <c r="F535" i="13"/>
  <c r="F449" i="13"/>
  <c r="F1277" i="13"/>
  <c r="F1220" i="13"/>
  <c r="F578" i="13"/>
  <c r="F810" i="13"/>
  <c r="F1103" i="13"/>
  <c r="F1465" i="13"/>
  <c r="F943" i="13"/>
  <c r="F1238" i="13"/>
  <c r="F606" i="13"/>
  <c r="F266" i="13"/>
  <c r="F198" i="13"/>
  <c r="F1451" i="13"/>
  <c r="F212" i="13"/>
  <c r="F1331" i="13"/>
  <c r="F1043" i="13"/>
  <c r="F339" i="13"/>
  <c r="F816" i="13"/>
  <c r="F19" i="13"/>
  <c r="F199" i="13"/>
  <c r="F1265" i="13"/>
  <c r="F897" i="13"/>
  <c r="F1113" i="13"/>
  <c r="F906" i="13"/>
  <c r="F293" i="13"/>
  <c r="F1091" i="13"/>
  <c r="F596" i="13"/>
  <c r="F743" i="13"/>
  <c r="F822" i="13"/>
  <c r="F271" i="13"/>
  <c r="F252" i="13"/>
  <c r="F444" i="13"/>
  <c r="F930" i="13"/>
  <c r="F1493" i="13"/>
  <c r="F1182" i="13"/>
  <c r="F137" i="13"/>
  <c r="F1273" i="13"/>
  <c r="F362" i="13"/>
  <c r="F1119" i="13"/>
  <c r="F646" i="13"/>
  <c r="F684" i="13"/>
  <c r="F1142" i="13"/>
  <c r="F1356" i="13"/>
  <c r="F1149" i="13"/>
  <c r="F230" i="13"/>
  <c r="F294" i="13"/>
  <c r="F192" i="13"/>
  <c r="F1389" i="13"/>
  <c r="F1385" i="13"/>
  <c r="F499" i="13"/>
  <c r="F1408" i="13"/>
  <c r="F1004" i="13"/>
  <c r="F241" i="13"/>
  <c r="F901" i="13"/>
  <c r="F657" i="13"/>
  <c r="F573" i="13"/>
  <c r="F1229" i="13"/>
  <c r="F1332" i="13"/>
  <c r="F533" i="13"/>
  <c r="F441" i="13"/>
  <c r="F1429" i="13"/>
  <c r="F668" i="13"/>
  <c r="F113" i="13"/>
  <c r="F365" i="13"/>
  <c r="F942" i="13"/>
  <c r="F218" i="13"/>
  <c r="F970" i="13"/>
  <c r="F360" i="13"/>
  <c r="F851" i="13"/>
  <c r="F1405" i="13"/>
  <c r="F411" i="13"/>
  <c r="F1255" i="13"/>
  <c r="F152" i="13"/>
  <c r="F1079" i="13"/>
  <c r="F1066" i="13"/>
  <c r="F366" i="13"/>
  <c r="F691" i="13"/>
  <c r="F502" i="13"/>
  <c r="F644" i="13"/>
  <c r="F1039" i="13"/>
  <c r="F985" i="13"/>
  <c r="F1444" i="13"/>
  <c r="F464" i="13"/>
  <c r="F372" i="13"/>
  <c r="F1145" i="13"/>
  <c r="F342" i="13"/>
  <c r="F1080" i="13"/>
  <c r="F936" i="13"/>
  <c r="F683" i="13"/>
  <c r="F779" i="13"/>
  <c r="F686" i="13"/>
  <c r="F1403" i="13"/>
  <c r="F712" i="13"/>
  <c r="F914" i="13"/>
  <c r="F993" i="13"/>
  <c r="F169" i="13"/>
  <c r="F1161" i="13"/>
  <c r="F982" i="13"/>
  <c r="F964" i="13"/>
  <c r="F1192" i="13"/>
  <c r="F247" i="13"/>
  <c r="F915" i="13"/>
  <c r="F662" i="13"/>
  <c r="F1350" i="13"/>
  <c r="F376" i="13"/>
  <c r="F876" i="13"/>
  <c r="F1025" i="13"/>
  <c r="F367" i="13"/>
  <c r="F619" i="13"/>
  <c r="F803" i="13"/>
  <c r="F1251" i="13"/>
  <c r="F761" i="13"/>
  <c r="F447" i="13"/>
  <c r="F1409" i="13"/>
  <c r="F290" i="13"/>
  <c r="F386" i="13"/>
  <c r="F1047" i="13"/>
  <c r="F604" i="13"/>
  <c r="F443" i="13"/>
  <c r="F725" i="13"/>
  <c r="F863" i="13"/>
  <c r="F1271" i="13"/>
  <c r="F766" i="13"/>
  <c r="F576" i="13"/>
  <c r="F1111" i="13"/>
  <c r="F280" i="13"/>
  <c r="F454" i="13"/>
  <c r="F592" i="13"/>
  <c r="F1490" i="13"/>
  <c r="F255" i="13"/>
  <c r="F595" i="13"/>
  <c r="F1261" i="13"/>
  <c r="F532" i="13"/>
  <c r="F1384" i="13"/>
  <c r="F680" i="13"/>
  <c r="F1105" i="13"/>
  <c r="F656" i="13"/>
  <c r="F300" i="13"/>
  <c r="F1466" i="13"/>
  <c r="F959" i="13"/>
  <c r="F671" i="13"/>
  <c r="F13" i="13"/>
  <c r="F1136" i="13"/>
  <c r="F1254" i="13"/>
  <c r="F153" i="13"/>
  <c r="F1264" i="13"/>
  <c r="F523" i="13"/>
  <c r="F1321" i="13"/>
  <c r="F136" i="13"/>
  <c r="F316" i="13"/>
  <c r="F1349" i="13"/>
  <c r="F732" i="13"/>
  <c r="F582" i="13"/>
  <c r="F747" i="13"/>
  <c r="F1200" i="13"/>
  <c r="F1077" i="13"/>
  <c r="F1078" i="13"/>
  <c r="F381" i="13"/>
  <c r="F514" i="13"/>
  <c r="F640" i="13"/>
  <c r="F1324" i="13"/>
  <c r="F164" i="13"/>
  <c r="F429" i="13"/>
  <c r="F1274" i="13"/>
  <c r="F184" i="13"/>
  <c r="F1075" i="13"/>
  <c r="F421" i="13"/>
  <c r="F769" i="13"/>
  <c r="F545" i="13"/>
  <c r="F1481" i="13"/>
  <c r="F1176" i="13"/>
  <c r="F920" i="13"/>
  <c r="F114" i="13"/>
  <c r="F539" i="13"/>
  <c r="F1181" i="13"/>
  <c r="F801" i="13"/>
  <c r="F1109" i="13"/>
  <c r="F1459" i="13"/>
  <c r="F1400" i="13"/>
  <c r="F179" i="13"/>
  <c r="F1472" i="13"/>
  <c r="F673" i="13"/>
  <c r="F781" i="13"/>
  <c r="F426" i="13"/>
  <c r="F633" i="13"/>
  <c r="F1029" i="13"/>
  <c r="F1353" i="13"/>
  <c r="F979" i="13"/>
  <c r="F315" i="13"/>
  <c r="F383" i="13"/>
  <c r="F206" i="13"/>
  <c r="F1045" i="13"/>
  <c r="F1189" i="13"/>
  <c r="F908" i="13"/>
  <c r="F221" i="13"/>
  <c r="F718" i="13"/>
  <c r="F172" i="13"/>
  <c r="F157" i="13"/>
  <c r="F750" i="13"/>
  <c r="F1380" i="13"/>
  <c r="F1081" i="13"/>
  <c r="F1171" i="13"/>
  <c r="F757" i="13"/>
  <c r="F494" i="13"/>
  <c r="F416" i="13"/>
  <c r="F969" i="13"/>
  <c r="F1042" i="13"/>
  <c r="F165" i="13"/>
  <c r="F1432" i="13"/>
  <c r="F702" i="13"/>
  <c r="F1175" i="13"/>
  <c r="F999" i="13"/>
  <c r="F205" i="13"/>
  <c r="F1225" i="13"/>
  <c r="F187" i="13"/>
  <c r="F239" i="13"/>
  <c r="F946" i="13"/>
  <c r="F357" i="13"/>
  <c r="F171" i="13"/>
  <c r="F131" i="13"/>
  <c r="F658" i="13"/>
  <c r="F957" i="13"/>
  <c r="F1084" i="13"/>
  <c r="F1040" i="13"/>
  <c r="F1453" i="13"/>
  <c r="F744" i="13"/>
  <c r="F716" i="13"/>
  <c r="F928" i="13"/>
  <c r="F151" i="13"/>
  <c r="F195" i="13"/>
  <c r="F1232" i="13"/>
  <c r="F694" i="13"/>
  <c r="F1221" i="13"/>
  <c r="F875" i="13"/>
  <c r="F852" i="13"/>
  <c r="F347" i="13"/>
  <c r="F833" i="13"/>
  <c r="F329" i="13"/>
  <c r="F1489" i="13"/>
  <c r="F1340" i="13"/>
  <c r="F976" i="13"/>
  <c r="F260" i="13"/>
  <c r="F505" i="13"/>
  <c r="F397" i="13"/>
  <c r="F647" i="13"/>
  <c r="F419" i="13"/>
  <c r="F21" i="13"/>
  <c r="F146" i="13"/>
  <c r="F994" i="13"/>
  <c r="F123" i="13"/>
  <c r="F204" i="13"/>
  <c r="F168" i="13"/>
  <c r="F811" i="13"/>
  <c r="F756" i="13"/>
  <c r="F1207" i="13"/>
  <c r="F493" i="13"/>
  <c r="F423" i="13"/>
  <c r="F1017" i="13"/>
  <c r="F291" i="13"/>
  <c r="F1053" i="13"/>
  <c r="F1406" i="13"/>
  <c r="F962" i="13"/>
  <c r="F466" i="13"/>
  <c r="F643" i="13"/>
  <c r="F1296" i="13"/>
  <c r="F354" i="13"/>
  <c r="F1383" i="13"/>
  <c r="F660" i="13"/>
  <c r="F1148" i="13"/>
  <c r="F700" i="13"/>
  <c r="F1165" i="13"/>
  <c r="F314" i="13"/>
  <c r="F983" i="13"/>
  <c r="F400" i="13"/>
  <c r="F598" i="13"/>
  <c r="F433" i="13"/>
  <c r="F1014" i="13"/>
  <c r="F543" i="13"/>
  <c r="F1330" i="13"/>
  <c r="F1082" i="13"/>
  <c r="F1402" i="13"/>
  <c r="F701" i="13"/>
  <c r="F1162" i="13"/>
  <c r="F387" i="13"/>
  <c r="F275" i="13"/>
  <c r="F775" i="13"/>
  <c r="F1153" i="13"/>
  <c r="F749" i="13"/>
  <c r="F1180" i="13"/>
  <c r="F190" i="13"/>
  <c r="F245" i="13"/>
  <c r="F872" i="13"/>
  <c r="F797" i="13"/>
  <c r="F638" i="13"/>
  <c r="F536" i="13"/>
  <c r="F905" i="13"/>
  <c r="F495" i="13"/>
  <c r="F350" i="13"/>
  <c r="F940" i="13"/>
  <c r="F465" i="13"/>
  <c r="F1046" i="13"/>
  <c r="F1305" i="13"/>
  <c r="F796" i="13"/>
  <c r="F805" i="13"/>
  <c r="F145" i="13"/>
  <c r="F949" i="13"/>
  <c r="F256" i="13"/>
  <c r="F363" i="13"/>
  <c r="F1434" i="13"/>
  <c r="F1068" i="13"/>
  <c r="F558" i="13"/>
  <c r="F305" i="13"/>
  <c r="F623" i="13"/>
  <c r="F1120" i="13"/>
  <c r="F966" i="13"/>
  <c r="F808" i="13"/>
  <c r="F631" i="13"/>
  <c r="F1185" i="13"/>
  <c r="F1464" i="13"/>
  <c r="F1065" i="13"/>
  <c r="F486" i="13"/>
  <c r="F1059" i="13"/>
  <c r="F1368" i="13"/>
  <c r="F570" i="13"/>
  <c r="F1361" i="13"/>
  <c r="F696" i="13"/>
  <c r="F265" i="13"/>
  <c r="F988" i="13"/>
  <c r="F328" i="13"/>
  <c r="F1483" i="13"/>
  <c r="F297" i="13"/>
  <c r="F635" i="13"/>
  <c r="F285" i="13"/>
  <c r="F849" i="13"/>
  <c r="F892" i="13"/>
  <c r="F1227" i="13"/>
  <c r="F1280" i="13"/>
  <c r="F304" i="13"/>
  <c r="F1292" i="13"/>
  <c r="F546" i="13"/>
  <c r="F762" i="13"/>
  <c r="F758" i="13"/>
  <c r="F1006" i="13"/>
  <c r="F277" i="13"/>
  <c r="F1499" i="13"/>
  <c r="F1228" i="13"/>
  <c r="F1186" i="13"/>
  <c r="F352" i="13"/>
  <c r="F804" i="13"/>
  <c r="F1110" i="13"/>
  <c r="F520" i="13"/>
  <c r="F783" i="13"/>
  <c r="F965" i="13"/>
  <c r="F417" i="13"/>
  <c r="F1027" i="13"/>
  <c r="F138" i="13"/>
  <c r="F343" i="13"/>
  <c r="F1333" i="13"/>
  <c r="F1190" i="13"/>
  <c r="F196" i="13"/>
  <c r="F855" i="13"/>
  <c r="F1286" i="13"/>
  <c r="F765" i="13"/>
  <c r="F1126" i="13"/>
  <c r="F772" i="13"/>
  <c r="F1287" i="13"/>
  <c r="F933" i="13"/>
  <c r="F620" i="13"/>
  <c r="F413" i="13"/>
  <c r="F674" i="13"/>
  <c r="F568" i="13"/>
  <c r="F1135" i="13"/>
  <c r="F525" i="13"/>
  <c r="F1293" i="13"/>
  <c r="F815" i="13"/>
  <c r="F618" i="13"/>
  <c r="F789" i="13"/>
  <c r="F799" i="13"/>
  <c r="F780" i="13"/>
  <c r="F827" i="13"/>
  <c r="F1243" i="13"/>
  <c r="F807" i="13"/>
  <c r="F1379" i="13"/>
  <c r="F802" i="13"/>
  <c r="F451" i="13"/>
  <c r="F1312" i="13"/>
  <c r="F220" i="13"/>
  <c r="F353" i="13"/>
  <c r="F714" i="13"/>
  <c r="F323" i="13"/>
  <c r="F1290" i="13"/>
  <c r="F992" i="13"/>
  <c r="F1399" i="13"/>
  <c r="F1118" i="13"/>
  <c r="F120" i="13"/>
  <c r="F867" i="13"/>
  <c r="F923" i="13"/>
  <c r="F918" i="13"/>
  <c r="F1106" i="13"/>
  <c r="F1501" i="13"/>
  <c r="F180" i="13"/>
  <c r="F321" i="13"/>
  <c r="F551" i="13"/>
  <c r="F235" i="13"/>
  <c r="F1369" i="13"/>
  <c r="F1348" i="13"/>
  <c r="F1167" i="13"/>
  <c r="F1328" i="13"/>
  <c r="F763" i="13"/>
  <c r="F794" i="13"/>
  <c r="F1354" i="13"/>
  <c r="F639" i="13"/>
  <c r="F577" i="13"/>
  <c r="F828" i="13"/>
  <c r="F1411" i="13"/>
  <c r="F835" i="13"/>
  <c r="F299" i="13"/>
  <c r="F1462" i="13"/>
  <c r="F127" i="13"/>
  <c r="F537" i="13"/>
  <c r="F340" i="13"/>
  <c r="F615" i="13"/>
  <c r="F529" i="13"/>
  <c r="F1108" i="13"/>
  <c r="F1316" i="13"/>
  <c r="F746" i="13"/>
  <c r="F1367" i="13"/>
  <c r="F1477" i="13"/>
  <c r="F929" i="13"/>
  <c r="F1033" i="13"/>
  <c r="F1335" i="13"/>
  <c r="F273" i="13"/>
  <c r="F895" i="13"/>
  <c r="F331" i="13"/>
  <c r="F301" i="13"/>
  <c r="F555" i="13"/>
  <c r="F1401" i="13"/>
  <c r="F1235" i="13"/>
  <c r="F1146" i="13"/>
  <c r="F1357" i="13"/>
  <c r="F183" i="13"/>
  <c r="F608" i="13"/>
  <c r="F243" i="13"/>
  <c r="F1436" i="13"/>
  <c r="F296" i="13"/>
  <c r="F1467" i="13"/>
  <c r="F771" i="13"/>
  <c r="F1343" i="13"/>
  <c r="F1048" i="13"/>
  <c r="F719" i="13"/>
  <c r="F1449" i="13"/>
  <c r="F845" i="13"/>
  <c r="F974" i="13"/>
  <c r="F1500" i="13"/>
  <c r="F132" i="13"/>
  <c r="F288" i="13"/>
  <c r="F912" i="13"/>
  <c r="F1421" i="13"/>
  <c r="F513" i="13"/>
  <c r="F1347" i="13"/>
  <c r="F844" i="13"/>
  <c r="F498" i="13"/>
  <c r="F932" i="13"/>
  <c r="F1457" i="13"/>
  <c r="F1073" i="13"/>
  <c r="F760" i="13"/>
  <c r="F455" i="13"/>
  <c r="F589" i="13"/>
  <c r="F1458" i="13"/>
  <c r="F420" i="13"/>
  <c r="F1303" i="13"/>
  <c r="F379" i="13"/>
  <c r="F378" i="13"/>
  <c r="F1418" i="13"/>
  <c r="F593" i="13"/>
  <c r="F1495" i="13"/>
  <c r="F142" i="13"/>
  <c r="F334" i="13"/>
  <c r="F1018" i="13"/>
  <c r="F1334" i="13"/>
  <c r="F1338" i="13"/>
  <c r="F472" i="13"/>
  <c r="F1101" i="13"/>
  <c r="F991" i="13"/>
  <c r="F200" i="13"/>
  <c r="F1204" i="13"/>
  <c r="F1433" i="13"/>
  <c r="F1230" i="13"/>
  <c r="F948" i="13"/>
  <c r="F736" i="13"/>
  <c r="F1139" i="13"/>
  <c r="F1233" i="13"/>
  <c r="F958" i="13"/>
  <c r="F904" i="13"/>
  <c r="F669" i="13"/>
  <c r="F787" i="13"/>
  <c r="F395" i="13"/>
  <c r="F248" i="13"/>
  <c r="F622" i="13"/>
  <c r="F564" i="13"/>
  <c r="F215" i="13"/>
  <c r="F176" i="13"/>
  <c r="F1416" i="13"/>
  <c r="F984" i="13"/>
  <c r="F540" i="13"/>
  <c r="F227" i="13"/>
  <c r="F934" i="13"/>
  <c r="F788" i="13"/>
  <c r="F1337" i="13"/>
  <c r="F642" i="13"/>
  <c r="F752" i="13"/>
  <c r="F216" i="13"/>
  <c r="F1252" i="13"/>
  <c r="F250" i="13"/>
  <c r="F735" i="13"/>
  <c r="F1030" i="13"/>
  <c r="F253" i="13"/>
  <c r="F1345" i="13"/>
  <c r="F1450" i="13"/>
  <c r="F860" i="13"/>
  <c r="F648" i="13"/>
  <c r="F1310" i="13"/>
  <c r="F951" i="13"/>
  <c r="F1322" i="13"/>
  <c r="F605" i="13"/>
  <c r="F626" i="13"/>
  <c r="F1382" i="13"/>
  <c r="F859" i="13"/>
  <c r="F921" i="13"/>
  <c r="F1021" i="13"/>
  <c r="F1463" i="13"/>
  <c r="F707" i="13"/>
  <c r="F1447" i="13"/>
  <c r="F182" i="13"/>
  <c r="F1413" i="13"/>
  <c r="F178" i="13"/>
  <c r="F286" i="13"/>
  <c r="F773" i="13"/>
  <c r="F1431" i="13"/>
  <c r="F1282" i="13"/>
  <c r="F474" i="13"/>
  <c r="F754" i="13"/>
  <c r="F882" i="13"/>
  <c r="F1000" i="13"/>
  <c r="F1050" i="13"/>
  <c r="F1398" i="13"/>
  <c r="F821" i="13"/>
  <c r="F782" i="13"/>
  <c r="F1049" i="13"/>
  <c r="F531" i="13"/>
  <c r="F15" i="13"/>
  <c r="F1272" i="13"/>
  <c r="F1194" i="13"/>
  <c r="F607" i="13"/>
  <c r="F401" i="13"/>
  <c r="F6" i="13"/>
  <c r="F793" i="13"/>
  <c r="F1260" i="13"/>
  <c r="F484" i="13"/>
  <c r="F541" i="13"/>
  <c r="F149" i="13"/>
  <c r="F18" i="13"/>
  <c r="F147" i="13"/>
  <c r="F194" i="13"/>
  <c r="F742" i="13"/>
  <c r="F1263" i="13"/>
  <c r="F878" i="13"/>
  <c r="F562" i="13"/>
  <c r="F776" i="13"/>
  <c r="F1089" i="13"/>
  <c r="F3" i="13"/>
  <c r="F511" i="13"/>
  <c r="F306" i="13"/>
  <c r="F311" i="13"/>
  <c r="F1019" i="13"/>
  <c r="F925" i="13"/>
  <c r="F628" i="13"/>
  <c r="F1364" i="13"/>
  <c r="F768" i="13"/>
  <c r="F1378" i="13"/>
  <c r="F303" i="13"/>
  <c r="F952" i="13"/>
  <c r="F954" i="13"/>
  <c r="F1295" i="13"/>
  <c r="F1404" i="13"/>
  <c r="F317" i="13"/>
  <c r="F1104" i="13"/>
  <c r="F1307" i="13"/>
  <c r="F1415" i="13"/>
  <c r="F581" i="13"/>
  <c r="F55" i="13"/>
  <c r="F9" i="13"/>
  <c r="F91" i="13"/>
  <c r="F57" i="13"/>
  <c r="F63" i="13"/>
  <c r="F80" i="13"/>
  <c r="F46" i="13"/>
  <c r="F14" i="13"/>
  <c r="F107" i="13"/>
  <c r="F33" i="13"/>
  <c r="F79" i="13"/>
  <c r="F95" i="13"/>
  <c r="F74" i="13"/>
  <c r="F73" i="13"/>
  <c r="F59" i="13"/>
  <c r="F97" i="13"/>
  <c r="F99" i="13"/>
  <c r="F50" i="13"/>
  <c r="F39" i="13"/>
  <c r="F26" i="13"/>
  <c r="F111" i="13"/>
  <c r="F23" i="13"/>
  <c r="F64" i="13"/>
  <c r="F88" i="13"/>
  <c r="F92" i="13"/>
  <c r="F104" i="13"/>
  <c r="F75" i="13"/>
  <c r="F30" i="13"/>
  <c r="F68" i="13"/>
  <c r="F82" i="13"/>
  <c r="F85" i="13"/>
  <c r="F93" i="13"/>
  <c r="F112" i="13"/>
  <c r="F56" i="13"/>
  <c r="F96" i="13"/>
  <c r="F108" i="13"/>
  <c r="F8" i="13"/>
  <c r="F86" i="13"/>
  <c r="F67" i="13"/>
  <c r="F47" i="13"/>
  <c r="F100" i="13"/>
  <c r="F71" i="13"/>
  <c r="F90" i="13"/>
  <c r="F7" i="13"/>
  <c r="F45" i="13"/>
  <c r="F54" i="13"/>
  <c r="F109" i="13"/>
  <c r="F83" i="13"/>
  <c r="F32" i="13"/>
  <c r="F76" i="13"/>
  <c r="F31" i="13"/>
  <c r="F41" i="13"/>
  <c r="F40" i="13"/>
  <c r="F69" i="13"/>
  <c r="F110" i="13"/>
  <c r="F34" i="13"/>
  <c r="F48" i="13"/>
  <c r="F52" i="13"/>
  <c r="F4" i="13"/>
  <c r="F102" i="13"/>
  <c r="F38" i="13"/>
  <c r="F25" i="13"/>
  <c r="F66" i="13"/>
  <c r="F44" i="13"/>
  <c r="F101" i="13"/>
  <c r="F53" i="13"/>
  <c r="F60" i="13"/>
  <c r="F87" i="13"/>
  <c r="F61" i="13"/>
  <c r="F24" i="13"/>
  <c r="F106" i="13"/>
  <c r="F65" i="13"/>
  <c r="F37" i="13"/>
  <c r="F81" i="13"/>
  <c r="F58" i="13"/>
  <c r="F51" i="13"/>
  <c r="F98" i="13"/>
  <c r="F105" i="13"/>
  <c r="F77" i="13"/>
  <c r="F94" i="13"/>
  <c r="F84" i="13"/>
  <c r="F103" i="13"/>
  <c r="F10" i="13"/>
  <c r="F36" i="13"/>
  <c r="F42" i="13"/>
  <c r="F43" i="13"/>
  <c r="F12" i="13"/>
  <c r="F72" i="13"/>
  <c r="F35" i="13"/>
  <c r="F89" i="13"/>
  <c r="F5" i="13"/>
  <c r="F22" i="13"/>
  <c r="F49" i="13"/>
  <c r="F70" i="13"/>
  <c r="F78" i="13"/>
  <c r="F6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tc={ADBDAC12-CB2A-449C-A444-D29A92522636}</author>
    <author>tc={8F0E87D0-9A11-49A7-8A22-454A4BB38C1A}</author>
    <author>tc={B59257E5-D171-436C-9AEB-ACB11C0FAFEF}</author>
    <author>tc={4CBC259F-CA8F-430E-9EF0-B2CC484286BF}</author>
    <author>tc={EB439913-3F92-4138-B015-48BEFA0624DF}</author>
  </authors>
  <commentList>
    <comment ref="A1" authorId="0" shapeId="0" xr:uid="{ADBDAC12-CB2A-449C-A444-D29A925226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for 2024 log</t>
      </text>
    </comment>
    <comment ref="B1" authorId="1" shapeId="0" xr:uid="{8F0E87D0-9A11-49A7-8A22-454A4BB38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for 2024 log</t>
      </text>
    </comment>
    <comment ref="E6" authorId="2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'old - 120A until 12/18/20</t>
      </text>
    </comment>
    <comment ref="B11" authorId="3" shapeId="0" xr:uid="{4CBC259F-CA8F-430E-9EF0-B2CC484286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06.2025
</t>
      </text>
    </comment>
    <comment ref="E37" authorId="4" shapeId="0" xr:uid="{EB439913-3F92-4138-B015-48BEFA0624DF}">
      <text>
        <t>[Threaded comment]
Your version of Excel allows you to read this threaded comment; however, any edits to it will get removed if the file is opened in a newer version of Excel. Learn more: https://go.microsoft.com/fwlink/?linkid=870924
Comment:
    'formerly 197L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<sst xmlns="http://schemas.openxmlformats.org/spreadsheetml/2006/main" count="4127" uniqueCount="2848">
  <si>
    <r>
      <t xml:space="preserve">Location
</t>
    </r>
    <r>
      <rPr>
        <sz val="11"/>
        <rFont val="Calibri"/>
        <family val="2"/>
        <scheme val="minor"/>
      </rPr>
      <t>(drop-down)</t>
    </r>
  </si>
  <si>
    <t>Location ID</t>
  </si>
  <si>
    <t>#</t>
  </si>
  <si>
    <t>Assessment #</t>
  </si>
  <si>
    <t>Start Date</t>
  </si>
  <si>
    <t>End Date</t>
  </si>
  <si>
    <t>Report Issued</t>
  </si>
  <si>
    <r>
      <t>Type of Assessment</t>
    </r>
    <r>
      <rPr>
        <sz val="11"/>
        <rFont val="Calibri"/>
        <family val="2"/>
        <scheme val="minor"/>
      </rPr>
      <t xml:space="preserve"> 
</t>
    </r>
    <r>
      <rPr>
        <i/>
        <sz val="11"/>
        <rFont val="Calibri"/>
        <family val="2"/>
        <scheme val="minor"/>
      </rPr>
      <t>(drop-down)</t>
    </r>
  </si>
  <si>
    <r>
      <t xml:space="preserve">Scope of Assessment
</t>
    </r>
    <r>
      <rPr>
        <i/>
        <sz val="11"/>
        <rFont val="Calibri"/>
        <family val="2"/>
        <scheme val="minor"/>
      </rPr>
      <t>(drop-down)</t>
    </r>
  </si>
  <si>
    <t>QA In Charge 
(Get a copy of assessment report or summary)</t>
  </si>
  <si>
    <t>Assessor(s) / Auditor(s) name(s)</t>
  </si>
  <si>
    <t>Assessor's company</t>
  </si>
  <si>
    <r>
      <t xml:space="preserve">Agency Type 
(Regulatory / certification / accreditation agency)
</t>
    </r>
    <r>
      <rPr>
        <i/>
        <sz val="11"/>
        <rFont val="Calibri"/>
        <family val="2"/>
        <scheme val="minor"/>
      </rPr>
      <t>(drop-down)</t>
    </r>
  </si>
  <si>
    <t>Brief description of assessment scope</t>
  </si>
  <si>
    <t>San Francisco (Concord), CA</t>
  </si>
  <si>
    <t>001</t>
  </si>
  <si>
    <t xml:space="preserve">Internal  </t>
  </si>
  <si>
    <t>Inspection &amp; Laboratory</t>
  </si>
  <si>
    <t>AH</t>
  </si>
  <si>
    <t>AH/JP</t>
  </si>
  <si>
    <t>AmSpec</t>
  </si>
  <si>
    <t>Annual internal quality systems assessment (ISO 9001)</t>
  </si>
  <si>
    <t>002</t>
  </si>
  <si>
    <t>Laboratory</t>
  </si>
  <si>
    <t>Annual internal quality systems assessment (ISO 17025)</t>
  </si>
  <si>
    <t>Brownsville, TX</t>
  </si>
  <si>
    <t>003</t>
  </si>
  <si>
    <t>KA</t>
  </si>
  <si>
    <t>KA/ECu</t>
  </si>
  <si>
    <t>Annual internal quality systems assessment  (BQ-9000)</t>
  </si>
  <si>
    <t>004</t>
  </si>
  <si>
    <t>A2LA renewal assessment (ISO 17025)</t>
  </si>
  <si>
    <t>Corpus Christi, TX</t>
  </si>
  <si>
    <t>005</t>
  </si>
  <si>
    <t>JP</t>
  </si>
  <si>
    <t>006</t>
  </si>
  <si>
    <t>Baton Rouge (Gonzales), LA</t>
  </si>
  <si>
    <t>007</t>
  </si>
  <si>
    <t>KA/MT/JP</t>
  </si>
  <si>
    <t>008</t>
  </si>
  <si>
    <t>St Croix, USVI</t>
  </si>
  <si>
    <t>009</t>
  </si>
  <si>
    <t>010</t>
  </si>
  <si>
    <t>Los Angeles (Signal Hill), CA</t>
  </si>
  <si>
    <t>011</t>
  </si>
  <si>
    <t>Customer</t>
  </si>
  <si>
    <t>HM</t>
  </si>
  <si>
    <t>Scott Anthony / Craig Hoaglin</t>
  </si>
  <si>
    <t>Shell</t>
  </si>
  <si>
    <t>Lab and Ops</t>
  </si>
  <si>
    <t>HOFTI / Channelview, TX</t>
  </si>
  <si>
    <t>012</t>
  </si>
  <si>
    <t>Cincinnati (Erlanger), OH</t>
  </si>
  <si>
    <t>013</t>
  </si>
  <si>
    <t>Ecu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</si>
  <si>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</si>
  <si>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</si>
  <si>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</si>
  <si>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</si>
  <si>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</si>
  <si>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</si>
  <si>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</si>
  <si>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</si>
  <si>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</si>
  <si>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</si>
  <si>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</si>
  <si>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</si>
  <si>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</si>
  <si>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</si>
  <si>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</si>
  <si>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</si>
  <si>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</si>
  <si>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</si>
  <si>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</si>
  <si>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</si>
  <si>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</si>
  <si>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</si>
  <si>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</si>
  <si>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</si>
  <si>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</si>
  <si>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</si>
  <si>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</si>
  <si>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</si>
  <si>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</si>
  <si>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</si>
  <si>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</si>
  <si>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</si>
  <si>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</si>
  <si>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</si>
  <si>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</si>
  <si>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</si>
  <si>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</si>
  <si>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</si>
  <si>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</si>
  <si>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</si>
  <si>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</si>
  <si>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</si>
  <si>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</si>
  <si>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</si>
  <si>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</si>
  <si>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</si>
  <si>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</si>
  <si>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</si>
  <si>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</si>
  <si>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</si>
  <si>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</si>
  <si>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</si>
  <si>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</si>
  <si>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</si>
  <si>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</si>
  <si>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</si>
  <si>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</si>
  <si>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</si>
  <si>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</si>
  <si>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</si>
  <si>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</si>
  <si>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</si>
  <si>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</si>
  <si>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</si>
  <si>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</si>
  <si>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</si>
  <si>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</si>
  <si>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</si>
  <si>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</si>
  <si>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</si>
  <si>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</si>
  <si>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</si>
  <si>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</si>
  <si>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</si>
  <si>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</si>
  <si>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</si>
  <si>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</si>
  <si>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</si>
  <si>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</si>
  <si>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</si>
  <si>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</si>
  <si>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</si>
  <si>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</si>
  <si>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</si>
  <si>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</si>
  <si>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</si>
  <si>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</si>
  <si>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</si>
  <si>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</si>
  <si>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</si>
  <si>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</si>
  <si>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</si>
  <si>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</si>
  <si>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</si>
  <si>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</si>
  <si>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</si>
  <si>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</si>
  <si>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</si>
  <si>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</si>
  <si>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</si>
  <si>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</si>
  <si>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</si>
  <si>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</si>
  <si>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</si>
  <si>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</si>
  <si>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</si>
  <si>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</si>
  <si>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</si>
  <si>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</si>
  <si>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</si>
  <si>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</si>
  <si>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</si>
  <si>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</si>
  <si>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</si>
  <si>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</si>
  <si>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</si>
  <si>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</si>
  <si>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</si>
  <si>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</si>
  <si>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</si>
  <si>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</si>
  <si>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</si>
  <si>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</si>
  <si>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</si>
  <si>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</si>
  <si>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</si>
  <si>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</si>
  <si>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</si>
  <si>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</si>
  <si>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</si>
  <si>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</si>
  <si>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</si>
  <si>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</si>
  <si>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</si>
  <si>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</si>
  <si>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</si>
  <si>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</si>
  <si>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</si>
  <si>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</si>
  <si>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</si>
  <si>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</si>
  <si>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</si>
  <si>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</si>
  <si>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</si>
  <si>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</si>
  <si>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</si>
  <si>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</si>
  <si>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</si>
  <si>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</si>
  <si>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</si>
  <si>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</si>
  <si>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</si>
  <si>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</si>
  <si>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</si>
  <si>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</si>
  <si>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</si>
  <si>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</si>
  <si>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</si>
  <si>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</si>
  <si>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</si>
  <si>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</si>
  <si>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</si>
  <si>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</si>
  <si>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</si>
  <si>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</si>
  <si>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</si>
  <si>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</si>
  <si>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</si>
  <si>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</si>
  <si>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</si>
  <si>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</si>
  <si>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</si>
  <si>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</si>
  <si>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</si>
  <si>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</si>
  <si>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</si>
  <si>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</si>
  <si>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</si>
  <si>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</si>
  <si>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</si>
  <si>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</si>
  <si>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</si>
  <si>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</si>
  <si>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</si>
  <si>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</si>
  <si>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</si>
  <si>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</si>
  <si>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Location 
(drop-down)</t>
  </si>
  <si>
    <t>CAR #</t>
  </si>
  <si>
    <t>CAR Type</t>
  </si>
  <si>
    <t>ASSOCIATED ORGANIZATION
(required for Complaints, Customer audits/alerts, 
3rd party audits)</t>
  </si>
  <si>
    <r>
      <t xml:space="preserve">BRIEF DESCRIPTION OF NC
</t>
    </r>
    <r>
      <rPr>
        <i/>
        <sz val="11"/>
        <color theme="1"/>
        <rFont val="Calibri"/>
        <family val="2"/>
        <scheme val="minor"/>
      </rPr>
      <t>if VOID:  "VOID, Location, type, 
details (initials, date)"</t>
    </r>
  </si>
  <si>
    <r>
      <t xml:space="preserve">Area 
(Lab, Ops, Misc.)
</t>
    </r>
    <r>
      <rPr>
        <i/>
        <sz val="11"/>
        <color theme="1"/>
        <rFont val="Calibri"/>
        <family val="2"/>
        <scheme val="minor"/>
      </rPr>
      <t>(drop-down)</t>
    </r>
  </si>
  <si>
    <t>QA team member initials</t>
  </si>
  <si>
    <t>CAR initialized date</t>
  </si>
  <si>
    <t>Action Plan submitted by due date? (Yes/No)</t>
  </si>
  <si>
    <t>Corrective Action Completion Date</t>
  </si>
  <si>
    <t>Corrective Action Approved Date</t>
  </si>
  <si>
    <t>Agreed Actions completed by due date?  (Yes/No)</t>
  </si>
  <si>
    <t>Effectiveness Review Date</t>
  </si>
  <si>
    <t>Effective? (Yes/No) If no include new CAR # on notes</t>
  </si>
  <si>
    <t>Days to Close
(Cells in red are not closed)</t>
  </si>
  <si>
    <t>Notes</t>
  </si>
  <si>
    <t>Cause
(for Assessments only)</t>
  </si>
  <si>
    <t>Seabrook (Chemicals), TX</t>
  </si>
  <si>
    <t>Complaint</t>
  </si>
  <si>
    <t>Lyondell - Incorrect dose of inhibitor</t>
  </si>
  <si>
    <t>Operations</t>
  </si>
  <si>
    <t>HB</t>
  </si>
  <si>
    <t>Yes</t>
  </si>
  <si>
    <t>CAF006-121-26</t>
  </si>
  <si>
    <t>P66</t>
  </si>
  <si>
    <t>P66 - Lab failed to timely identify a typo in freeze results despite client requesting recheck. (5 hours delay)</t>
  </si>
  <si>
    <t>Lab</t>
  </si>
  <si>
    <t>CAF002-131-26</t>
  </si>
  <si>
    <t>P66 - Lab incorrectly reported freeze point result</t>
  </si>
  <si>
    <t>CAF004-130-26</t>
  </si>
  <si>
    <t>Port Arthur (Beaumont), TX</t>
  </si>
  <si>
    <t>ExxonMobil</t>
  </si>
  <si>
    <t>ExxonMobil - Delay release of barges</t>
  </si>
  <si>
    <t>CAF005-160-26</t>
  </si>
  <si>
    <t>Internal assessment (9001 &amp; 17025)</t>
  </si>
  <si>
    <t>Clause 6.2.3 and 6.2.5</t>
  </si>
  <si>
    <t>Clause 6.4.4 and 6.4.5</t>
  </si>
  <si>
    <t>Clause 6.4.10</t>
  </si>
  <si>
    <t>Clause 6.5.2</t>
  </si>
  <si>
    <t>Clause 7.2.1.7</t>
  </si>
  <si>
    <t>Clause 7.4.2</t>
  </si>
  <si>
    <t>Clause 7.5.1</t>
  </si>
  <si>
    <t>Clause 7.8.1.2</t>
  </si>
  <si>
    <t>Clause 8.3.2f and QSM Section 22</t>
  </si>
  <si>
    <t>Lab &amp; Ops</t>
  </si>
  <si>
    <t>QB-00019A</t>
  </si>
  <si>
    <t>QSM S27.3.e.i</t>
  </si>
  <si>
    <t>QSM S28.5</t>
  </si>
  <si>
    <t>ISO 17025 Clause 7.11.6</t>
  </si>
  <si>
    <t>ISO 17025 Clause 6.5</t>
  </si>
  <si>
    <t>ISO 17025 Clause 6.4.13</t>
  </si>
  <si>
    <t>ISO 17025 Clause 7.7</t>
  </si>
  <si>
    <t>ISO 17025 Clause 6.4.9</t>
  </si>
  <si>
    <t>ISO 17025 Clause 7.5</t>
  </si>
  <si>
    <t>PBF</t>
  </si>
  <si>
    <t>Wrong sampler tube used affecting water content results (Repeat)</t>
  </si>
  <si>
    <t>CAF007-131-26, repeat of C162-131-25</t>
  </si>
  <si>
    <t>Customer audit   </t>
  </si>
  <si>
    <t>Shell - SQC - No procedure provided covering the validation of released data between in-control and out of control Accuracy/Precision charts.</t>
  </si>
  <si>
    <t>A011-130-26</t>
  </si>
  <si>
    <t>Shell - Proficiency Testing Zscore monitoring, Site has 10 
Site has 10, 3 Z-Score failures in the ASTM RFG program for 2025.</t>
  </si>
  <si>
    <t>Shell - Specification Management - Spec limit missing, tests substituted with no documentation, and incompatible spec on
CoA.</t>
  </si>
  <si>
    <t xml:space="preserve">Shell - Training and Competence -Training is not well documented. </t>
  </si>
  <si>
    <t>Shell - Technical records D86, D5580, D5453, D4815, D5769 corr.</t>
  </si>
  <si>
    <t>Shell - Job file review - No EPA Homogeneity sheet in the file</t>
  </si>
  <si>
    <t>Shell - Sampling and sample management - Inspector sampling witnessing</t>
  </si>
  <si>
    <t>New Orleans (Destrehan), LA</t>
  </si>
  <si>
    <t>PBF - Wrong submitted sample</t>
  </si>
  <si>
    <t>DA</t>
  </si>
  <si>
    <t>PBF - Transcription error</t>
  </si>
  <si>
    <t>PBF - Difference in reporting</t>
  </si>
  <si>
    <t>St John, NB</t>
  </si>
  <si>
    <t>Wrong tank samples on vessel</t>
  </si>
  <si>
    <t>GF</t>
  </si>
  <si>
    <t>Inspector did not sample crude oil tanks on open guage</t>
  </si>
  <si>
    <t>PBF - D445 and D4052 discrepancy between ST and VTC results</t>
  </si>
  <si>
    <t>Chevron - Quantity deviation from nomination not communicated to client until report was issued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</si>
  <si>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</si>
  <si>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</si>
  <si>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</si>
  <si>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</si>
  <si>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</si>
  <si>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</si>
  <si>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</si>
  <si>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</si>
  <si>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</si>
  <si>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</si>
  <si>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</si>
  <si>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</si>
  <si>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</si>
  <si>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</si>
  <si>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</si>
  <si>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</si>
  <si>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</si>
  <si>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</si>
  <si>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</si>
  <si>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</si>
  <si>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</si>
  <si>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</si>
  <si>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</si>
  <si>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</si>
  <si>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</si>
  <si>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</si>
  <si>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</si>
  <si>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</si>
  <si>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</si>
  <si>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</si>
  <si>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</si>
  <si>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</si>
  <si>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</si>
  <si>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</si>
  <si>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</si>
  <si>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</si>
  <si>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</si>
  <si>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</si>
  <si>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</si>
  <si>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</si>
  <si>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</si>
  <si>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</si>
  <si>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</si>
  <si>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</si>
  <si>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</si>
  <si>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</si>
  <si>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</si>
  <si>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</si>
  <si>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</si>
  <si>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</si>
  <si>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</si>
  <si>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</si>
  <si>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</si>
  <si>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</si>
  <si>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</si>
  <si>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</si>
  <si>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</si>
  <si>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</si>
  <si>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</si>
  <si>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</si>
  <si>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</si>
  <si>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</si>
  <si>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</si>
  <si>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</si>
  <si>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</si>
  <si>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</si>
  <si>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</si>
  <si>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</si>
  <si>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</si>
  <si>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</si>
  <si>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</si>
  <si>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</si>
  <si>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</si>
  <si>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</si>
  <si>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</si>
  <si>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</si>
  <si>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</si>
  <si>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</si>
  <si>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</si>
  <si>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</si>
  <si>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</si>
  <si>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</si>
  <si>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</si>
  <si>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</si>
  <si>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</si>
  <si>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</si>
  <si>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</si>
  <si>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</si>
  <si>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</si>
  <si>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</si>
  <si>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</si>
  <si>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</si>
  <si>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</si>
  <si>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</si>
  <si>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</si>
  <si>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</si>
  <si>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</si>
  <si>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</si>
  <si>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</si>
  <si>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</si>
  <si>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</si>
  <si>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</si>
  <si>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</si>
  <si>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</si>
  <si>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</si>
  <si>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</si>
  <si>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</si>
  <si>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</si>
  <si>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</si>
  <si>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</si>
  <si>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</si>
  <si>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</si>
  <si>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</si>
  <si>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</si>
  <si>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</si>
  <si>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</si>
  <si>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</si>
  <si>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</si>
  <si>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</si>
  <si>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</si>
  <si>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</si>
  <si>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</si>
  <si>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</si>
  <si>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</si>
  <si>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</si>
  <si>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</si>
  <si>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</si>
  <si>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</si>
  <si>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</si>
  <si>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</si>
  <si>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</si>
  <si>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</si>
  <si>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</si>
  <si>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</si>
  <si>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</si>
  <si>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</si>
  <si>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</si>
  <si>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</si>
  <si>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</si>
  <si>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</si>
  <si>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</si>
  <si>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</si>
  <si>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</si>
  <si>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</si>
  <si>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</si>
  <si>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</si>
  <si>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</si>
  <si>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</si>
  <si>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</si>
  <si>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</si>
  <si>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</si>
  <si>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</si>
  <si>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</si>
  <si>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</si>
  <si>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</si>
  <si>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</si>
  <si>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</si>
  <si>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</si>
  <si>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</si>
  <si>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</si>
  <si>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</si>
  <si>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</si>
  <si>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</si>
  <si>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</si>
  <si>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</si>
  <si>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</si>
  <si>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</si>
  <si>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</si>
  <si>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</si>
  <si>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</si>
  <si>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</si>
  <si>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</si>
  <si>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</si>
  <si>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</si>
  <si>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</si>
  <si>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</si>
  <si>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</si>
  <si>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</si>
  <si>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</si>
  <si>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</si>
  <si>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</si>
  <si>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</si>
  <si>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</si>
  <si>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</si>
  <si>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</si>
  <si>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</si>
  <si>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</si>
  <si>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</si>
  <si>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</si>
  <si>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</si>
  <si>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</si>
  <si>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</si>
  <si>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</si>
  <si>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</si>
  <si>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</si>
  <si>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</si>
  <si>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</si>
  <si>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</si>
  <si>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</si>
  <si>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</si>
  <si>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</si>
  <si>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</si>
  <si>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</si>
  <si>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</si>
  <si>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</si>
  <si>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</si>
  <si>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</si>
  <si>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</si>
  <si>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</si>
  <si>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</si>
  <si>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</si>
  <si>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</si>
  <si>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</si>
  <si>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</si>
  <si>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</si>
  <si>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</si>
  <si>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</si>
  <si>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</si>
  <si>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</si>
  <si>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</si>
  <si>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</si>
  <si>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</si>
  <si>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</si>
  <si>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</si>
  <si>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</si>
  <si>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</si>
  <si>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</si>
  <si>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</si>
  <si>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</si>
  <si>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</si>
  <si>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</si>
  <si>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</si>
  <si>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</si>
  <si>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</si>
  <si>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</si>
  <si>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</si>
  <si>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</si>
  <si>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</si>
  <si>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</si>
  <si>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</si>
  <si>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</si>
  <si>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</si>
  <si>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</si>
  <si>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</si>
  <si>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</si>
  <si>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</si>
  <si>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</si>
  <si>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</si>
  <si>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</si>
  <si>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</si>
  <si>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</si>
  <si>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</si>
  <si>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</si>
  <si>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</si>
  <si>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</si>
  <si>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</si>
  <si>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</si>
  <si>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</si>
  <si>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</si>
  <si>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</si>
  <si>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</si>
  <si>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</si>
  <si>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</si>
  <si>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</si>
  <si>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</si>
  <si>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</si>
  <si>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</si>
  <si>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</si>
  <si>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</si>
  <si>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</si>
  <si>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</si>
  <si>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</si>
  <si>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</si>
  <si>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</si>
  <si>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</si>
  <si>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</si>
  <si>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</si>
  <si>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</si>
  <si>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</si>
  <si>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</si>
  <si>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</si>
  <si>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</si>
  <si>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</si>
  <si>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</si>
  <si>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</si>
  <si>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</si>
  <si>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</si>
  <si>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</si>
  <si>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</si>
  <si>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</si>
  <si>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</si>
  <si>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</si>
  <si>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</si>
  <si>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</si>
  <si>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</si>
  <si>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</si>
  <si>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</si>
  <si>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</si>
  <si>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</si>
  <si>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</si>
  <si>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</si>
  <si>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</si>
  <si>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</si>
  <si>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</si>
  <si>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</si>
  <si>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</si>
  <si>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</si>
  <si>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</si>
  <si>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</si>
  <si>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</si>
  <si>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</si>
  <si>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</si>
  <si>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</si>
  <si>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</si>
  <si>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</si>
  <si>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</si>
  <si>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</si>
  <si>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</si>
  <si>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</si>
  <si>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</si>
  <si>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</si>
  <si>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</si>
  <si>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</si>
  <si>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</si>
  <si>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</si>
  <si>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</si>
  <si>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</si>
  <si>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</si>
  <si>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</si>
  <si>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</si>
  <si>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</si>
  <si>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</si>
  <si>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</si>
  <si>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</si>
  <si>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</si>
  <si>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</si>
  <si>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</si>
  <si>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</si>
  <si>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</si>
  <si>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</si>
  <si>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</si>
  <si>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</si>
  <si>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</si>
  <si>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</si>
  <si>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</si>
  <si>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</si>
  <si>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</si>
  <si>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</si>
  <si>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</si>
  <si>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</si>
  <si>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</si>
  <si>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</si>
  <si>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</si>
  <si>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</si>
  <si>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</si>
  <si>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</si>
  <si>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</si>
  <si>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</si>
  <si>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</si>
  <si>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</si>
  <si>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</si>
  <si>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</si>
  <si>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</si>
  <si>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</si>
  <si>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</si>
  <si>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</si>
  <si>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</si>
  <si>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</si>
  <si>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</si>
  <si>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</si>
  <si>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</si>
  <si>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</si>
  <si>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</si>
  <si>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</si>
  <si>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</si>
  <si>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</si>
  <si>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</si>
  <si>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</si>
  <si>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</si>
  <si>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</si>
  <si>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</si>
  <si>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</si>
  <si>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</si>
  <si>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</si>
  <si>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</si>
  <si>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</si>
  <si>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</si>
  <si>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</si>
  <si>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</si>
  <si>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</si>
  <si>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</si>
  <si>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</si>
  <si>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</si>
  <si>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</si>
  <si>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</si>
  <si>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</si>
  <si>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</si>
  <si>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</si>
  <si>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</si>
  <si>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</si>
  <si>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</si>
  <si>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</si>
  <si>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</si>
  <si>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</si>
  <si>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</si>
  <si>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</si>
  <si>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</si>
  <si>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</si>
  <si>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</si>
  <si>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</si>
  <si>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</si>
  <si>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</si>
  <si>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</si>
  <si>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</si>
  <si>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</si>
  <si>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</si>
  <si>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</si>
  <si>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</si>
  <si>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</si>
  <si>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</si>
  <si>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</si>
  <si>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</si>
  <si>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</si>
  <si>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</si>
  <si>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</si>
  <si>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</si>
  <si>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</si>
  <si>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</si>
  <si>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</si>
  <si>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</si>
  <si>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</si>
  <si>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</si>
  <si>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</si>
  <si>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</si>
  <si>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</si>
  <si>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</si>
  <si>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</si>
  <si>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</si>
  <si>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</si>
  <si>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</si>
  <si>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</si>
  <si>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</si>
  <si>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</si>
  <si>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</si>
  <si>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</si>
  <si>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</si>
  <si>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</si>
  <si>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</si>
  <si>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</si>
  <si>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</si>
  <si>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</si>
  <si>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</si>
  <si>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</si>
  <si>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</si>
  <si>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</si>
  <si>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</si>
  <si>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</si>
  <si>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</si>
  <si>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</si>
  <si>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</si>
  <si>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</si>
  <si>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</si>
  <si>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</si>
  <si>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</si>
  <si>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</si>
  <si>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</si>
  <si>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</si>
  <si>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</si>
  <si>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</si>
  <si>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</si>
  <si>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</si>
  <si>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</si>
  <si>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</si>
  <si>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</si>
  <si>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</si>
  <si>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</si>
  <si>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</si>
  <si>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</si>
  <si>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</si>
  <si>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</si>
  <si>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</si>
  <si>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</si>
  <si>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</si>
  <si>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</si>
  <si>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</si>
  <si>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</si>
  <si>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</si>
  <si>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</si>
  <si>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</si>
  <si>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</si>
  <si>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</si>
  <si>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</si>
  <si>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</si>
  <si>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</si>
  <si>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</si>
  <si>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</si>
  <si>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</si>
  <si>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</si>
  <si>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</si>
  <si>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</si>
  <si>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</si>
  <si>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</si>
  <si>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</si>
  <si>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</si>
  <si>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</si>
  <si>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</si>
  <si>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</si>
  <si>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</si>
  <si>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</si>
  <si>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</si>
  <si>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</si>
  <si>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</si>
  <si>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</si>
  <si>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</si>
  <si>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</si>
  <si>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</si>
  <si>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</si>
  <si>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</si>
  <si>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</si>
  <si>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</si>
  <si>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</si>
  <si>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</si>
  <si>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</si>
  <si>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</si>
  <si>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</si>
  <si>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</si>
  <si>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</si>
  <si>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</si>
  <si>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</si>
  <si>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</si>
  <si>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</si>
  <si>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</si>
  <si>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</si>
  <si>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</si>
  <si>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</si>
  <si>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</si>
  <si>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</si>
  <si>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</si>
  <si>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</si>
  <si>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</si>
  <si>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</si>
  <si>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</si>
  <si>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</si>
  <si>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</si>
  <si>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</si>
  <si>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</si>
  <si>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</si>
  <si>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</si>
  <si>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</si>
  <si>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</si>
  <si>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</si>
  <si>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</si>
  <si>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</si>
  <si>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</si>
  <si>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</si>
  <si>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</si>
  <si>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</si>
  <si>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</si>
  <si>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</si>
  <si>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</si>
  <si>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</si>
  <si>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</si>
  <si>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</si>
  <si>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</si>
  <si>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</si>
  <si>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</si>
  <si>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</si>
  <si>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</si>
  <si>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</si>
  <si>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</si>
  <si>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</si>
  <si>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</si>
  <si>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</si>
  <si>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</si>
  <si>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</si>
  <si>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</si>
  <si>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</si>
  <si>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</si>
  <si>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</si>
  <si>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</si>
  <si>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</si>
  <si>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</si>
  <si>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</si>
  <si>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</si>
  <si>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</si>
  <si>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</si>
  <si>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</si>
  <si>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</si>
  <si>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</si>
  <si>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</si>
  <si>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</si>
  <si>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</si>
  <si>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</si>
  <si>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</si>
  <si>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</si>
  <si>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</si>
  <si>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</si>
  <si>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</si>
  <si>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</si>
  <si>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</si>
  <si>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</si>
  <si>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</si>
  <si>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</si>
  <si>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</si>
  <si>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</si>
  <si>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</si>
  <si>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</si>
  <si>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</si>
  <si>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</si>
  <si>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</si>
  <si>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</si>
  <si>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</si>
  <si>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</si>
  <si>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</si>
  <si>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</si>
  <si>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</si>
  <si>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</si>
  <si>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</si>
  <si>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</si>
  <si>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</si>
  <si>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</si>
  <si>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</si>
  <si>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</si>
  <si>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</si>
  <si>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</si>
  <si>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</si>
  <si>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</si>
  <si>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</si>
  <si>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</si>
  <si>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</si>
  <si>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</si>
  <si>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</si>
  <si>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</si>
  <si>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</si>
  <si>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</si>
  <si>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</si>
  <si>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</si>
  <si>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</si>
  <si>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</si>
  <si>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</si>
  <si>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</si>
  <si>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</si>
  <si>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</si>
  <si>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</si>
  <si>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</si>
  <si>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</si>
  <si>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</si>
  <si>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</si>
  <si>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</si>
  <si>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</si>
  <si>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</si>
  <si>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</si>
  <si>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</si>
  <si>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</si>
  <si>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</si>
  <si>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</si>
  <si>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</si>
  <si>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</si>
  <si>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</si>
  <si>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</si>
  <si>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</si>
  <si>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</si>
  <si>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</si>
  <si>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</si>
  <si>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</si>
  <si>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</si>
  <si>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</si>
  <si>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</si>
  <si>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</si>
  <si>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</si>
  <si>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</si>
  <si>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</si>
  <si>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</si>
  <si>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</si>
  <si>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</si>
  <si>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</si>
  <si>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</si>
  <si>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</si>
  <si>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</si>
  <si>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</si>
  <si>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</si>
  <si>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</si>
  <si>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</si>
  <si>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</si>
  <si>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</si>
  <si>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</si>
  <si>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</si>
  <si>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</si>
  <si>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</si>
  <si>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</si>
  <si>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</si>
  <si>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</si>
  <si>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</si>
  <si>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</si>
  <si>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</si>
  <si>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</si>
  <si>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</si>
  <si>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</si>
  <si>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</si>
  <si>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</si>
  <si>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</si>
  <si>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</si>
  <si>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</si>
  <si>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</si>
  <si>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</si>
  <si>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</si>
  <si>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</si>
  <si>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</si>
  <si>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</si>
  <si>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</si>
  <si>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</si>
  <si>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</si>
  <si>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</si>
  <si>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</si>
  <si>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</si>
  <si>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</si>
  <si>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</si>
  <si>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</si>
  <si>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</si>
  <si>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</si>
  <si>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</si>
  <si>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</si>
  <si>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</si>
  <si>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</si>
  <si>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</si>
  <si>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</si>
  <si>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</si>
  <si>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</si>
  <si>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</si>
  <si>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</si>
  <si>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</si>
  <si>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</si>
  <si>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</si>
  <si>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</si>
  <si>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</si>
  <si>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</si>
  <si>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</si>
  <si>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</si>
  <si>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</si>
  <si>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</si>
  <si>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</si>
  <si>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</si>
  <si>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</si>
  <si>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</si>
  <si>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</si>
  <si>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</si>
  <si>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</si>
  <si>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</si>
  <si>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</si>
  <si>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</si>
  <si>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</si>
  <si>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</si>
  <si>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</si>
  <si>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</si>
  <si>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</si>
  <si>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</si>
  <si>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</si>
  <si>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</si>
  <si>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</si>
  <si>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</si>
  <si>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</si>
  <si>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</si>
  <si>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</si>
  <si>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</si>
  <si>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</si>
  <si>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</si>
  <si>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</si>
  <si>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</si>
  <si>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</si>
  <si>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</si>
  <si>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</si>
  <si>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</si>
  <si>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</si>
  <si>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</si>
  <si>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</si>
  <si>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</si>
  <si>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</si>
  <si>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</si>
  <si>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</si>
  <si>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</si>
  <si>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</si>
  <si>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</si>
  <si>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</si>
  <si>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</si>
  <si>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</si>
  <si>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</si>
  <si>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</si>
  <si>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</si>
  <si>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</si>
  <si>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</si>
  <si>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</si>
  <si>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</si>
  <si>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</si>
  <si>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</si>
  <si>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</si>
  <si>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</si>
  <si>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</si>
  <si>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</si>
  <si>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</si>
  <si>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PAR #</t>
  </si>
  <si>
    <t>PAR type</t>
  </si>
  <si>
    <r>
      <t xml:space="preserve">BRIEF DESCRIPTION OF PAR
</t>
    </r>
    <r>
      <rPr>
        <i/>
        <sz val="11"/>
        <color theme="1"/>
        <rFont val="Calibri"/>
        <family val="2"/>
        <scheme val="minor"/>
      </rPr>
      <t>if VOID:  Location, type, details (initials, date)</t>
    </r>
  </si>
  <si>
    <t>PAR initialized date</t>
  </si>
  <si>
    <t>Date closed</t>
  </si>
  <si>
    <t>Area (Ops, Lab, Misc.)
(drop-down)</t>
  </si>
  <si>
    <t>Texas City, TX</t>
  </si>
  <si>
    <t>Weather delayed sample transport, and the updated status was not communicated to ATA in real time during a critical decision window.</t>
  </si>
  <si>
    <t>CAF008-150-26</t>
  </si>
  <si>
    <t>Types of Deficiency</t>
  </si>
  <si>
    <t>Types of Root Cause</t>
  </si>
  <si>
    <t>CAR  / PAR Area</t>
  </si>
  <si>
    <t>Location</t>
  </si>
  <si>
    <t>Area</t>
  </si>
  <si>
    <t>Equipment &amp; Reagent status</t>
  </si>
  <si>
    <t>Communication</t>
  </si>
  <si>
    <t>A&amp;B Labs - Baton Rouge, LA</t>
  </si>
  <si>
    <t>A&amp;B-BR</t>
  </si>
  <si>
    <t>Management (CQI, Quality Policy posting, PO, AVL, CAR/PAR)</t>
  </si>
  <si>
    <t>Equipment/ calibration</t>
  </si>
  <si>
    <t>A&amp;B Labs - Houston, TX</t>
  </si>
  <si>
    <t>A&amp;B-HOU</t>
  </si>
  <si>
    <t>No</t>
  </si>
  <si>
    <t>PT</t>
  </si>
  <si>
    <t>Ineffective/ Lack system/ procedure</t>
  </si>
  <si>
    <t>A&amp;B Labs - Nederland, TX</t>
  </si>
  <si>
    <t>A&amp;B-NED</t>
  </si>
  <si>
    <t>Safety</t>
  </si>
  <si>
    <t>Negligence (typo, no review)</t>
  </si>
  <si>
    <t>Misc</t>
  </si>
  <si>
    <t>A&amp;B Labs - Tempe, AZ</t>
  </si>
  <si>
    <t>A&amp;B-TEM</t>
  </si>
  <si>
    <t>Technical (Calibration/ Verification/ Maintenance/ PT/ method deviation)</t>
  </si>
  <si>
    <t>Normal statistics variance - no CA</t>
  </si>
  <si>
    <t>VOID</t>
  </si>
  <si>
    <t>AGRI (HTC)</t>
  </si>
  <si>
    <t>USGC</t>
  </si>
  <si>
    <t>Traceability and records (SR-1, raw data)</t>
  </si>
  <si>
    <t>Training/ competency</t>
  </si>
  <si>
    <t>Albany, NY</t>
  </si>
  <si>
    <t>USNE, USMW &amp; Canada</t>
  </si>
  <si>
    <t>Training (include quality, safety, ethics)</t>
  </si>
  <si>
    <t>Unmanaged risks</t>
  </si>
  <si>
    <t>Avenel (NYH), NJ</t>
  </si>
  <si>
    <t>Bahamas (Freeport), GBI</t>
  </si>
  <si>
    <t>SE &amp; Caribbean</t>
  </si>
  <si>
    <t>Baltimore (Glen Burnie), MD</t>
  </si>
  <si>
    <t>Cause of NC</t>
  </si>
  <si>
    <t>People (miscommunication, complacency, competency)</t>
  </si>
  <si>
    <t>Baytown, TX</t>
  </si>
  <si>
    <t>Equipment (malfunction, maintenance, calibration/verification, incorrect setting)</t>
  </si>
  <si>
    <t>Belle Chasse, LA</t>
  </si>
  <si>
    <t>Methods (Inadequate / Deviation from Procedures)</t>
  </si>
  <si>
    <t>Bellingham (Ferndale), WA</t>
  </si>
  <si>
    <t>USWC</t>
  </si>
  <si>
    <t>Management (Lack of accountability, inadequate risk assessment)</t>
  </si>
  <si>
    <t>Bostco, TX</t>
  </si>
  <si>
    <t>3rd party audit (DNV, A2LA, AASHTO…)</t>
  </si>
  <si>
    <t>Environment (Poor housekeeping, insufficient space, clutter)</t>
  </si>
  <si>
    <t>Boston (Everett), MA</t>
  </si>
  <si>
    <t>CAF Area</t>
  </si>
  <si>
    <t>Other (QC, customer alert, improper procedure)</t>
  </si>
  <si>
    <t>Cape Canaveral, FL</t>
  </si>
  <si>
    <t>Ops</t>
  </si>
  <si>
    <t>Chicago, IL</t>
  </si>
  <si>
    <t>Scope (assessment tracking)</t>
  </si>
  <si>
    <t>Admin</t>
  </si>
  <si>
    <t>Collins (Purvis), MS</t>
  </si>
  <si>
    <t>Inspection</t>
  </si>
  <si>
    <t>Other</t>
  </si>
  <si>
    <t>CORPORATE, NJ</t>
  </si>
  <si>
    <t>Corporate</t>
  </si>
  <si>
    <t>Type of Assessment (Assessment tracking)</t>
  </si>
  <si>
    <t>Corpus Christi, TX (CITGO Lab)</t>
  </si>
  <si>
    <t>Cushing, OK</t>
  </si>
  <si>
    <t>Decatur, AL</t>
  </si>
  <si>
    <t>Certifications</t>
  </si>
  <si>
    <t>Freeport, TX</t>
  </si>
  <si>
    <t>Regulatory</t>
  </si>
  <si>
    <t>Ft Lauderdale (Davie), FL</t>
  </si>
  <si>
    <t>Halifax (Dartmouth), NS</t>
  </si>
  <si>
    <t>Hamilton (Burlington), ON</t>
  </si>
  <si>
    <t>Agency type (Assessment Tracking)</t>
  </si>
  <si>
    <t xml:space="preserve">Houston (HTC), TX </t>
  </si>
  <si>
    <t>HST Weights &amp; Measures</t>
  </si>
  <si>
    <t>120W</t>
  </si>
  <si>
    <t>Calibration</t>
  </si>
  <si>
    <t>Accredited agency</t>
  </si>
  <si>
    <t>Ingleside, TX</t>
  </si>
  <si>
    <t>155A</t>
  </si>
  <si>
    <t>Kenai, AK</t>
  </si>
  <si>
    <t xml:space="preserve">Lake Charles (Sulfur), LA  </t>
  </si>
  <si>
    <t>Levis (Quebec City), Quebec</t>
  </si>
  <si>
    <t>Marcus Hook, PA</t>
  </si>
  <si>
    <t>Memphis, TN</t>
  </si>
  <si>
    <t xml:space="preserve">Mickleton (Philly), NJ </t>
  </si>
  <si>
    <t>Midland, TX</t>
  </si>
  <si>
    <t>Minot, ND</t>
  </si>
  <si>
    <t>Mobile, AL</t>
  </si>
  <si>
    <t>Mont Belvieu, TX</t>
  </si>
  <si>
    <t>120a</t>
  </si>
  <si>
    <t>Montreal, QC</t>
  </si>
  <si>
    <t>New Haven, CT</t>
  </si>
  <si>
    <t>Newfoundland (Arnold's Cove)</t>
  </si>
  <si>
    <t>Pecos (West Texas), TX</t>
  </si>
  <si>
    <t>Phoenix, AZ</t>
  </si>
  <si>
    <t>Pittsburgh, PA</t>
  </si>
  <si>
    <t>Port Arthur (Sabine Blending Lab), TX</t>
  </si>
  <si>
    <t>160A</t>
  </si>
  <si>
    <t>Port Lavaca, TX</t>
  </si>
  <si>
    <t>Portland, ME</t>
  </si>
  <si>
    <t>Providence, RI</t>
  </si>
  <si>
    <t>Puerto Rico</t>
  </si>
  <si>
    <t>Savannah, GA / Charleston, SC</t>
  </si>
  <si>
    <t>St James, LA</t>
  </si>
  <si>
    <t>St Louis, MO</t>
  </si>
  <si>
    <t>Tacoma, WA</t>
  </si>
  <si>
    <t>Tampa, FL</t>
  </si>
  <si>
    <t>Valdez, AK</t>
  </si>
  <si>
    <t>VOIDED ASSMT/CAR/PAR NO</t>
  </si>
  <si>
    <t>Yorktown (Norfolk), VA</t>
  </si>
  <si>
    <t>Extras</t>
  </si>
  <si>
    <t>Warehouse</t>
  </si>
  <si>
    <t>Additives East Coast</t>
  </si>
  <si>
    <t>Additives Gulf Coast</t>
  </si>
  <si>
    <t>Utah</t>
  </si>
  <si>
    <t>Cameron LNG</t>
  </si>
  <si>
    <t>Specialty</t>
  </si>
  <si>
    <t>Kenner, LA</t>
  </si>
  <si>
    <t>Santurce, Puerto Rico</t>
  </si>
  <si>
    <t>Boucherville, QC</t>
  </si>
  <si>
    <t>CAF#</t>
  </si>
  <si>
    <t>Date initiated</t>
  </si>
  <si>
    <t>Date shared w/ customer</t>
  </si>
  <si>
    <t>Corrective Action completed, CAR approved.</t>
  </si>
  <si>
    <t>Brief description of complaint</t>
  </si>
  <si>
    <r>
      <t xml:space="preserve">Area (Lab, Ops, Lab &amp; Ops, Admin, Other, Void)
</t>
    </r>
    <r>
      <rPr>
        <i/>
        <sz val="11"/>
        <rFont val="Calibri"/>
        <family val="2"/>
        <scheme val="minor"/>
      </rPr>
      <t>(drop-down)</t>
    </r>
  </si>
  <si>
    <t>CAR / PAR # (if applicable)</t>
  </si>
  <si>
    <t>Irving Complaint - Not gauged to mm and missed temperature measurement.</t>
  </si>
  <si>
    <t xml:space="preserve">
CAPA0015-120-26</t>
  </si>
  <si>
    <t>C001-131-26</t>
  </si>
  <si>
    <t>void</t>
  </si>
  <si>
    <t>voided</t>
  </si>
  <si>
    <t>repeat of CAF 001</t>
  </si>
  <si>
    <t>P66- incorrectly reported freeze point</t>
  </si>
  <si>
    <t>C002-130-26</t>
  </si>
  <si>
    <t>C003-160-26</t>
  </si>
  <si>
    <t>C022-121-26</t>
  </si>
  <si>
    <t>PBF -Wrong sampler tube used affecting water content results (Repeat)</t>
  </si>
  <si>
    <t>C023-131-26</t>
  </si>
  <si>
    <t xml:space="preserve">Weather delayed sample transport, and the updated status was not communicated to ATA in real time during a critical decision window. </t>
  </si>
  <si>
    <t>P001-150-26</t>
  </si>
  <si>
    <t>PBF Blue Wing/Kirby 28081 - Discrepancies in reporting results, wrong submitted sample for ICP</t>
  </si>
  <si>
    <t>C034-199-26</t>
  </si>
  <si>
    <t>Crude oil tank not sampled on open gauging</t>
  </si>
  <si>
    <t>C035-199-26</t>
  </si>
  <si>
    <t>C036-130-26</t>
  </si>
  <si>
    <t>C037-131-26</t>
  </si>
  <si>
    <t>PTO #</t>
  </si>
  <si>
    <r>
      <t xml:space="preserve">BRIEF DESCRIPTION OF NC
</t>
    </r>
    <r>
      <rPr>
        <i/>
        <sz val="11"/>
        <color theme="1"/>
        <rFont val="Calibri"/>
        <family val="2"/>
        <scheme val="minor"/>
      </rPr>
      <t>if VOID:  "VOID, Location,  
details (initials, date)"</t>
    </r>
  </si>
  <si>
    <t>PT Program</t>
  </si>
  <si>
    <t>Parameter (s)</t>
  </si>
  <si>
    <t>Z-score (s)</t>
  </si>
  <si>
    <t>PTO initialized date</t>
  </si>
  <si>
    <t>Effectiveness Review &amp; date deemed effective</t>
  </si>
  <si>
    <t>0004</t>
  </si>
  <si>
    <t>PT: RFG2511; D86 - Distillation, Auto, % Evap</t>
  </si>
  <si>
    <t>-2.05</t>
  </si>
  <si>
    <t>JN</t>
  </si>
  <si>
    <t>Meets 4.3.1.1.1 Criteria.</t>
  </si>
  <si>
    <t xml:space="preserve">Meets both the precision performance and reproducibility criteria. </t>
  </si>
  <si>
    <t>0003</t>
  </si>
  <si>
    <t>PT: RFG2511; D5191 - Vapor Pressure, RVP, IL (EPA), Z-Score = -2.13</t>
  </si>
  <si>
    <t>-2.13</t>
  </si>
  <si>
    <t>Meets 4.3.1.2 Criteria.</t>
  </si>
  <si>
    <t>Confirmed Transcription Error.</t>
  </si>
  <si>
    <t>0021</t>
  </si>
  <si>
    <t>PT: RFG2511; D4052 - Density, Digital, 15 °C, &amp; Manual Injection, Z-Scores = 2.96 &amp; 3.53</t>
  </si>
  <si>
    <t>2.96 &amp; 3.53</t>
  </si>
  <si>
    <t>Confirmed Transcription Errors.</t>
  </si>
  <si>
    <t>Confirmed Calculation Error.</t>
  </si>
  <si>
    <t>0022</t>
  </si>
  <si>
    <t>PT: RFG2511; D5599 - Oxygenates, Total Oxygen &amp; tert-Pentanol, by GC, Z-Scores =-43.25 &amp; 0.00(Rejected)</t>
  </si>
  <si>
    <t>-43.25</t>
  </si>
  <si>
    <t>0023</t>
  </si>
  <si>
    <t>PT: RFG2511; D86 - Distillation, Auto, FBP, °F (EPA), Z-Score = -2.29</t>
  </si>
  <si>
    <t>-2.29</t>
  </si>
  <si>
    <t>0013</t>
  </si>
  <si>
    <t>PT: RFG2511; D5191 - Vapor Pressure, DVPE, 1L, Z-Score = 2.31</t>
  </si>
  <si>
    <t>PBMS Parameter - 14 Day Closure</t>
  </si>
  <si>
    <t>0017</t>
  </si>
  <si>
    <t>PT: RFG2511; D5599 - Oxygenates, Total Oxygen, by GC OFID, Z-Score = 2.01</t>
  </si>
  <si>
    <t>PBMS Outlier</t>
  </si>
  <si>
    <t>0018</t>
  </si>
  <si>
    <t>PT: RFG2511; D5769 - Aromatic Type, Toluene, by GC/MS, Z-Score = 2.25</t>
  </si>
  <si>
    <t>0019</t>
  </si>
  <si>
    <t>PT: RFG2511; D5191 - Vapor Pressure, DVPE, 1L, Z-Score = -2.61</t>
  </si>
  <si>
    <t>-2.61</t>
  </si>
  <si>
    <t>0006</t>
  </si>
  <si>
    <t>PT: RFG2511; D4815 - Oxygenates, Total Oxygen &amp; Ethanol, by GC, Z-Scores = -3.23 &amp; -2.57</t>
  </si>
  <si>
    <t>-3.23 &amp; -2.57</t>
  </si>
  <si>
    <t>0024</t>
  </si>
  <si>
    <t>PT: RFG2511; D86 - Distillation, Auto, 30 &amp; 70%, °F (EPA), Z-Scores = -2.13, -2.08, -8.67, &amp; -9.30</t>
  </si>
  <si>
    <t>-2.13, -2.08, -8.67, &amp; -9.30</t>
  </si>
  <si>
    <t>Eco</t>
  </si>
  <si>
    <t>0011</t>
  </si>
  <si>
    <t>PT: RFG2511; D86 - Distillation, Auto, 70%, °F (EPA), Z-Score = 32.78</t>
  </si>
  <si>
    <t>0015</t>
  </si>
  <si>
    <t>PT: RFG2511; D2622 - Sulfur, by WDXRF (EPA), Z-Score = 2.21</t>
  </si>
  <si>
    <t>0001</t>
  </si>
  <si>
    <t>PT: RFG2511; D86 - Distillation, Auto, 5%, °F (EPA), Z-Score = 2.15</t>
  </si>
  <si>
    <t>0002</t>
  </si>
  <si>
    <t>PT: RFG2511; D4052 - API Gravity &amp; Density, Digital, 15 °C, Z-Scores = -3.20 &amp; 2.49</t>
  </si>
  <si>
    <t>-3.20 &amp; 2.49</t>
  </si>
  <si>
    <t>0005</t>
  </si>
  <si>
    <t>PT: RFG2511; D5580 - Aromatic Type, Total Aromatics, by GC, Z-Score = -2.88</t>
  </si>
  <si>
    <t>-2.88</t>
  </si>
  <si>
    <t>0007</t>
  </si>
  <si>
    <t>PT: RFG2511; D5769 - Aromatic Type, Total Aromatics, by GC/MS, Z-Score = -2.05</t>
  </si>
  <si>
    <t>0008</t>
  </si>
  <si>
    <t>PT: RFG2511; D1319 - HC Type, Olefins &amp; Saturates, Corrected &amp; Oxy-Free, &amp; (EPA), Z-Scores = Multiple Outliers</t>
  </si>
  <si>
    <t>Multiple Outliers</t>
  </si>
  <si>
    <t>0009</t>
  </si>
  <si>
    <t>PT: RFG2511; D5191 - Vapor Pressure, DVPE &amp; TVP, 1L, &amp; (EPA), Z-Scores = 3.24, 3.44, &amp; 3.17</t>
  </si>
  <si>
    <t>3.24, 3.44, &amp; 3.17</t>
  </si>
  <si>
    <t>0010</t>
  </si>
  <si>
    <t>PT: RFG2511; D5769 - Aromatic Type, Total Aromatics, by GC/MS (EPA), Z-Score = -4.21</t>
  </si>
  <si>
    <t>-4.21</t>
  </si>
  <si>
    <t>0012</t>
  </si>
  <si>
    <t>PT: RFG2511; D5453 - Sulfur, by UVF, Z-Score = 2.22</t>
  </si>
  <si>
    <t>0014</t>
  </si>
  <si>
    <t>PT: RFG2511; D1319 - HC Type, Aromatics, Oxy-Free, &amp; (EPA), Z-Scores = 2.92 &amp; 2.90</t>
  </si>
  <si>
    <t>2.92 &amp; 2.90</t>
  </si>
  <si>
    <t>0016</t>
  </si>
  <si>
    <t>PT: RFG2511; D86 - Distillation, Auto, 5% &amp; 40%, °F (EPA), Z-Scores = -2.74, -2.10, &amp; -2.02</t>
  </si>
  <si>
    <t>-2.74, -2.10, &amp; -2.02</t>
  </si>
  <si>
    <t>0020</t>
  </si>
  <si>
    <t>PT: RFG2511; D86 - Distillation, Auto, E300°F, % (EPA), Z-Score = 2.01</t>
  </si>
  <si>
    <t>0025</t>
  </si>
  <si>
    <t>PT: RFG2511; D86 - Distillation, Auto, 90%, Z-Score = -12.29</t>
  </si>
  <si>
    <t>-12.29</t>
  </si>
  <si>
    <t>0026</t>
  </si>
  <si>
    <t>PT: R-1363; D2699 &amp; D2700 - Octane Number, Z-Scores = Results Rejected</t>
  </si>
  <si>
    <t>NEG-R</t>
  </si>
  <si>
    <t>Rejected</t>
  </si>
  <si>
    <t>0027</t>
  </si>
  <si>
    <t>PT: R-1364; D2699 &amp; D2700 - Octane Number &amp; Duplicate, Z-Scores = Results Rejected</t>
  </si>
  <si>
    <t>0028</t>
  </si>
  <si>
    <t>PT: R-1365; D2699 &amp; D2700 - Octane Number &amp; Duplicate, Z-Scores = Results Rejected</t>
  </si>
  <si>
    <t>0029</t>
  </si>
  <si>
    <t>PT: NP2510; D5443 - HC Type, C8 Paraffins, by MD-GC, Z-Score = -2.25</t>
  </si>
  <si>
    <t>-2.25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</si>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</sst>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;@"/>
    <numFmt numFmtId="165" formatCode="mm/dd/yy;@"/>
    <numFmt numFmtId="166" formatCode="m/d/yy;@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0.5"/>
      <color theme="1"/>
      <name val="Segoe UI"/>
      <family val="2"/>
      <charset val="1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444444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333333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ptos Narrow"/>
      <family val="2"/>
    </font>
    <font>
      <sz val="11"/>
      <color rgb="FFFFFF00"/>
      <name val="Calibri"/>
      <family val="2"/>
      <scheme val="minor"/>
    </font>
    <font>
      <sz val="10"/>
      <color rgb="FF181C32"/>
      <name val="Poppins"/>
    </font>
    <font>
      <sz val="11"/>
      <color theme="1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gray125">
        <bgColor theme="5" tint="0.59999389629810485"/>
      </patternFill>
    </fill>
    <fill>
      <patternFill patternType="gray125">
        <bgColor theme="6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quotePrefix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top" wrapText="1"/>
      <protection locked="0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3" xfId="0" quotePrefix="1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165" fontId="0" fillId="0" borderId="1" xfId="0" quotePrefix="1" applyNumberForma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6" xfId="0" applyFill="1" applyBorder="1" applyAlignment="1">
      <alignment vertic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2" fillId="2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locked="0"/>
    </xf>
    <xf numFmtId="165" fontId="0" fillId="0" borderId="1" xfId="0" applyNumberFormat="1" applyBorder="1" applyAlignment="1">
      <alignment horizontal="center" vertical="center" wrapText="1"/>
    </xf>
    <xf numFmtId="0" fontId="2" fillId="4" borderId="4" xfId="0" applyFont="1" applyFill="1" applyBorder="1"/>
    <xf numFmtId="0" fontId="10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0" fillId="3" borderId="8" xfId="0" applyFill="1" applyBorder="1"/>
    <xf numFmtId="0" fontId="3" fillId="3" borderId="8" xfId="0" applyFont="1" applyFill="1" applyBorder="1"/>
    <xf numFmtId="0" fontId="0" fillId="5" borderId="4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5" fillId="6" borderId="4" xfId="0" applyFont="1" applyFill="1" applyBorder="1" applyAlignment="1" applyProtection="1">
      <alignment horizontal="left" vertical="center" wrapText="1"/>
      <protection locked="0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7" xfId="0" applyFont="1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 applyProtection="1">
      <alignment horizontal="left" vertical="center" wrapText="1"/>
      <protection locked="0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9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2" fillId="8" borderId="1" xfId="0" applyFont="1" applyFill="1" applyBorder="1"/>
    <xf numFmtId="166" fontId="0" fillId="0" borderId="1" xfId="0" applyNumberFormat="1" applyBorder="1" applyAlignment="1" applyProtection="1">
      <alignment horizontal="center" vertical="center" wrapText="1"/>
      <protection locked="0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left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>
      <alignment horizontal="center" vertical="center" wrapText="1"/>
    </xf>
    <xf numFmtId="164" fontId="0" fillId="0" borderId="11" xfId="0" applyNumberFormat="1" applyBorder="1" applyAlignment="1" applyProtection="1">
      <alignment horizontal="center" vertical="center" wrapText="1"/>
      <protection locked="0"/>
    </xf>
    <xf numFmtId="166" fontId="0" fillId="0" borderId="11" xfId="0" applyNumberFormat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quotePrefix="1" applyBorder="1" applyAlignment="1" applyProtection="1">
      <alignment horizontal="left" vertical="center" wrapText="1"/>
      <protection locked="0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 applyProtection="1">
      <alignment horizontal="center" vertical="center" wrapText="1"/>
      <protection locked="0"/>
    </xf>
    <xf numFmtId="14" fontId="0" fillId="11" borderId="1" xfId="0" quotePrefix="1" applyNumberFormat="1" applyFill="1" applyBorder="1" applyAlignment="1">
      <alignment horizontal="center" vertical="center" wrapText="1"/>
    </xf>
    <xf numFmtId="0" fontId="0" fillId="11" borderId="1" xfId="0" quotePrefix="1" applyFill="1" applyBorder="1" applyAlignment="1">
      <alignment horizontal="center" vertical="center" wrapText="1"/>
    </xf>
    <xf numFmtId="16" fontId="0" fillId="11" borderId="1" xfId="0" applyNumberForma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5" fontId="0" fillId="0" borderId="1" xfId="0" quotePrefix="1" applyNumberFormat="1" applyBorder="1" applyAlignment="1">
      <alignment horizontal="left" vertical="top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19" fillId="7" borderId="4" xfId="0" applyFont="1" applyFill="1" applyBorder="1" applyAlignment="1" applyProtection="1">
      <alignment horizontal="center" vertical="center" wrapText="1"/>
      <protection locked="0"/>
    </xf>
    <xf numFmtId="0" fontId="0" fillId="12" borderId="4" xfId="0" applyFill="1" applyBorder="1" applyAlignment="1" applyProtection="1">
      <alignment horizontal="left" vertical="center" wrapText="1"/>
      <protection locked="0"/>
    </xf>
    <xf numFmtId="0" fontId="0" fillId="12" borderId="4" xfId="0" applyFill="1" applyBorder="1" applyAlignment="1">
      <alignment horizontal="center" vertical="center" wrapText="1"/>
    </xf>
    <xf numFmtId="0" fontId="0" fillId="12" borderId="4" xfId="0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left" vertical="center" wrapText="1"/>
    </xf>
    <xf numFmtId="0" fontId="2" fillId="10" borderId="1" xfId="0" applyFont="1" applyFill="1" applyBorder="1" applyAlignment="1">
      <alignment vertical="center"/>
    </xf>
    <xf numFmtId="165" fontId="0" fillId="0" borderId="11" xfId="0" applyNumberForma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7" fillId="13" borderId="5" xfId="0" applyFont="1" applyFill="1" applyBorder="1" applyAlignment="1">
      <alignment vertical="center"/>
    </xf>
    <xf numFmtId="0" fontId="2" fillId="14" borderId="5" xfId="0" applyFont="1" applyFill="1" applyBorder="1" applyAlignment="1">
      <alignment vertical="center"/>
    </xf>
    <xf numFmtId="0" fontId="5" fillId="13" borderId="3" xfId="0" applyFont="1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/>
    <xf numFmtId="0" fontId="0" fillId="14" borderId="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/>
    <xf numFmtId="0" fontId="0" fillId="0" borderId="0" xfId="0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1" xfId="0" applyFill="1" applyBorder="1"/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" xfId="0" quotePrefix="1" applyBorder="1" applyAlignment="1" applyProtection="1">
      <alignment vertical="center" wrapText="1"/>
      <protection locked="0"/>
    </xf>
    <xf numFmtId="0" fontId="1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1" xfId="0" quotePrefix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center" wrapText="1"/>
      <protection locked="0"/>
    </xf>
    <xf numFmtId="165" fontId="0" fillId="0" borderId="1" xfId="0" applyNumberForma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166" fontId="0" fillId="0" borderId="1" xfId="0" quotePrefix="1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10" xfId="0" applyNumberFormat="1" applyBorder="1" applyAlignment="1" applyProtection="1">
      <alignment horizontal="center" vertical="center" wrapText="1"/>
      <protection locked="0"/>
    </xf>
    <xf numFmtId="16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 applyProtection="1">
      <alignment horizontal="center" vertical="top" wrapText="1"/>
      <protection locked="0"/>
    </xf>
    <xf numFmtId="0" fontId="15" fillId="0" borderId="1" xfId="0" applyFont="1" applyBorder="1" applyAlignment="1">
      <alignment horizontal="left" vertical="center" wrapText="1"/>
    </xf>
    <xf numFmtId="166" fontId="0" fillId="0" borderId="1" xfId="0" applyNumberFormat="1" applyBorder="1" applyAlignment="1" applyProtection="1">
      <alignment horizontal="center" vertical="top" wrapText="1"/>
      <protection locked="0"/>
    </xf>
    <xf numFmtId="2" fontId="0" fillId="0" borderId="3" xfId="0" quotePrefix="1" applyNumberFormat="1" applyBorder="1" applyAlignment="1">
      <alignment horizontal="center" vertical="center" wrapText="1"/>
    </xf>
    <xf numFmtId="0" fontId="0" fillId="0" borderId="3" xfId="0" quotePrefix="1" applyBorder="1" applyAlignment="1" applyProtection="1">
      <alignment horizontal="center" vertical="center" wrapText="1"/>
      <protection locked="0"/>
    </xf>
    <xf numFmtId="0" fontId="0" fillId="0" borderId="3" xfId="0" quotePrefix="1" applyBorder="1" applyAlignment="1" applyProtection="1">
      <alignment horizontal="left" vertical="center" wrapText="1"/>
      <protection locked="0"/>
    </xf>
    <xf numFmtId="166" fontId="0" fillId="0" borderId="3" xfId="0" applyNumberFormat="1" applyBorder="1" applyAlignment="1" applyProtection="1">
      <alignment horizontal="center" vertical="center" wrapText="1"/>
      <protection locked="0"/>
    </xf>
    <xf numFmtId="0" fontId="13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164" fontId="0" fillId="0" borderId="17" xfId="0" applyNumberFormat="1" applyBorder="1" applyAlignment="1" applyProtection="1">
      <alignment horizontal="center" vertical="center" wrapText="1"/>
      <protection locked="0"/>
    </xf>
    <xf numFmtId="166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" xfId="0" quotePrefix="1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2" fontId="0" fillId="0" borderId="1" xfId="0" quotePrefix="1" applyNumberFormat="1" applyBorder="1" applyAlignment="1">
      <alignment horizontal="center" vertical="center" wrapText="1"/>
    </xf>
    <xf numFmtId="166" fontId="0" fillId="0" borderId="2" xfId="0" applyNumberForma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1" xfId="0" quotePrefix="1" applyBorder="1" applyAlignment="1" applyProtection="1">
      <alignment horizontal="center" vertical="center" wrapText="1"/>
      <protection locked="0"/>
    </xf>
    <xf numFmtId="14" fontId="0" fillId="0" borderId="10" xfId="0" quotePrefix="1" applyNumberFormat="1" applyBorder="1" applyAlignment="1">
      <alignment horizontal="center" vertical="center" wrapText="1"/>
    </xf>
    <xf numFmtId="164" fontId="0" fillId="0" borderId="10" xfId="0" applyNumberFormat="1" applyBorder="1" applyAlignment="1" applyProtection="1">
      <alignment horizontal="center" vertical="top" wrapText="1"/>
      <protection locked="0"/>
    </xf>
    <xf numFmtId="164" fontId="0" fillId="0" borderId="19" xfId="0" applyNumberFormat="1" applyBorder="1" applyAlignment="1" applyProtection="1">
      <alignment horizontal="center" vertical="center" wrapText="1"/>
      <protection locked="0"/>
    </xf>
    <xf numFmtId="0" fontId="13" fillId="0" borderId="1" xfId="0" quotePrefix="1" applyFont="1" applyBorder="1" applyAlignment="1" applyProtection="1">
      <alignment horizontal="center" vertical="center" wrapText="1"/>
      <protection locked="0"/>
    </xf>
    <xf numFmtId="16" fontId="0" fillId="0" borderId="1" xfId="0" applyNumberForma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166" fontId="2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 wrapText="1"/>
    </xf>
    <xf numFmtId="0" fontId="0" fillId="0" borderId="10" xfId="0" quotePrefix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7" fillId="0" borderId="3" xfId="0" quotePrefix="1" applyFont="1" applyBorder="1" applyAlignment="1">
      <alignment horizontal="center" vertical="center" wrapText="1"/>
    </xf>
    <xf numFmtId="49" fontId="0" fillId="0" borderId="1" xfId="0" quotePrefix="1" applyNumberFormat="1" applyBorder="1" applyAlignment="1" applyProtection="1">
      <alignment horizontal="center" vertical="center" wrapText="1"/>
      <protection locked="0"/>
    </xf>
    <xf numFmtId="0" fontId="5" fillId="0" borderId="1" xfId="0" quotePrefix="1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164" fontId="0" fillId="0" borderId="4" xfId="0" applyNumberFormat="1" applyBorder="1" applyAlignment="1" applyProtection="1">
      <alignment horizontal="center" vertical="center" wrapText="1"/>
      <protection locked="0"/>
    </xf>
    <xf numFmtId="164" fontId="0" fillId="0" borderId="21" xfId="0" applyNumberFormat="1" applyBorder="1" applyAlignment="1" applyProtection="1">
      <alignment horizontal="center" vertical="center" wrapText="1"/>
      <protection locked="0"/>
    </xf>
    <xf numFmtId="0" fontId="5" fillId="15" borderId="0" xfId="0" applyFont="1" applyFill="1" applyAlignment="1">
      <alignment vertical="center" wrapText="1"/>
    </xf>
    <xf numFmtId="0" fontId="5" fillId="15" borderId="0" xfId="0" applyFont="1" applyFill="1" applyAlignment="1">
      <alignment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166" fontId="0" fillId="0" borderId="10" xfId="0" quotePrefix="1" applyNumberFormat="1" applyBorder="1" applyAlignment="1">
      <alignment horizontal="center" vertical="center" wrapText="1"/>
    </xf>
    <xf numFmtId="14" fontId="0" fillId="0" borderId="2" xfId="0" applyNumberForma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16" fontId="0" fillId="0" borderId="2" xfId="0" applyNumberFormat="1" applyBorder="1" applyAlignment="1" applyProtection="1">
      <alignment horizontal="center" vertical="center" wrapText="1"/>
      <protection locked="0"/>
    </xf>
    <xf numFmtId="14" fontId="0" fillId="0" borderId="2" xfId="0" applyNumberFormat="1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vertical="center" wrapText="1"/>
    </xf>
    <xf numFmtId="0" fontId="26" fillId="0" borderId="2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vertical="center" wrapText="1"/>
    </xf>
    <xf numFmtId="0" fontId="0" fillId="3" borderId="0" xfId="0" applyFill="1"/>
    <xf numFmtId="166" fontId="0" fillId="0" borderId="2" xfId="0" applyNumberFormat="1" applyBorder="1" applyAlignment="1">
      <alignment horizontal="center" vertical="center" wrapText="1"/>
    </xf>
    <xf numFmtId="166" fontId="0" fillId="0" borderId="2" xfId="0" quotePrefix="1" applyNumberFormat="1" applyBorder="1" applyAlignment="1">
      <alignment horizontal="center" vertical="center" wrapText="1"/>
    </xf>
    <xf numFmtId="166" fontId="0" fillId="0" borderId="22" xfId="0" applyNumberFormat="1" applyBorder="1" applyAlignment="1" applyProtection="1">
      <alignment horizontal="center" vertical="center" wrapText="1"/>
      <protection locked="0"/>
    </xf>
    <xf numFmtId="14" fontId="0" fillId="0" borderId="2" xfId="0" applyNumberFormat="1" applyBorder="1" applyAlignment="1">
      <alignment horizontal="center" vertical="center" wrapText="1"/>
    </xf>
    <xf numFmtId="166" fontId="0" fillId="0" borderId="2" xfId="0" applyNumberFormat="1" applyBorder="1" applyAlignment="1" applyProtection="1">
      <alignment horizontal="center" vertical="top" wrapText="1"/>
      <protection locked="0"/>
    </xf>
    <xf numFmtId="166" fontId="0" fillId="0" borderId="9" xfId="0" applyNumberFormat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Alignment="1">
      <alignment horizontal="center" vertical="center" wrapText="1"/>
    </xf>
    <xf numFmtId="166" fontId="13" fillId="0" borderId="1" xfId="0" applyNumberFormat="1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horizontal="center" vertical="center" wrapText="1"/>
      <protection locked="0"/>
    </xf>
    <xf numFmtId="164" fontId="5" fillId="0" borderId="10" xfId="0" applyNumberFormat="1" applyFont="1" applyBorder="1" applyAlignment="1" applyProtection="1">
      <alignment horizontal="center" vertical="center" wrapText="1"/>
      <protection locked="0"/>
    </xf>
    <xf numFmtId="166" fontId="5" fillId="0" borderId="1" xfId="0" applyNumberFormat="1" applyFont="1" applyBorder="1" applyAlignment="1" applyProtection="1">
      <alignment horizontal="center" vertical="center" wrapText="1"/>
      <protection locked="0"/>
    </xf>
    <xf numFmtId="166" fontId="5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left" vertical="top" wrapText="1"/>
      <protection locked="0"/>
    </xf>
    <xf numFmtId="166" fontId="0" fillId="0" borderId="0" xfId="0" applyNumberFormat="1" applyAlignment="1" applyProtection="1">
      <alignment horizontal="center" vertical="center" wrapText="1"/>
      <protection locked="0"/>
    </xf>
    <xf numFmtId="166" fontId="26" fillId="0" borderId="2" xfId="0" applyNumberFormat="1" applyFont="1" applyBorder="1" applyAlignment="1">
      <alignment horizontal="center" vertical="center" wrapText="1"/>
    </xf>
    <xf numFmtId="166" fontId="0" fillId="0" borderId="22" xfId="0" quotePrefix="1" applyNumberFormat="1" applyBorder="1" applyAlignment="1">
      <alignment horizontal="center" vertical="center" wrapText="1"/>
    </xf>
    <xf numFmtId="164" fontId="0" fillId="0" borderId="22" xfId="0" applyNumberForma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0" fillId="0" borderId="1" xfId="0" quotePrefix="1" applyBorder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9" fillId="0" borderId="0" xfId="0" applyFont="1" applyAlignment="1" applyProtection="1">
      <alignment horizontal="center" vertical="center" wrapText="1"/>
      <protection locked="0"/>
    </xf>
    <xf numFmtId="0" fontId="6" fillId="0" borderId="6" xfId="0" quotePrefix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34" fillId="0" borderId="3" xfId="0" quotePrefix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1" xfId="0" quotePrefix="1" applyNumberFormat="1" applyFont="1" applyBorder="1" applyAlignment="1">
      <alignment horizontal="left" vertical="center" wrapText="1"/>
    </xf>
    <xf numFmtId="165" fontId="5" fillId="0" borderId="1" xfId="0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5" fontId="5" fillId="0" borderId="1" xfId="0" quotePrefix="1" applyNumberFormat="1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center" vertical="center" wrapText="1"/>
    </xf>
    <xf numFmtId="16" fontId="5" fillId="0" borderId="4" xfId="0" applyNumberFormat="1" applyFont="1" applyBorder="1" applyAlignment="1" applyProtection="1">
      <alignment horizontal="center" vertical="center" wrapText="1"/>
      <protection locked="0"/>
    </xf>
    <xf numFmtId="14" fontId="5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3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35" fillId="0" borderId="3" xfId="0" quotePrefix="1" applyFont="1" applyBorder="1" applyAlignment="1">
      <alignment horizontal="center" vertical="center" wrapText="1"/>
    </xf>
    <xf numFmtId="0" fontId="35" fillId="0" borderId="4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center" wrapText="1"/>
    </xf>
    <xf numFmtId="0" fontId="14" fillId="0" borderId="4" xfId="0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/>
    </xf>
    <xf numFmtId="16" fontId="14" fillId="0" borderId="4" xfId="0" applyNumberFormat="1" applyFont="1" applyBorder="1" applyAlignment="1">
      <alignment horizontal="left" vertical="top" wrapText="1"/>
    </xf>
    <xf numFmtId="14" fontId="14" fillId="0" borderId="4" xfId="0" applyNumberFormat="1" applyFont="1" applyBorder="1" applyAlignment="1">
      <alignment horizontal="left" wrapText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>
      <alignment horizontal="left" vertical="top" wrapText="1"/>
    </xf>
    <xf numFmtId="165" fontId="5" fillId="0" borderId="1" xfId="0" quotePrefix="1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horizontal="left" vertical="top" wrapText="1"/>
    </xf>
    <xf numFmtId="14" fontId="14" fillId="0" borderId="4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wrapText="1"/>
    </xf>
    <xf numFmtId="16" fontId="14" fillId="0" borderId="4" xfId="0" applyNumberFormat="1" applyFont="1" applyBorder="1" applyAlignment="1">
      <alignment horizontal="left" wrapText="1"/>
    </xf>
    <xf numFmtId="165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14" fillId="0" borderId="1" xfId="0" applyFont="1" applyBorder="1" applyAlignment="1">
      <alignment wrapText="1"/>
    </xf>
    <xf numFmtId="0" fontId="31" fillId="0" borderId="0" xfId="0" applyFont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3" xfId="0" quotePrefix="1" applyNumberFormat="1" applyBorder="1" applyAlignment="1">
      <alignment horizontal="center" vertical="center" wrapText="1"/>
    </xf>
    <xf numFmtId="0" fontId="36" fillId="0" borderId="2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19" fillId="12" borderId="23" xfId="0" applyFont="1" applyFill="1" applyBorder="1" applyAlignment="1">
      <alignment horizontal="center" vertical="center" wrapText="1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0" fillId="0" borderId="6" xfId="0" quotePrefix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 wrapText="1"/>
    </xf>
    <xf numFmtId="165" fontId="0" fillId="0" borderId="2" xfId="0" quotePrefix="1" applyNumberForma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1" fillId="0" borderId="0" xfId="0" quotePrefix="1" applyFont="1" applyAlignment="1">
      <alignment horizontal="center" vertical="center"/>
    </xf>
    <xf numFmtId="0" fontId="9" fillId="0" borderId="13" xfId="0" quotePrefix="1" applyFont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18" fillId="0" borderId="0" xfId="0" quotePrefix="1" applyFont="1" applyAlignment="1">
      <alignment horizontal="center" vertical="center"/>
    </xf>
    <xf numFmtId="166" fontId="0" fillId="0" borderId="3" xfId="0" applyNumberFormat="1" applyBorder="1" applyAlignment="1">
      <alignment horizontal="center" vertical="center" wrapText="1"/>
    </xf>
    <xf numFmtId="0" fontId="36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37" fillId="0" borderId="0" xfId="0" applyFont="1"/>
    <xf numFmtId="0" fontId="14" fillId="0" borderId="0" xfId="0" applyFont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166" fontId="5" fillId="0" borderId="10" xfId="0" applyNumberFormat="1" applyFont="1" applyBorder="1" applyAlignment="1" applyProtection="1">
      <alignment horizontal="center" vertical="center" wrapText="1"/>
      <protection locked="0"/>
    </xf>
    <xf numFmtId="166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38" fillId="0" borderId="7" xfId="0" applyFont="1" applyBorder="1" applyAlignment="1" applyProtection="1">
      <alignment horizontal="center" vertical="center" wrapText="1"/>
      <protection locked="0"/>
    </xf>
    <xf numFmtId="0" fontId="0" fillId="5" borderId="7" xfId="0" applyFill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>
      <alignment horizontal="left" vertical="center" wrapText="1"/>
    </xf>
    <xf numFmtId="14" fontId="28" fillId="0" borderId="2" xfId="0" applyNumberFormat="1" applyFont="1" applyBorder="1" applyAlignment="1" applyProtection="1">
      <alignment horizontal="center" vertical="center" wrapText="1"/>
      <protection locked="0"/>
    </xf>
    <xf numFmtId="0" fontId="39" fillId="16" borderId="0" xfId="0" applyFont="1" applyFill="1" applyAlignment="1">
      <alignment wrapText="1"/>
    </xf>
    <xf numFmtId="0" fontId="40" fillId="0" borderId="0" xfId="0" applyFont="1" applyAlignment="1">
      <alignment wrapText="1"/>
    </xf>
  </cellXfs>
  <cellStyles count="1">
    <cellStyle name="Normal" xfId="0" builtinId="0"/>
  </cellStyles>
  <dxfs count="159"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numFmt numFmtId="166" formatCode="m/d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m/d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bottom style="thin">
          <color rgb="FF000000"/>
        </bottom>
      </border>
    </dxf>
    <dxf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theme="5" tint="0.39994506668294322"/>
        </patternFill>
      </fill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bottom style="thin">
          <color rgb="FF000000"/>
        </bottom>
      </border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bottom style="thin">
          <color rgb="FF000000"/>
        </bottom>
      </border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rgb="FF7030A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/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m/d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6" formatCode="m/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m/d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bottom style="thin">
          <color rgb="FF000000"/>
        </bottom>
      </border>
    </dxf>
    <dxf>
      <alignment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bgColor theme="5" tint="0.39994506668294322"/>
        </patternFill>
      </fill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m/dd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m/dd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>
        <bottom style="thin">
          <color rgb="FF000000"/>
        </bottom>
      </border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A13E832A-35C6-42EB-85FF-9B566E52B4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herine Archambault" id="{62212AF4-5370-4C9D-81BC-87C264598F40}" userId="Katherine Archambault" providerId="None"/>
  <person displayName="Katie Archambault" id="{7ECB847E-3120-48F5-87E8-F584A979202F}" userId="S::Katie.Archambault@amspecgroup.com::a1cd6b78-9219-4ab0-9f8d-0aa610438403" providerId="AD"/>
  <person displayName="Elizabeth Cusprinie" id="{EDC596F4-C659-40FA-B5BE-8A060FAD3DE6}" userId="S::Elizabeth.Cusprinie@amspecgroup.com::844cd3ac-39dc-40f9-a07e-0478c8e5862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45" displayName="Table245" ref="A1:N201" totalsRowShown="0" headerRowDxfId="158" dataDxfId="157" headerRowBorderDxfId="156">
  <autoFilter ref="A1:N201" xr:uid="{00000000-0009-0000-0100-000004000000}"/>
  <tableColumns count="14">
    <tableColumn id="1" xr3:uid="{00000000-0010-0000-0000-000001000000}" name="Location_x000a_(drop-down)" dataDxfId="154" totalsRowDxfId="155"/>
    <tableColumn id="2" xr3:uid="{00000000-0010-0000-0000-000002000000}" name="Location ID" dataDxfId="152" totalsRowDxfId="153">
      <calculatedColumnFormula>VLOOKUP(Table245[[#This Row],[Location
(drop-down)]],'List source'!D$2:E$71,2,FALSE)</calculatedColumnFormula>
    </tableColumn>
    <tableColumn id="13" xr3:uid="{00000000-0010-0000-0000-00000D000000}" name="#" dataDxfId="150" totalsRowDxfId="151"/>
    <tableColumn id="3" xr3:uid="{00000000-0010-0000-0000-000003000000}" name="Assessment #" dataDxfId="148" totalsRowDxfId="149">
      <calculatedColumnFormula>"A" &amp; C2 &amp; "-" &amp; B2 &amp; "-" &amp; "26"</calculatedColumnFormula>
    </tableColumn>
    <tableColumn id="12" xr3:uid="{00000000-0010-0000-0000-00000C000000}" name="Start Date" dataDxfId="146" totalsRowDxfId="147"/>
    <tableColumn id="14" xr3:uid="{00000000-0010-0000-0000-00000E000000}" name="End Date" dataDxfId="144" totalsRowDxfId="145"/>
    <tableColumn id="7" xr3:uid="{00000000-0010-0000-0000-000007000000}" name="Report Issued" dataDxfId="142" totalsRowDxfId="143"/>
    <tableColumn id="4" xr3:uid="{00000000-0010-0000-0000-000004000000}" name="Type of Assessment _x000a_(drop-down)" dataDxfId="140" totalsRowDxfId="141"/>
    <tableColumn id="9" xr3:uid="{604A8BF9-578E-4C69-A835-05B94AE4BEF7}" name="Scope of Assessment_x000a_(drop-down)" dataDxfId="138" totalsRowDxfId="139"/>
    <tableColumn id="10" xr3:uid="{E82262F7-B569-41BD-8545-E4E4C920BFFC}" name="QA In Charge _x000a_(Get a copy of assessment report or summary)" dataDxfId="136" totalsRowDxfId="137"/>
    <tableColumn id="5" xr3:uid="{00000000-0010-0000-0000-000005000000}" name="Assessor(s) / Auditor(s) name(s)" dataDxfId="134" totalsRowDxfId="135"/>
    <tableColumn id="11" xr3:uid="{00000000-0010-0000-0000-00000B000000}" name="Assessor's company" dataDxfId="132" totalsRowDxfId="133"/>
    <tableColumn id="6" xr3:uid="{00000000-0010-0000-0000-000006000000}" name="Agency Type _x000a_(Regulatory / certification / accreditation agency)_x000a_(drop-down)" dataDxfId="130" totalsRowDxfId="131"/>
    <tableColumn id="8" xr3:uid="{00000000-0010-0000-0000-000008000000}" name="Brief description of assessment scope" dataDxfId="128" totalsRowDxfId="1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S1000" totalsRowShown="0" headerRowDxfId="126" dataDxfId="125" headerRowBorderDxfId="124">
  <autoFilter ref="A1:S1000" xr:uid="{00000000-000C-0000-FFFF-FFFF02000000}">
    <filterColumn colId="1">
      <filters>
        <filter val="130"/>
      </filters>
    </filterColumn>
  </autoFilter>
  <sortState xmlns:xlrd2="http://schemas.microsoft.com/office/spreadsheetml/2017/richdata2" ref="A2:S1000">
    <sortCondition ref="L1:L1000"/>
  </sortState>
  <tableColumns count="19">
    <tableColumn id="1" xr3:uid="{00000000-0010-0000-0200-000001000000}" name="Location _x000a_(drop-down)" dataDxfId="122" totalsRowDxfId="123"/>
    <tableColumn id="2" xr3:uid="{00000000-0010-0000-0200-000002000000}" name="Location ID" dataDxfId="120" totalsRowDxfId="121">
      <calculatedColumnFormula>VLOOKUP(Table2[[#This Row],[Location 
(drop-down)]],'List source'!D$2:E$71,2,FALSE)</calculatedColumnFormula>
    </tableColumn>
    <tableColumn id="13" xr3:uid="{00000000-0010-0000-0200-00000D000000}" name="#" dataDxfId="118" totalsRowDxfId="119"/>
    <tableColumn id="3" xr3:uid="{00000000-0010-0000-0200-000003000000}" name="CAR #" dataDxfId="116" totalsRowDxfId="117">
      <calculatedColumnFormula>"C" &amp; C2 &amp;"-" &amp; B2 &amp; "-" &amp; "26"</calculatedColumnFormula>
    </tableColumn>
    <tableColumn id="14" xr3:uid="{00000000-0010-0000-0200-00000E000000}" name="CAR Type" dataDxfId="114" totalsRowDxfId="115"/>
    <tableColumn id="6" xr3:uid="{4E14B052-5604-4A58-9E4A-46F6E70F5F30}" name="ASSOCIATED ORGANIZATION_x000a_(required for Complaints, Customer audits/alerts, _x000a_3rd party audits)" dataDxfId="112" totalsRowDxfId="113"/>
    <tableColumn id="4" xr3:uid="{00000000-0010-0000-0200-000004000000}" name="BRIEF DESCRIPTION OF NC_x000a_if VOID:  &quot;VOID, Location, type, _x000a_details (initials, date)&quot;" dataDxfId="110" totalsRowDxfId="111"/>
    <tableColumn id="7" xr3:uid="{00000000-0010-0000-0200-000007000000}" name="Area _x000a_(Lab, Ops, Misc.)_x000a_(drop-down)" dataDxfId="108" totalsRowDxfId="109"/>
    <tableColumn id="11" xr3:uid="{00000000-0010-0000-0200-00000B000000}" name="QA team member initials" dataDxfId="106" totalsRowDxfId="107"/>
    <tableColumn id="5" xr3:uid="{00000000-0010-0000-0200-000005000000}" name="CAR initialized date" dataDxfId="104" totalsRowDxfId="105"/>
    <tableColumn id="12" xr3:uid="{11FDF0D3-1E83-41EC-B830-B33941CC7C88}" name="Action Plan submitted by due date? (Yes/No)" dataDxfId="102" totalsRowDxfId="103"/>
    <tableColumn id="15" xr3:uid="{984B1CCB-752D-4ED7-8632-803088553047}" name="Corrective Action Completion Date" dataDxfId="100" totalsRowDxfId="101"/>
    <tableColumn id="8" xr3:uid="{873720F8-BE80-4877-B10C-CFA0174C15CC}" name="Corrective Action Approved Date" dataDxfId="98" totalsRowDxfId="99"/>
    <tableColumn id="9" xr3:uid="{6A36F184-4E92-4C09-BCB2-A79D974F81AC}" name="Agreed Actions completed by due date?  (Yes/No)" dataDxfId="96" totalsRowDxfId="97"/>
    <tableColumn id="16" xr3:uid="{CBF028C3-ECC8-4856-8CCB-343EAE5779A5}" name="Effectiveness Review Date" dataDxfId="94" totalsRowDxfId="95"/>
    <tableColumn id="17" xr3:uid="{6649B553-6AD2-45DE-A003-C0124E002171}" name="Effective? (Yes/No) If no include new CAR # on notes" dataDxfId="92" totalsRowDxfId="93"/>
    <tableColumn id="18" xr3:uid="{39D5E2D8-A493-4F93-B81C-67FE1423166F}" name="Days to Close_x000a_(Cells in red are not closed)" dataDxfId="91"/>
    <tableColumn id="20" xr3:uid="{7AD0F4BE-CC8B-456B-A758-EB0A59586265}" name="Notes" dataDxfId="90"/>
    <tableColumn id="21" xr3:uid="{860B5B94-2310-4EC0-A752-935FC8429288}" name="Cause_x000a_(for Assessments only)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A1:K501" totalsRowShown="0" headerRowDxfId="88" dataDxfId="87" headerRowBorderDxfId="86">
  <autoFilter ref="A1:K501" xr:uid="{00000000-0009-0000-0100-000003000000}"/>
  <tableColumns count="11">
    <tableColumn id="1" xr3:uid="{00000000-0010-0000-0100-000001000000}" name="Location _x000a_(drop-down)" dataDxfId="84" totalsRowDxfId="85"/>
    <tableColumn id="2" xr3:uid="{00000000-0010-0000-0100-000002000000}" name="Location ID" dataDxfId="82" totalsRowDxfId="83">
      <calculatedColumnFormula>VLOOKUP(Table24[[#This Row],[Location 
(drop-down)]],'List source'!D$2:E$71,2,FALSE)</calculatedColumnFormula>
    </tableColumn>
    <tableColumn id="13" xr3:uid="{00000000-0010-0000-0100-00000D000000}" name="#" dataDxfId="80" totalsRowDxfId="81"/>
    <tableColumn id="3" xr3:uid="{00000000-0010-0000-0100-000003000000}" name="PAR #" dataDxfId="78" totalsRowDxfId="79">
      <calculatedColumnFormula>"P" &amp; C2 &amp; "-" &amp; B2 &amp; "-" &amp; "26"</calculatedColumnFormula>
    </tableColumn>
    <tableColumn id="12" xr3:uid="{00000000-0010-0000-0100-00000C000000}" name="PAR type" dataDxfId="76" totalsRowDxfId="77"/>
    <tableColumn id="4" xr3:uid="{00000000-0010-0000-0100-000004000000}" name="BRIEF DESCRIPTION OF PAR_x000a_if VOID:  Location, type, details (initials, date)" dataDxfId="74" totalsRowDxfId="75"/>
    <tableColumn id="5" xr3:uid="{00000000-0010-0000-0100-000005000000}" name="PAR initialized date" dataDxfId="72" totalsRowDxfId="73"/>
    <tableColumn id="11" xr3:uid="{00000000-0010-0000-0100-00000B000000}" name="QA team member initials" dataDxfId="70" totalsRowDxfId="71"/>
    <tableColumn id="6" xr3:uid="{00000000-0010-0000-0100-000006000000}" name="Date closed" dataDxfId="68" totalsRowDxfId="69"/>
    <tableColumn id="7" xr3:uid="{00000000-0010-0000-0100-000007000000}" name="Area (Ops, Lab, Misc.)_x000a_(drop-down)" dataDxfId="66" totalsRowDxfId="67"/>
    <tableColumn id="10" xr3:uid="{00000000-0010-0000-0100-00000A000000}" name="Notes" dataDxfId="64" totalsRowDxfId="65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D1:F71" totalsRowShown="0" headerRowDxfId="63">
  <autoFilter ref="D1:F71" xr:uid="{00000000-0009-0000-0100-000001000000}"/>
  <sortState xmlns:xlrd2="http://schemas.microsoft.com/office/spreadsheetml/2017/richdata2" ref="D2:F71">
    <sortCondition ref="D1:D71"/>
  </sortState>
  <tableColumns count="3">
    <tableColumn id="1" xr3:uid="{00000000-0010-0000-0300-000001000000}" name="Location" dataDxfId="62"/>
    <tableColumn id="2" xr3:uid="{00000000-0010-0000-0300-000002000000}" name="Location ID" dataDxfId="61"/>
    <tableColumn id="3" xr3:uid="{00000000-0010-0000-0300-000003000000}" name="Area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28A49B-DEC5-42BC-9306-25BCA6EAB025}" name="Table7" displayName="Table7" ref="B11:B16" totalsRowShown="0" dataDxfId="59">
  <autoFilter ref="B11:B16" xr:uid="{4028A49B-DEC5-42BC-9306-25BCA6EAB025}"/>
  <tableColumns count="1">
    <tableColumn id="1" xr3:uid="{D98F2C13-3E67-4B44-97C5-2CC1DAD607ED}" name="Cause of NC" dataDxfId="5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B80C78-B72C-413B-8B02-C6654100BD27}" name="Table2456" displayName="Table2456" ref="A1:L151" totalsRowShown="0" headerRowDxfId="57" dataDxfId="56" headerRowBorderDxfId="55">
  <autoFilter ref="A1:L151" xr:uid="{00000000-0009-0000-0100-000004000000}"/>
  <tableColumns count="12">
    <tableColumn id="1" xr3:uid="{7D0839FD-B760-4B4F-8257-27F5146B55DE}" name="Location _x000a_(drop-down)" dataDxfId="53" totalsRowDxfId="54"/>
    <tableColumn id="2" xr3:uid="{DA21D0BD-4956-46A3-8CC7-8D7595B4397B}" name="Location ID" dataDxfId="51" totalsRowDxfId="52">
      <calculatedColumnFormula>VLOOKUP(Table2456[[#This Row],[Location 
(drop-down)]],'List source'!D$2:E$71,2,FALSE)</calculatedColumnFormula>
    </tableColumn>
    <tableColumn id="13" xr3:uid="{8B7A3DD2-4696-411F-A1AB-6D0D498119A7}" name="#" dataDxfId="49" totalsRowDxfId="50"/>
    <tableColumn id="3" xr3:uid="{4AF9EAAC-283B-4418-A552-9A635DA8CE30}" name="CAF#" dataDxfId="47" totalsRowDxfId="48">
      <calculatedColumnFormula>"CAF" &amp; C2 &amp; "-" &amp; B2 &amp; "-" &amp; "26"</calculatedColumnFormula>
    </tableColumn>
    <tableColumn id="6" xr3:uid="{7C314D3F-F224-4BEB-B245-1D0E05A4152E}" name="Area" dataDxfId="45" totalsRowDxfId="46">
      <calculatedColumnFormula>VLOOKUP(Table2456[[#This Row],[Location 
(drop-down)]],Table1[#All],3,FALSE)</calculatedColumnFormula>
    </tableColumn>
    <tableColumn id="12" xr3:uid="{7B77B849-300A-440A-B573-2553B1041D12}" name="Date initiated" dataDxfId="43" totalsRowDxfId="44"/>
    <tableColumn id="14" xr3:uid="{CAF18FA4-83EF-4FE0-A66B-DAE97F25AD0C}" name="Date shared w/ customer" dataDxfId="41" totalsRowDxfId="42"/>
    <tableColumn id="9" xr3:uid="{0EAF4C93-90E7-4C8A-90F4-99A03A250100}" name="Corrective Action completed, CAR approved." dataDxfId="39" totalsRowDxfId="40"/>
    <tableColumn id="7" xr3:uid="{B2376F35-D2CA-45C6-83DA-70FD142698ED}" name="Brief description of complaint" dataDxfId="37" totalsRowDxfId="38"/>
    <tableColumn id="4" xr3:uid="{CB1EB506-1206-443F-9C5F-C30AF932CF6E}" name="Area (Lab, Ops, Lab &amp; Ops, Admin, Other, Void)_x000a_(drop-down)" dataDxfId="35" totalsRowDxfId="36"/>
    <tableColumn id="5" xr3:uid="{612434E1-C574-4D14-932C-B5DF6F41EC22}" name="CAR / PAR # (if applicable)" dataDxfId="33" totalsRowDxfId="34"/>
    <tableColumn id="8" xr3:uid="{9E931E6F-073E-4059-9614-A6B19BF2F96E}" name="Notes" dataDxfId="31" totalsRowDxfId="32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F77345-4591-4EA5-94E5-C4BC8F6395A0}" name="Table27" displayName="Table27" ref="A1:M1503" totalsRowCount="1" headerRowDxfId="29" dataDxfId="28" totalsRowDxfId="27" headerRowBorderDxfId="26">
  <autoFilter ref="A1:M1502" xr:uid="{00F77345-4591-4EA5-94E5-C4BC8F6395A0}"/>
  <sortState xmlns:xlrd2="http://schemas.microsoft.com/office/spreadsheetml/2017/richdata2" ref="A2:M1502">
    <sortCondition ref="K1:K1502"/>
  </sortState>
  <tableColumns count="13">
    <tableColumn id="1" xr3:uid="{33EB8FC5-FB79-4F5D-902C-FF4BC9AEA51A}" name="Location _x000a_(drop-down)" dataDxfId="24" totalsRowDxfId="25"/>
    <tableColumn id="2" xr3:uid="{731AD1E5-4BCB-45D9-B8FF-2CEAFC5FE443}" name="Location ID" dataDxfId="22" totalsRowDxfId="23">
      <calculatedColumnFormula>VLOOKUP(Table27[[#This Row],[Location 
(drop-down)]],'List source'!D$2:E$71,2,FALSE)</calculatedColumnFormula>
    </tableColumn>
    <tableColumn id="13" xr3:uid="{AC96B985-434A-4F54-8675-F9D7B6132910}" name="#" totalsRowFunction="custom" dataDxfId="20" totalsRowDxfId="21">
      <totalsRowFormula>SUBTOTAL(109,$C$706:C718)</totalsRowFormula>
    </tableColumn>
    <tableColumn id="3" xr3:uid="{D47C6F92-B390-4D00-8464-A90FBC6AE1B7}" name="PTO #" dataDxfId="18" totalsRowDxfId="19">
      <calculatedColumnFormula>"PTO" &amp; C2 &amp; "-" &amp; B2 &amp; "-" &amp; "26"</calculatedColumnFormula>
    </tableColumn>
    <tableColumn id="4" xr3:uid="{A701775B-9A3D-4930-83E6-CB39BC200D15}" name="BRIEF DESCRIPTION OF NC_x000a_if VOID:  &quot;VOID, Location,  _x000a_details (initials, date)&quot;" dataDxfId="16" totalsRowDxfId="17"/>
    <tableColumn id="6" xr3:uid="{E2761463-2F2F-434F-AD2C-A14F4DEE3486}" name="PT Program" dataDxfId="14" totalsRowDxfId="15">
      <calculatedColumnFormula array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calculatedColumnFormula>
    </tableColumn>
    <tableColumn id="14" xr3:uid="{80A735D8-06A0-4BBD-A68A-4A991A0D8D94}" name="Parameter (s)" dataDxfId="12" totalsRowDxfId="13">
      <calculatedColumnFormula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calculatedColumnFormula>
    </tableColumn>
    <tableColumn id="7" xr3:uid="{47EE1613-2BBB-4AF5-AA33-B8720498BB7C}" name="Z-score (s)" dataDxfId="10" totalsRowDxfId="11"/>
    <tableColumn id="5" xr3:uid="{71E4DA16-D984-4AF9-8659-05256F1035DE}" name="PTO initialized date" dataDxfId="8" totalsRowDxfId="9"/>
    <tableColumn id="11" xr3:uid="{B2006C29-EE63-4A88-9CC7-6D660AFC118E}" name="QA team member initials" dataDxfId="6" totalsRowDxfId="7"/>
    <tableColumn id="16" xr3:uid="{1D3F6CFE-1B93-4981-9C1A-1A780349342D}" name="Effectiveness Review &amp; date deemed effective" dataDxfId="4" totalsRowDxfId="5"/>
    <tableColumn id="10" xr3:uid="{D4C773A8-53F1-4208-B556-AF0D90868305}" name="Notes" dataDxfId="2" totalsRowDxfId="3"/>
    <tableColumn id="8" xr3:uid="{E125A98E-BBC0-4D05-8212-A26258CE8FE1}" name="Days to Close_x000a_(Cells in red are not closed)" dataDxfId="0" totalsRowDxfId="1">
      <calculatedColumnFormula>IF(ISBLANK(K2), TODAY()-(I2), Table27[[#This Row],[Effectiveness Review &amp; date deemed effective]]-Table27[[#This Row],[PTO initialized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2-27T16:10:54.22" personId="{7ECB847E-3120-48F5-87E8-F584A979202F}" id="{ADBDAC12-CB2A-449C-A444-D29A92522636}">
    <text>Removed for 2024 log</text>
  </threadedComment>
  <threadedComment ref="B1" dT="2023-12-27T16:11:12.68" personId="{7ECB847E-3120-48F5-87E8-F584A979202F}" id="{8F0E87D0-9A11-49A7-8A22-454A4BB38C1A}">
    <text>Removed for 2024 log</text>
  </threadedComment>
  <threadedComment ref="E6" dT="2021-07-09T18:36:41.09" personId="{62212AF4-5370-4C9D-81BC-87C264598F40}" id="{B59257E5-D171-436C-9AEB-ACB11C0FAFEF}">
    <text>'old - 120A until 12/18/20</text>
  </threadedComment>
  <threadedComment ref="B11" dT="2025-06-17T23:37:07.47" personId="{EDC596F4-C659-40FA-B5BE-8A060FAD3DE6}" id="{4CBC259F-CA8F-430E-9EF0-B2CC484286BF}">
    <text xml:space="preserve">Added 06.2025
</text>
  </threadedComment>
  <threadedComment ref="E37" dT="2021-07-09T18:37:13.72" personId="{62212AF4-5370-4C9D-81BC-87C264598F40}" id="{EB439913-3F92-4138-B015-48BEFA0624DF}">
    <text>'formerly 197L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O201"/>
  <sheetViews>
    <sheetView showGridLines="0" zoomScale="90" zoomScaleNormal="90" workbookViewId="0">
      <pane ySplit="1" topLeftCell="A6" activePane="bottomLeft" state="frozen"/>
      <selection pane="bottomLeft" activeCell="D11" sqref="D11"/>
      <selection activeCell="D1" sqref="D1"/>
    </sheetView>
  </sheetViews>
  <sheetFormatPr defaultRowHeight="14.45"/>
  <cols>
    <col min="1" max="1" width="32.140625" style="5" customWidth="1"/>
    <col min="2" max="2" width="9.5703125" customWidth="1"/>
    <col min="3" max="3" width="7.28515625" customWidth="1"/>
    <col min="4" max="4" width="28" customWidth="1"/>
    <col min="5" max="5" width="12.28515625" customWidth="1"/>
    <col min="6" max="6" width="10.85546875" customWidth="1"/>
    <col min="7" max="7" width="12.28515625" customWidth="1"/>
    <col min="8" max="8" width="14" style="7" customWidth="1"/>
    <col min="9" max="9" width="24.5703125" style="7" bestFit="1" customWidth="1"/>
    <col min="10" max="10" width="17.5703125" style="7" customWidth="1"/>
    <col min="11" max="11" width="21.5703125" style="6" customWidth="1"/>
    <col min="12" max="12" width="19.5703125" style="6" customWidth="1"/>
    <col min="13" max="13" width="29" style="6" customWidth="1"/>
    <col min="14" max="14" width="34.28515625" style="116" customWidth="1"/>
    <col min="15" max="15" width="32" customWidth="1"/>
  </cols>
  <sheetData>
    <row r="1" spans="1:15" s="2" customFormat="1" ht="57.6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347" t="s">
        <v>13</v>
      </c>
    </row>
    <row r="2" spans="1:15" s="4" customFormat="1" ht="30" customHeight="1">
      <c r="A2" s="9" t="s">
        <v>14</v>
      </c>
      <c r="B2" s="13">
        <f>VLOOKUP(Table245[[#This Row],[Location
(drop-down)]],'List source'!D$2:E$71,2,FALSE)</f>
        <v>131</v>
      </c>
      <c r="C2" s="17" t="s">
        <v>15</v>
      </c>
      <c r="D2" s="20" t="str">
        <f t="shared" ref="D2:D33" si="0">"A" &amp; C2 &amp; "-" &amp; B2 &amp; "-" &amp; "26"</f>
        <v>A001-131-26</v>
      </c>
      <c r="E2" s="37">
        <v>46027</v>
      </c>
      <c r="F2" s="37">
        <v>46029</v>
      </c>
      <c r="G2" s="37">
        <v>46048</v>
      </c>
      <c r="H2" s="10" t="s">
        <v>16</v>
      </c>
      <c r="I2" s="10" t="s">
        <v>17</v>
      </c>
      <c r="J2" s="10" t="s">
        <v>18</v>
      </c>
      <c r="K2" s="10" t="s">
        <v>19</v>
      </c>
      <c r="L2" s="10" t="s">
        <v>20</v>
      </c>
      <c r="M2" s="36"/>
      <c r="N2" s="9" t="s">
        <v>21</v>
      </c>
      <c r="O2" s="10"/>
    </row>
    <row r="3" spans="1:15" s="4" customFormat="1" ht="30" customHeight="1">
      <c r="A3" s="9" t="s">
        <v>14</v>
      </c>
      <c r="B3" s="13">
        <f>VLOOKUP(Table245[[#This Row],[Location
(drop-down)]],'List source'!D$2:E$71,2,FALSE)</f>
        <v>131</v>
      </c>
      <c r="C3" s="17" t="s">
        <v>22</v>
      </c>
      <c r="D3" s="20" t="str">
        <f t="shared" si="0"/>
        <v>A002-131-26</v>
      </c>
      <c r="E3" s="28">
        <v>46027</v>
      </c>
      <c r="F3" s="28">
        <v>46029</v>
      </c>
      <c r="G3" s="37">
        <v>46048</v>
      </c>
      <c r="H3" s="10" t="s">
        <v>16</v>
      </c>
      <c r="I3" s="10" t="s">
        <v>23</v>
      </c>
      <c r="J3" s="10" t="s">
        <v>18</v>
      </c>
      <c r="K3" s="10" t="s">
        <v>19</v>
      </c>
      <c r="L3" s="10" t="s">
        <v>20</v>
      </c>
      <c r="M3" s="36"/>
      <c r="N3" s="9" t="s">
        <v>24</v>
      </c>
      <c r="O3" s="10"/>
    </row>
    <row r="4" spans="1:15" s="4" customFormat="1" ht="30" customHeight="1">
      <c r="A4" s="9" t="s">
        <v>25</v>
      </c>
      <c r="B4" s="13">
        <f>VLOOKUP(Table245[[#This Row],[Location
(drop-down)]],'List source'!D$2:E$71,2,FALSE)</f>
        <v>158</v>
      </c>
      <c r="C4" s="17" t="s">
        <v>26</v>
      </c>
      <c r="D4" s="20" t="str">
        <f t="shared" si="0"/>
        <v>A003-158-26</v>
      </c>
      <c r="E4" s="28">
        <v>46034</v>
      </c>
      <c r="F4" s="28">
        <v>46037</v>
      </c>
      <c r="G4" s="37">
        <v>46045</v>
      </c>
      <c r="H4" s="10" t="s">
        <v>16</v>
      </c>
      <c r="I4" s="10" t="s">
        <v>17</v>
      </c>
      <c r="J4" s="10" t="s">
        <v>27</v>
      </c>
      <c r="K4" s="10" t="s">
        <v>28</v>
      </c>
      <c r="L4" s="10" t="s">
        <v>20</v>
      </c>
      <c r="M4" s="36"/>
      <c r="N4" s="9" t="s">
        <v>21</v>
      </c>
      <c r="O4" s="10" t="s">
        <v>29</v>
      </c>
    </row>
    <row r="5" spans="1:15" s="4" customFormat="1" ht="28.9">
      <c r="A5" s="9" t="s">
        <v>25</v>
      </c>
      <c r="B5" s="13">
        <f>VLOOKUP(Table245[[#This Row],[Location
(drop-down)]],'List source'!D$2:E$71,2,FALSE)</f>
        <v>158</v>
      </c>
      <c r="C5" s="17" t="s">
        <v>30</v>
      </c>
      <c r="D5" s="20" t="str">
        <f t="shared" si="0"/>
        <v>A004-158-26</v>
      </c>
      <c r="E5" s="37">
        <v>46034</v>
      </c>
      <c r="F5" s="37">
        <v>46037</v>
      </c>
      <c r="G5" s="37">
        <v>46045</v>
      </c>
      <c r="H5" s="10" t="s">
        <v>16</v>
      </c>
      <c r="I5" s="10" t="s">
        <v>23</v>
      </c>
      <c r="J5" s="10" t="s">
        <v>27</v>
      </c>
      <c r="K5" s="10" t="s">
        <v>28</v>
      </c>
      <c r="L5" s="10" t="s">
        <v>20</v>
      </c>
      <c r="M5" s="36"/>
      <c r="N5" s="9" t="s">
        <v>24</v>
      </c>
      <c r="O5" s="10" t="s">
        <v>31</v>
      </c>
    </row>
    <row r="6" spans="1:15" s="4" customFormat="1" ht="30" customHeight="1">
      <c r="A6" s="9" t="s">
        <v>32</v>
      </c>
      <c r="B6" s="13">
        <f>VLOOKUP(Table245[[#This Row],[Location
(drop-down)]],'List source'!D$2:E$71,2,FALSE)</f>
        <v>155</v>
      </c>
      <c r="C6" s="17" t="s">
        <v>33</v>
      </c>
      <c r="D6" s="20" t="str">
        <f t="shared" si="0"/>
        <v>A005-155-26</v>
      </c>
      <c r="E6" s="37">
        <v>46041</v>
      </c>
      <c r="F6" s="37">
        <v>46044</v>
      </c>
      <c r="G6" s="37"/>
      <c r="H6" s="10" t="s">
        <v>16</v>
      </c>
      <c r="I6" s="10" t="s">
        <v>17</v>
      </c>
      <c r="J6" s="10" t="s">
        <v>34</v>
      </c>
      <c r="K6" s="10" t="s">
        <v>19</v>
      </c>
      <c r="L6" s="10" t="s">
        <v>20</v>
      </c>
      <c r="M6" s="36"/>
      <c r="N6" s="9" t="s">
        <v>21</v>
      </c>
      <c r="O6" s="10"/>
    </row>
    <row r="7" spans="1:15" s="4" customFormat="1" ht="30" customHeight="1">
      <c r="A7" s="9" t="s">
        <v>32</v>
      </c>
      <c r="B7" s="13">
        <f>VLOOKUP(Table245[[#This Row],[Location
(drop-down)]],'List source'!D$2:E$71,2,FALSE)</f>
        <v>155</v>
      </c>
      <c r="C7" s="17" t="s">
        <v>35</v>
      </c>
      <c r="D7" s="20" t="str">
        <f t="shared" si="0"/>
        <v>A006-155-26</v>
      </c>
      <c r="E7" s="37">
        <v>46041</v>
      </c>
      <c r="F7" s="37">
        <v>46044</v>
      </c>
      <c r="G7" s="37"/>
      <c r="H7" s="10" t="s">
        <v>16</v>
      </c>
      <c r="I7" s="10" t="s">
        <v>23</v>
      </c>
      <c r="J7" s="10" t="s">
        <v>34</v>
      </c>
      <c r="K7" s="10" t="s">
        <v>19</v>
      </c>
      <c r="L7" s="10" t="s">
        <v>20</v>
      </c>
      <c r="M7" s="36"/>
      <c r="N7" s="9" t="s">
        <v>24</v>
      </c>
      <c r="O7" s="10"/>
    </row>
    <row r="8" spans="1:15" s="4" customFormat="1" ht="30" customHeight="1">
      <c r="A8" s="9" t="s">
        <v>36</v>
      </c>
      <c r="B8" s="13">
        <f>VLOOKUP(Table245[[#This Row],[Location
(drop-down)]],'List source'!D$2:E$71,2,FALSE)</f>
        <v>190</v>
      </c>
      <c r="C8" s="17" t="s">
        <v>37</v>
      </c>
      <c r="D8" s="20" t="str">
        <f t="shared" si="0"/>
        <v>A007-190-26</v>
      </c>
      <c r="E8" s="37">
        <v>46049</v>
      </c>
      <c r="F8" s="37">
        <v>46051</v>
      </c>
      <c r="G8" s="37"/>
      <c r="H8" s="10" t="s">
        <v>16</v>
      </c>
      <c r="I8" s="10" t="s">
        <v>17</v>
      </c>
      <c r="J8" s="10" t="s">
        <v>27</v>
      </c>
      <c r="K8" s="10" t="s">
        <v>38</v>
      </c>
      <c r="L8" s="10" t="s">
        <v>20</v>
      </c>
      <c r="M8" s="36"/>
      <c r="N8" s="9" t="s">
        <v>21</v>
      </c>
    </row>
    <row r="9" spans="1:15" s="4" customFormat="1" ht="30" customHeight="1">
      <c r="A9" s="9" t="s">
        <v>36</v>
      </c>
      <c r="B9" s="13">
        <f>VLOOKUP(Table245[[#This Row],[Location
(drop-down)]],'List source'!D$2:E$71,2,FALSE)</f>
        <v>190</v>
      </c>
      <c r="C9" s="17" t="s">
        <v>39</v>
      </c>
      <c r="D9" s="20" t="str">
        <f t="shared" si="0"/>
        <v>A008-190-26</v>
      </c>
      <c r="E9" s="37">
        <v>46049</v>
      </c>
      <c r="F9" s="37">
        <v>46051</v>
      </c>
      <c r="G9" s="37"/>
      <c r="H9" s="10" t="s">
        <v>16</v>
      </c>
      <c r="I9" s="10" t="s">
        <v>23</v>
      </c>
      <c r="J9" s="10" t="s">
        <v>27</v>
      </c>
      <c r="K9" s="10" t="s">
        <v>38</v>
      </c>
      <c r="L9" s="10" t="s">
        <v>20</v>
      </c>
      <c r="M9" s="36"/>
      <c r="N9" s="9" t="s">
        <v>24</v>
      </c>
    </row>
    <row r="10" spans="1:15" s="4" customFormat="1" ht="30" customHeight="1">
      <c r="A10" s="9" t="s">
        <v>40</v>
      </c>
      <c r="B10" s="13">
        <f>VLOOKUP(Table245[[#This Row],[Location
(drop-down)]],'List source'!D$2:E$71,2,FALSE)</f>
        <v>210</v>
      </c>
      <c r="C10" s="17" t="s">
        <v>41</v>
      </c>
      <c r="D10" s="20" t="str">
        <f>"A" &amp; C10 &amp; "-" &amp; B10 &amp; "-" &amp; "26"</f>
        <v>A009-210-26</v>
      </c>
      <c r="E10" s="37">
        <v>46055</v>
      </c>
      <c r="F10" s="37">
        <v>46059</v>
      </c>
      <c r="G10" s="37"/>
      <c r="H10" s="10" t="s">
        <v>16</v>
      </c>
      <c r="I10" s="10" t="s">
        <v>17</v>
      </c>
      <c r="J10" s="10" t="s">
        <v>18</v>
      </c>
      <c r="K10" s="10" t="s">
        <v>19</v>
      </c>
      <c r="L10" s="10" t="s">
        <v>20</v>
      </c>
      <c r="M10" s="36"/>
      <c r="N10" s="9" t="s">
        <v>21</v>
      </c>
    </row>
    <row r="11" spans="1:15" s="4" customFormat="1" ht="30" customHeight="1">
      <c r="A11" s="9" t="s">
        <v>40</v>
      </c>
      <c r="B11" s="13">
        <f>VLOOKUP(Table245[[#This Row],[Location
(drop-down)]],'List source'!D$2:E$71,2,FALSE)</f>
        <v>210</v>
      </c>
      <c r="C11" s="17" t="s">
        <v>42</v>
      </c>
      <c r="D11" s="20" t="str">
        <f t="shared" si="0"/>
        <v>A010-210-26</v>
      </c>
      <c r="E11" s="37">
        <v>46055</v>
      </c>
      <c r="F11" s="37">
        <v>46059</v>
      </c>
      <c r="G11" s="37"/>
      <c r="H11" s="10" t="s">
        <v>16</v>
      </c>
      <c r="I11" s="10" t="s">
        <v>23</v>
      </c>
      <c r="J11" s="10" t="s">
        <v>18</v>
      </c>
      <c r="K11" s="10" t="s">
        <v>19</v>
      </c>
      <c r="L11" s="10" t="s">
        <v>20</v>
      </c>
      <c r="M11" s="36"/>
      <c r="N11" s="9" t="s">
        <v>24</v>
      </c>
    </row>
    <row r="12" spans="1:15" s="4" customFormat="1" ht="30" customHeight="1">
      <c r="A12" s="9" t="s">
        <v>43</v>
      </c>
      <c r="B12" s="13">
        <f>VLOOKUP(Table245[[#This Row],[Location
(drop-down)]],'List source'!D$2:E$71,2,FALSE)</f>
        <v>130</v>
      </c>
      <c r="C12" s="17" t="s">
        <v>44</v>
      </c>
      <c r="D12" s="20" t="str">
        <f t="shared" si="0"/>
        <v>A011-130-26</v>
      </c>
      <c r="E12" s="37">
        <v>46056</v>
      </c>
      <c r="F12" s="37">
        <v>46057</v>
      </c>
      <c r="G12" s="37">
        <v>46057</v>
      </c>
      <c r="H12" s="10" t="s">
        <v>45</v>
      </c>
      <c r="I12" s="10" t="s">
        <v>17</v>
      </c>
      <c r="J12" s="10" t="s">
        <v>46</v>
      </c>
      <c r="K12" s="10" t="s">
        <v>47</v>
      </c>
      <c r="L12" s="10" t="s">
        <v>48</v>
      </c>
      <c r="M12" s="36"/>
      <c r="N12" s="9" t="s">
        <v>49</v>
      </c>
    </row>
    <row r="13" spans="1:15" s="4" customFormat="1" ht="30" customHeight="1">
      <c r="A13" s="9" t="s">
        <v>50</v>
      </c>
      <c r="B13" s="13">
        <f>VLOOKUP(Table245[[#This Row],[Location
(drop-down)]],'List source'!D$2:E$71,2,FALSE)</f>
        <v>128</v>
      </c>
      <c r="C13" s="17" t="s">
        <v>51</v>
      </c>
      <c r="D13" s="20" t="str">
        <f t="shared" si="0"/>
        <v>A012-128-26</v>
      </c>
      <c r="E13" s="37">
        <v>46062</v>
      </c>
      <c r="F13" s="37">
        <v>46064</v>
      </c>
      <c r="G13" s="37"/>
      <c r="H13" s="10" t="s">
        <v>16</v>
      </c>
      <c r="I13" s="10" t="s">
        <v>17</v>
      </c>
      <c r="J13" s="10" t="s">
        <v>27</v>
      </c>
      <c r="K13" s="10" t="s">
        <v>27</v>
      </c>
      <c r="L13" s="10" t="s">
        <v>20</v>
      </c>
      <c r="M13" s="36"/>
      <c r="N13" s="9" t="s">
        <v>21</v>
      </c>
    </row>
    <row r="14" spans="1:15" s="4" customFormat="1" ht="30" customHeight="1">
      <c r="A14" s="9" t="s">
        <v>52</v>
      </c>
      <c r="B14" s="13">
        <f>VLOOKUP(Table245[[#This Row],[Location
(drop-down)]],'List source'!D$2:E$71,2,FALSE)</f>
        <v>138</v>
      </c>
      <c r="C14" s="17" t="s">
        <v>53</v>
      </c>
      <c r="D14" s="20" t="str">
        <f t="shared" si="0"/>
        <v>A013-138-26</v>
      </c>
      <c r="E14" s="37">
        <v>46063</v>
      </c>
      <c r="F14" s="37">
        <v>46065</v>
      </c>
      <c r="G14" s="37"/>
      <c r="H14" s="10" t="s">
        <v>16</v>
      </c>
      <c r="I14" s="10" t="s">
        <v>17</v>
      </c>
      <c r="J14" s="29" t="s">
        <v>54</v>
      </c>
      <c r="K14" s="10" t="s">
        <v>54</v>
      </c>
      <c r="L14" s="10" t="s">
        <v>20</v>
      </c>
      <c r="M14" s="36"/>
      <c r="N14" s="9" t="s">
        <v>21</v>
      </c>
    </row>
    <row r="15" spans="1:15" s="4" customFormat="1" ht="30" customHeight="1">
      <c r="A15" s="9"/>
      <c r="B15" s="13" t="e">
        <f>VLOOKUP(Table245[[#This Row],[Location
(drop-down)]],'List source'!D$2:E$71,2,FALSE)</f>
        <v>#N/A</v>
      </c>
      <c r="C15" s="17" t="s">
        <v>55</v>
      </c>
      <c r="D15" s="20" t="e">
        <f t="shared" si="0"/>
        <v>#N/A</v>
      </c>
      <c r="E15" s="37"/>
      <c r="F15" s="37"/>
      <c r="G15" s="37"/>
      <c r="H15" s="10"/>
      <c r="I15" s="10"/>
      <c r="J15" s="10"/>
      <c r="K15" s="10"/>
      <c r="L15" s="10"/>
      <c r="M15" s="36"/>
      <c r="N15" s="9"/>
    </row>
    <row r="16" spans="1:15" s="4" customFormat="1" ht="30" customHeight="1">
      <c r="A16" s="9"/>
      <c r="B16" s="13" t="e">
        <f>VLOOKUP(Table245[[#This Row],[Location
(drop-down)]],'List source'!D$2:E$71,2,FALSE)</f>
        <v>#N/A</v>
      </c>
      <c r="C16" s="17" t="s">
        <v>56</v>
      </c>
      <c r="D16" s="20" t="e">
        <f t="shared" si="0"/>
        <v>#N/A</v>
      </c>
      <c r="E16" s="37"/>
      <c r="F16" s="37"/>
      <c r="G16" s="37"/>
      <c r="H16" s="10"/>
      <c r="I16" s="10"/>
      <c r="J16" s="29"/>
      <c r="K16" s="10"/>
      <c r="L16" s="10"/>
      <c r="M16" s="36"/>
      <c r="N16" s="9"/>
    </row>
    <row r="17" spans="1:14" s="4" customFormat="1" ht="30" customHeight="1">
      <c r="A17" s="9"/>
      <c r="B17" s="13" t="e">
        <f>VLOOKUP(Table245[[#This Row],[Location
(drop-down)]],'List source'!D$2:E$71,2,FALSE)</f>
        <v>#N/A</v>
      </c>
      <c r="C17" s="17" t="s">
        <v>57</v>
      </c>
      <c r="D17" s="20" t="e">
        <f t="shared" si="0"/>
        <v>#N/A</v>
      </c>
      <c r="E17" s="37"/>
      <c r="F17" s="37"/>
      <c r="G17" s="37"/>
      <c r="H17" s="10"/>
      <c r="I17" s="10"/>
      <c r="J17" s="10"/>
      <c r="K17" s="10"/>
      <c r="L17" s="10"/>
      <c r="M17" s="36"/>
      <c r="N17" s="9"/>
    </row>
    <row r="18" spans="1:14" s="4" customFormat="1" ht="30" customHeight="1">
      <c r="A18" s="9"/>
      <c r="B18" s="13" t="e">
        <f>VLOOKUP(Table245[[#This Row],[Location
(drop-down)]],'List source'!D$2:E$71,2,FALSE)</f>
        <v>#N/A</v>
      </c>
      <c r="C18" s="17" t="s">
        <v>58</v>
      </c>
      <c r="D18" s="20" t="e">
        <f t="shared" si="0"/>
        <v>#N/A</v>
      </c>
      <c r="E18" s="37"/>
      <c r="F18" s="37"/>
      <c r="G18" s="37"/>
      <c r="H18" s="10"/>
      <c r="I18" s="10"/>
      <c r="J18" s="10"/>
      <c r="K18" s="10"/>
      <c r="L18" s="10"/>
      <c r="M18" s="36"/>
      <c r="N18" s="9"/>
    </row>
    <row r="19" spans="1:14" s="4" customFormat="1" ht="30" customHeight="1">
      <c r="A19" s="9"/>
      <c r="B19" s="13" t="e">
        <f>VLOOKUP(Table245[[#This Row],[Location
(drop-down)]],'List source'!D$2:E$71,2,FALSE)</f>
        <v>#N/A</v>
      </c>
      <c r="C19" s="17" t="s">
        <v>59</v>
      </c>
      <c r="D19" s="41" t="e">
        <f t="shared" si="0"/>
        <v>#N/A</v>
      </c>
      <c r="E19" s="37"/>
      <c r="F19" s="37"/>
      <c r="G19" s="37"/>
      <c r="H19" s="10"/>
      <c r="I19" s="10"/>
      <c r="J19" s="10"/>
      <c r="K19" s="10"/>
      <c r="L19" s="10"/>
      <c r="M19" s="36"/>
      <c r="N19" s="348"/>
    </row>
    <row r="20" spans="1:14" s="4" customFormat="1" ht="30" customHeight="1">
      <c r="A20" s="9"/>
      <c r="B20" s="13" t="e">
        <f>VLOOKUP(Table245[[#This Row],[Location
(drop-down)]],'List source'!D$2:E$71,2,FALSE)</f>
        <v>#N/A</v>
      </c>
      <c r="C20" s="17" t="s">
        <v>60</v>
      </c>
      <c r="D20" s="41" t="e">
        <f t="shared" si="0"/>
        <v>#N/A</v>
      </c>
      <c r="E20" s="37"/>
      <c r="F20" s="37"/>
      <c r="G20" s="37"/>
      <c r="H20" s="10"/>
      <c r="I20" s="10"/>
      <c r="J20" s="10"/>
      <c r="K20" s="10"/>
      <c r="L20" s="10"/>
      <c r="M20" s="36"/>
      <c r="N20" s="348"/>
    </row>
    <row r="21" spans="1:14" s="4" customFormat="1" ht="30" customHeight="1">
      <c r="A21" s="9"/>
      <c r="B21" s="13" t="e">
        <f>VLOOKUP(Table245[[#This Row],[Location
(drop-down)]],'List source'!D$2:E$71,2,FALSE)</f>
        <v>#N/A</v>
      </c>
      <c r="C21" s="17" t="s">
        <v>61</v>
      </c>
      <c r="D21" s="20" t="e">
        <f t="shared" si="0"/>
        <v>#N/A</v>
      </c>
      <c r="E21" s="37"/>
      <c r="F21" s="37"/>
      <c r="G21" s="37"/>
      <c r="H21" s="10"/>
      <c r="I21" s="10"/>
      <c r="J21" s="10"/>
      <c r="K21" s="10"/>
      <c r="L21" s="10"/>
      <c r="M21" s="36"/>
      <c r="N21" s="9"/>
    </row>
    <row r="22" spans="1:14" s="4" customFormat="1" ht="30" customHeight="1">
      <c r="A22" s="9"/>
      <c r="B22" s="13" t="e">
        <f>VLOOKUP(Table245[[#This Row],[Location
(drop-down)]],'List source'!D$2:E$71,2,FALSE)</f>
        <v>#N/A</v>
      </c>
      <c r="C22" s="17" t="s">
        <v>62</v>
      </c>
      <c r="D22" s="20" t="e">
        <f t="shared" si="0"/>
        <v>#N/A</v>
      </c>
      <c r="E22" s="37"/>
      <c r="F22" s="37"/>
      <c r="G22" s="37"/>
      <c r="H22" s="10"/>
      <c r="I22" s="10"/>
      <c r="J22" s="10"/>
      <c r="K22" s="10"/>
      <c r="L22" s="10"/>
      <c r="M22" s="36"/>
      <c r="N22" s="9"/>
    </row>
    <row r="23" spans="1:14" s="4" customFormat="1" ht="30" customHeight="1">
      <c r="A23" s="9"/>
      <c r="B23" s="13" t="e">
        <f>VLOOKUP(Table245[[#This Row],[Location
(drop-down)]],'List source'!D$2:E$71,2,FALSE)</f>
        <v>#N/A</v>
      </c>
      <c r="C23" s="17" t="s">
        <v>63</v>
      </c>
      <c r="D23" s="20" t="e">
        <f t="shared" si="0"/>
        <v>#N/A</v>
      </c>
      <c r="E23" s="37"/>
      <c r="F23" s="37"/>
      <c r="G23" s="37"/>
      <c r="H23" s="10"/>
      <c r="I23" s="10"/>
      <c r="J23" s="10"/>
      <c r="K23" s="10"/>
      <c r="L23" s="10"/>
      <c r="M23" s="36"/>
      <c r="N23" s="9"/>
    </row>
    <row r="24" spans="1:14" s="4" customFormat="1" ht="30" customHeight="1">
      <c r="A24" s="9"/>
      <c r="B24" s="13" t="e">
        <f>VLOOKUP(Table245[[#This Row],[Location
(drop-down)]],'List source'!D$2:E$71,2,FALSE)</f>
        <v>#N/A</v>
      </c>
      <c r="C24" s="17" t="s">
        <v>64</v>
      </c>
      <c r="D24" s="20" t="e">
        <f t="shared" si="0"/>
        <v>#N/A</v>
      </c>
      <c r="E24" s="37"/>
      <c r="F24" s="37"/>
      <c r="G24" s="37"/>
      <c r="H24" s="10"/>
      <c r="I24" s="10"/>
      <c r="J24" s="10"/>
      <c r="K24" s="10"/>
      <c r="L24" s="10"/>
      <c r="M24" s="36"/>
      <c r="N24" s="9"/>
    </row>
    <row r="25" spans="1:14" s="4" customFormat="1" ht="30" customHeight="1">
      <c r="A25" s="9"/>
      <c r="B25" s="13" t="e">
        <f>VLOOKUP(Table245[[#This Row],[Location
(drop-down)]],'List source'!D$2:E$71,2,FALSE)</f>
        <v>#N/A</v>
      </c>
      <c r="C25" s="17" t="s">
        <v>65</v>
      </c>
      <c r="D25" s="20" t="e">
        <f t="shared" si="0"/>
        <v>#N/A</v>
      </c>
      <c r="E25" s="37"/>
      <c r="F25" s="37"/>
      <c r="G25" s="37"/>
      <c r="H25" s="10"/>
      <c r="I25" s="10"/>
      <c r="J25" s="10"/>
      <c r="K25" s="10"/>
      <c r="L25" s="10"/>
      <c r="M25" s="36"/>
      <c r="N25" s="9"/>
    </row>
    <row r="26" spans="1:14" s="4" customFormat="1" ht="30" customHeight="1">
      <c r="A26" s="9"/>
      <c r="B26" s="13" t="e">
        <f>VLOOKUP(Table245[[#This Row],[Location
(drop-down)]],'List source'!D$2:E$71,2,FALSE)</f>
        <v>#N/A</v>
      </c>
      <c r="C26" s="17" t="s">
        <v>66</v>
      </c>
      <c r="D26" s="20" t="e">
        <f t="shared" si="0"/>
        <v>#N/A</v>
      </c>
      <c r="E26" s="37"/>
      <c r="F26" s="37"/>
      <c r="G26" s="37"/>
      <c r="H26" s="10"/>
      <c r="I26" s="10"/>
      <c r="J26" s="10"/>
      <c r="K26" s="10"/>
      <c r="L26" s="10"/>
      <c r="M26" s="36"/>
      <c r="N26" s="9"/>
    </row>
    <row r="27" spans="1:14" s="4" customFormat="1" ht="30" customHeight="1">
      <c r="A27" s="9"/>
      <c r="B27" s="13" t="e">
        <f>VLOOKUP(Table245[[#This Row],[Location
(drop-down)]],'List source'!D$2:E$71,2,FALSE)</f>
        <v>#N/A</v>
      </c>
      <c r="C27" s="17" t="s">
        <v>67</v>
      </c>
      <c r="D27" s="20" t="e">
        <f t="shared" si="0"/>
        <v>#N/A</v>
      </c>
      <c r="E27" s="37"/>
      <c r="F27" s="37"/>
      <c r="G27" s="37"/>
      <c r="H27" s="10"/>
      <c r="I27" s="10"/>
      <c r="J27" s="10"/>
      <c r="K27" s="10"/>
      <c r="L27" s="10"/>
      <c r="M27" s="36"/>
      <c r="N27" s="349"/>
    </row>
    <row r="28" spans="1:14" s="4" customFormat="1" ht="30" customHeight="1">
      <c r="A28" s="9"/>
      <c r="B28" s="13" t="e">
        <f>VLOOKUP(Table245[[#This Row],[Location
(drop-down)]],'List source'!D$2:E$71,2,FALSE)</f>
        <v>#N/A</v>
      </c>
      <c r="C28" s="17" t="s">
        <v>68</v>
      </c>
      <c r="D28" s="20" t="e">
        <f t="shared" si="0"/>
        <v>#N/A</v>
      </c>
      <c r="E28" s="37"/>
      <c r="F28" s="37"/>
      <c r="G28" s="37"/>
      <c r="H28" s="10"/>
      <c r="I28" s="10"/>
      <c r="J28" s="10"/>
      <c r="K28" s="10"/>
      <c r="L28" s="10"/>
      <c r="M28" s="36"/>
      <c r="N28" s="9"/>
    </row>
    <row r="29" spans="1:14" s="4" customFormat="1" ht="30" customHeight="1">
      <c r="A29" s="9"/>
      <c r="B29" s="13" t="e">
        <f>VLOOKUP(Table245[[#This Row],[Location
(drop-down)]],'List source'!D$2:E$71,2,FALSE)</f>
        <v>#N/A</v>
      </c>
      <c r="C29" s="17" t="s">
        <v>69</v>
      </c>
      <c r="D29" s="20" t="e">
        <f t="shared" si="0"/>
        <v>#N/A</v>
      </c>
      <c r="E29" s="37"/>
      <c r="F29" s="37"/>
      <c r="G29" s="37"/>
      <c r="H29" s="10"/>
      <c r="I29" s="10"/>
      <c r="J29" s="10"/>
      <c r="K29" s="10"/>
      <c r="L29" s="10"/>
      <c r="M29" s="36"/>
      <c r="N29" s="9"/>
    </row>
    <row r="30" spans="1:14" s="4" customFormat="1" ht="30" customHeight="1">
      <c r="A30" s="9"/>
      <c r="B30" s="13" t="e">
        <f>VLOOKUP(Table245[[#This Row],[Location
(drop-down)]],'List source'!D$2:E$71,2,FALSE)</f>
        <v>#N/A</v>
      </c>
      <c r="C30" s="17" t="s">
        <v>70</v>
      </c>
      <c r="D30" s="20" t="e">
        <f t="shared" si="0"/>
        <v>#N/A</v>
      </c>
      <c r="E30" s="37"/>
      <c r="F30" s="37"/>
      <c r="G30" s="37"/>
      <c r="H30" s="10"/>
      <c r="I30" s="10"/>
      <c r="J30" s="10"/>
      <c r="K30" s="10"/>
      <c r="L30" s="10"/>
      <c r="M30" s="36"/>
      <c r="N30" s="9"/>
    </row>
    <row r="31" spans="1:14" s="4" customFormat="1" ht="30" customHeight="1">
      <c r="A31" s="9"/>
      <c r="B31" s="13" t="e">
        <f>VLOOKUP(Table245[[#This Row],[Location
(drop-down)]],'List source'!D$2:E$71,2,FALSE)</f>
        <v>#N/A</v>
      </c>
      <c r="C31" s="17" t="s">
        <v>71</v>
      </c>
      <c r="D31" s="20" t="e">
        <f t="shared" si="0"/>
        <v>#N/A</v>
      </c>
      <c r="E31" s="37"/>
      <c r="F31" s="37"/>
      <c r="G31" s="37"/>
      <c r="H31" s="10"/>
      <c r="I31" s="10"/>
      <c r="J31" s="10"/>
      <c r="K31" s="10"/>
      <c r="L31" s="10"/>
      <c r="M31" s="36"/>
      <c r="N31" s="9"/>
    </row>
    <row r="32" spans="1:14" s="4" customFormat="1" ht="41.85" customHeight="1">
      <c r="A32" s="9"/>
      <c r="B32" s="13" t="e">
        <f>VLOOKUP(Table245[[#This Row],[Location
(drop-down)]],'List source'!D$2:E$71,2,FALSE)</f>
        <v>#N/A</v>
      </c>
      <c r="C32" s="17" t="s">
        <v>72</v>
      </c>
      <c r="D32" s="20" t="e">
        <f t="shared" si="0"/>
        <v>#N/A</v>
      </c>
      <c r="E32" s="37"/>
      <c r="F32" s="37"/>
      <c r="G32" s="37"/>
      <c r="H32" s="10"/>
      <c r="I32" s="10"/>
      <c r="J32" s="10"/>
      <c r="K32" s="10"/>
      <c r="L32" s="10"/>
      <c r="M32" s="36"/>
      <c r="N32" s="9"/>
    </row>
    <row r="33" spans="1:14" s="4" customFormat="1" ht="30" customHeight="1">
      <c r="A33" s="9"/>
      <c r="B33" s="13" t="e">
        <f>VLOOKUP(Table245[[#This Row],[Location
(drop-down)]],'List source'!D$2:E$71,2,FALSE)</f>
        <v>#N/A</v>
      </c>
      <c r="C33" s="17" t="s">
        <v>73</v>
      </c>
      <c r="D33" s="20" t="e">
        <f t="shared" si="0"/>
        <v>#N/A</v>
      </c>
      <c r="E33" s="37"/>
      <c r="F33" s="37"/>
      <c r="G33" s="37"/>
      <c r="H33" s="10"/>
      <c r="I33" s="10"/>
      <c r="J33" s="10"/>
      <c r="K33" s="10"/>
      <c r="L33" s="10"/>
      <c r="M33" s="36"/>
      <c r="N33" s="9"/>
    </row>
    <row r="34" spans="1:14" s="4" customFormat="1" ht="30" customHeight="1">
      <c r="A34" s="9"/>
      <c r="B34" s="13" t="e">
        <f>VLOOKUP(Table245[[#This Row],[Location
(drop-down)]],'List source'!D$2:E$71,2,FALSE)</f>
        <v>#N/A</v>
      </c>
      <c r="C34" s="17" t="s">
        <v>74</v>
      </c>
      <c r="D34" s="20" t="e">
        <f t="shared" ref="D34:D65" si="1">"A" &amp; C34 &amp; "-" &amp; B34 &amp; "-" &amp; "26"</f>
        <v>#N/A</v>
      </c>
      <c r="E34" s="37"/>
      <c r="F34" s="37"/>
      <c r="G34" s="37"/>
      <c r="H34" s="10"/>
      <c r="I34" s="10"/>
      <c r="J34" s="10"/>
      <c r="K34" s="10"/>
      <c r="L34" s="10"/>
      <c r="M34" s="36"/>
      <c r="N34" s="9"/>
    </row>
    <row r="35" spans="1:14" s="4" customFormat="1" ht="30" customHeight="1">
      <c r="A35" s="9"/>
      <c r="B35" s="13" t="e">
        <f>VLOOKUP(Table245[[#This Row],[Location
(drop-down)]],'List source'!D$2:E$71,2,FALSE)</f>
        <v>#N/A</v>
      </c>
      <c r="C35" s="17" t="s">
        <v>75</v>
      </c>
      <c r="D35" s="20" t="e">
        <f t="shared" si="1"/>
        <v>#N/A</v>
      </c>
      <c r="E35" s="37"/>
      <c r="F35" s="37"/>
      <c r="G35" s="28"/>
      <c r="H35" s="10"/>
      <c r="I35" s="10"/>
      <c r="J35" s="10"/>
      <c r="K35" s="10"/>
      <c r="L35" s="10"/>
      <c r="M35" s="36"/>
      <c r="N35" s="9"/>
    </row>
    <row r="36" spans="1:14" s="4" customFormat="1" ht="30" customHeight="1">
      <c r="A36" s="9"/>
      <c r="B36" s="13" t="e">
        <f>VLOOKUP(Table245[[#This Row],[Location
(drop-down)]],'List source'!D$2:E$71,2,FALSE)</f>
        <v>#N/A</v>
      </c>
      <c r="C36" s="17" t="s">
        <v>76</v>
      </c>
      <c r="D36" s="20" t="e">
        <f t="shared" si="1"/>
        <v>#N/A</v>
      </c>
      <c r="E36" s="37"/>
      <c r="F36" s="37"/>
      <c r="G36" s="37"/>
      <c r="H36" s="10"/>
      <c r="I36" s="10"/>
      <c r="J36" s="10"/>
      <c r="K36" s="10"/>
      <c r="L36" s="10"/>
      <c r="M36" s="36"/>
      <c r="N36" s="9"/>
    </row>
    <row r="37" spans="1:14" s="4" customFormat="1" ht="30" customHeight="1">
      <c r="A37" s="9"/>
      <c r="B37" s="13" t="e">
        <f>VLOOKUP(Table245[[#This Row],[Location
(drop-down)]],'List source'!D$2:E$71,2,FALSE)</f>
        <v>#N/A</v>
      </c>
      <c r="C37" s="17" t="s">
        <v>77</v>
      </c>
      <c r="D37" s="20" t="e">
        <f t="shared" si="1"/>
        <v>#N/A</v>
      </c>
      <c r="E37" s="37"/>
      <c r="F37" s="37"/>
      <c r="G37" s="37"/>
      <c r="H37" s="10"/>
      <c r="I37" s="10"/>
      <c r="J37" s="10"/>
      <c r="K37" s="10"/>
      <c r="L37" s="10"/>
      <c r="M37" s="36"/>
      <c r="N37" s="349"/>
    </row>
    <row r="38" spans="1:14" s="4" customFormat="1" ht="30" customHeight="1">
      <c r="A38" s="9"/>
      <c r="B38" s="13" t="e">
        <f>VLOOKUP(Table245[[#This Row],[Location
(drop-down)]],'List source'!D$2:E$71,2,FALSE)</f>
        <v>#N/A</v>
      </c>
      <c r="C38" s="17" t="s">
        <v>78</v>
      </c>
      <c r="D38" s="20" t="e">
        <f t="shared" si="1"/>
        <v>#N/A</v>
      </c>
      <c r="E38" s="37"/>
      <c r="F38" s="37"/>
      <c r="G38" s="37"/>
      <c r="H38" s="10"/>
      <c r="I38" s="10"/>
      <c r="J38" s="10"/>
      <c r="K38" s="10"/>
      <c r="L38" s="10"/>
      <c r="M38" s="65"/>
      <c r="N38" s="9"/>
    </row>
    <row r="39" spans="1:14" s="4" customFormat="1" ht="30" customHeight="1">
      <c r="A39" s="9"/>
      <c r="B39" s="13" t="e">
        <f>VLOOKUP(Table245[[#This Row],[Location
(drop-down)]],'List source'!D$2:E$71,2,FALSE)</f>
        <v>#N/A</v>
      </c>
      <c r="C39" s="17" t="s">
        <v>79</v>
      </c>
      <c r="D39" s="20" t="e">
        <f t="shared" si="1"/>
        <v>#N/A</v>
      </c>
      <c r="E39" s="37"/>
      <c r="F39" s="37"/>
      <c r="G39" s="37"/>
      <c r="H39" s="10"/>
      <c r="I39" s="10"/>
      <c r="J39" s="10"/>
      <c r="K39" s="10"/>
      <c r="L39" s="10"/>
      <c r="M39" s="10"/>
      <c r="N39" s="9"/>
    </row>
    <row r="40" spans="1:14" s="4" customFormat="1" ht="30" customHeight="1">
      <c r="A40" s="9"/>
      <c r="B40" s="13" t="e">
        <f>VLOOKUP(Table245[[#This Row],[Location
(drop-down)]],'List source'!D$2:E$71,2,FALSE)</f>
        <v>#N/A</v>
      </c>
      <c r="C40" s="17" t="s">
        <v>80</v>
      </c>
      <c r="D40" s="20" t="e">
        <f t="shared" si="1"/>
        <v>#N/A</v>
      </c>
      <c r="E40" s="37"/>
      <c r="F40" s="37"/>
      <c r="G40" s="37"/>
      <c r="H40" s="10"/>
      <c r="I40" s="10"/>
      <c r="J40" s="10"/>
      <c r="K40" s="10"/>
      <c r="L40" s="10"/>
      <c r="M40" s="10"/>
      <c r="N40" s="9"/>
    </row>
    <row r="41" spans="1:14" s="4" customFormat="1" ht="30" customHeight="1">
      <c r="A41" s="9"/>
      <c r="B41" s="13" t="e">
        <f>VLOOKUP(Table245[[#This Row],[Location
(drop-down)]],'List source'!D$2:E$71,2,FALSE)</f>
        <v>#N/A</v>
      </c>
      <c r="C41" s="17" t="s">
        <v>81</v>
      </c>
      <c r="D41" s="20" t="e">
        <f t="shared" si="1"/>
        <v>#N/A</v>
      </c>
      <c r="E41" s="37"/>
      <c r="F41" s="37"/>
      <c r="G41" s="37"/>
      <c r="H41" s="10"/>
      <c r="I41" s="10"/>
      <c r="J41" s="10"/>
      <c r="K41" s="19"/>
      <c r="L41" s="10"/>
      <c r="M41" s="10"/>
      <c r="N41" s="9"/>
    </row>
    <row r="42" spans="1:14" s="4" customFormat="1" ht="30" customHeight="1">
      <c r="A42" s="9"/>
      <c r="B42" s="13" t="e">
        <f>VLOOKUP(Table245[[#This Row],[Location
(drop-down)]],'List source'!D$2:E$71,2,FALSE)</f>
        <v>#N/A</v>
      </c>
      <c r="C42" s="17" t="s">
        <v>82</v>
      </c>
      <c r="D42" s="20" t="e">
        <f t="shared" si="1"/>
        <v>#N/A</v>
      </c>
      <c r="E42" s="37"/>
      <c r="F42" s="37"/>
      <c r="G42" s="28"/>
      <c r="H42" s="10"/>
      <c r="I42" s="10"/>
      <c r="J42" s="10"/>
      <c r="K42" s="10"/>
      <c r="L42" s="10"/>
      <c r="M42" s="36"/>
      <c r="N42" s="9"/>
    </row>
    <row r="43" spans="1:14" s="4" customFormat="1" ht="30" customHeight="1">
      <c r="A43" s="9"/>
      <c r="B43" s="13" t="e">
        <f>VLOOKUP(Table245[[#This Row],[Location
(drop-down)]],'List source'!D$2:E$71,2,FALSE)</f>
        <v>#N/A</v>
      </c>
      <c r="C43" s="17" t="s">
        <v>83</v>
      </c>
      <c r="D43" s="20" t="e">
        <f t="shared" si="1"/>
        <v>#N/A</v>
      </c>
      <c r="E43" s="37"/>
      <c r="F43" s="37"/>
      <c r="G43" s="37"/>
      <c r="H43" s="10"/>
      <c r="I43" s="10"/>
      <c r="J43" s="10"/>
      <c r="K43" s="10"/>
      <c r="L43" s="10"/>
      <c r="M43" s="36"/>
      <c r="N43" s="9"/>
    </row>
    <row r="44" spans="1:14" s="4" customFormat="1" ht="30" customHeight="1">
      <c r="A44" s="9"/>
      <c r="B44" s="13" t="e">
        <f>VLOOKUP(Table245[[#This Row],[Location
(drop-down)]],'List source'!D$2:E$71,2,FALSE)</f>
        <v>#N/A</v>
      </c>
      <c r="C44" s="17" t="s">
        <v>84</v>
      </c>
      <c r="D44" s="20" t="e">
        <f t="shared" si="1"/>
        <v>#N/A</v>
      </c>
      <c r="E44" s="37"/>
      <c r="F44" s="37"/>
      <c r="G44" s="28"/>
      <c r="H44" s="10"/>
      <c r="I44" s="10"/>
      <c r="J44" s="10"/>
      <c r="K44" s="10"/>
      <c r="L44" s="10"/>
      <c r="M44" s="36"/>
      <c r="N44" s="9"/>
    </row>
    <row r="45" spans="1:14" s="4" customFormat="1" ht="30" customHeight="1">
      <c r="A45" s="9"/>
      <c r="B45" s="13" t="e">
        <f>VLOOKUP(Table245[[#This Row],[Location
(drop-down)]],'List source'!D$2:E$71,2,FALSE)</f>
        <v>#N/A</v>
      </c>
      <c r="C45" s="17" t="s">
        <v>85</v>
      </c>
      <c r="D45" s="20" t="e">
        <f t="shared" si="1"/>
        <v>#N/A</v>
      </c>
      <c r="E45" s="37"/>
      <c r="F45" s="37"/>
      <c r="G45" s="37"/>
      <c r="H45" s="10"/>
      <c r="I45" s="10"/>
      <c r="J45" s="10"/>
      <c r="K45" s="10"/>
      <c r="L45" s="10"/>
      <c r="M45" s="36"/>
      <c r="N45" s="9"/>
    </row>
    <row r="46" spans="1:14" s="4" customFormat="1" ht="30" customHeight="1">
      <c r="A46" s="9"/>
      <c r="B46" s="13" t="e">
        <f>VLOOKUP(Table245[[#This Row],[Location
(drop-down)]],'List source'!D$2:E$71,2,FALSE)</f>
        <v>#N/A</v>
      </c>
      <c r="C46" s="17" t="s">
        <v>86</v>
      </c>
      <c r="D46" s="20" t="e">
        <f t="shared" si="1"/>
        <v>#N/A</v>
      </c>
      <c r="E46" s="37"/>
      <c r="F46" s="37"/>
      <c r="G46" s="28"/>
      <c r="H46" s="10"/>
      <c r="I46" s="10"/>
      <c r="J46" s="10"/>
      <c r="K46" s="10"/>
      <c r="L46" s="10"/>
      <c r="M46" s="36"/>
      <c r="N46" s="9"/>
    </row>
    <row r="47" spans="1:14" s="4" customFormat="1" ht="30" customHeight="1">
      <c r="A47" s="9"/>
      <c r="B47" s="13" t="e">
        <f>VLOOKUP(Table245[[#This Row],[Location
(drop-down)]],'List source'!D$2:E$71,2,FALSE)</f>
        <v>#N/A</v>
      </c>
      <c r="C47" s="17" t="s">
        <v>87</v>
      </c>
      <c r="D47" s="20" t="e">
        <f t="shared" si="1"/>
        <v>#N/A</v>
      </c>
      <c r="E47" s="37"/>
      <c r="F47" s="37"/>
      <c r="G47" s="37"/>
      <c r="H47" s="10"/>
      <c r="I47" s="10"/>
      <c r="J47" s="10"/>
      <c r="K47" s="10"/>
      <c r="L47" s="10"/>
      <c r="M47" s="36"/>
      <c r="N47" s="9"/>
    </row>
    <row r="48" spans="1:14" s="4" customFormat="1" ht="30" customHeight="1">
      <c r="A48" s="9"/>
      <c r="B48" s="13" t="e">
        <f>VLOOKUP(Table245[[#This Row],[Location
(drop-down)]],'List source'!D$2:E$71,2,FALSE)</f>
        <v>#N/A</v>
      </c>
      <c r="C48" s="17" t="s">
        <v>88</v>
      </c>
      <c r="D48" s="20" t="e">
        <f t="shared" si="1"/>
        <v>#N/A</v>
      </c>
      <c r="E48" s="37"/>
      <c r="F48" s="37"/>
      <c r="G48" s="37"/>
      <c r="H48" s="10"/>
      <c r="I48" s="10"/>
      <c r="J48" s="10"/>
      <c r="K48" s="10"/>
      <c r="L48" s="10"/>
      <c r="M48" s="36"/>
      <c r="N48" s="9"/>
    </row>
    <row r="49" spans="1:14" s="4" customFormat="1" ht="30" customHeight="1">
      <c r="A49" s="9"/>
      <c r="B49" s="13" t="e">
        <f>VLOOKUP(Table245[[#This Row],[Location
(drop-down)]],'List source'!D$2:E$71,2,FALSE)</f>
        <v>#N/A</v>
      </c>
      <c r="C49" s="17" t="s">
        <v>89</v>
      </c>
      <c r="D49" s="20" t="e">
        <f t="shared" si="1"/>
        <v>#N/A</v>
      </c>
      <c r="E49" s="28"/>
      <c r="F49" s="28"/>
      <c r="G49" s="37"/>
      <c r="H49" s="10"/>
      <c r="I49" s="10"/>
      <c r="J49" s="10"/>
      <c r="K49" s="10"/>
      <c r="L49" s="10"/>
      <c r="M49" s="10"/>
      <c r="N49" s="9"/>
    </row>
    <row r="50" spans="1:14" s="4" customFormat="1" ht="30" customHeight="1">
      <c r="A50" s="9"/>
      <c r="B50" s="13" t="e">
        <f>VLOOKUP(Table245[[#This Row],[Location
(drop-down)]],'List source'!D$2:E$71,2,FALSE)</f>
        <v>#N/A</v>
      </c>
      <c r="C50" s="17" t="s">
        <v>90</v>
      </c>
      <c r="D50" s="20" t="e">
        <f t="shared" si="1"/>
        <v>#N/A</v>
      </c>
      <c r="E50" s="37"/>
      <c r="F50" s="37"/>
      <c r="G50" s="37"/>
      <c r="H50" s="10"/>
      <c r="I50" s="10"/>
      <c r="J50" s="10"/>
      <c r="K50" s="10"/>
      <c r="L50" s="10"/>
      <c r="M50" s="10"/>
      <c r="N50" s="9"/>
    </row>
    <row r="51" spans="1:14" s="4" customFormat="1" ht="30" customHeight="1">
      <c r="A51" s="9"/>
      <c r="B51" s="13" t="e">
        <f>VLOOKUP(Table245[[#This Row],[Location
(drop-down)]],'List source'!D$2:E$71,2,FALSE)</f>
        <v>#N/A</v>
      </c>
      <c r="C51" s="17" t="s">
        <v>91</v>
      </c>
      <c r="D51" s="20" t="e">
        <f t="shared" si="1"/>
        <v>#N/A</v>
      </c>
      <c r="E51" s="37"/>
      <c r="F51" s="37"/>
      <c r="G51" s="37"/>
      <c r="H51" s="10"/>
      <c r="I51" s="10"/>
      <c r="J51" s="10"/>
      <c r="K51" s="10"/>
      <c r="L51" s="10"/>
      <c r="M51" s="10"/>
      <c r="N51" s="9"/>
    </row>
    <row r="52" spans="1:14" s="4" customFormat="1" ht="30" customHeight="1">
      <c r="A52" s="9"/>
      <c r="B52" s="13" t="e">
        <f>VLOOKUP(Table245[[#This Row],[Location
(drop-down)]],'List source'!D$2:E$71,2,FALSE)</f>
        <v>#N/A</v>
      </c>
      <c r="C52" s="17" t="s">
        <v>92</v>
      </c>
      <c r="D52" s="20" t="e">
        <f t="shared" si="1"/>
        <v>#N/A</v>
      </c>
      <c r="E52" s="37"/>
      <c r="F52" s="37"/>
      <c r="G52" s="37"/>
      <c r="H52" s="10"/>
      <c r="I52" s="10"/>
      <c r="J52" s="10"/>
      <c r="K52" s="10"/>
      <c r="L52" s="10"/>
      <c r="M52" s="10"/>
      <c r="N52" s="9"/>
    </row>
    <row r="53" spans="1:14" s="4" customFormat="1" ht="30" customHeight="1">
      <c r="A53" s="9"/>
      <c r="B53" s="13" t="e">
        <f>VLOOKUP(Table245[[#This Row],[Location
(drop-down)]],'List source'!D$2:E$71,2,FALSE)</f>
        <v>#N/A</v>
      </c>
      <c r="C53" s="17" t="s">
        <v>93</v>
      </c>
      <c r="D53" s="20" t="e">
        <f t="shared" si="1"/>
        <v>#N/A</v>
      </c>
      <c r="E53" s="37"/>
      <c r="F53" s="37"/>
      <c r="G53" s="37"/>
      <c r="H53" s="10"/>
      <c r="I53" s="10"/>
      <c r="J53" s="10"/>
      <c r="K53" s="10"/>
      <c r="L53" s="10"/>
      <c r="M53" s="10"/>
      <c r="N53" s="9"/>
    </row>
    <row r="54" spans="1:14" s="4" customFormat="1" ht="30" customHeight="1">
      <c r="A54" s="9"/>
      <c r="B54" s="13" t="e">
        <f>VLOOKUP(Table245[[#This Row],[Location
(drop-down)]],'List source'!D$2:E$71,2,FALSE)</f>
        <v>#N/A</v>
      </c>
      <c r="C54" s="17" t="s">
        <v>94</v>
      </c>
      <c r="D54" s="20" t="e">
        <f t="shared" si="1"/>
        <v>#N/A</v>
      </c>
      <c r="E54" s="37"/>
      <c r="F54" s="37"/>
      <c r="G54" s="37"/>
      <c r="H54" s="10"/>
      <c r="I54" s="10"/>
      <c r="J54" s="10"/>
      <c r="K54" s="10"/>
      <c r="L54" s="10"/>
      <c r="M54" s="10"/>
      <c r="N54" s="9"/>
    </row>
    <row r="55" spans="1:14" s="4" customFormat="1" ht="30" customHeight="1">
      <c r="A55" s="9"/>
      <c r="B55" s="13" t="e">
        <f>VLOOKUP(Table245[[#This Row],[Location
(drop-down)]],'List source'!D$2:E$71,2,FALSE)</f>
        <v>#N/A</v>
      </c>
      <c r="C55" s="17" t="s">
        <v>95</v>
      </c>
      <c r="D55" s="20" t="e">
        <f t="shared" si="1"/>
        <v>#N/A</v>
      </c>
      <c r="E55" s="37"/>
      <c r="F55" s="37"/>
      <c r="G55" s="37"/>
      <c r="H55" s="10"/>
      <c r="I55" s="10"/>
      <c r="J55" s="37"/>
      <c r="K55" s="10"/>
      <c r="L55" s="10"/>
      <c r="M55" s="37"/>
      <c r="N55" s="9"/>
    </row>
    <row r="56" spans="1:14" s="4" customFormat="1" ht="30" customHeight="1">
      <c r="A56" s="9"/>
      <c r="B56" s="13" t="e">
        <f>VLOOKUP(Table245[[#This Row],[Location
(drop-down)]],'List source'!D$2:E$71,2,FALSE)</f>
        <v>#N/A</v>
      </c>
      <c r="C56" s="17" t="s">
        <v>96</v>
      </c>
      <c r="D56" s="20" t="e">
        <f t="shared" si="1"/>
        <v>#N/A</v>
      </c>
      <c r="E56" s="37"/>
      <c r="F56" s="37"/>
      <c r="G56" s="37"/>
      <c r="H56" s="10"/>
      <c r="I56" s="10"/>
      <c r="J56" s="10"/>
      <c r="K56" s="10"/>
      <c r="L56" s="10"/>
      <c r="M56" s="36"/>
      <c r="N56" s="9"/>
    </row>
    <row r="57" spans="1:14" s="4" customFormat="1" ht="30" customHeight="1">
      <c r="A57" s="9"/>
      <c r="B57" s="13" t="e">
        <f>VLOOKUP(Table245[[#This Row],[Location
(drop-down)]],'List source'!D$2:E$71,2,FALSE)</f>
        <v>#N/A</v>
      </c>
      <c r="C57" s="17" t="s">
        <v>97</v>
      </c>
      <c r="D57" s="20" t="e">
        <f t="shared" si="1"/>
        <v>#N/A</v>
      </c>
      <c r="E57" s="37"/>
      <c r="F57" s="37"/>
      <c r="G57" s="37"/>
      <c r="H57" s="10"/>
      <c r="I57" s="10"/>
      <c r="J57" s="10"/>
      <c r="K57" s="10"/>
      <c r="L57" s="10"/>
      <c r="M57" s="36"/>
      <c r="N57" s="9"/>
    </row>
    <row r="58" spans="1:14" s="4" customFormat="1" ht="30" customHeight="1">
      <c r="A58" s="9"/>
      <c r="B58" s="13" t="e">
        <f>VLOOKUP(Table245[[#This Row],[Location
(drop-down)]],'List source'!D$2:E$71,2,FALSE)</f>
        <v>#N/A</v>
      </c>
      <c r="C58" s="17" t="s">
        <v>98</v>
      </c>
      <c r="D58" s="20" t="e">
        <f t="shared" si="1"/>
        <v>#N/A</v>
      </c>
      <c r="E58" s="37"/>
      <c r="F58" s="37"/>
      <c r="G58" s="37"/>
      <c r="H58" s="10"/>
      <c r="I58" s="10"/>
      <c r="J58" s="10"/>
      <c r="K58" s="10"/>
      <c r="L58" s="10"/>
      <c r="M58" s="36"/>
      <c r="N58" s="9"/>
    </row>
    <row r="59" spans="1:14" s="4" customFormat="1" ht="30" customHeight="1">
      <c r="A59" s="9"/>
      <c r="B59" s="13" t="e">
        <f>VLOOKUP(Table245[[#This Row],[Location
(drop-down)]],'List source'!D$2:E$71,2,FALSE)</f>
        <v>#N/A</v>
      </c>
      <c r="C59" s="17" t="s">
        <v>99</v>
      </c>
      <c r="D59" s="20" t="e">
        <f t="shared" si="1"/>
        <v>#N/A</v>
      </c>
      <c r="E59" s="37"/>
      <c r="F59" s="37"/>
      <c r="G59" s="37"/>
      <c r="H59" s="10"/>
      <c r="I59" s="10"/>
      <c r="J59" s="10"/>
      <c r="K59" s="10"/>
      <c r="L59" s="10"/>
      <c r="M59" s="36"/>
      <c r="N59" s="9"/>
    </row>
    <row r="60" spans="1:14" s="4" customFormat="1" ht="30" customHeight="1">
      <c r="A60" s="9"/>
      <c r="B60" s="13" t="e">
        <f>VLOOKUP(Table245[[#This Row],[Location
(drop-down)]],'List source'!D$2:E$71,2,FALSE)</f>
        <v>#N/A</v>
      </c>
      <c r="C60" s="17" t="s">
        <v>100</v>
      </c>
      <c r="D60" s="20" t="e">
        <f t="shared" si="1"/>
        <v>#N/A</v>
      </c>
      <c r="E60" s="37"/>
      <c r="F60" s="37"/>
      <c r="G60" s="37"/>
      <c r="H60" s="10"/>
      <c r="I60" s="10"/>
      <c r="J60" s="10"/>
      <c r="K60" s="10"/>
      <c r="L60" s="10"/>
      <c r="M60" s="36"/>
      <c r="N60" s="9"/>
    </row>
    <row r="61" spans="1:14" s="4" customFormat="1" ht="30" customHeight="1">
      <c r="A61" s="9"/>
      <c r="B61" s="13" t="e">
        <f>VLOOKUP(Table245[[#This Row],[Location
(drop-down)]],'List source'!D$2:E$71,2,FALSE)</f>
        <v>#N/A</v>
      </c>
      <c r="C61" s="17" t="s">
        <v>101</v>
      </c>
      <c r="D61" s="20" t="e">
        <f t="shared" si="1"/>
        <v>#N/A</v>
      </c>
      <c r="E61" s="37"/>
      <c r="F61" s="37"/>
      <c r="G61" s="37"/>
      <c r="H61" s="10"/>
      <c r="I61" s="10"/>
      <c r="J61" s="10"/>
      <c r="K61" s="10"/>
      <c r="L61" s="10"/>
      <c r="M61" s="36"/>
      <c r="N61" s="9"/>
    </row>
    <row r="62" spans="1:14" s="4" customFormat="1" ht="30" customHeight="1">
      <c r="A62" s="9"/>
      <c r="B62" s="13" t="e">
        <f>VLOOKUP(Table245[[#This Row],[Location
(drop-down)]],'List source'!D$2:E$71,2,FALSE)</f>
        <v>#N/A</v>
      </c>
      <c r="C62" s="17" t="s">
        <v>102</v>
      </c>
      <c r="D62" s="20" t="e">
        <f t="shared" si="1"/>
        <v>#N/A</v>
      </c>
      <c r="E62" s="37"/>
      <c r="F62" s="37"/>
      <c r="G62" s="37"/>
      <c r="H62" s="10"/>
      <c r="I62" s="10"/>
      <c r="J62" s="10"/>
      <c r="K62" s="10"/>
      <c r="L62" s="10"/>
      <c r="M62" s="36"/>
      <c r="N62" s="9"/>
    </row>
    <row r="63" spans="1:14" s="4" customFormat="1" ht="30" customHeight="1">
      <c r="A63" s="9"/>
      <c r="B63" s="13" t="e">
        <f>VLOOKUP(Table245[[#This Row],[Location
(drop-down)]],'List source'!D$2:E$71,2,FALSE)</f>
        <v>#N/A</v>
      </c>
      <c r="C63" s="17" t="s">
        <v>103</v>
      </c>
      <c r="D63" s="20" t="e">
        <f t="shared" si="1"/>
        <v>#N/A</v>
      </c>
      <c r="E63" s="37"/>
      <c r="F63" s="37"/>
      <c r="G63" s="37"/>
      <c r="H63" s="10"/>
      <c r="I63" s="10"/>
      <c r="J63" s="10"/>
      <c r="K63" s="10"/>
      <c r="L63" s="10"/>
      <c r="M63" s="36"/>
      <c r="N63" s="9"/>
    </row>
    <row r="64" spans="1:14" s="4" customFormat="1" ht="30" customHeight="1">
      <c r="A64" s="9"/>
      <c r="B64" s="13" t="e">
        <f>VLOOKUP(Table245[[#This Row],[Location
(drop-down)]],'List source'!D$2:E$71,2,FALSE)</f>
        <v>#N/A</v>
      </c>
      <c r="C64" s="17" t="s">
        <v>104</v>
      </c>
      <c r="D64" s="41" t="e">
        <f t="shared" si="1"/>
        <v>#N/A</v>
      </c>
      <c r="E64" s="37"/>
      <c r="F64" s="37"/>
      <c r="G64" s="37"/>
      <c r="H64" s="10"/>
      <c r="I64" s="10"/>
      <c r="J64" s="10"/>
      <c r="K64" s="10"/>
      <c r="L64" s="10"/>
      <c r="M64" s="36"/>
      <c r="N64" s="9"/>
    </row>
    <row r="65" spans="1:14" s="4" customFormat="1" ht="30" customHeight="1">
      <c r="A65" s="9"/>
      <c r="B65" s="13" t="e">
        <f>VLOOKUP(Table245[[#This Row],[Location
(drop-down)]],'List source'!D$2:E$71,2,FALSE)</f>
        <v>#N/A</v>
      </c>
      <c r="C65" s="17" t="s">
        <v>105</v>
      </c>
      <c r="D65" s="20" t="e">
        <f t="shared" si="1"/>
        <v>#N/A</v>
      </c>
      <c r="E65" s="37"/>
      <c r="F65" s="37"/>
      <c r="G65" s="37"/>
      <c r="H65" s="10"/>
      <c r="I65" s="10"/>
      <c r="J65" s="10"/>
      <c r="K65" s="10"/>
      <c r="L65" s="10"/>
      <c r="M65" s="36"/>
      <c r="N65" s="9"/>
    </row>
    <row r="66" spans="1:14" s="4" customFormat="1" ht="30" customHeight="1">
      <c r="A66" s="9"/>
      <c r="B66" s="13" t="e">
        <f>VLOOKUP(Table245[[#This Row],[Location
(drop-down)]],'List source'!D$2:E$71,2,FALSE)</f>
        <v>#N/A</v>
      </c>
      <c r="C66" s="17" t="s">
        <v>106</v>
      </c>
      <c r="D66" s="20" t="e">
        <f t="shared" ref="D66:D97" si="2">"A" &amp; C66 &amp; "-" &amp; B66 &amp; "-" &amp; "26"</f>
        <v>#N/A</v>
      </c>
      <c r="E66" s="37"/>
      <c r="F66" s="37"/>
      <c r="G66" s="37"/>
      <c r="H66" s="10"/>
      <c r="I66" s="10"/>
      <c r="J66" s="10"/>
      <c r="K66" s="10"/>
      <c r="L66" s="10"/>
      <c r="M66" s="36"/>
      <c r="N66" s="9"/>
    </row>
    <row r="67" spans="1:14" s="4" customFormat="1" ht="30" customHeight="1">
      <c r="A67" s="9"/>
      <c r="B67" s="13" t="e">
        <f>VLOOKUP(Table245[[#This Row],[Location
(drop-down)]],'List source'!D$2:E$71,2,FALSE)</f>
        <v>#N/A</v>
      </c>
      <c r="C67" s="17" t="s">
        <v>107</v>
      </c>
      <c r="D67" s="20" t="e">
        <f t="shared" si="2"/>
        <v>#N/A</v>
      </c>
      <c r="E67" s="37"/>
      <c r="F67" s="37"/>
      <c r="G67" s="37"/>
      <c r="H67" s="10"/>
      <c r="I67" s="10"/>
      <c r="J67" s="10"/>
      <c r="K67" s="10"/>
      <c r="L67" s="10"/>
      <c r="M67" s="36"/>
      <c r="N67" s="9"/>
    </row>
    <row r="68" spans="1:14" s="4" customFormat="1" ht="30" customHeight="1">
      <c r="A68" s="9"/>
      <c r="B68" s="13" t="e">
        <f>VLOOKUP(Table245[[#This Row],[Location
(drop-down)]],'List source'!D$2:E$71,2,FALSE)</f>
        <v>#N/A</v>
      </c>
      <c r="C68" s="17" t="s">
        <v>108</v>
      </c>
      <c r="D68" s="20" t="e">
        <f t="shared" si="2"/>
        <v>#N/A</v>
      </c>
      <c r="E68" s="37"/>
      <c r="F68" s="37"/>
      <c r="G68" s="37"/>
      <c r="H68" s="10"/>
      <c r="I68" s="10"/>
      <c r="J68" s="10"/>
      <c r="K68" s="10"/>
      <c r="L68" s="10"/>
      <c r="M68" s="10"/>
      <c r="N68" s="9"/>
    </row>
    <row r="69" spans="1:14" s="4" customFormat="1" ht="30" customHeight="1">
      <c r="A69" s="9"/>
      <c r="B69" s="13" t="e">
        <f>VLOOKUP(Table245[[#This Row],[Location
(drop-down)]],'List source'!D$2:E$71,2,FALSE)</f>
        <v>#N/A</v>
      </c>
      <c r="C69" s="17" t="s">
        <v>109</v>
      </c>
      <c r="D69" s="20" t="e">
        <f t="shared" si="2"/>
        <v>#N/A</v>
      </c>
      <c r="E69" s="37"/>
      <c r="F69" s="37"/>
      <c r="G69" s="37"/>
      <c r="H69" s="10"/>
      <c r="I69" s="10"/>
      <c r="J69" s="10"/>
      <c r="K69" s="10"/>
      <c r="L69" s="10"/>
      <c r="M69" s="36"/>
      <c r="N69" s="9"/>
    </row>
    <row r="70" spans="1:14" s="4" customFormat="1" ht="30" customHeight="1">
      <c r="A70" s="9"/>
      <c r="B70" s="13" t="e">
        <f>VLOOKUP(Table245[[#This Row],[Location
(drop-down)]],'List source'!D$2:E$71,2,FALSE)</f>
        <v>#N/A</v>
      </c>
      <c r="C70" s="17" t="s">
        <v>110</v>
      </c>
      <c r="D70" s="20" t="e">
        <f t="shared" si="2"/>
        <v>#N/A</v>
      </c>
      <c r="E70" s="37"/>
      <c r="F70" s="37"/>
      <c r="G70" s="28"/>
      <c r="H70" s="10"/>
      <c r="I70" s="10"/>
      <c r="J70" s="10"/>
      <c r="K70" s="10"/>
      <c r="L70" s="10"/>
      <c r="M70" s="36"/>
      <c r="N70" s="9"/>
    </row>
    <row r="71" spans="1:14" s="4" customFormat="1" ht="30" customHeight="1">
      <c r="A71" s="9"/>
      <c r="B71" s="13" t="e">
        <f>VLOOKUP(Table245[[#This Row],[Location
(drop-down)]],'List source'!D$2:E$71,2,FALSE)</f>
        <v>#N/A</v>
      </c>
      <c r="C71" s="17" t="s">
        <v>111</v>
      </c>
      <c r="D71" s="20" t="e">
        <f t="shared" si="2"/>
        <v>#N/A</v>
      </c>
      <c r="E71" s="37"/>
      <c r="F71" s="37"/>
      <c r="G71" s="37"/>
      <c r="H71" s="10"/>
      <c r="I71" s="10"/>
      <c r="J71" s="10"/>
      <c r="K71" s="10"/>
      <c r="L71" s="10"/>
      <c r="M71" s="36"/>
      <c r="N71" s="9"/>
    </row>
    <row r="72" spans="1:14" s="4" customFormat="1" ht="30" customHeight="1">
      <c r="A72" s="9"/>
      <c r="B72" s="13" t="e">
        <f>VLOOKUP(Table245[[#This Row],[Location
(drop-down)]],'List source'!D$2:E$71,2,FALSE)</f>
        <v>#N/A</v>
      </c>
      <c r="C72" s="17" t="s">
        <v>112</v>
      </c>
      <c r="D72" s="20" t="e">
        <f t="shared" si="2"/>
        <v>#N/A</v>
      </c>
      <c r="E72" s="37"/>
      <c r="F72" s="37"/>
      <c r="G72" s="37"/>
      <c r="H72" s="10"/>
      <c r="I72" s="10"/>
      <c r="J72" s="10"/>
      <c r="K72" s="10"/>
      <c r="L72" s="10"/>
      <c r="M72" s="36"/>
      <c r="N72" s="9"/>
    </row>
    <row r="73" spans="1:14" s="4" customFormat="1" ht="30" customHeight="1">
      <c r="A73" s="9"/>
      <c r="B73" s="13" t="e">
        <f>VLOOKUP(Table245[[#This Row],[Location
(drop-down)]],'List source'!D$2:E$71,2,FALSE)</f>
        <v>#N/A</v>
      </c>
      <c r="C73" s="17" t="s">
        <v>113</v>
      </c>
      <c r="D73" s="20" t="e">
        <f t="shared" si="2"/>
        <v>#N/A</v>
      </c>
      <c r="E73" s="37"/>
      <c r="F73" s="37"/>
      <c r="G73" s="37"/>
      <c r="H73" s="10"/>
      <c r="I73" s="10"/>
      <c r="J73" s="10"/>
      <c r="K73" s="10"/>
      <c r="L73" s="10"/>
      <c r="M73" s="36"/>
      <c r="N73" s="9"/>
    </row>
    <row r="74" spans="1:14" s="4" customFormat="1" ht="30" customHeight="1">
      <c r="A74" s="9"/>
      <c r="B74" s="13" t="e">
        <f>VLOOKUP(Table245[[#This Row],[Location
(drop-down)]],'List source'!D$2:E$71,2,FALSE)</f>
        <v>#N/A</v>
      </c>
      <c r="C74" s="17" t="s">
        <v>114</v>
      </c>
      <c r="D74" s="20" t="e">
        <f t="shared" si="2"/>
        <v>#N/A</v>
      </c>
      <c r="E74" s="37"/>
      <c r="F74" s="37"/>
      <c r="G74" s="37"/>
      <c r="H74" s="10"/>
      <c r="I74" s="10"/>
      <c r="J74" s="10"/>
      <c r="K74" s="10"/>
      <c r="L74" s="10"/>
      <c r="M74" s="36"/>
      <c r="N74" s="9"/>
    </row>
    <row r="75" spans="1:14" s="4" customFormat="1" ht="30" customHeight="1">
      <c r="A75" s="9"/>
      <c r="B75" s="13" t="e">
        <f>VLOOKUP(Table245[[#This Row],[Location
(drop-down)]],'List source'!D$2:E$71,2,FALSE)</f>
        <v>#N/A</v>
      </c>
      <c r="C75" s="17" t="s">
        <v>115</v>
      </c>
      <c r="D75" s="20" t="e">
        <f t="shared" si="2"/>
        <v>#N/A</v>
      </c>
      <c r="E75" s="37"/>
      <c r="F75" s="37"/>
      <c r="G75" s="37"/>
      <c r="H75" s="10"/>
      <c r="I75" s="10"/>
      <c r="J75" s="10"/>
      <c r="K75" s="10"/>
      <c r="L75" s="10"/>
      <c r="M75" s="36"/>
      <c r="N75" s="9"/>
    </row>
    <row r="76" spans="1:14" s="4" customFormat="1" ht="30" customHeight="1">
      <c r="A76" s="9"/>
      <c r="B76" s="13" t="e">
        <f>VLOOKUP(Table245[[#This Row],[Location
(drop-down)]],'List source'!D$2:E$71,2,FALSE)</f>
        <v>#N/A</v>
      </c>
      <c r="C76" s="17" t="s">
        <v>116</v>
      </c>
      <c r="D76" s="20" t="e">
        <f t="shared" si="2"/>
        <v>#N/A</v>
      </c>
      <c r="E76" s="37"/>
      <c r="F76" s="37"/>
      <c r="G76" s="37"/>
      <c r="H76" s="10"/>
      <c r="I76" s="10"/>
      <c r="J76" s="10"/>
      <c r="K76" s="10"/>
      <c r="L76" s="10"/>
      <c r="M76" s="36"/>
      <c r="N76" s="9"/>
    </row>
    <row r="77" spans="1:14" s="4" customFormat="1" ht="30" customHeight="1">
      <c r="A77" s="9"/>
      <c r="B77" s="13" t="e">
        <f>VLOOKUP(Table245[[#This Row],[Location
(drop-down)]],'List source'!D$2:E$71,2,FALSE)</f>
        <v>#N/A</v>
      </c>
      <c r="C77" s="17" t="s">
        <v>117</v>
      </c>
      <c r="D77" s="20" t="e">
        <f t="shared" si="2"/>
        <v>#N/A</v>
      </c>
      <c r="E77" s="37"/>
      <c r="F77" s="37"/>
      <c r="G77" s="28"/>
      <c r="H77" s="10"/>
      <c r="I77" s="10"/>
      <c r="J77" s="10"/>
      <c r="K77" s="10"/>
      <c r="L77" s="10"/>
      <c r="M77" s="36"/>
      <c r="N77" s="9"/>
    </row>
    <row r="78" spans="1:14" s="4" customFormat="1" ht="30" customHeight="1">
      <c r="A78" s="9"/>
      <c r="B78" s="13" t="e">
        <f>VLOOKUP(Table245[[#This Row],[Location
(drop-down)]],'List source'!D$2:E$71,2,FALSE)</f>
        <v>#N/A</v>
      </c>
      <c r="C78" s="17" t="s">
        <v>118</v>
      </c>
      <c r="D78" s="20" t="e">
        <f t="shared" si="2"/>
        <v>#N/A</v>
      </c>
      <c r="E78" s="37"/>
      <c r="F78" s="37"/>
      <c r="G78" s="37"/>
      <c r="H78" s="10"/>
      <c r="I78" s="10"/>
      <c r="J78" s="10"/>
      <c r="K78" s="10"/>
      <c r="L78" s="10"/>
      <c r="M78" s="36"/>
      <c r="N78" s="9"/>
    </row>
    <row r="79" spans="1:14" s="4" customFormat="1" ht="30" customHeight="1">
      <c r="A79" s="9"/>
      <c r="B79" s="13" t="e">
        <f>VLOOKUP(Table245[[#This Row],[Location
(drop-down)]],'List source'!D$2:E$71,2,FALSE)</f>
        <v>#N/A</v>
      </c>
      <c r="C79" s="17" t="s">
        <v>119</v>
      </c>
      <c r="D79" s="20" t="e">
        <f t="shared" si="2"/>
        <v>#N/A</v>
      </c>
      <c r="E79" s="37"/>
      <c r="F79" s="37"/>
      <c r="G79" s="37"/>
      <c r="H79" s="10"/>
      <c r="I79" s="10"/>
      <c r="J79" s="10"/>
      <c r="K79" s="10"/>
      <c r="L79" s="10"/>
      <c r="M79" s="36"/>
      <c r="N79" s="9"/>
    </row>
    <row r="80" spans="1:14" s="4" customFormat="1" ht="30" customHeight="1">
      <c r="A80" s="9"/>
      <c r="B80" s="13" t="e">
        <f>VLOOKUP(Table245[[#This Row],[Location
(drop-down)]],'List source'!D$2:E$71,2,FALSE)</f>
        <v>#N/A</v>
      </c>
      <c r="C80" s="17" t="s">
        <v>120</v>
      </c>
      <c r="D80" s="20" t="e">
        <f t="shared" si="2"/>
        <v>#N/A</v>
      </c>
      <c r="E80" s="37"/>
      <c r="F80" s="37"/>
      <c r="G80" s="37"/>
      <c r="H80" s="10"/>
      <c r="I80" s="10"/>
      <c r="J80" s="10"/>
      <c r="K80" s="10"/>
      <c r="L80" s="10"/>
      <c r="M80" s="36"/>
      <c r="N80" s="9"/>
    </row>
    <row r="81" spans="1:14" s="4" customFormat="1" ht="30" customHeight="1">
      <c r="A81" s="9"/>
      <c r="B81" s="13" t="e">
        <f>VLOOKUP(Table245[[#This Row],[Location
(drop-down)]],'List source'!D$2:E$71,2,FALSE)</f>
        <v>#N/A</v>
      </c>
      <c r="C81" s="17" t="s">
        <v>121</v>
      </c>
      <c r="D81" s="20" t="e">
        <f t="shared" si="2"/>
        <v>#N/A</v>
      </c>
      <c r="E81" s="37"/>
      <c r="F81" s="37"/>
      <c r="G81" s="28"/>
      <c r="H81" s="10"/>
      <c r="I81" s="10"/>
      <c r="J81" s="10"/>
      <c r="K81" s="10"/>
      <c r="L81" s="10"/>
      <c r="M81" s="36"/>
      <c r="N81" s="9"/>
    </row>
    <row r="82" spans="1:14" s="4" customFormat="1" ht="30" customHeight="1">
      <c r="A82" s="9"/>
      <c r="B82" s="13" t="e">
        <f>VLOOKUP(Table245[[#This Row],[Location
(drop-down)]],'List source'!D$2:E$71,2,FALSE)</f>
        <v>#N/A</v>
      </c>
      <c r="C82" s="17" t="s">
        <v>122</v>
      </c>
      <c r="D82" s="20" t="e">
        <f t="shared" si="2"/>
        <v>#N/A</v>
      </c>
      <c r="E82" s="37"/>
      <c r="F82" s="37"/>
      <c r="G82" s="28"/>
      <c r="H82" s="10"/>
      <c r="I82" s="10"/>
      <c r="J82" s="10"/>
      <c r="K82" s="10"/>
      <c r="L82" s="10"/>
      <c r="M82" s="10"/>
      <c r="N82" s="9"/>
    </row>
    <row r="83" spans="1:14" s="4" customFormat="1" ht="30" customHeight="1">
      <c r="A83" s="9"/>
      <c r="B83" s="13" t="e">
        <f>VLOOKUP(Table245[[#This Row],[Location
(drop-down)]],'List source'!D$2:E$71,2,FALSE)</f>
        <v>#N/A</v>
      </c>
      <c r="C83" s="17" t="s">
        <v>123</v>
      </c>
      <c r="D83" s="20" t="e">
        <f t="shared" si="2"/>
        <v>#N/A</v>
      </c>
      <c r="E83" s="37"/>
      <c r="F83" s="37"/>
      <c r="G83" s="37"/>
      <c r="H83" s="10"/>
      <c r="I83" s="10"/>
      <c r="J83" s="10"/>
      <c r="K83" s="117"/>
      <c r="L83" s="10"/>
      <c r="M83" s="10"/>
      <c r="N83" s="73"/>
    </row>
    <row r="84" spans="1:14" s="4" customFormat="1" ht="30" customHeight="1">
      <c r="A84" s="9"/>
      <c r="B84" s="13" t="e">
        <f>VLOOKUP(Table245[[#This Row],[Location
(drop-down)]],'List source'!D$2:E$71,2,FALSE)</f>
        <v>#N/A</v>
      </c>
      <c r="C84" s="17" t="s">
        <v>124</v>
      </c>
      <c r="D84" s="20" t="e">
        <f t="shared" si="2"/>
        <v>#N/A</v>
      </c>
      <c r="E84" s="37"/>
      <c r="F84" s="37"/>
      <c r="G84" s="37"/>
      <c r="H84" s="10"/>
      <c r="I84" s="10"/>
      <c r="J84" s="10"/>
      <c r="K84" s="10"/>
      <c r="L84" s="10"/>
      <c r="M84" s="36"/>
      <c r="N84" s="9"/>
    </row>
    <row r="85" spans="1:14" s="4" customFormat="1" ht="30" customHeight="1">
      <c r="A85" s="9"/>
      <c r="B85" s="13" t="e">
        <f>VLOOKUP(Table245[[#This Row],[Location
(drop-down)]],'List source'!D$2:E$71,2,FALSE)</f>
        <v>#N/A</v>
      </c>
      <c r="C85" s="17" t="s">
        <v>125</v>
      </c>
      <c r="D85" s="20" t="e">
        <f t="shared" si="2"/>
        <v>#N/A</v>
      </c>
      <c r="E85" s="37"/>
      <c r="F85" s="37"/>
      <c r="G85" s="37"/>
      <c r="H85" s="10"/>
      <c r="I85" s="10"/>
      <c r="J85" s="10"/>
      <c r="K85" s="10"/>
      <c r="L85" s="10"/>
      <c r="M85" s="36"/>
      <c r="N85" s="9"/>
    </row>
    <row r="86" spans="1:14" s="4" customFormat="1" ht="30" customHeight="1">
      <c r="A86" s="9"/>
      <c r="B86" s="13" t="e">
        <f>VLOOKUP(Table245[[#This Row],[Location
(drop-down)]],'List source'!D$2:E$71,2,FALSE)</f>
        <v>#N/A</v>
      </c>
      <c r="C86" s="17" t="s">
        <v>126</v>
      </c>
      <c r="D86" s="20" t="e">
        <f t="shared" si="2"/>
        <v>#N/A</v>
      </c>
      <c r="E86" s="37"/>
      <c r="F86" s="37"/>
      <c r="G86" s="37"/>
      <c r="H86" s="10"/>
      <c r="I86" s="10"/>
      <c r="J86" s="37"/>
      <c r="K86" s="37"/>
      <c r="L86" s="37"/>
      <c r="M86" s="36"/>
      <c r="N86" s="9"/>
    </row>
    <row r="87" spans="1:14" s="4" customFormat="1" ht="30" customHeight="1">
      <c r="A87" s="9"/>
      <c r="B87" s="13" t="e">
        <f>VLOOKUP(Table245[[#This Row],[Location
(drop-down)]],'List source'!D$2:E$71,2,FALSE)</f>
        <v>#N/A</v>
      </c>
      <c r="C87" s="17" t="s">
        <v>127</v>
      </c>
      <c r="D87" s="20" t="e">
        <f t="shared" si="2"/>
        <v>#N/A</v>
      </c>
      <c r="E87" s="37"/>
      <c r="F87" s="37"/>
      <c r="G87" s="28"/>
      <c r="H87" s="10"/>
      <c r="I87" s="10"/>
      <c r="J87" s="10"/>
      <c r="K87" s="10"/>
      <c r="L87" s="10"/>
      <c r="M87" s="36"/>
      <c r="N87" s="9"/>
    </row>
    <row r="88" spans="1:14" s="4" customFormat="1" ht="30" customHeight="1">
      <c r="A88" s="9"/>
      <c r="B88" s="13" t="e">
        <f>VLOOKUP(Table245[[#This Row],[Location
(drop-down)]],'List source'!D$2:E$71,2,FALSE)</f>
        <v>#N/A</v>
      </c>
      <c r="C88" s="17" t="s">
        <v>128</v>
      </c>
      <c r="D88" s="20" t="e">
        <f t="shared" si="2"/>
        <v>#N/A</v>
      </c>
      <c r="E88" s="37"/>
      <c r="F88" s="37"/>
      <c r="G88" s="37"/>
      <c r="H88" s="10"/>
      <c r="I88" s="10"/>
      <c r="J88" s="10"/>
      <c r="K88" s="10"/>
      <c r="L88" s="10"/>
      <c r="M88" s="36"/>
      <c r="N88" s="9"/>
    </row>
    <row r="89" spans="1:14" s="4" customFormat="1" ht="30" customHeight="1">
      <c r="A89" s="9"/>
      <c r="B89" s="13" t="e">
        <f>VLOOKUP(Table245[[#This Row],[Location
(drop-down)]],'List source'!D$2:E$71,2,FALSE)</f>
        <v>#N/A</v>
      </c>
      <c r="C89" s="17" t="s">
        <v>129</v>
      </c>
      <c r="D89" s="20" t="e">
        <f t="shared" si="2"/>
        <v>#N/A</v>
      </c>
      <c r="E89" s="37"/>
      <c r="F89" s="37"/>
      <c r="G89" s="37"/>
      <c r="H89" s="10"/>
      <c r="I89" s="10"/>
      <c r="J89" s="10"/>
      <c r="K89" s="10"/>
      <c r="L89" s="10"/>
      <c r="M89" s="36"/>
      <c r="N89" s="9"/>
    </row>
    <row r="90" spans="1:14" s="4" customFormat="1" ht="30" customHeight="1">
      <c r="A90" s="9"/>
      <c r="B90" s="13" t="e">
        <f>VLOOKUP(Table245[[#This Row],[Location
(drop-down)]],'List source'!D$2:E$71,2,FALSE)</f>
        <v>#N/A</v>
      </c>
      <c r="C90" s="17" t="s">
        <v>130</v>
      </c>
      <c r="D90" s="20" t="e">
        <f t="shared" si="2"/>
        <v>#N/A</v>
      </c>
      <c r="E90" s="37"/>
      <c r="F90" s="37"/>
      <c r="G90" s="37"/>
      <c r="H90" s="10"/>
      <c r="I90" s="10"/>
      <c r="J90" s="10"/>
      <c r="K90" s="10"/>
      <c r="L90" s="10"/>
      <c r="M90" s="36"/>
      <c r="N90" s="9"/>
    </row>
    <row r="91" spans="1:14" s="4" customFormat="1" ht="30" customHeight="1">
      <c r="A91" s="9"/>
      <c r="B91" s="13" t="e">
        <f>VLOOKUP(Table245[[#This Row],[Location
(drop-down)]],'List source'!D$2:E$71,2,FALSE)</f>
        <v>#N/A</v>
      </c>
      <c r="C91" s="17" t="s">
        <v>131</v>
      </c>
      <c r="D91" s="20" t="e">
        <f t="shared" si="2"/>
        <v>#N/A</v>
      </c>
      <c r="E91" s="37"/>
      <c r="F91" s="37"/>
      <c r="G91" s="37"/>
      <c r="H91" s="10"/>
      <c r="I91" s="10"/>
      <c r="J91" s="10"/>
      <c r="K91" s="10"/>
      <c r="L91" s="10"/>
      <c r="M91" s="36"/>
      <c r="N91" s="9"/>
    </row>
    <row r="92" spans="1:14" s="4" customFormat="1" ht="30" customHeight="1">
      <c r="A92" s="9"/>
      <c r="B92" s="13" t="e">
        <f>VLOOKUP(Table245[[#This Row],[Location
(drop-down)]],'List source'!D$2:E$71,2,FALSE)</f>
        <v>#N/A</v>
      </c>
      <c r="C92" s="17" t="s">
        <v>132</v>
      </c>
      <c r="D92" s="20" t="e">
        <f t="shared" si="2"/>
        <v>#N/A</v>
      </c>
      <c r="E92" s="37"/>
      <c r="F92" s="37"/>
      <c r="G92" s="37"/>
      <c r="H92" s="10"/>
      <c r="I92" s="10"/>
      <c r="J92" s="10"/>
      <c r="K92" s="10"/>
      <c r="L92" s="10"/>
      <c r="M92" s="36"/>
      <c r="N92" s="9"/>
    </row>
    <row r="93" spans="1:14" s="4" customFormat="1" ht="30" customHeight="1">
      <c r="A93" s="9"/>
      <c r="B93" s="13" t="e">
        <f>VLOOKUP(Table245[[#This Row],[Location
(drop-down)]],'List source'!D$2:E$71,2,FALSE)</f>
        <v>#N/A</v>
      </c>
      <c r="C93" s="17" t="s">
        <v>133</v>
      </c>
      <c r="D93" s="20" t="e">
        <f t="shared" si="2"/>
        <v>#N/A</v>
      </c>
      <c r="E93" s="37"/>
      <c r="F93" s="37"/>
      <c r="G93" s="37"/>
      <c r="H93" s="10"/>
      <c r="I93" s="10"/>
      <c r="J93" s="10"/>
      <c r="K93" s="10"/>
      <c r="L93" s="10"/>
      <c r="M93" s="36"/>
      <c r="N93" s="9"/>
    </row>
    <row r="94" spans="1:14" s="4" customFormat="1" ht="30" customHeight="1">
      <c r="A94" s="9"/>
      <c r="B94" s="13" t="e">
        <f>VLOOKUP(Table245[[#This Row],[Location
(drop-down)]],'List source'!D$2:E$71,2,FALSE)</f>
        <v>#N/A</v>
      </c>
      <c r="C94" s="17" t="s">
        <v>134</v>
      </c>
      <c r="D94" s="20" t="e">
        <f t="shared" si="2"/>
        <v>#N/A</v>
      </c>
      <c r="E94" s="37"/>
      <c r="F94" s="37"/>
      <c r="G94" s="37"/>
      <c r="H94" s="10"/>
      <c r="I94" s="10"/>
      <c r="J94" s="10"/>
      <c r="K94" s="10"/>
      <c r="L94" s="10"/>
      <c r="M94" s="36"/>
      <c r="N94" s="9"/>
    </row>
    <row r="95" spans="1:14" s="4" customFormat="1" ht="30" customHeight="1">
      <c r="A95" s="9"/>
      <c r="B95" s="13" t="e">
        <f>VLOOKUP(Table245[[#This Row],[Location
(drop-down)]],'List source'!D$2:E$71,2,FALSE)</f>
        <v>#N/A</v>
      </c>
      <c r="C95" s="17" t="s">
        <v>135</v>
      </c>
      <c r="D95" s="20" t="e">
        <f t="shared" si="2"/>
        <v>#N/A</v>
      </c>
      <c r="E95" s="37"/>
      <c r="F95" s="37"/>
      <c r="G95" s="28"/>
      <c r="H95" s="10"/>
      <c r="I95" s="10"/>
      <c r="J95" s="10"/>
      <c r="K95" s="10"/>
      <c r="L95" s="10"/>
      <c r="M95" s="36"/>
      <c r="N95" s="9"/>
    </row>
    <row r="96" spans="1:14" s="4" customFormat="1" ht="30" customHeight="1">
      <c r="A96" s="9"/>
      <c r="B96" s="13" t="e">
        <f>VLOOKUP(Table245[[#This Row],[Location
(drop-down)]],'List source'!D$2:E$71,2,FALSE)</f>
        <v>#N/A</v>
      </c>
      <c r="C96" s="17" t="s">
        <v>136</v>
      </c>
      <c r="D96" s="20" t="e">
        <f t="shared" si="2"/>
        <v>#N/A</v>
      </c>
      <c r="E96" s="37"/>
      <c r="F96" s="37"/>
      <c r="G96" s="37"/>
      <c r="H96" s="10"/>
      <c r="I96" s="10"/>
      <c r="J96" s="10"/>
      <c r="K96" s="10"/>
      <c r="L96" s="10"/>
      <c r="M96" s="36"/>
      <c r="N96" s="9"/>
    </row>
    <row r="97" spans="1:14" s="4" customFormat="1" ht="30" customHeight="1">
      <c r="A97" s="9"/>
      <c r="B97" s="13" t="e">
        <f>VLOOKUP(Table245[[#This Row],[Location
(drop-down)]],'List source'!D$2:E$71,2,FALSE)</f>
        <v>#N/A</v>
      </c>
      <c r="C97" s="17" t="s">
        <v>137</v>
      </c>
      <c r="D97" s="20" t="e">
        <f t="shared" si="2"/>
        <v>#N/A</v>
      </c>
      <c r="E97" s="37"/>
      <c r="F97" s="37"/>
      <c r="G97" s="37"/>
      <c r="H97" s="10"/>
      <c r="I97" s="10"/>
      <c r="J97" s="10"/>
      <c r="K97" s="10"/>
      <c r="L97" s="10"/>
      <c r="M97" s="36"/>
      <c r="N97" s="9"/>
    </row>
    <row r="98" spans="1:14" s="4" customFormat="1" ht="30" customHeight="1">
      <c r="A98" s="9"/>
      <c r="B98" s="13" t="e">
        <f>VLOOKUP(Table245[[#This Row],[Location
(drop-down)]],'List source'!D$2:E$71,2,FALSE)</f>
        <v>#N/A</v>
      </c>
      <c r="C98" s="17" t="s">
        <v>138</v>
      </c>
      <c r="D98" s="20" t="e">
        <f t="shared" ref="D98:D129" si="3">"A" &amp; C98 &amp; "-" &amp; B98 &amp; "-" &amp; "26"</f>
        <v>#N/A</v>
      </c>
      <c r="E98" s="37"/>
      <c r="F98" s="37"/>
      <c r="G98" s="37"/>
      <c r="H98" s="10"/>
      <c r="I98" s="10"/>
      <c r="J98" s="10"/>
      <c r="K98" s="10"/>
      <c r="L98" s="10"/>
      <c r="M98" s="36"/>
      <c r="N98" s="9"/>
    </row>
    <row r="99" spans="1:14" s="4" customFormat="1" ht="30" customHeight="1">
      <c r="A99" s="9"/>
      <c r="B99" s="13" t="e">
        <f>VLOOKUP(Table245[[#This Row],[Location
(drop-down)]],'List source'!D$2:E$71,2,FALSE)</f>
        <v>#N/A</v>
      </c>
      <c r="C99" s="17" t="s">
        <v>139</v>
      </c>
      <c r="D99" s="20" t="e">
        <f t="shared" si="3"/>
        <v>#N/A</v>
      </c>
      <c r="E99" s="37"/>
      <c r="F99" s="37"/>
      <c r="G99" s="28"/>
      <c r="H99" s="10"/>
      <c r="I99" s="10"/>
      <c r="J99" s="10"/>
      <c r="K99" s="10"/>
      <c r="L99" s="10"/>
      <c r="M99" s="36"/>
      <c r="N99" s="9"/>
    </row>
    <row r="100" spans="1:14" s="4" customFormat="1" ht="30" customHeight="1">
      <c r="A100" s="9"/>
      <c r="B100" s="13" t="e">
        <f>VLOOKUP(Table245[[#This Row],[Location
(drop-down)]],'List source'!D$2:E$71,2,FALSE)</f>
        <v>#N/A</v>
      </c>
      <c r="C100" s="17" t="s">
        <v>140</v>
      </c>
      <c r="D100" s="20" t="e">
        <f t="shared" si="3"/>
        <v>#N/A</v>
      </c>
      <c r="E100" s="37"/>
      <c r="F100" s="37"/>
      <c r="G100" s="37"/>
      <c r="H100" s="10"/>
      <c r="I100" s="10"/>
      <c r="J100" s="10"/>
      <c r="K100" s="10"/>
      <c r="L100" s="10"/>
      <c r="M100" s="36"/>
      <c r="N100" s="9"/>
    </row>
    <row r="101" spans="1:14" s="4" customFormat="1" ht="30" customHeight="1">
      <c r="A101" s="9"/>
      <c r="B101" s="13" t="e">
        <f>VLOOKUP(Table245[[#This Row],[Location
(drop-down)]],'List source'!D$2:E$71,2,FALSE)</f>
        <v>#N/A</v>
      </c>
      <c r="C101" s="17" t="s">
        <v>141</v>
      </c>
      <c r="D101" s="20" t="e">
        <f t="shared" si="3"/>
        <v>#N/A</v>
      </c>
      <c r="E101" s="37"/>
      <c r="F101" s="37"/>
      <c r="G101" s="37"/>
      <c r="H101" s="10"/>
      <c r="I101" s="10"/>
      <c r="J101" s="10"/>
      <c r="K101" s="10"/>
      <c r="L101" s="10"/>
      <c r="M101" s="36"/>
      <c r="N101" s="9"/>
    </row>
    <row r="102" spans="1:14" s="4" customFormat="1" ht="30" customHeight="1">
      <c r="A102" s="9"/>
      <c r="B102" s="13" t="e">
        <f>VLOOKUP(Table245[[#This Row],[Location
(drop-down)]],'List source'!D$2:E$71,2,FALSE)</f>
        <v>#N/A</v>
      </c>
      <c r="C102" s="17" t="s">
        <v>142</v>
      </c>
      <c r="D102" s="20" t="e">
        <f t="shared" si="3"/>
        <v>#N/A</v>
      </c>
      <c r="E102" s="37"/>
      <c r="F102" s="37"/>
      <c r="G102" s="37"/>
      <c r="H102" s="10"/>
      <c r="I102" s="10"/>
      <c r="J102" s="10"/>
      <c r="K102" s="10"/>
      <c r="L102" s="10"/>
      <c r="M102" s="36"/>
      <c r="N102" s="9"/>
    </row>
    <row r="103" spans="1:14" s="4" customFormat="1" ht="30" customHeight="1">
      <c r="A103" s="9"/>
      <c r="B103" s="13" t="e">
        <f>VLOOKUP(Table245[[#This Row],[Location
(drop-down)]],'List source'!D$2:E$71,2,FALSE)</f>
        <v>#N/A</v>
      </c>
      <c r="C103" s="17" t="s">
        <v>143</v>
      </c>
      <c r="D103" s="20" t="e">
        <f t="shared" si="3"/>
        <v>#N/A</v>
      </c>
      <c r="E103" s="37"/>
      <c r="F103" s="37"/>
      <c r="G103" s="37"/>
      <c r="H103" s="10"/>
      <c r="I103" s="10"/>
      <c r="J103" s="10"/>
      <c r="K103" s="10"/>
      <c r="L103" s="10"/>
      <c r="M103" s="36"/>
      <c r="N103" s="9"/>
    </row>
    <row r="104" spans="1:14" s="4" customFormat="1" ht="30" customHeight="1">
      <c r="A104" s="9"/>
      <c r="B104" s="13" t="e">
        <f>VLOOKUP(Table245[[#This Row],[Location
(drop-down)]],'List source'!D$2:E$71,2,FALSE)</f>
        <v>#N/A</v>
      </c>
      <c r="C104" s="17" t="s">
        <v>144</v>
      </c>
      <c r="D104" s="20" t="e">
        <f t="shared" si="3"/>
        <v>#N/A</v>
      </c>
      <c r="E104" s="37"/>
      <c r="F104" s="37"/>
      <c r="G104" s="37"/>
      <c r="H104" s="10"/>
      <c r="I104" s="10"/>
      <c r="J104" s="10"/>
      <c r="K104" s="10"/>
      <c r="L104" s="10"/>
      <c r="M104" s="36"/>
      <c r="N104" s="9"/>
    </row>
    <row r="105" spans="1:14" s="4" customFormat="1" ht="30" customHeight="1">
      <c r="A105" s="9"/>
      <c r="B105" s="13" t="e">
        <f>VLOOKUP(Table245[[#This Row],[Location
(drop-down)]],'List source'!D$2:E$71,2,FALSE)</f>
        <v>#N/A</v>
      </c>
      <c r="C105" s="17" t="s">
        <v>145</v>
      </c>
      <c r="D105" s="20" t="e">
        <f t="shared" si="3"/>
        <v>#N/A</v>
      </c>
      <c r="E105" s="37"/>
      <c r="F105" s="37"/>
      <c r="G105" s="37"/>
      <c r="H105" s="10"/>
      <c r="I105" s="10"/>
      <c r="J105" s="10"/>
      <c r="K105" s="10"/>
      <c r="L105" s="10"/>
      <c r="M105" s="36"/>
      <c r="N105" s="9"/>
    </row>
    <row r="106" spans="1:14" s="4" customFormat="1" ht="30" customHeight="1">
      <c r="A106" s="9"/>
      <c r="B106" s="13" t="e">
        <f>VLOOKUP(Table245[[#This Row],[Location
(drop-down)]],'List source'!D$2:E$71,2,FALSE)</f>
        <v>#N/A</v>
      </c>
      <c r="C106" s="17" t="s">
        <v>146</v>
      </c>
      <c r="D106" s="20" t="e">
        <f t="shared" si="3"/>
        <v>#N/A</v>
      </c>
      <c r="E106" s="37"/>
      <c r="F106" s="37"/>
      <c r="G106" s="28"/>
      <c r="H106" s="10"/>
      <c r="I106" s="10"/>
      <c r="J106" s="10"/>
      <c r="K106" s="10"/>
      <c r="L106" s="10"/>
      <c r="M106" s="36"/>
      <c r="N106" s="9"/>
    </row>
    <row r="107" spans="1:14" s="4" customFormat="1" ht="63.6" customHeight="1">
      <c r="A107" s="9"/>
      <c r="B107" s="13" t="e">
        <f>VLOOKUP(Table245[[#This Row],[Location
(drop-down)]],'List source'!D$2:E$71,2,FALSE)</f>
        <v>#N/A</v>
      </c>
      <c r="C107" s="17" t="s">
        <v>147</v>
      </c>
      <c r="D107" s="20" t="e">
        <f t="shared" si="3"/>
        <v>#N/A</v>
      </c>
      <c r="E107" s="37"/>
      <c r="F107" s="37"/>
      <c r="G107" s="37"/>
      <c r="H107" s="10"/>
      <c r="I107" s="10"/>
      <c r="J107" s="10"/>
      <c r="K107" s="10"/>
      <c r="L107" s="10"/>
      <c r="M107" s="36"/>
      <c r="N107" s="9"/>
    </row>
    <row r="108" spans="1:14" s="4" customFormat="1" ht="30" customHeight="1">
      <c r="A108" s="9"/>
      <c r="B108" s="13" t="e">
        <f>VLOOKUP(Table245[[#This Row],[Location
(drop-down)]],'List source'!D$2:E$71,2,FALSE)</f>
        <v>#N/A</v>
      </c>
      <c r="C108" s="17" t="s">
        <v>148</v>
      </c>
      <c r="D108" s="20" t="e">
        <f t="shared" si="3"/>
        <v>#N/A</v>
      </c>
      <c r="E108" s="37"/>
      <c r="F108" s="37"/>
      <c r="G108" s="37"/>
      <c r="H108" s="10"/>
      <c r="I108" s="10"/>
      <c r="J108" s="10"/>
      <c r="K108" s="10"/>
      <c r="L108" s="10"/>
      <c r="M108" s="36"/>
      <c r="N108" s="9"/>
    </row>
    <row r="109" spans="1:14" s="4" customFormat="1" ht="30" customHeight="1">
      <c r="A109" s="9"/>
      <c r="B109" s="13" t="e">
        <f>VLOOKUP(Table245[[#This Row],[Location
(drop-down)]],'List source'!D$2:E$71,2,FALSE)</f>
        <v>#N/A</v>
      </c>
      <c r="C109" s="17" t="s">
        <v>149</v>
      </c>
      <c r="D109" s="20" t="e">
        <f t="shared" si="3"/>
        <v>#N/A</v>
      </c>
      <c r="E109" s="37"/>
      <c r="F109" s="37"/>
      <c r="G109" s="28"/>
      <c r="H109" s="10"/>
      <c r="I109" s="10"/>
      <c r="J109" s="10"/>
      <c r="K109" s="10"/>
      <c r="L109" s="10"/>
      <c r="M109" s="36"/>
      <c r="N109" s="9"/>
    </row>
    <row r="110" spans="1:14" s="4" customFormat="1" ht="45" customHeight="1">
      <c r="A110" s="9"/>
      <c r="B110" s="13" t="e">
        <f>VLOOKUP(Table245[[#This Row],[Location
(drop-down)]],'List source'!D$2:E$71,2,FALSE)</f>
        <v>#N/A</v>
      </c>
      <c r="C110" s="17" t="s">
        <v>150</v>
      </c>
      <c r="D110" s="20" t="e">
        <f t="shared" si="3"/>
        <v>#N/A</v>
      </c>
      <c r="E110" s="37"/>
      <c r="F110" s="37"/>
      <c r="G110" s="28"/>
      <c r="H110" s="10"/>
      <c r="I110" s="10"/>
      <c r="J110" s="10"/>
      <c r="K110" s="10"/>
      <c r="L110" s="10"/>
      <c r="M110" s="36"/>
      <c r="N110" s="73"/>
    </row>
    <row r="111" spans="1:14" s="4" customFormat="1" ht="30" customHeight="1">
      <c r="A111" s="9"/>
      <c r="B111" s="13" t="e">
        <f>VLOOKUP(Table245[[#This Row],[Location
(drop-down)]],'List source'!D$2:E$71,2,FALSE)</f>
        <v>#N/A</v>
      </c>
      <c r="C111" s="17" t="s">
        <v>151</v>
      </c>
      <c r="D111" s="20" t="e">
        <f t="shared" si="3"/>
        <v>#N/A</v>
      </c>
      <c r="E111" s="37"/>
      <c r="F111" s="37"/>
      <c r="G111" s="37"/>
      <c r="H111" s="10"/>
      <c r="I111" s="10"/>
      <c r="J111" s="10"/>
      <c r="K111" s="10"/>
      <c r="L111" s="10"/>
      <c r="M111" s="36"/>
      <c r="N111" s="9"/>
    </row>
    <row r="112" spans="1:14" s="4" customFormat="1" ht="30" customHeight="1">
      <c r="A112" s="9"/>
      <c r="B112" s="13" t="e">
        <f>VLOOKUP(Table245[[#This Row],[Location
(drop-down)]],'List source'!D$2:E$71,2,FALSE)</f>
        <v>#N/A</v>
      </c>
      <c r="C112" s="17" t="s">
        <v>152</v>
      </c>
      <c r="D112" s="20" t="e">
        <f t="shared" si="3"/>
        <v>#N/A</v>
      </c>
      <c r="E112" s="37"/>
      <c r="F112" s="37"/>
      <c r="G112" s="28"/>
      <c r="H112" s="10"/>
      <c r="I112" s="10"/>
      <c r="J112" s="10"/>
      <c r="K112" s="10"/>
      <c r="L112" s="10"/>
      <c r="M112" s="36"/>
      <c r="N112" s="9"/>
    </row>
    <row r="113" spans="1:14" s="4" customFormat="1" ht="30" customHeight="1">
      <c r="A113" s="9"/>
      <c r="B113" s="13" t="e">
        <f>VLOOKUP(Table245[[#This Row],[Location
(drop-down)]],'List source'!D$2:E$71,2,FALSE)</f>
        <v>#N/A</v>
      </c>
      <c r="C113" s="17" t="s">
        <v>153</v>
      </c>
      <c r="D113" s="20" t="e">
        <f t="shared" si="3"/>
        <v>#N/A</v>
      </c>
      <c r="E113" s="37"/>
      <c r="F113" s="37"/>
      <c r="G113" s="37"/>
      <c r="H113" s="10"/>
      <c r="I113" s="10"/>
      <c r="J113" s="10"/>
      <c r="K113" s="10"/>
      <c r="L113" s="10"/>
      <c r="M113" s="36"/>
      <c r="N113" s="9"/>
    </row>
    <row r="114" spans="1:14" s="4" customFormat="1" ht="30" customHeight="1">
      <c r="A114" s="9"/>
      <c r="B114" s="13" t="e">
        <f>VLOOKUP(Table245[[#This Row],[Location
(drop-down)]],'List source'!D$2:E$71,2,FALSE)</f>
        <v>#N/A</v>
      </c>
      <c r="C114" s="17" t="s">
        <v>154</v>
      </c>
      <c r="D114" s="20" t="e">
        <f t="shared" si="3"/>
        <v>#N/A</v>
      </c>
      <c r="E114" s="37"/>
      <c r="F114" s="37"/>
      <c r="G114" s="37"/>
      <c r="H114" s="10"/>
      <c r="I114" s="10"/>
      <c r="J114" s="10"/>
      <c r="K114" s="10"/>
      <c r="L114" s="10"/>
      <c r="M114" s="36"/>
      <c r="N114" s="9"/>
    </row>
    <row r="115" spans="1:14" s="4" customFormat="1" ht="30" customHeight="1">
      <c r="A115" s="9"/>
      <c r="B115" s="13" t="e">
        <f>VLOOKUP(Table245[[#This Row],[Location
(drop-down)]],'List source'!D$2:E$71,2,FALSE)</f>
        <v>#N/A</v>
      </c>
      <c r="C115" s="17" t="s">
        <v>155</v>
      </c>
      <c r="D115" s="20" t="e">
        <f t="shared" si="3"/>
        <v>#N/A</v>
      </c>
      <c r="E115" s="37"/>
      <c r="F115" s="37"/>
      <c r="G115" s="37"/>
      <c r="H115" s="10"/>
      <c r="I115" s="10"/>
      <c r="J115" s="10"/>
      <c r="K115" s="10"/>
      <c r="L115" s="10"/>
      <c r="M115" s="36"/>
      <c r="N115" s="9"/>
    </row>
    <row r="116" spans="1:14" s="4" customFormat="1" ht="30" customHeight="1">
      <c r="A116" s="9"/>
      <c r="B116" s="13" t="e">
        <f>VLOOKUP(Table245[[#This Row],[Location
(drop-down)]],'List source'!D$2:E$71,2,FALSE)</f>
        <v>#N/A</v>
      </c>
      <c r="C116" s="17" t="s">
        <v>156</v>
      </c>
      <c r="D116" s="20" t="e">
        <f t="shared" si="3"/>
        <v>#N/A</v>
      </c>
      <c r="E116" s="37"/>
      <c r="F116" s="37"/>
      <c r="G116" s="37"/>
      <c r="H116" s="10"/>
      <c r="I116" s="10"/>
      <c r="J116" s="10"/>
      <c r="K116" s="10"/>
      <c r="L116" s="10"/>
      <c r="M116" s="36"/>
      <c r="N116" s="9"/>
    </row>
    <row r="117" spans="1:14" s="4" customFormat="1" ht="30" customHeight="1">
      <c r="A117" s="9"/>
      <c r="B117" s="13" t="e">
        <f>VLOOKUP(Table245[[#This Row],[Location
(drop-down)]],'List source'!D$2:E$71,2,FALSE)</f>
        <v>#N/A</v>
      </c>
      <c r="C117" s="17" t="s">
        <v>157</v>
      </c>
      <c r="D117" s="20" t="e">
        <f t="shared" si="3"/>
        <v>#N/A</v>
      </c>
      <c r="E117" s="37"/>
      <c r="F117" s="37"/>
      <c r="G117" s="37"/>
      <c r="H117" s="10"/>
      <c r="I117" s="10"/>
      <c r="J117" s="10"/>
      <c r="K117" s="10"/>
      <c r="L117" s="10"/>
      <c r="M117" s="36"/>
      <c r="N117" s="9"/>
    </row>
    <row r="118" spans="1:14" s="4" customFormat="1" ht="30" customHeight="1">
      <c r="A118" s="9"/>
      <c r="B118" s="13" t="e">
        <f>VLOOKUP(Table245[[#This Row],[Location
(drop-down)]],'List source'!D$2:E$71,2,FALSE)</f>
        <v>#N/A</v>
      </c>
      <c r="C118" s="17" t="s">
        <v>158</v>
      </c>
      <c r="D118" s="20" t="e">
        <f t="shared" si="3"/>
        <v>#N/A</v>
      </c>
      <c r="E118" s="37"/>
      <c r="F118" s="37"/>
      <c r="G118" s="37"/>
      <c r="H118" s="10"/>
      <c r="I118" s="10"/>
      <c r="J118" s="10"/>
      <c r="K118" s="10"/>
      <c r="L118" s="10"/>
      <c r="M118" s="36"/>
      <c r="N118" s="9"/>
    </row>
    <row r="119" spans="1:14" s="4" customFormat="1" ht="30" customHeight="1">
      <c r="A119" s="9"/>
      <c r="B119" s="13" t="e">
        <f>VLOOKUP(Table245[[#This Row],[Location
(drop-down)]],'List source'!D$2:E$71,2,FALSE)</f>
        <v>#N/A</v>
      </c>
      <c r="C119" s="17" t="s">
        <v>159</v>
      </c>
      <c r="D119" s="20" t="e">
        <f t="shared" si="3"/>
        <v>#N/A</v>
      </c>
      <c r="E119" s="37"/>
      <c r="F119" s="37"/>
      <c r="G119" s="37"/>
      <c r="H119" s="10"/>
      <c r="I119" s="10"/>
      <c r="J119" s="10"/>
      <c r="K119" s="191"/>
      <c r="L119" s="10"/>
      <c r="M119" s="36"/>
      <c r="N119" s="9"/>
    </row>
    <row r="120" spans="1:14" s="4" customFormat="1" ht="30" customHeight="1">
      <c r="A120" s="9"/>
      <c r="B120" s="13" t="e">
        <f>VLOOKUP(Table245[[#This Row],[Location
(drop-down)]],'List source'!D$2:E$71,2,FALSE)</f>
        <v>#N/A</v>
      </c>
      <c r="C120" s="17" t="s">
        <v>160</v>
      </c>
      <c r="D120" s="20" t="e">
        <f t="shared" si="3"/>
        <v>#N/A</v>
      </c>
      <c r="E120" s="37"/>
      <c r="F120" s="37"/>
      <c r="G120" s="37"/>
      <c r="H120" s="10"/>
      <c r="I120" s="10"/>
      <c r="J120" s="10"/>
      <c r="K120" s="10"/>
      <c r="L120" s="10"/>
      <c r="M120" s="36"/>
      <c r="N120" s="9"/>
    </row>
    <row r="121" spans="1:14" s="4" customFormat="1" ht="30" customHeight="1">
      <c r="A121" s="9"/>
      <c r="B121" s="13" t="e">
        <f>VLOOKUP(Table245[[#This Row],[Location
(drop-down)]],'List source'!D$2:E$71,2,FALSE)</f>
        <v>#N/A</v>
      </c>
      <c r="C121" s="17" t="s">
        <v>161</v>
      </c>
      <c r="D121" s="20" t="e">
        <f t="shared" si="3"/>
        <v>#N/A</v>
      </c>
      <c r="E121" s="37"/>
      <c r="F121" s="37"/>
      <c r="G121" s="37"/>
      <c r="H121" s="10"/>
      <c r="I121" s="10"/>
      <c r="J121" s="10"/>
      <c r="K121" s="10"/>
      <c r="L121" s="10"/>
      <c r="M121" s="36"/>
      <c r="N121" s="9"/>
    </row>
    <row r="122" spans="1:14" s="4" customFormat="1" ht="30" customHeight="1">
      <c r="A122" s="9"/>
      <c r="B122" s="13" t="e">
        <f>VLOOKUP(Table245[[#This Row],[Location
(drop-down)]],'List source'!D$2:E$71,2,FALSE)</f>
        <v>#N/A</v>
      </c>
      <c r="C122" s="17" t="s">
        <v>162</v>
      </c>
      <c r="D122" s="20" t="e">
        <f t="shared" si="3"/>
        <v>#N/A</v>
      </c>
      <c r="E122" s="37"/>
      <c r="F122" s="37"/>
      <c r="G122" s="37"/>
      <c r="H122" s="10"/>
      <c r="I122" s="10"/>
      <c r="J122" s="10"/>
      <c r="K122" s="10"/>
      <c r="L122" s="10"/>
      <c r="M122" s="36"/>
      <c r="N122" s="9"/>
    </row>
    <row r="123" spans="1:14" s="4" customFormat="1" ht="30" customHeight="1">
      <c r="A123" s="9"/>
      <c r="B123" s="13" t="e">
        <f>VLOOKUP(Table245[[#This Row],[Location
(drop-down)]],'List source'!D$2:E$71,2,FALSE)</f>
        <v>#N/A</v>
      </c>
      <c r="C123" s="17" t="s">
        <v>163</v>
      </c>
      <c r="D123" s="20" t="e">
        <f t="shared" si="3"/>
        <v>#N/A</v>
      </c>
      <c r="E123" s="37"/>
      <c r="F123" s="37"/>
      <c r="G123" s="37"/>
      <c r="H123" s="10"/>
      <c r="I123" s="10"/>
      <c r="J123" s="10"/>
      <c r="K123" s="10"/>
      <c r="L123" s="10"/>
      <c r="M123" s="36"/>
      <c r="N123" s="9"/>
    </row>
    <row r="124" spans="1:14" s="4" customFormat="1" ht="44.1" customHeight="1">
      <c r="A124" s="9"/>
      <c r="B124" s="13" t="e">
        <f>VLOOKUP(Table245[[#This Row],[Location
(drop-down)]],'List source'!D$2:E$71,2,FALSE)</f>
        <v>#N/A</v>
      </c>
      <c r="C124" s="17" t="s">
        <v>164</v>
      </c>
      <c r="D124" s="20" t="e">
        <f t="shared" si="3"/>
        <v>#N/A</v>
      </c>
      <c r="E124" s="37"/>
      <c r="F124" s="37"/>
      <c r="G124" s="37"/>
      <c r="H124" s="10"/>
      <c r="I124" s="10"/>
      <c r="J124" s="10"/>
      <c r="K124" s="10"/>
      <c r="L124" s="10"/>
      <c r="M124" s="36"/>
      <c r="N124" s="9"/>
    </row>
    <row r="125" spans="1:14" s="4" customFormat="1" ht="30" customHeight="1">
      <c r="A125" s="9"/>
      <c r="B125" s="13" t="e">
        <f>VLOOKUP(Table245[[#This Row],[Location
(drop-down)]],'List source'!D$2:E$71,2,FALSE)</f>
        <v>#N/A</v>
      </c>
      <c r="C125" s="17" t="s">
        <v>165</v>
      </c>
      <c r="D125" s="20" t="e">
        <f t="shared" si="3"/>
        <v>#N/A</v>
      </c>
      <c r="E125" s="37"/>
      <c r="F125" s="37"/>
      <c r="G125" s="37"/>
      <c r="H125" s="10"/>
      <c r="I125" s="10"/>
      <c r="J125" s="10"/>
      <c r="K125" s="10"/>
      <c r="L125" s="10"/>
      <c r="M125" s="36"/>
      <c r="N125" s="9"/>
    </row>
    <row r="126" spans="1:14" s="4" customFormat="1" ht="30" customHeight="1">
      <c r="A126" s="9"/>
      <c r="B126" s="13" t="e">
        <f>VLOOKUP(Table245[[#This Row],[Location
(drop-down)]],'List source'!D$2:E$71,2,FALSE)</f>
        <v>#N/A</v>
      </c>
      <c r="C126" s="17" t="s">
        <v>166</v>
      </c>
      <c r="D126" s="20" t="e">
        <f t="shared" si="3"/>
        <v>#N/A</v>
      </c>
      <c r="E126" s="37"/>
      <c r="F126" s="37"/>
      <c r="G126" s="37"/>
      <c r="H126" s="10"/>
      <c r="I126" s="10"/>
      <c r="J126" s="10"/>
      <c r="K126" s="10"/>
      <c r="L126" s="10"/>
      <c r="M126" s="36"/>
      <c r="N126" s="9"/>
    </row>
    <row r="127" spans="1:14" s="4" customFormat="1" ht="30" customHeight="1">
      <c r="A127" s="9"/>
      <c r="B127" s="13" t="e">
        <f>VLOOKUP(Table245[[#This Row],[Location
(drop-down)]],'List source'!D$2:E$71,2,FALSE)</f>
        <v>#N/A</v>
      </c>
      <c r="C127" s="17" t="s">
        <v>167</v>
      </c>
      <c r="D127" s="20" t="e">
        <f t="shared" si="3"/>
        <v>#N/A</v>
      </c>
      <c r="E127" s="37"/>
      <c r="F127" s="37"/>
      <c r="G127" s="37"/>
      <c r="H127" s="10"/>
      <c r="I127" s="10"/>
      <c r="J127" s="10"/>
      <c r="K127" s="10"/>
      <c r="L127" s="10"/>
      <c r="M127" s="36"/>
      <c r="N127" s="9"/>
    </row>
    <row r="128" spans="1:14" s="4" customFormat="1" ht="30" customHeight="1">
      <c r="A128" s="9"/>
      <c r="B128" s="13" t="e">
        <f>VLOOKUP(Table245[[#This Row],[Location
(drop-down)]],'List source'!D$2:E$71,2,FALSE)</f>
        <v>#N/A</v>
      </c>
      <c r="C128" s="17" t="s">
        <v>168</v>
      </c>
      <c r="D128" s="20" t="e">
        <f t="shared" si="3"/>
        <v>#N/A</v>
      </c>
      <c r="E128" s="37"/>
      <c r="F128" s="37"/>
      <c r="G128" s="28"/>
      <c r="H128" s="10"/>
      <c r="I128" s="10"/>
      <c r="J128" s="10"/>
      <c r="K128" s="10"/>
      <c r="L128" s="10"/>
      <c r="M128" s="36"/>
      <c r="N128" s="9"/>
    </row>
    <row r="129" spans="1:14" s="4" customFormat="1" ht="30" customHeight="1">
      <c r="A129" s="9"/>
      <c r="B129" s="13" t="e">
        <f>VLOOKUP(Table245[[#This Row],[Location
(drop-down)]],'List source'!D$2:E$71,2,FALSE)</f>
        <v>#N/A</v>
      </c>
      <c r="C129" s="17" t="s">
        <v>169</v>
      </c>
      <c r="D129" s="20" t="e">
        <f t="shared" si="3"/>
        <v>#N/A</v>
      </c>
      <c r="E129" s="37"/>
      <c r="F129" s="37"/>
      <c r="G129" s="28"/>
      <c r="H129" s="10"/>
      <c r="I129" s="10"/>
      <c r="J129" s="10"/>
      <c r="K129" s="10"/>
      <c r="L129" s="10"/>
      <c r="M129" s="36"/>
      <c r="N129" s="9"/>
    </row>
    <row r="130" spans="1:14" s="4" customFormat="1" ht="30" customHeight="1">
      <c r="A130" s="9"/>
      <c r="B130" s="13" t="e">
        <f>VLOOKUP(Table245[[#This Row],[Location
(drop-down)]],'List source'!D$2:E$71,2,FALSE)</f>
        <v>#N/A</v>
      </c>
      <c r="C130" s="17" t="s">
        <v>170</v>
      </c>
      <c r="D130" s="20" t="e">
        <f t="shared" ref="D130:D161" si="4">"A" &amp; C130 &amp; "-" &amp; B130 &amp; "-" &amp; "26"</f>
        <v>#N/A</v>
      </c>
      <c r="E130" s="28"/>
      <c r="F130" s="28"/>
      <c r="G130" s="37"/>
      <c r="H130" s="10"/>
      <c r="I130" s="10"/>
      <c r="J130" s="10"/>
      <c r="K130" s="10"/>
      <c r="L130" s="10"/>
      <c r="M130" s="36"/>
      <c r="N130" s="9"/>
    </row>
    <row r="131" spans="1:14" s="4" customFormat="1" ht="30" customHeight="1">
      <c r="A131" s="9"/>
      <c r="B131" s="13" t="e">
        <f>VLOOKUP(Table245[[#This Row],[Location
(drop-down)]],'List source'!D$2:E$71,2,FALSE)</f>
        <v>#N/A</v>
      </c>
      <c r="C131" s="17" t="s">
        <v>171</v>
      </c>
      <c r="D131" s="20" t="e">
        <f t="shared" si="4"/>
        <v>#N/A</v>
      </c>
      <c r="E131" s="37"/>
      <c r="F131" s="37"/>
      <c r="G131" s="28"/>
      <c r="H131" s="10"/>
      <c r="I131" s="10"/>
      <c r="J131" s="10"/>
      <c r="K131" s="10"/>
      <c r="L131" s="10"/>
      <c r="M131" s="36"/>
      <c r="N131" s="9"/>
    </row>
    <row r="132" spans="1:14" s="4" customFormat="1" ht="30" customHeight="1">
      <c r="A132" s="9"/>
      <c r="B132" s="13" t="e">
        <f>VLOOKUP(Table245[[#This Row],[Location
(drop-down)]],'List source'!D$2:E$71,2,FALSE)</f>
        <v>#N/A</v>
      </c>
      <c r="C132" s="17" t="s">
        <v>172</v>
      </c>
      <c r="D132" s="20" t="e">
        <f t="shared" si="4"/>
        <v>#N/A</v>
      </c>
      <c r="E132" s="37"/>
      <c r="F132" s="37"/>
      <c r="G132" s="28"/>
      <c r="H132" s="10"/>
      <c r="I132" s="10"/>
      <c r="J132" s="10"/>
      <c r="K132" s="10"/>
      <c r="L132" s="10"/>
      <c r="M132" s="36"/>
      <c r="N132" s="9"/>
    </row>
    <row r="133" spans="1:14" s="4" customFormat="1" ht="30" customHeight="1">
      <c r="A133" s="9"/>
      <c r="B133" s="13" t="e">
        <f>VLOOKUP(Table245[[#This Row],[Location
(drop-down)]],'List source'!D$2:E$71,2,FALSE)</f>
        <v>#N/A</v>
      </c>
      <c r="C133" s="17" t="s">
        <v>173</v>
      </c>
      <c r="D133" s="20" t="e">
        <f t="shared" si="4"/>
        <v>#N/A</v>
      </c>
      <c r="E133" s="37"/>
      <c r="F133" s="37"/>
      <c r="G133" s="28"/>
      <c r="H133" s="10"/>
      <c r="I133" s="10"/>
      <c r="J133" s="10"/>
      <c r="K133" s="10"/>
      <c r="L133" s="10"/>
      <c r="M133" s="36"/>
      <c r="N133" s="9"/>
    </row>
    <row r="134" spans="1:14" s="4" customFormat="1" ht="30" customHeight="1">
      <c r="A134" s="9"/>
      <c r="B134" s="13" t="e">
        <f>VLOOKUP(Table245[[#This Row],[Location
(drop-down)]],'List source'!D$2:E$71,2,FALSE)</f>
        <v>#N/A</v>
      </c>
      <c r="C134" s="17" t="s">
        <v>174</v>
      </c>
      <c r="D134" s="20" t="e">
        <f t="shared" si="4"/>
        <v>#N/A</v>
      </c>
      <c r="E134" s="37"/>
      <c r="F134" s="37"/>
      <c r="G134" s="37"/>
      <c r="H134" s="10"/>
      <c r="I134" s="10"/>
      <c r="J134" s="10"/>
      <c r="K134" s="10"/>
      <c r="L134" s="10"/>
      <c r="M134" s="36"/>
      <c r="N134" s="9"/>
    </row>
    <row r="135" spans="1:14" s="4" customFormat="1" ht="30" customHeight="1">
      <c r="A135" s="9"/>
      <c r="B135" s="13" t="e">
        <f>VLOOKUP(Table245[[#This Row],[Location
(drop-down)]],'List source'!D$2:E$71,2,FALSE)</f>
        <v>#N/A</v>
      </c>
      <c r="C135" s="17" t="s">
        <v>175</v>
      </c>
      <c r="D135" s="20" t="e">
        <f t="shared" si="4"/>
        <v>#N/A</v>
      </c>
      <c r="E135" s="37"/>
      <c r="F135" s="37"/>
      <c r="G135" s="28"/>
      <c r="H135" s="10"/>
      <c r="I135" s="10"/>
      <c r="J135" s="10"/>
      <c r="K135" s="10"/>
      <c r="L135" s="10"/>
      <c r="M135" s="36"/>
      <c r="N135" s="9"/>
    </row>
    <row r="136" spans="1:14" s="4" customFormat="1" ht="30" customHeight="1">
      <c r="A136" s="9"/>
      <c r="B136" s="13" t="e">
        <f>VLOOKUP(Table245[[#This Row],[Location
(drop-down)]],'List source'!D$2:E$71,2,FALSE)</f>
        <v>#N/A</v>
      </c>
      <c r="C136" s="17" t="s">
        <v>176</v>
      </c>
      <c r="D136" s="20" t="e">
        <f t="shared" si="4"/>
        <v>#N/A</v>
      </c>
      <c r="E136" s="37"/>
      <c r="F136" s="37"/>
      <c r="G136" s="28"/>
      <c r="H136" s="10"/>
      <c r="I136" s="10"/>
      <c r="J136" s="10"/>
      <c r="K136" s="10"/>
      <c r="L136" s="10"/>
      <c r="M136" s="36"/>
      <c r="N136" s="9"/>
    </row>
    <row r="137" spans="1:14" s="4" customFormat="1" ht="30" customHeight="1">
      <c r="A137" s="9"/>
      <c r="B137" s="13" t="e">
        <f>VLOOKUP(Table245[[#This Row],[Location
(drop-down)]],'List source'!D$2:E$71,2,FALSE)</f>
        <v>#N/A</v>
      </c>
      <c r="C137" s="17" t="s">
        <v>177</v>
      </c>
      <c r="D137" s="20" t="e">
        <f t="shared" si="4"/>
        <v>#N/A</v>
      </c>
      <c r="E137" s="28"/>
      <c r="F137" s="28"/>
      <c r="G137" s="28"/>
      <c r="H137" s="10"/>
      <c r="I137" s="10"/>
      <c r="J137" s="10"/>
      <c r="K137" s="10"/>
      <c r="L137" s="10"/>
      <c r="M137" s="36"/>
      <c r="N137" s="9"/>
    </row>
    <row r="138" spans="1:14" s="4" customFormat="1" ht="30" customHeight="1">
      <c r="A138" s="9"/>
      <c r="B138" s="13" t="e">
        <f>VLOOKUP(Table245[[#This Row],[Location
(drop-down)]],'List source'!D$2:E$71,2,FALSE)</f>
        <v>#N/A</v>
      </c>
      <c r="C138" s="17" t="s">
        <v>178</v>
      </c>
      <c r="D138" s="20" t="e">
        <f t="shared" si="4"/>
        <v>#N/A</v>
      </c>
      <c r="E138" s="37"/>
      <c r="F138" s="37"/>
      <c r="G138" s="28"/>
      <c r="H138" s="10"/>
      <c r="I138" s="10"/>
      <c r="J138" s="10"/>
      <c r="K138" s="10"/>
      <c r="L138" s="10"/>
      <c r="M138" s="36"/>
      <c r="N138" s="9"/>
    </row>
    <row r="139" spans="1:14" s="4" customFormat="1" ht="30" customHeight="1">
      <c r="A139" s="9"/>
      <c r="B139" s="13" t="e">
        <f>VLOOKUP(Table245[[#This Row],[Location
(drop-down)]],'List source'!D$2:E$71,2,FALSE)</f>
        <v>#N/A</v>
      </c>
      <c r="C139" s="17" t="s">
        <v>179</v>
      </c>
      <c r="D139" s="20" t="e">
        <f t="shared" si="4"/>
        <v>#N/A</v>
      </c>
      <c r="E139" s="37"/>
      <c r="F139" s="37"/>
      <c r="G139" s="37"/>
      <c r="H139" s="10"/>
      <c r="I139" s="10"/>
      <c r="J139" s="10"/>
      <c r="K139" s="10"/>
      <c r="L139" s="10"/>
      <c r="M139" s="10"/>
      <c r="N139" s="9"/>
    </row>
    <row r="140" spans="1:14" s="4" customFormat="1" ht="30" customHeight="1">
      <c r="A140" s="9"/>
      <c r="B140" s="13" t="e">
        <f>VLOOKUP(Table245[[#This Row],[Location
(drop-down)]],'List source'!D$2:E$71,2,FALSE)</f>
        <v>#N/A</v>
      </c>
      <c r="C140" s="17" t="s">
        <v>180</v>
      </c>
      <c r="D140" s="20" t="e">
        <f t="shared" si="4"/>
        <v>#N/A</v>
      </c>
      <c r="E140" s="28"/>
      <c r="F140" s="28"/>
      <c r="G140" s="28"/>
      <c r="H140" s="10"/>
      <c r="I140" s="10"/>
      <c r="J140" s="10"/>
      <c r="K140" s="10"/>
      <c r="L140" s="10"/>
      <c r="M140" s="36"/>
      <c r="N140" s="9"/>
    </row>
    <row r="141" spans="1:14" s="4" customFormat="1" ht="30" customHeight="1">
      <c r="A141" s="9"/>
      <c r="B141" s="13" t="e">
        <f>VLOOKUP(Table245[[#This Row],[Location
(drop-down)]],'List source'!D$2:E$71,2,FALSE)</f>
        <v>#N/A</v>
      </c>
      <c r="C141" s="17" t="s">
        <v>181</v>
      </c>
      <c r="D141" s="20" t="e">
        <f t="shared" si="4"/>
        <v>#N/A</v>
      </c>
      <c r="E141" s="37"/>
      <c r="F141" s="37"/>
      <c r="G141" s="37"/>
      <c r="H141" s="10"/>
      <c r="I141" s="10"/>
      <c r="J141" s="10"/>
      <c r="K141" s="10"/>
      <c r="L141" s="10"/>
      <c r="M141" s="36"/>
      <c r="N141" s="9"/>
    </row>
    <row r="142" spans="1:14" s="4" customFormat="1" ht="30" customHeight="1">
      <c r="A142" s="9"/>
      <c r="B142" s="13" t="e">
        <f>VLOOKUP(Table245[[#This Row],[Location
(drop-down)]],'List source'!D$2:E$71,2,FALSE)</f>
        <v>#N/A</v>
      </c>
      <c r="C142" s="17" t="s">
        <v>182</v>
      </c>
      <c r="D142" s="20" t="e">
        <f t="shared" si="4"/>
        <v>#N/A</v>
      </c>
      <c r="E142" s="37"/>
      <c r="F142" s="37"/>
      <c r="G142" s="37"/>
      <c r="H142" s="10"/>
      <c r="I142" s="10"/>
      <c r="J142" s="10"/>
      <c r="K142" s="10"/>
      <c r="L142" s="10"/>
      <c r="M142" s="36"/>
      <c r="N142" s="9"/>
    </row>
    <row r="143" spans="1:14" s="4" customFormat="1" ht="30" customHeight="1">
      <c r="A143" s="9"/>
      <c r="B143" s="13" t="e">
        <f>VLOOKUP(Table245[[#This Row],[Location
(drop-down)]],'List source'!D$2:E$71,2,FALSE)</f>
        <v>#N/A</v>
      </c>
      <c r="C143" s="17" t="s">
        <v>183</v>
      </c>
      <c r="D143" s="41" t="e">
        <f t="shared" si="4"/>
        <v>#N/A</v>
      </c>
      <c r="E143" s="37"/>
      <c r="F143" s="37"/>
      <c r="G143" s="28"/>
      <c r="H143" s="10"/>
      <c r="I143" s="10"/>
      <c r="J143" s="10"/>
      <c r="K143" s="10"/>
      <c r="L143" s="10"/>
      <c r="M143" s="36"/>
      <c r="N143" s="9"/>
    </row>
    <row r="144" spans="1:14" s="4" customFormat="1" ht="30" customHeight="1">
      <c r="A144" s="9"/>
      <c r="B144" s="13" t="e">
        <f>VLOOKUP(Table245[[#This Row],[Location
(drop-down)]],'List source'!D$2:E$71,2,FALSE)</f>
        <v>#N/A</v>
      </c>
      <c r="C144" s="17" t="s">
        <v>184</v>
      </c>
      <c r="D144" s="20" t="e">
        <f t="shared" si="4"/>
        <v>#N/A</v>
      </c>
      <c r="E144" s="28"/>
      <c r="F144" s="28"/>
      <c r="G144" s="28"/>
      <c r="H144" s="10"/>
      <c r="I144" s="10"/>
      <c r="J144" s="10"/>
      <c r="K144" s="10"/>
      <c r="L144" s="10"/>
      <c r="M144" s="36"/>
      <c r="N144" s="9"/>
    </row>
    <row r="145" spans="1:14" s="4" customFormat="1" ht="48" customHeight="1">
      <c r="A145" s="9"/>
      <c r="B145" s="13" t="e">
        <f>VLOOKUP(Table245[[#This Row],[Location
(drop-down)]],'List source'!D$2:E$71,2,FALSE)</f>
        <v>#N/A</v>
      </c>
      <c r="C145" s="17" t="s">
        <v>185</v>
      </c>
      <c r="D145" s="20" t="e">
        <f t="shared" si="4"/>
        <v>#N/A</v>
      </c>
      <c r="E145" s="37"/>
      <c r="F145" s="37"/>
      <c r="G145" s="28"/>
      <c r="H145" s="10"/>
      <c r="I145" s="10"/>
      <c r="J145" s="10"/>
      <c r="K145" s="10"/>
      <c r="L145" s="10"/>
      <c r="M145" s="36"/>
      <c r="N145" s="9"/>
    </row>
    <row r="146" spans="1:14" s="4" customFormat="1" ht="30" customHeight="1">
      <c r="A146" s="9"/>
      <c r="B146" s="13" t="e">
        <f>VLOOKUP(Table245[[#This Row],[Location
(drop-down)]],'List source'!D$2:E$71,2,FALSE)</f>
        <v>#N/A</v>
      </c>
      <c r="C146" s="17" t="s">
        <v>186</v>
      </c>
      <c r="D146" s="20" t="e">
        <f t="shared" si="4"/>
        <v>#N/A</v>
      </c>
      <c r="E146" s="37"/>
      <c r="F146" s="37"/>
      <c r="G146" s="37"/>
      <c r="H146" s="10"/>
      <c r="I146" s="10"/>
      <c r="J146" s="10"/>
      <c r="K146" s="10"/>
      <c r="L146" s="10"/>
      <c r="M146" s="36"/>
      <c r="N146" s="9"/>
    </row>
    <row r="147" spans="1:14" s="4" customFormat="1" ht="30" customHeight="1">
      <c r="A147" s="9"/>
      <c r="B147" s="13" t="e">
        <f>VLOOKUP(Table245[[#This Row],[Location
(drop-down)]],'List source'!D$2:E$71,2,FALSE)</f>
        <v>#N/A</v>
      </c>
      <c r="C147" s="17" t="s">
        <v>187</v>
      </c>
      <c r="D147" s="20" t="e">
        <f t="shared" si="4"/>
        <v>#N/A</v>
      </c>
      <c r="E147" s="37"/>
      <c r="F147" s="37"/>
      <c r="G147" s="37"/>
      <c r="H147" s="10"/>
      <c r="I147" s="10"/>
      <c r="J147" s="10"/>
      <c r="K147" s="10"/>
      <c r="L147" s="10"/>
      <c r="M147" s="36"/>
      <c r="N147" s="9"/>
    </row>
    <row r="148" spans="1:14" s="4" customFormat="1" ht="30" customHeight="1">
      <c r="A148" s="9"/>
      <c r="B148" s="13" t="e">
        <f>VLOOKUP(Table245[[#This Row],[Location
(drop-down)]],'List source'!D$2:E$71,2,FALSE)</f>
        <v>#N/A</v>
      </c>
      <c r="C148" s="17" t="s">
        <v>188</v>
      </c>
      <c r="D148" s="20" t="e">
        <f t="shared" si="4"/>
        <v>#N/A</v>
      </c>
      <c r="E148" s="37"/>
      <c r="F148" s="37"/>
      <c r="G148" s="37"/>
      <c r="H148" s="10"/>
      <c r="I148" s="10"/>
      <c r="J148" s="10"/>
      <c r="K148" s="10"/>
      <c r="L148" s="10"/>
      <c r="M148" s="36"/>
      <c r="N148" s="9"/>
    </row>
    <row r="149" spans="1:14" s="4" customFormat="1" ht="30" customHeight="1">
      <c r="A149" s="9"/>
      <c r="B149" s="13" t="e">
        <f>VLOOKUP(Table245[[#This Row],[Location
(drop-down)]],'List source'!D$2:E$71,2,FALSE)</f>
        <v>#N/A</v>
      </c>
      <c r="C149" s="17" t="s">
        <v>189</v>
      </c>
      <c r="D149" s="20" t="e">
        <f t="shared" si="4"/>
        <v>#N/A</v>
      </c>
      <c r="E149" s="37"/>
      <c r="F149" s="37"/>
      <c r="G149" s="28"/>
      <c r="H149" s="10"/>
      <c r="I149" s="10"/>
      <c r="J149" s="13"/>
      <c r="K149" s="10"/>
      <c r="L149" s="11"/>
      <c r="M149" s="36"/>
      <c r="N149" s="9"/>
    </row>
    <row r="150" spans="1:14" s="4" customFormat="1" ht="30" customHeight="1">
      <c r="A150" s="9"/>
      <c r="B150" s="13" t="e">
        <f>VLOOKUP(Table245[[#This Row],[Location
(drop-down)]],'List source'!D$2:E$71,2,FALSE)</f>
        <v>#N/A</v>
      </c>
      <c r="C150" s="17" t="s">
        <v>190</v>
      </c>
      <c r="D150" s="20" t="e">
        <f t="shared" si="4"/>
        <v>#N/A</v>
      </c>
      <c r="E150" s="37"/>
      <c r="F150" s="28"/>
      <c r="G150" s="28"/>
      <c r="H150" s="10"/>
      <c r="I150" s="10"/>
      <c r="J150" s="13"/>
      <c r="K150" s="10"/>
      <c r="L150" s="11"/>
      <c r="M150" s="36"/>
      <c r="N150" s="9"/>
    </row>
    <row r="151" spans="1:14" s="4" customFormat="1" ht="30" customHeight="1">
      <c r="A151" s="9"/>
      <c r="B151" s="13" t="e">
        <f>VLOOKUP(Table245[[#This Row],[Location
(drop-down)]],'List source'!D$2:E$71,2,FALSE)</f>
        <v>#N/A</v>
      </c>
      <c r="C151" s="17" t="s">
        <v>191</v>
      </c>
      <c r="D151" s="20" t="e">
        <f t="shared" si="4"/>
        <v>#N/A</v>
      </c>
      <c r="E151" s="37"/>
      <c r="F151" s="37"/>
      <c r="G151" s="28"/>
      <c r="H151" s="10"/>
      <c r="I151" s="10"/>
      <c r="J151" s="13"/>
      <c r="K151" s="10"/>
      <c r="L151" s="11"/>
      <c r="M151" s="36"/>
      <c r="N151" s="75"/>
    </row>
    <row r="152" spans="1:14" ht="30" customHeight="1">
      <c r="A152" s="9"/>
      <c r="B152" s="13" t="e">
        <f>VLOOKUP(Table245[[#This Row],[Location
(drop-down)]],'List source'!D$2:E$71,2,FALSE)</f>
        <v>#N/A</v>
      </c>
      <c r="C152" s="17" t="s">
        <v>192</v>
      </c>
      <c r="D152" s="20" t="e">
        <f t="shared" si="4"/>
        <v>#N/A</v>
      </c>
      <c r="E152" s="37"/>
      <c r="F152" s="37"/>
      <c r="G152" s="37"/>
      <c r="H152" s="10"/>
      <c r="I152" s="10"/>
      <c r="J152" s="10"/>
      <c r="K152" s="10"/>
      <c r="L152" s="10"/>
      <c r="M152" s="10"/>
      <c r="N152" s="9"/>
    </row>
    <row r="153" spans="1:14" ht="30" customHeight="1">
      <c r="A153" s="9"/>
      <c r="B153" s="13" t="e">
        <f>VLOOKUP(Table245[[#This Row],[Location
(drop-down)]],'List source'!D$2:E$71,2,FALSE)</f>
        <v>#N/A</v>
      </c>
      <c r="C153" s="17" t="s">
        <v>193</v>
      </c>
      <c r="D153" s="20" t="e">
        <f t="shared" si="4"/>
        <v>#N/A</v>
      </c>
      <c r="E153" s="37"/>
      <c r="F153" s="37"/>
      <c r="G153" s="37"/>
      <c r="H153" s="10"/>
      <c r="I153" s="10"/>
      <c r="J153" s="10"/>
      <c r="K153" s="10"/>
      <c r="L153" s="10"/>
      <c r="M153" s="10"/>
      <c r="N153" s="9"/>
    </row>
    <row r="154" spans="1:14" ht="30" customHeight="1">
      <c r="A154" s="9"/>
      <c r="B154" s="13" t="e">
        <f>VLOOKUP(Table245[[#This Row],[Location
(drop-down)]],'List source'!D$2:E$71,2,FALSE)</f>
        <v>#N/A</v>
      </c>
      <c r="C154" s="17" t="s">
        <v>194</v>
      </c>
      <c r="D154" s="20" t="e">
        <f t="shared" si="4"/>
        <v>#N/A</v>
      </c>
      <c r="E154" s="37"/>
      <c r="F154" s="37"/>
      <c r="G154" s="37"/>
      <c r="H154" s="10"/>
      <c r="I154" s="10"/>
      <c r="J154" s="10"/>
      <c r="K154" s="10"/>
      <c r="L154" s="10"/>
      <c r="M154" s="36"/>
      <c r="N154" s="9"/>
    </row>
    <row r="155" spans="1:14" ht="30" customHeight="1">
      <c r="A155" s="9"/>
      <c r="B155" s="13" t="e">
        <f>VLOOKUP(Table245[[#This Row],[Location
(drop-down)]],'List source'!D$2:E$71,2,FALSE)</f>
        <v>#N/A</v>
      </c>
      <c r="C155" s="17" t="s">
        <v>195</v>
      </c>
      <c r="D155" s="20" t="e">
        <f t="shared" si="4"/>
        <v>#N/A</v>
      </c>
      <c r="E155" s="37"/>
      <c r="F155" s="37"/>
      <c r="G155" s="37"/>
      <c r="H155" s="10"/>
      <c r="I155" s="10"/>
      <c r="J155" s="10"/>
      <c r="K155" s="10"/>
      <c r="L155" s="10"/>
      <c r="M155" s="36"/>
      <c r="N155" s="9"/>
    </row>
    <row r="156" spans="1:14" ht="30" customHeight="1">
      <c r="A156" s="9"/>
      <c r="B156" s="13" t="e">
        <f>VLOOKUP(Table245[[#This Row],[Location
(drop-down)]],'List source'!D$2:E$71,2,FALSE)</f>
        <v>#N/A</v>
      </c>
      <c r="C156" s="17" t="s">
        <v>196</v>
      </c>
      <c r="D156" s="20" t="e">
        <f t="shared" si="4"/>
        <v>#N/A</v>
      </c>
      <c r="E156" s="37"/>
      <c r="F156" s="37"/>
      <c r="G156" s="37"/>
      <c r="H156" s="10"/>
      <c r="I156" s="10"/>
      <c r="J156" s="10"/>
      <c r="K156" s="10"/>
      <c r="L156" s="11"/>
      <c r="M156" s="10"/>
      <c r="N156" s="75"/>
    </row>
    <row r="157" spans="1:14" ht="30" customHeight="1">
      <c r="A157" s="9"/>
      <c r="B157" s="13" t="e">
        <f>VLOOKUP(Table245[[#This Row],[Location
(drop-down)]],'List source'!D$2:E$71,2,FALSE)</f>
        <v>#N/A</v>
      </c>
      <c r="C157" s="17" t="s">
        <v>197</v>
      </c>
      <c r="D157" s="20" t="e">
        <f t="shared" si="4"/>
        <v>#N/A</v>
      </c>
      <c r="E157" s="37"/>
      <c r="F157" s="37"/>
      <c r="G157" s="37"/>
      <c r="H157" s="10"/>
      <c r="I157" s="10"/>
      <c r="J157" s="10"/>
      <c r="K157" s="10"/>
      <c r="L157" s="11"/>
      <c r="M157" s="10"/>
      <c r="N157" s="9"/>
    </row>
    <row r="158" spans="1:14" ht="30" customHeight="1">
      <c r="A158" s="9"/>
      <c r="B158" s="13" t="e">
        <f>VLOOKUP(Table245[[#This Row],[Location
(drop-down)]],'List source'!D$2:E$71,2,FALSE)</f>
        <v>#N/A</v>
      </c>
      <c r="C158" s="17" t="s">
        <v>198</v>
      </c>
      <c r="D158" s="20" t="e">
        <f t="shared" si="4"/>
        <v>#N/A</v>
      </c>
      <c r="E158" s="37"/>
      <c r="F158" s="37"/>
      <c r="G158" s="37"/>
      <c r="H158" s="10"/>
      <c r="I158" s="10"/>
      <c r="J158" s="10"/>
      <c r="K158" s="37"/>
      <c r="L158" s="37"/>
      <c r="M158" s="10"/>
      <c r="N158" s="9"/>
    </row>
    <row r="159" spans="1:14" ht="30" customHeight="1">
      <c r="A159" s="9"/>
      <c r="B159" s="13" t="e">
        <f>VLOOKUP(Table245[[#This Row],[Location
(drop-down)]],'List source'!D$2:E$71,2,FALSE)</f>
        <v>#N/A</v>
      </c>
      <c r="C159" s="17" t="s">
        <v>199</v>
      </c>
      <c r="D159" s="20" t="e">
        <f t="shared" si="4"/>
        <v>#N/A</v>
      </c>
      <c r="E159" s="37"/>
      <c r="F159" s="37"/>
      <c r="G159" s="37"/>
      <c r="H159" s="10"/>
      <c r="I159" s="10"/>
      <c r="J159" s="10"/>
      <c r="K159" s="10"/>
      <c r="L159" s="10"/>
      <c r="M159" s="10"/>
      <c r="N159" s="9"/>
    </row>
    <row r="160" spans="1:14" ht="30" customHeight="1">
      <c r="A160" s="9"/>
      <c r="B160" s="13" t="e">
        <f>VLOOKUP(Table245[[#This Row],[Location
(drop-down)]],'List source'!D$2:E$71,2,FALSE)</f>
        <v>#N/A</v>
      </c>
      <c r="C160" s="17" t="s">
        <v>200</v>
      </c>
      <c r="D160" s="20" t="e">
        <f t="shared" si="4"/>
        <v>#N/A</v>
      </c>
      <c r="E160" s="37"/>
      <c r="F160" s="37"/>
      <c r="G160" s="37"/>
      <c r="H160" s="10"/>
      <c r="I160" s="10"/>
      <c r="J160" s="10"/>
      <c r="K160" s="10"/>
      <c r="L160" s="10"/>
      <c r="M160" s="10"/>
      <c r="N160" s="9"/>
    </row>
    <row r="161" spans="1:14" ht="30" customHeight="1">
      <c r="A161" s="9"/>
      <c r="B161" s="13" t="e">
        <f>VLOOKUP(Table245[[#This Row],[Location
(drop-down)]],'List source'!D$2:E$71,2,FALSE)</f>
        <v>#N/A</v>
      </c>
      <c r="C161" s="17" t="s">
        <v>201</v>
      </c>
      <c r="D161" s="20" t="e">
        <f t="shared" si="4"/>
        <v>#N/A</v>
      </c>
      <c r="E161" s="37"/>
      <c r="F161" s="37"/>
      <c r="G161" s="37"/>
      <c r="H161" s="10"/>
      <c r="I161" s="10"/>
      <c r="J161" s="10"/>
      <c r="K161" s="10"/>
      <c r="L161" s="10"/>
      <c r="M161" s="10"/>
      <c r="N161" s="9"/>
    </row>
    <row r="162" spans="1:14" ht="30" customHeight="1">
      <c r="A162" s="9"/>
      <c r="B162" s="13" t="e">
        <f>VLOOKUP(Table245[[#This Row],[Location
(drop-down)]],'List source'!D$2:E$71,2,FALSE)</f>
        <v>#N/A</v>
      </c>
      <c r="C162" s="17" t="s">
        <v>202</v>
      </c>
      <c r="D162" s="20" t="e">
        <f t="shared" ref="D162:D193" si="5">"A" &amp; C162 &amp; "-" &amp; B162 &amp; "-" &amp; "26"</f>
        <v>#N/A</v>
      </c>
      <c r="E162" s="37"/>
      <c r="F162" s="37"/>
      <c r="G162" s="37"/>
      <c r="H162" s="10"/>
      <c r="I162" s="10"/>
      <c r="J162" s="10"/>
      <c r="K162" s="10"/>
      <c r="L162" s="10"/>
      <c r="M162" s="10"/>
      <c r="N162" s="9"/>
    </row>
    <row r="163" spans="1:14" ht="30" customHeight="1">
      <c r="A163" s="9"/>
      <c r="B163" s="13" t="e">
        <f>VLOOKUP(Table245[[#This Row],[Location
(drop-down)]],'List source'!D$2:E$71,2,FALSE)</f>
        <v>#N/A</v>
      </c>
      <c r="C163" s="17" t="s">
        <v>203</v>
      </c>
      <c r="D163" s="20" t="e">
        <f t="shared" si="5"/>
        <v>#N/A</v>
      </c>
      <c r="E163" s="37"/>
      <c r="F163" s="37"/>
      <c r="G163" s="37"/>
      <c r="H163" s="10"/>
      <c r="I163" s="10"/>
      <c r="J163" s="10"/>
      <c r="K163" s="10"/>
      <c r="L163" s="10"/>
      <c r="M163" s="10"/>
      <c r="N163" s="9"/>
    </row>
    <row r="164" spans="1:14" ht="30" customHeight="1">
      <c r="A164" s="9"/>
      <c r="B164" s="13" t="e">
        <f>VLOOKUP(Table245[[#This Row],[Location
(drop-down)]],'List source'!D$2:E$71,2,FALSE)</f>
        <v>#N/A</v>
      </c>
      <c r="C164" s="17" t="s">
        <v>204</v>
      </c>
      <c r="D164" s="20" t="e">
        <f t="shared" si="5"/>
        <v>#N/A</v>
      </c>
      <c r="E164" s="37"/>
      <c r="F164" s="37"/>
      <c r="G164" s="37"/>
      <c r="H164" s="10"/>
      <c r="I164" s="10"/>
      <c r="J164" s="10"/>
      <c r="K164" s="10"/>
      <c r="L164" s="10"/>
      <c r="M164" s="10"/>
      <c r="N164" s="9"/>
    </row>
    <row r="165" spans="1:14" ht="30" customHeight="1">
      <c r="A165" s="9"/>
      <c r="B165" s="13" t="e">
        <f>VLOOKUP(Table245[[#This Row],[Location
(drop-down)]],'List source'!D$2:E$71,2,FALSE)</f>
        <v>#N/A</v>
      </c>
      <c r="C165" s="17" t="s">
        <v>205</v>
      </c>
      <c r="D165" s="20" t="e">
        <f t="shared" si="5"/>
        <v>#N/A</v>
      </c>
      <c r="E165" s="37"/>
      <c r="F165" s="37"/>
      <c r="G165" s="37"/>
      <c r="H165" s="10"/>
      <c r="I165" s="10"/>
      <c r="J165" s="10"/>
      <c r="K165" s="10"/>
      <c r="L165" s="10"/>
      <c r="M165" s="10"/>
      <c r="N165" s="9"/>
    </row>
    <row r="166" spans="1:14" ht="30" customHeight="1">
      <c r="A166" s="9"/>
      <c r="B166" s="13" t="e">
        <f>VLOOKUP(Table245[[#This Row],[Location
(drop-down)]],'List source'!D$2:E$71,2,FALSE)</f>
        <v>#N/A</v>
      </c>
      <c r="C166" s="17" t="s">
        <v>206</v>
      </c>
      <c r="D166" s="20" t="e">
        <f t="shared" si="5"/>
        <v>#N/A</v>
      </c>
      <c r="E166" s="37"/>
      <c r="F166" s="37"/>
      <c r="G166" s="37"/>
      <c r="H166" s="10"/>
      <c r="I166" s="10"/>
      <c r="J166" s="10"/>
      <c r="K166" s="10"/>
      <c r="L166" s="10"/>
      <c r="M166" s="10"/>
      <c r="N166" s="9"/>
    </row>
    <row r="167" spans="1:14" ht="30" customHeight="1">
      <c r="A167" s="9"/>
      <c r="B167" s="13" t="e">
        <f>VLOOKUP(Table245[[#This Row],[Location
(drop-down)]],'List source'!D$2:E$71,2,FALSE)</f>
        <v>#N/A</v>
      </c>
      <c r="C167" s="17" t="s">
        <v>207</v>
      </c>
      <c r="D167" s="20" t="e">
        <f t="shared" si="5"/>
        <v>#N/A</v>
      </c>
      <c r="E167" s="37"/>
      <c r="F167" s="37"/>
      <c r="G167" s="37"/>
      <c r="H167" s="10"/>
      <c r="I167" s="10"/>
      <c r="J167" s="10"/>
      <c r="K167" s="10"/>
      <c r="L167" s="10"/>
      <c r="M167" s="10"/>
      <c r="N167" s="9"/>
    </row>
    <row r="168" spans="1:14" ht="30" customHeight="1">
      <c r="A168" s="9"/>
      <c r="B168" s="13" t="e">
        <f>VLOOKUP(Table245[[#This Row],[Location
(drop-down)]],'List source'!D$2:E$71,2,FALSE)</f>
        <v>#N/A</v>
      </c>
      <c r="C168" s="17" t="s">
        <v>208</v>
      </c>
      <c r="D168" s="20" t="e">
        <f t="shared" si="5"/>
        <v>#N/A</v>
      </c>
      <c r="E168" s="37"/>
      <c r="F168" s="37"/>
      <c r="G168" s="37"/>
      <c r="H168" s="10"/>
      <c r="I168" s="10"/>
      <c r="J168" s="10"/>
      <c r="K168" s="10"/>
      <c r="L168" s="10"/>
      <c r="M168" s="10"/>
      <c r="N168" s="9"/>
    </row>
    <row r="169" spans="1:14" ht="30" customHeight="1">
      <c r="A169" s="9"/>
      <c r="B169" s="13" t="e">
        <f>VLOOKUP(Table245[[#This Row],[Location
(drop-down)]],'List source'!D$2:E$71,2,FALSE)</f>
        <v>#N/A</v>
      </c>
      <c r="C169" s="17" t="s">
        <v>209</v>
      </c>
      <c r="D169" s="20" t="e">
        <f t="shared" si="5"/>
        <v>#N/A</v>
      </c>
      <c r="E169" s="37"/>
      <c r="F169" s="37"/>
      <c r="G169" s="37"/>
      <c r="H169" s="10"/>
      <c r="I169" s="10"/>
      <c r="J169" s="10"/>
      <c r="K169" s="10"/>
      <c r="L169" s="10"/>
      <c r="M169" s="10"/>
      <c r="N169" s="9"/>
    </row>
    <row r="170" spans="1:14" ht="30" customHeight="1">
      <c r="A170" s="9"/>
      <c r="B170" s="13" t="e">
        <f>VLOOKUP(Table245[[#This Row],[Location
(drop-down)]],'List source'!D$2:E$71,2,FALSE)</f>
        <v>#N/A</v>
      </c>
      <c r="C170" s="17" t="s">
        <v>210</v>
      </c>
      <c r="D170" s="20" t="e">
        <f t="shared" si="5"/>
        <v>#N/A</v>
      </c>
      <c r="E170" s="37"/>
      <c r="F170" s="37"/>
      <c r="G170" s="37"/>
      <c r="H170" s="10"/>
      <c r="I170" s="10"/>
      <c r="J170" s="10"/>
      <c r="K170" s="10"/>
      <c r="L170" s="10"/>
      <c r="M170" s="10"/>
      <c r="N170" s="9"/>
    </row>
    <row r="171" spans="1:14" ht="30" customHeight="1">
      <c r="A171" s="9"/>
      <c r="B171" s="13" t="e">
        <f>VLOOKUP(Table245[[#This Row],[Location
(drop-down)]],'List source'!D$2:E$71,2,FALSE)</f>
        <v>#N/A</v>
      </c>
      <c r="C171" s="17" t="s">
        <v>211</v>
      </c>
      <c r="D171" s="20" t="e">
        <f t="shared" si="5"/>
        <v>#N/A</v>
      </c>
      <c r="E171" s="37"/>
      <c r="F171" s="37"/>
      <c r="G171" s="37"/>
      <c r="H171" s="10"/>
      <c r="I171" s="10"/>
      <c r="J171" s="10"/>
      <c r="K171" s="10"/>
      <c r="L171" s="10"/>
      <c r="M171" s="10"/>
      <c r="N171" s="9"/>
    </row>
    <row r="172" spans="1:14" ht="30" customHeight="1">
      <c r="A172" s="9"/>
      <c r="B172" s="13" t="e">
        <f>VLOOKUP(Table245[[#This Row],[Location
(drop-down)]],'List source'!D$2:E$71,2,FALSE)</f>
        <v>#N/A</v>
      </c>
      <c r="C172" s="17" t="s">
        <v>212</v>
      </c>
      <c r="D172" s="20" t="e">
        <f t="shared" si="5"/>
        <v>#N/A</v>
      </c>
      <c r="E172" s="37"/>
      <c r="F172" s="37"/>
      <c r="G172" s="37"/>
      <c r="H172" s="10"/>
      <c r="I172" s="10"/>
      <c r="J172" s="10"/>
      <c r="K172" s="10"/>
      <c r="L172" s="10"/>
      <c r="M172" s="10"/>
      <c r="N172" s="9"/>
    </row>
    <row r="173" spans="1:14" ht="30" customHeight="1">
      <c r="A173" s="9"/>
      <c r="B173" s="13" t="e">
        <f>VLOOKUP(Table245[[#This Row],[Location
(drop-down)]],'List source'!D$2:E$71,2,FALSE)</f>
        <v>#N/A</v>
      </c>
      <c r="C173" s="17" t="s">
        <v>213</v>
      </c>
      <c r="D173" s="20" t="e">
        <f t="shared" si="5"/>
        <v>#N/A</v>
      </c>
      <c r="E173" s="37"/>
      <c r="F173" s="37"/>
      <c r="G173" s="37"/>
      <c r="H173" s="10"/>
      <c r="I173" s="10"/>
      <c r="J173" s="10"/>
      <c r="K173" s="10"/>
      <c r="L173" s="10"/>
      <c r="M173" s="10"/>
      <c r="N173" s="9"/>
    </row>
    <row r="174" spans="1:14" ht="30" customHeight="1">
      <c r="A174" s="9"/>
      <c r="B174" s="13" t="e">
        <f>VLOOKUP(Table245[[#This Row],[Location
(drop-down)]],'List source'!D$2:E$71,2,FALSE)</f>
        <v>#N/A</v>
      </c>
      <c r="C174" s="17" t="s">
        <v>214</v>
      </c>
      <c r="D174" s="20" t="e">
        <f t="shared" si="5"/>
        <v>#N/A</v>
      </c>
      <c r="E174" s="37"/>
      <c r="F174" s="37"/>
      <c r="G174" s="37"/>
      <c r="H174" s="10"/>
      <c r="I174" s="10"/>
      <c r="J174" s="10"/>
      <c r="K174" s="10"/>
      <c r="L174" s="10"/>
      <c r="M174" s="10"/>
      <c r="N174" s="9"/>
    </row>
    <row r="175" spans="1:14" ht="30" customHeight="1">
      <c r="A175" s="9"/>
      <c r="B175" s="13" t="e">
        <f>VLOOKUP(Table245[[#This Row],[Location
(drop-down)]],'List source'!D$2:E$71,2,FALSE)</f>
        <v>#N/A</v>
      </c>
      <c r="C175" s="17" t="s">
        <v>215</v>
      </c>
      <c r="D175" s="20" t="e">
        <f t="shared" si="5"/>
        <v>#N/A</v>
      </c>
      <c r="E175" s="37"/>
      <c r="F175" s="37"/>
      <c r="G175" s="37"/>
      <c r="H175" s="10"/>
      <c r="I175" s="10"/>
      <c r="J175" s="10"/>
      <c r="K175" s="10"/>
      <c r="L175" s="10"/>
      <c r="M175" s="10"/>
      <c r="N175" s="9"/>
    </row>
    <row r="176" spans="1:14" ht="30" customHeight="1">
      <c r="A176" s="9"/>
      <c r="B176" s="13" t="e">
        <f>VLOOKUP(Table245[[#This Row],[Location
(drop-down)]],'List source'!D$2:E$71,2,FALSE)</f>
        <v>#N/A</v>
      </c>
      <c r="C176" s="17" t="s">
        <v>216</v>
      </c>
      <c r="D176" s="20" t="e">
        <f t="shared" si="5"/>
        <v>#N/A</v>
      </c>
      <c r="E176" s="37"/>
      <c r="F176" s="37"/>
      <c r="G176" s="37"/>
      <c r="H176" s="10"/>
      <c r="I176" s="10"/>
      <c r="J176" s="10"/>
      <c r="K176" s="10"/>
      <c r="L176" s="10"/>
      <c r="M176" s="10"/>
      <c r="N176" s="9"/>
    </row>
    <row r="177" spans="1:14" ht="30" customHeight="1">
      <c r="A177" s="9"/>
      <c r="B177" s="13" t="e">
        <f>VLOOKUP(Table245[[#This Row],[Location
(drop-down)]],'List source'!D$2:E$71,2,FALSE)</f>
        <v>#N/A</v>
      </c>
      <c r="C177" s="17" t="s">
        <v>217</v>
      </c>
      <c r="D177" s="20" t="e">
        <f t="shared" si="5"/>
        <v>#N/A</v>
      </c>
      <c r="E177" s="37"/>
      <c r="F177" s="37"/>
      <c r="G177" s="37"/>
      <c r="H177" s="10"/>
      <c r="I177" s="10"/>
      <c r="J177" s="10"/>
      <c r="K177" s="10"/>
      <c r="L177" s="10"/>
      <c r="M177" s="10"/>
      <c r="N177" s="9"/>
    </row>
    <row r="178" spans="1:14" ht="30" customHeight="1">
      <c r="A178" s="9"/>
      <c r="B178" s="13" t="e">
        <f>VLOOKUP(Table245[[#This Row],[Location
(drop-down)]],'List source'!D$2:E$71,2,FALSE)</f>
        <v>#N/A</v>
      </c>
      <c r="C178" s="17" t="s">
        <v>218</v>
      </c>
      <c r="D178" s="20" t="e">
        <f t="shared" si="5"/>
        <v>#N/A</v>
      </c>
      <c r="E178" s="37"/>
      <c r="F178" s="37"/>
      <c r="G178" s="37"/>
      <c r="H178" s="10"/>
      <c r="I178" s="10"/>
      <c r="J178" s="10"/>
      <c r="K178" s="10"/>
      <c r="L178" s="10"/>
      <c r="M178" s="10"/>
      <c r="N178" s="9"/>
    </row>
    <row r="179" spans="1:14" ht="30" customHeight="1">
      <c r="A179" s="9"/>
      <c r="B179" s="13" t="e">
        <f>VLOOKUP(Table245[[#This Row],[Location
(drop-down)]],'List source'!D$2:E$71,2,FALSE)</f>
        <v>#N/A</v>
      </c>
      <c r="C179" s="17" t="s">
        <v>219</v>
      </c>
      <c r="D179" s="20" t="e">
        <f t="shared" si="5"/>
        <v>#N/A</v>
      </c>
      <c r="E179" s="37"/>
      <c r="F179" s="37"/>
      <c r="G179" s="37"/>
      <c r="H179" s="10"/>
      <c r="I179" s="10"/>
      <c r="J179" s="10"/>
      <c r="K179" s="10"/>
      <c r="L179" s="10"/>
      <c r="M179" s="10"/>
      <c r="N179" s="9"/>
    </row>
    <row r="180" spans="1:14" ht="30" customHeight="1">
      <c r="A180" s="9"/>
      <c r="B180" s="13" t="e">
        <f>VLOOKUP(Table245[[#This Row],[Location
(drop-down)]],'List source'!D$2:E$71,2,FALSE)</f>
        <v>#N/A</v>
      </c>
      <c r="C180" s="17" t="s">
        <v>220</v>
      </c>
      <c r="D180" s="20" t="e">
        <f t="shared" si="5"/>
        <v>#N/A</v>
      </c>
      <c r="E180" s="37"/>
      <c r="F180" s="37"/>
      <c r="G180" s="37"/>
      <c r="H180" s="10"/>
      <c r="I180" s="10"/>
      <c r="J180" s="10"/>
      <c r="K180" s="10"/>
      <c r="L180" s="10"/>
      <c r="M180" s="10"/>
      <c r="N180" s="9"/>
    </row>
    <row r="181" spans="1:14" ht="30" customHeight="1">
      <c r="A181" s="9"/>
      <c r="B181" s="13" t="e">
        <f>VLOOKUP(Table245[[#This Row],[Location
(drop-down)]],'List source'!D$2:E$71,2,FALSE)</f>
        <v>#N/A</v>
      </c>
      <c r="C181" s="17" t="s">
        <v>221</v>
      </c>
      <c r="D181" s="20" t="e">
        <f t="shared" si="5"/>
        <v>#N/A</v>
      </c>
      <c r="E181" s="37"/>
      <c r="F181" s="37"/>
      <c r="G181" s="37"/>
      <c r="H181" s="10"/>
      <c r="I181" s="10"/>
      <c r="J181" s="10"/>
      <c r="K181" s="10"/>
      <c r="L181" s="10"/>
      <c r="M181" s="10"/>
      <c r="N181" s="9"/>
    </row>
    <row r="182" spans="1:14" ht="30" customHeight="1">
      <c r="A182" s="9"/>
      <c r="B182" s="13" t="e">
        <f>VLOOKUP(Table245[[#This Row],[Location
(drop-down)]],'List source'!D$2:E$71,2,FALSE)</f>
        <v>#N/A</v>
      </c>
      <c r="C182" s="17" t="s">
        <v>222</v>
      </c>
      <c r="D182" s="20" t="e">
        <f t="shared" si="5"/>
        <v>#N/A</v>
      </c>
      <c r="E182" s="37"/>
      <c r="F182" s="37"/>
      <c r="G182" s="37"/>
      <c r="H182" s="10"/>
      <c r="I182" s="10"/>
      <c r="J182" s="10"/>
      <c r="K182" s="10"/>
      <c r="L182" s="10"/>
      <c r="M182" s="10"/>
      <c r="N182" s="9"/>
    </row>
    <row r="183" spans="1:14" ht="30" customHeight="1">
      <c r="A183" s="9"/>
      <c r="B183" s="13" t="e">
        <f>VLOOKUP(Table245[[#This Row],[Location
(drop-down)]],'List source'!D$2:E$71,2,FALSE)</f>
        <v>#N/A</v>
      </c>
      <c r="C183" s="17" t="s">
        <v>223</v>
      </c>
      <c r="D183" s="20" t="e">
        <f t="shared" si="5"/>
        <v>#N/A</v>
      </c>
      <c r="E183" s="37"/>
      <c r="F183" s="37"/>
      <c r="G183" s="37"/>
      <c r="H183" s="10"/>
      <c r="I183" s="10"/>
      <c r="J183" s="10"/>
      <c r="K183" s="10"/>
      <c r="L183" s="10"/>
      <c r="M183" s="10"/>
      <c r="N183" s="9"/>
    </row>
    <row r="184" spans="1:14" ht="30" customHeight="1">
      <c r="A184" s="68"/>
      <c r="B184" s="13" t="e">
        <f>VLOOKUP(Table245[[#This Row],[Location
(drop-down)]],'List source'!D$2:E$71,2,FALSE)</f>
        <v>#N/A</v>
      </c>
      <c r="C184" s="17" t="s">
        <v>224</v>
      </c>
      <c r="D184" s="20" t="e">
        <f t="shared" si="5"/>
        <v>#N/A</v>
      </c>
      <c r="E184" s="103"/>
      <c r="F184" s="103"/>
      <c r="G184" s="103"/>
      <c r="H184" s="72"/>
      <c r="I184" s="72"/>
      <c r="J184" s="72"/>
      <c r="K184" s="72"/>
      <c r="L184" s="72"/>
      <c r="M184" s="72"/>
      <c r="N184" s="68"/>
    </row>
    <row r="185" spans="1:14" ht="30" customHeight="1">
      <c r="A185" s="9"/>
      <c r="B185" s="13" t="e">
        <f>VLOOKUP(Table245[[#This Row],[Location
(drop-down)]],'List source'!D$2:E$71,2,FALSE)</f>
        <v>#N/A</v>
      </c>
      <c r="C185" s="17" t="s">
        <v>225</v>
      </c>
      <c r="D185" s="20" t="e">
        <f t="shared" si="5"/>
        <v>#N/A</v>
      </c>
      <c r="E185" s="37"/>
      <c r="F185" s="37"/>
      <c r="G185" s="37"/>
      <c r="H185" s="10"/>
      <c r="I185" s="10"/>
      <c r="J185" s="10"/>
      <c r="K185" s="10"/>
      <c r="L185" s="10"/>
      <c r="M185" s="10"/>
      <c r="N185" s="9"/>
    </row>
    <row r="186" spans="1:14" ht="30" customHeight="1">
      <c r="A186" s="9"/>
      <c r="B186" s="13" t="e">
        <f>VLOOKUP(Table245[[#This Row],[Location
(drop-down)]],'List source'!D$2:E$71,2,FALSE)</f>
        <v>#N/A</v>
      </c>
      <c r="C186" s="17" t="s">
        <v>226</v>
      </c>
      <c r="D186" s="20" t="e">
        <f t="shared" si="5"/>
        <v>#N/A</v>
      </c>
      <c r="E186" s="37"/>
      <c r="F186" s="37"/>
      <c r="G186" s="37"/>
      <c r="H186" s="10"/>
      <c r="I186" s="10"/>
      <c r="J186" s="10"/>
      <c r="K186" s="10"/>
      <c r="L186" s="10"/>
      <c r="M186" s="10"/>
      <c r="N186" s="9"/>
    </row>
    <row r="187" spans="1:14" ht="30" customHeight="1">
      <c r="A187" s="9"/>
      <c r="B187" s="13" t="e">
        <f>VLOOKUP(Table245[[#This Row],[Location
(drop-down)]],'List source'!D$2:E$71,2,FALSE)</f>
        <v>#N/A</v>
      </c>
      <c r="C187" s="17" t="s">
        <v>227</v>
      </c>
      <c r="D187" s="20" t="e">
        <f t="shared" si="5"/>
        <v>#N/A</v>
      </c>
      <c r="E187" s="37"/>
      <c r="F187" s="37"/>
      <c r="G187" s="37"/>
      <c r="H187" s="10"/>
      <c r="I187" s="10"/>
      <c r="J187" s="10"/>
      <c r="K187" s="10"/>
      <c r="L187" s="10"/>
      <c r="M187" s="10"/>
      <c r="N187" s="9"/>
    </row>
    <row r="188" spans="1:14" ht="30" customHeight="1">
      <c r="A188" s="9"/>
      <c r="B188" s="13" t="e">
        <f>VLOOKUP(Table245[[#This Row],[Location
(drop-down)]],'List source'!D$2:E$71,2,FALSE)</f>
        <v>#N/A</v>
      </c>
      <c r="C188" s="17" t="s">
        <v>228</v>
      </c>
      <c r="D188" s="20" t="e">
        <f t="shared" si="5"/>
        <v>#N/A</v>
      </c>
      <c r="E188" s="37"/>
      <c r="F188" s="37"/>
      <c r="G188" s="37"/>
      <c r="H188" s="10"/>
      <c r="I188" s="10"/>
      <c r="J188" s="10"/>
      <c r="K188" s="10"/>
      <c r="L188" s="10"/>
      <c r="M188" s="10"/>
      <c r="N188" s="9"/>
    </row>
    <row r="189" spans="1:14" ht="30" customHeight="1">
      <c r="A189" s="9"/>
      <c r="B189" s="13" t="e">
        <f>VLOOKUP(Table245[[#This Row],[Location
(drop-down)]],'List source'!D$2:E$71,2,FALSE)</f>
        <v>#N/A</v>
      </c>
      <c r="C189" s="17" t="s">
        <v>229</v>
      </c>
      <c r="D189" s="20" t="e">
        <f t="shared" si="5"/>
        <v>#N/A</v>
      </c>
      <c r="E189" s="37"/>
      <c r="F189" s="37"/>
      <c r="G189" s="37"/>
      <c r="H189" s="10"/>
      <c r="I189" s="10"/>
      <c r="J189" s="10"/>
      <c r="K189" s="10"/>
      <c r="L189" s="10"/>
      <c r="M189" s="10"/>
      <c r="N189" s="9"/>
    </row>
    <row r="190" spans="1:14" ht="30" customHeight="1">
      <c r="A190" s="9"/>
      <c r="B190" s="13" t="e">
        <f>VLOOKUP(Table245[[#This Row],[Location
(drop-down)]],'List source'!D$2:E$71,2,FALSE)</f>
        <v>#N/A</v>
      </c>
      <c r="C190" s="17" t="s">
        <v>230</v>
      </c>
      <c r="D190" s="20" t="e">
        <f t="shared" si="5"/>
        <v>#N/A</v>
      </c>
      <c r="E190" s="37"/>
      <c r="F190" s="37"/>
      <c r="G190" s="37"/>
      <c r="H190" s="10"/>
      <c r="I190" s="10"/>
      <c r="J190" s="10"/>
      <c r="K190" s="10"/>
      <c r="L190" s="10"/>
      <c r="M190" s="10"/>
      <c r="N190" s="9"/>
    </row>
    <row r="191" spans="1:14" ht="30" customHeight="1">
      <c r="A191" s="9"/>
      <c r="B191" s="13" t="e">
        <f>VLOOKUP(Table245[[#This Row],[Location
(drop-down)]],'List source'!D$2:E$71,2,FALSE)</f>
        <v>#N/A</v>
      </c>
      <c r="C191" s="17" t="s">
        <v>231</v>
      </c>
      <c r="D191" s="20" t="e">
        <f t="shared" si="5"/>
        <v>#N/A</v>
      </c>
      <c r="E191" s="37"/>
      <c r="F191" s="37"/>
      <c r="G191" s="37"/>
      <c r="H191" s="10"/>
      <c r="I191" s="10"/>
      <c r="J191" s="10"/>
      <c r="K191" s="10"/>
      <c r="L191" s="10"/>
      <c r="M191" s="10"/>
      <c r="N191" s="9"/>
    </row>
    <row r="192" spans="1:14" ht="30" customHeight="1">
      <c r="A192" s="9"/>
      <c r="B192" s="13" t="e">
        <f>VLOOKUP(Table245[[#This Row],[Location
(drop-down)]],'List source'!D$2:E$71,2,FALSE)</f>
        <v>#N/A</v>
      </c>
      <c r="C192" s="17" t="s">
        <v>232</v>
      </c>
      <c r="D192" s="20" t="e">
        <f t="shared" si="5"/>
        <v>#N/A</v>
      </c>
      <c r="E192" s="37"/>
      <c r="F192" s="37"/>
      <c r="G192" s="37"/>
      <c r="H192" s="10"/>
      <c r="I192" s="10"/>
      <c r="J192" s="10"/>
      <c r="K192" s="10"/>
      <c r="L192" s="10"/>
      <c r="M192" s="10"/>
      <c r="N192" s="9"/>
    </row>
    <row r="193" spans="1:14" ht="30" customHeight="1">
      <c r="A193" s="9"/>
      <c r="B193" s="13" t="e">
        <f>VLOOKUP(Table245[[#This Row],[Location
(drop-down)]],'List source'!D$2:E$71,2,FALSE)</f>
        <v>#N/A</v>
      </c>
      <c r="C193" s="17" t="s">
        <v>233</v>
      </c>
      <c r="D193" s="20" t="e">
        <f t="shared" si="5"/>
        <v>#N/A</v>
      </c>
      <c r="E193" s="37"/>
      <c r="F193" s="37"/>
      <c r="G193" s="37"/>
      <c r="H193" s="10"/>
      <c r="I193" s="10"/>
      <c r="J193" s="10"/>
      <c r="K193" s="10"/>
      <c r="L193" s="10"/>
      <c r="M193" s="10"/>
      <c r="N193" s="9"/>
    </row>
    <row r="194" spans="1:14" ht="30" customHeight="1">
      <c r="A194" s="9"/>
      <c r="B194" s="13" t="e">
        <f>VLOOKUP(Table245[[#This Row],[Location
(drop-down)]],'List source'!D$2:E$71,2,FALSE)</f>
        <v>#N/A</v>
      </c>
      <c r="C194" s="17" t="s">
        <v>234</v>
      </c>
      <c r="D194" s="20" t="e">
        <f t="shared" ref="D194:D201" si="6">"A" &amp; C194 &amp; "-" &amp; B194 &amp; "-" &amp; "26"</f>
        <v>#N/A</v>
      </c>
      <c r="E194" s="37"/>
      <c r="F194" s="37"/>
      <c r="G194" s="37"/>
      <c r="H194" s="10"/>
      <c r="I194" s="10"/>
      <c r="J194" s="10"/>
      <c r="K194" s="10"/>
      <c r="L194" s="10"/>
      <c r="M194" s="10"/>
      <c r="N194" s="9"/>
    </row>
    <row r="195" spans="1:14" ht="30" customHeight="1">
      <c r="A195" s="9"/>
      <c r="B195" s="13" t="e">
        <f>VLOOKUP(Table245[[#This Row],[Location
(drop-down)]],'List source'!D$2:E$71,2,FALSE)</f>
        <v>#N/A</v>
      </c>
      <c r="C195" s="17" t="s">
        <v>235</v>
      </c>
      <c r="D195" s="20" t="e">
        <f t="shared" si="6"/>
        <v>#N/A</v>
      </c>
      <c r="E195" s="37"/>
      <c r="F195" s="37"/>
      <c r="G195" s="37"/>
      <c r="H195" s="10"/>
      <c r="I195" s="10"/>
      <c r="J195" s="10"/>
      <c r="K195" s="10"/>
      <c r="L195" s="10"/>
      <c r="M195" s="10"/>
      <c r="N195" s="9"/>
    </row>
    <row r="196" spans="1:14" ht="30" customHeight="1">
      <c r="A196" s="9"/>
      <c r="B196" s="13" t="e">
        <f>VLOOKUP(Table245[[#This Row],[Location
(drop-down)]],'List source'!D$2:E$71,2,FALSE)</f>
        <v>#N/A</v>
      </c>
      <c r="C196" s="17" t="s">
        <v>236</v>
      </c>
      <c r="D196" s="20" t="e">
        <f t="shared" si="6"/>
        <v>#N/A</v>
      </c>
      <c r="E196" s="37"/>
      <c r="F196" s="37"/>
      <c r="G196" s="37"/>
      <c r="H196" s="10"/>
      <c r="I196" s="10"/>
      <c r="J196" s="10"/>
      <c r="K196" s="10"/>
      <c r="L196" s="10"/>
      <c r="M196" s="10"/>
      <c r="N196" s="9"/>
    </row>
    <row r="197" spans="1:14" ht="30" customHeight="1">
      <c r="A197" s="9"/>
      <c r="B197" s="13" t="e">
        <f>VLOOKUP(Table245[[#This Row],[Location
(drop-down)]],'List source'!D$2:E$71,2,FALSE)</f>
        <v>#N/A</v>
      </c>
      <c r="C197" s="17" t="s">
        <v>237</v>
      </c>
      <c r="D197" s="20" t="e">
        <f t="shared" si="6"/>
        <v>#N/A</v>
      </c>
      <c r="E197" s="37"/>
      <c r="F197" s="37"/>
      <c r="G197" s="37"/>
      <c r="H197" s="10"/>
      <c r="I197" s="10"/>
      <c r="J197" s="10"/>
      <c r="K197" s="10"/>
      <c r="L197" s="10"/>
      <c r="M197" s="10"/>
      <c r="N197" s="9"/>
    </row>
    <row r="198" spans="1:14" ht="30" customHeight="1">
      <c r="A198" s="9"/>
      <c r="B198" s="13" t="e">
        <f>VLOOKUP(Table245[[#This Row],[Location
(drop-down)]],'List source'!D$2:E$71,2,FALSE)</f>
        <v>#N/A</v>
      </c>
      <c r="C198" s="17" t="s">
        <v>238</v>
      </c>
      <c r="D198" s="20" t="e">
        <f t="shared" si="6"/>
        <v>#N/A</v>
      </c>
      <c r="E198" s="37"/>
      <c r="F198" s="37"/>
      <c r="G198" s="37"/>
      <c r="H198" s="10"/>
      <c r="I198" s="10"/>
      <c r="J198" s="10"/>
      <c r="K198" s="10"/>
      <c r="L198" s="10"/>
      <c r="M198" s="10"/>
      <c r="N198" s="9"/>
    </row>
    <row r="199" spans="1:14" ht="30" customHeight="1">
      <c r="A199" s="9"/>
      <c r="B199" s="13" t="e">
        <f>VLOOKUP(Table245[[#This Row],[Location
(drop-down)]],'List source'!D$2:E$71,2,FALSE)</f>
        <v>#N/A</v>
      </c>
      <c r="C199" s="17" t="s">
        <v>239</v>
      </c>
      <c r="D199" s="20" t="e">
        <f t="shared" si="6"/>
        <v>#N/A</v>
      </c>
      <c r="E199" s="37"/>
      <c r="F199" s="37"/>
      <c r="G199" s="37"/>
      <c r="H199" s="10"/>
      <c r="I199" s="10"/>
      <c r="J199" s="10"/>
      <c r="K199" s="10"/>
      <c r="L199" s="10"/>
      <c r="M199" s="10"/>
      <c r="N199" s="9"/>
    </row>
    <row r="200" spans="1:14" ht="30" customHeight="1">
      <c r="A200" s="9"/>
      <c r="B200" s="13" t="e">
        <f>VLOOKUP(Table245[[#This Row],[Location
(drop-down)]],'List source'!D$2:E$71,2,FALSE)</f>
        <v>#N/A</v>
      </c>
      <c r="C200" s="17" t="s">
        <v>240</v>
      </c>
      <c r="D200" s="20" t="e">
        <f t="shared" si="6"/>
        <v>#N/A</v>
      </c>
      <c r="E200" s="37"/>
      <c r="F200" s="37"/>
      <c r="G200" s="37"/>
      <c r="H200" s="10"/>
      <c r="I200" s="10"/>
      <c r="J200" s="10"/>
      <c r="K200" s="10"/>
      <c r="L200" s="10"/>
      <c r="M200" s="10"/>
      <c r="N200" s="9"/>
    </row>
    <row r="201" spans="1:14" ht="30" customHeight="1">
      <c r="A201" s="9"/>
      <c r="B201" s="13" t="e">
        <f>VLOOKUP(Table245[[#This Row],[Location
(drop-down)]],'List source'!D$2:E$71,2,FALSE)</f>
        <v>#N/A</v>
      </c>
      <c r="C201" s="17" t="s">
        <v>241</v>
      </c>
      <c r="D201" s="20" t="e">
        <f t="shared" si="6"/>
        <v>#N/A</v>
      </c>
      <c r="E201" s="37"/>
      <c r="F201" s="37"/>
      <c r="G201" s="37"/>
      <c r="H201" s="10"/>
      <c r="I201" s="10"/>
      <c r="J201" s="10"/>
      <c r="K201" s="10"/>
      <c r="L201" s="10"/>
      <c r="M201" s="10"/>
      <c r="N201" s="9"/>
    </row>
  </sheetData>
  <phoneticPr fontId="4" type="noConversion"/>
  <pageMargins left="0.7" right="0.7" top="0.75" bottom="0.75" header="0.3" footer="0.3"/>
  <pageSetup scale="38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A823B04-A3FE-4E0B-A863-EBB28A7079B2}">
          <x14:formula1>
            <xm:f>'List source'!$A$25:$A$29</xm:f>
          </x14:formula1>
          <xm:sqref>H2:H201</xm:sqref>
        </x14:dataValidation>
        <x14:dataValidation type="list" allowBlank="1" showInputMessage="1" showErrorMessage="1" xr:uid="{DE4447E7-CC6D-4691-BB4D-90A1AD11933D}">
          <x14:formula1>
            <xm:f>'List source'!$B$22:$B$25</xm:f>
          </x14:formula1>
          <xm:sqref>I2:I201</xm:sqref>
        </x14:dataValidation>
        <x14:dataValidation type="list" allowBlank="1" showInputMessage="1" showErrorMessage="1" xr:uid="{F0B2EAAF-F803-4715-9954-E1755F055EB5}">
          <x14:formula1>
            <xm:f>'List source'!$A$32:$A$35</xm:f>
          </x14:formula1>
          <xm:sqref>M154:M155 M140:M151 M56:M138 M2:M54</xm:sqref>
        </x14:dataValidation>
        <x14:dataValidation type="list" allowBlank="1" showInputMessage="1" showErrorMessage="1" xr:uid="{62D004DA-5445-41BF-83FE-017C02567B8A}">
          <x14:formula1>
            <xm:f>'List source'!$D$6:$D$71</xm:f>
          </x14:formula1>
          <xm:sqref>A202:A1048576</xm:sqref>
        </x14:dataValidation>
        <x14:dataValidation type="list" allowBlank="1" showInputMessage="1" showErrorMessage="1" xr:uid="{EB47D6DE-DBA4-4B1B-9FE7-89F63CD0CBA3}">
          <x14:formula1>
            <xm:f>'List source'!$D$2:$D$71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70C0"/>
    <pageSetUpPr fitToPage="1"/>
  </sheetPr>
  <dimension ref="A1:S1000"/>
  <sheetViews>
    <sheetView showGridLines="0" zoomScale="60" zoomScaleNormal="60" workbookViewId="0">
      <pane ySplit="1" topLeftCell="E4" activePane="bottomLeft" state="frozen"/>
      <selection pane="bottomLeft" activeCell="D5" sqref="D5"/>
      <selection activeCell="D1" sqref="D1"/>
    </sheetView>
  </sheetViews>
  <sheetFormatPr defaultRowHeight="14.45"/>
  <cols>
    <col min="1" max="1" width="25.28515625" style="5" customWidth="1"/>
    <col min="2" max="2" width="8" customWidth="1"/>
    <col min="3" max="3" width="7.28515625" customWidth="1"/>
    <col min="4" max="4" width="17.5703125" customWidth="1"/>
    <col min="5" max="5" width="25" style="122" bestFit="1" customWidth="1"/>
    <col min="6" max="6" width="27.28515625" style="3" hidden="1" customWidth="1"/>
    <col min="7" max="7" width="76.5703125" style="87" customWidth="1"/>
    <col min="8" max="8" width="19" style="6" customWidth="1"/>
    <col min="9" max="9" width="9" style="6" customWidth="1"/>
    <col min="10" max="10" width="16.28515625" style="8" customWidth="1"/>
    <col min="11" max="11" width="16.28515625" style="8" hidden="1" customWidth="1"/>
    <col min="12" max="13" width="16.28515625" style="8" customWidth="1"/>
    <col min="14" max="14" width="20.28515625" style="8" customWidth="1"/>
    <col min="15" max="16" width="14.28515625" customWidth="1"/>
    <col min="17" max="17" width="27.28515625" style="1" customWidth="1"/>
    <col min="18" max="18" width="41.28515625" style="6" customWidth="1"/>
    <col min="19" max="19" width="31.28515625" customWidth="1"/>
  </cols>
  <sheetData>
    <row r="1" spans="1:19" s="2" customFormat="1" ht="86.85" customHeight="1">
      <c r="A1" s="97" t="s">
        <v>242</v>
      </c>
      <c r="B1" s="98" t="s">
        <v>1</v>
      </c>
      <c r="C1" s="98" t="s">
        <v>2</v>
      </c>
      <c r="D1" s="98" t="s">
        <v>243</v>
      </c>
      <c r="E1" s="121" t="s">
        <v>244</v>
      </c>
      <c r="F1" s="98" t="s">
        <v>245</v>
      </c>
      <c r="G1" s="99" t="s">
        <v>246</v>
      </c>
      <c r="H1" s="99" t="s">
        <v>247</v>
      </c>
      <c r="I1" s="99" t="s">
        <v>248</v>
      </c>
      <c r="J1" s="99" t="s">
        <v>249</v>
      </c>
      <c r="K1" s="346" t="s">
        <v>250</v>
      </c>
      <c r="L1" s="345" t="s">
        <v>251</v>
      </c>
      <c r="M1" s="345" t="s">
        <v>252</v>
      </c>
      <c r="N1" s="346" t="s">
        <v>253</v>
      </c>
      <c r="O1" s="99" t="s">
        <v>254</v>
      </c>
      <c r="P1" s="99" t="s">
        <v>255</v>
      </c>
      <c r="Q1" s="13" t="s">
        <v>256</v>
      </c>
      <c r="R1" s="290" t="s">
        <v>257</v>
      </c>
      <c r="S1" s="290" t="s">
        <v>258</v>
      </c>
    </row>
    <row r="2" spans="1:19" s="4" customFormat="1" ht="30" hidden="1" customHeight="1">
      <c r="A2" s="9" t="s">
        <v>259</v>
      </c>
      <c r="B2" s="13">
        <f>VLOOKUP(Table2[[#This Row],[Location 
(drop-down)]],'List source'!D$2:E$71,2,FALSE)</f>
        <v>121</v>
      </c>
      <c r="C2" s="11" t="s">
        <v>63</v>
      </c>
      <c r="D2" s="183" t="str">
        <f t="shared" ref="D2:D65" si="0">"C" &amp; C2 &amp;"-" &amp; B2 &amp; "-" &amp; "26"</f>
        <v>C022-121-26</v>
      </c>
      <c r="E2" s="11" t="s">
        <v>260</v>
      </c>
      <c r="F2" s="11"/>
      <c r="G2" s="9" t="s">
        <v>261</v>
      </c>
      <c r="H2" s="10" t="s">
        <v>262</v>
      </c>
      <c r="I2" s="19" t="s">
        <v>263</v>
      </c>
      <c r="J2" s="142">
        <v>46028</v>
      </c>
      <c r="K2" s="142" t="s">
        <v>264</v>
      </c>
      <c r="L2" s="164">
        <v>46044</v>
      </c>
      <c r="M2" s="164">
        <v>46050</v>
      </c>
      <c r="N2" s="142" t="s">
        <v>264</v>
      </c>
      <c r="O2" s="61"/>
      <c r="P2" s="168"/>
      <c r="Q2" s="13">
        <f ca="1">IF(ISBLANK(Table2[[#This Row],[Corrective Action Completion Date]]), TODAY()-Table2[[#This Row],[CAR initialized date]], Table2[[#This Row],[Corrective Action Completion Date]]-Table2[[#This Row],[CAR initialized date]])</f>
        <v>16</v>
      </c>
      <c r="R2" s="211" t="s">
        <v>265</v>
      </c>
      <c r="S2" s="90"/>
    </row>
    <row r="3" spans="1:19" s="4" customFormat="1" ht="30" hidden="1" customHeight="1">
      <c r="A3" s="9" t="s">
        <v>14</v>
      </c>
      <c r="B3" s="13">
        <f>VLOOKUP(Table2[[#This Row],[Location 
(drop-down)]],'List source'!D$2:E$71,2,FALSE)</f>
        <v>131</v>
      </c>
      <c r="C3" s="11" t="s">
        <v>15</v>
      </c>
      <c r="D3" s="183" t="str">
        <f t="shared" si="0"/>
        <v>C001-131-26</v>
      </c>
      <c r="E3" s="11" t="s">
        <v>260</v>
      </c>
      <c r="F3" s="11" t="s">
        <v>266</v>
      </c>
      <c r="G3" s="77" t="s">
        <v>267</v>
      </c>
      <c r="H3" s="10" t="s">
        <v>268</v>
      </c>
      <c r="I3" s="19" t="s">
        <v>46</v>
      </c>
      <c r="J3" s="142">
        <v>46036</v>
      </c>
      <c r="K3" s="142" t="s">
        <v>264</v>
      </c>
      <c r="L3" s="12">
        <v>46045</v>
      </c>
      <c r="M3" s="142">
        <v>46048</v>
      </c>
      <c r="N3" s="142" t="s">
        <v>264</v>
      </c>
      <c r="O3" s="61"/>
      <c r="P3" s="168"/>
      <c r="Q3" s="13">
        <f ca="1">IF(ISBLANK(Table2[[#This Row],[Corrective Action Completion Date]]), TODAY()-Table2[[#This Row],[CAR initialized date]], Table2[[#This Row],[Corrective Action Completion Date]]-Table2[[#This Row],[CAR initialized date]])</f>
        <v>9</v>
      </c>
      <c r="R3" s="36" t="s">
        <v>269</v>
      </c>
      <c r="S3" s="90"/>
    </row>
    <row r="4" spans="1:19" s="4" customFormat="1" ht="30" customHeight="1">
      <c r="A4" s="9" t="s">
        <v>43</v>
      </c>
      <c r="B4" s="13">
        <f>VLOOKUP(Table2[[#This Row],[Location 
(drop-down)]],'List source'!D$2:E$71,2,FALSE)</f>
        <v>130</v>
      </c>
      <c r="C4" s="11" t="s">
        <v>22</v>
      </c>
      <c r="D4" s="183" t="str">
        <f t="shared" si="0"/>
        <v>C002-130-26</v>
      </c>
      <c r="E4" s="11" t="s">
        <v>260</v>
      </c>
      <c r="F4" s="11" t="s">
        <v>266</v>
      </c>
      <c r="G4" s="77" t="s">
        <v>270</v>
      </c>
      <c r="H4" s="10" t="s">
        <v>268</v>
      </c>
      <c r="I4" s="19" t="s">
        <v>46</v>
      </c>
      <c r="J4" s="142">
        <v>46037</v>
      </c>
      <c r="K4" s="142" t="s">
        <v>264</v>
      </c>
      <c r="L4" s="61">
        <v>46045</v>
      </c>
      <c r="M4" s="164">
        <v>46048</v>
      </c>
      <c r="N4" s="142" t="s">
        <v>264</v>
      </c>
      <c r="O4" s="61"/>
      <c r="P4" s="168"/>
      <c r="Q4" s="13">
        <f ca="1">IF(ISBLANK(Table2[[#This Row],[Corrective Action Completion Date]]), TODAY()-Table2[[#This Row],[CAR initialized date]], Table2[[#This Row],[Corrective Action Completion Date]]-Table2[[#This Row],[CAR initialized date]])</f>
        <v>8</v>
      </c>
      <c r="R4" s="211" t="s">
        <v>271</v>
      </c>
      <c r="S4" s="90"/>
    </row>
    <row r="5" spans="1:19" s="4" customFormat="1" ht="30" hidden="1" customHeight="1">
      <c r="A5" s="9" t="s">
        <v>272</v>
      </c>
      <c r="B5" s="13">
        <f>VLOOKUP(Table2[[#This Row],[Location 
(drop-down)]],'List source'!D$2:E$71,2,FALSE)</f>
        <v>160</v>
      </c>
      <c r="C5" s="11" t="s">
        <v>26</v>
      </c>
      <c r="D5" s="183" t="str">
        <f t="shared" si="0"/>
        <v>C003-160-26</v>
      </c>
      <c r="E5" s="11" t="s">
        <v>260</v>
      </c>
      <c r="F5" s="11" t="s">
        <v>273</v>
      </c>
      <c r="G5" s="138" t="s">
        <v>274</v>
      </c>
      <c r="H5" s="10" t="s">
        <v>262</v>
      </c>
      <c r="I5" s="19" t="s">
        <v>263</v>
      </c>
      <c r="J5" s="142">
        <v>46042</v>
      </c>
      <c r="K5" s="142"/>
      <c r="L5" s="61"/>
      <c r="M5" s="164"/>
      <c r="N5" s="142"/>
      <c r="O5" s="61"/>
      <c r="P5" s="168"/>
      <c r="Q5" s="13">
        <f ca="1">IF(ISBLANK(Table2[[#This Row],[Corrective Action Completion Date]]), TODAY()-Table2[[#This Row],[CAR initialized date]], Table2[[#This Row],[Corrective Action Completion Date]]-Table2[[#This Row],[CAR initialized date]])</f>
        <v>25</v>
      </c>
      <c r="R5" s="211" t="s">
        <v>275</v>
      </c>
      <c r="S5" s="90"/>
    </row>
    <row r="6" spans="1:19" s="4" customFormat="1" ht="30" hidden="1" customHeight="1">
      <c r="A6" s="9" t="s">
        <v>25</v>
      </c>
      <c r="B6" s="13">
        <f>VLOOKUP(Table2[[#This Row],[Location 
(drop-down)]],'List source'!D$2:E$71,2,FALSE)</f>
        <v>158</v>
      </c>
      <c r="C6" s="11" t="s">
        <v>30</v>
      </c>
      <c r="D6" s="183" t="str">
        <f t="shared" si="0"/>
        <v>C004-158-26</v>
      </c>
      <c r="E6" s="11" t="s">
        <v>276</v>
      </c>
      <c r="F6" s="11"/>
      <c r="G6" s="9" t="s">
        <v>277</v>
      </c>
      <c r="H6" s="10" t="s">
        <v>268</v>
      </c>
      <c r="I6" s="19" t="s">
        <v>54</v>
      </c>
      <c r="J6" s="142">
        <v>46045</v>
      </c>
      <c r="K6" s="142"/>
      <c r="L6" s="61"/>
      <c r="M6" s="164"/>
      <c r="N6" s="142"/>
      <c r="O6" s="61"/>
      <c r="P6" s="168"/>
      <c r="Q6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6" s="36"/>
      <c r="S6" s="90"/>
    </row>
    <row r="7" spans="1:19" s="4" customFormat="1" ht="30" hidden="1" customHeight="1">
      <c r="A7" s="9" t="s">
        <v>25</v>
      </c>
      <c r="B7" s="13">
        <f>VLOOKUP(Table2[[#This Row],[Location 
(drop-down)]],'List source'!D$2:E$71,2,FALSE)</f>
        <v>158</v>
      </c>
      <c r="C7" s="11" t="s">
        <v>33</v>
      </c>
      <c r="D7" s="183" t="str">
        <f t="shared" si="0"/>
        <v>C005-158-26</v>
      </c>
      <c r="E7" s="11" t="s">
        <v>276</v>
      </c>
      <c r="F7" s="11"/>
      <c r="G7" s="76" t="s">
        <v>278</v>
      </c>
      <c r="H7" s="10" t="s">
        <v>268</v>
      </c>
      <c r="I7" s="19" t="s">
        <v>54</v>
      </c>
      <c r="J7" s="142">
        <v>46045</v>
      </c>
      <c r="K7" s="142"/>
      <c r="L7" s="61"/>
      <c r="M7" s="164"/>
      <c r="N7" s="142"/>
      <c r="O7" s="61"/>
      <c r="P7" s="168"/>
      <c r="Q7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7" s="36"/>
      <c r="S7" s="90"/>
    </row>
    <row r="8" spans="1:19" s="4" customFormat="1" ht="30" hidden="1" customHeight="1">
      <c r="A8" s="9" t="s">
        <v>25</v>
      </c>
      <c r="B8" s="13">
        <f>VLOOKUP(Table2[[#This Row],[Location 
(drop-down)]],'List source'!D$2:E$71,2,FALSE)</f>
        <v>158</v>
      </c>
      <c r="C8" s="11" t="s">
        <v>35</v>
      </c>
      <c r="D8" s="183" t="str">
        <f t="shared" si="0"/>
        <v>C006-158-26</v>
      </c>
      <c r="E8" s="11" t="s">
        <v>276</v>
      </c>
      <c r="F8" s="11"/>
      <c r="G8" s="76" t="s">
        <v>279</v>
      </c>
      <c r="H8" s="10" t="s">
        <v>268</v>
      </c>
      <c r="I8" s="19" t="s">
        <v>54</v>
      </c>
      <c r="J8" s="142">
        <v>46045</v>
      </c>
      <c r="K8" s="142"/>
      <c r="L8" s="61"/>
      <c r="M8" s="164"/>
      <c r="N8" s="142"/>
      <c r="O8" s="61"/>
      <c r="P8" s="168"/>
      <c r="Q8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8" s="36"/>
      <c r="S8" s="90"/>
    </row>
    <row r="9" spans="1:19" s="4" customFormat="1" ht="30" hidden="1" customHeight="1">
      <c r="A9" s="9" t="s">
        <v>25</v>
      </c>
      <c r="B9" s="13">
        <f>VLOOKUP(Table2[[#This Row],[Location 
(drop-down)]],'List source'!D$2:E$71,2,FALSE)</f>
        <v>158</v>
      </c>
      <c r="C9" s="11" t="s">
        <v>37</v>
      </c>
      <c r="D9" s="183" t="str">
        <f t="shared" si="0"/>
        <v>C007-158-26</v>
      </c>
      <c r="E9" s="11" t="s">
        <v>276</v>
      </c>
      <c r="F9" s="11"/>
      <c r="G9" s="76" t="s">
        <v>280</v>
      </c>
      <c r="H9" s="10" t="s">
        <v>268</v>
      </c>
      <c r="I9" s="19" t="s">
        <v>54</v>
      </c>
      <c r="J9" s="142">
        <v>46045</v>
      </c>
      <c r="K9" s="142"/>
      <c r="L9" s="61"/>
      <c r="M9" s="164"/>
      <c r="N9" s="142"/>
      <c r="O9" s="61"/>
      <c r="P9" s="168"/>
      <c r="Q9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9" s="36"/>
      <c r="S9" s="90"/>
    </row>
    <row r="10" spans="1:19" s="4" customFormat="1" ht="30" hidden="1" customHeight="1">
      <c r="A10" s="9" t="s">
        <v>25</v>
      </c>
      <c r="B10" s="13">
        <f>VLOOKUP(Table2[[#This Row],[Location 
(drop-down)]],'List source'!D$2:E$71,2,FALSE)</f>
        <v>158</v>
      </c>
      <c r="C10" s="11" t="s">
        <v>39</v>
      </c>
      <c r="D10" s="183" t="str">
        <f t="shared" si="0"/>
        <v>C008-158-26</v>
      </c>
      <c r="E10" s="11" t="s">
        <v>276</v>
      </c>
      <c r="F10" s="11"/>
      <c r="G10" s="76" t="s">
        <v>281</v>
      </c>
      <c r="H10" s="10" t="s">
        <v>268</v>
      </c>
      <c r="I10" s="19" t="s">
        <v>54</v>
      </c>
      <c r="J10" s="142">
        <v>46045</v>
      </c>
      <c r="K10" s="142"/>
      <c r="L10" s="61"/>
      <c r="M10" s="164"/>
      <c r="N10" s="142"/>
      <c r="O10" s="61"/>
      <c r="P10" s="168"/>
      <c r="Q10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10" s="36"/>
      <c r="S10" s="90"/>
    </row>
    <row r="11" spans="1:19" s="4" customFormat="1" ht="30" hidden="1" customHeight="1">
      <c r="A11" s="9" t="s">
        <v>25</v>
      </c>
      <c r="B11" s="13">
        <f>VLOOKUP(Table2[[#This Row],[Location 
(drop-down)]],'List source'!D$2:E$71,2,FALSE)</f>
        <v>158</v>
      </c>
      <c r="C11" s="11" t="s">
        <v>41</v>
      </c>
      <c r="D11" s="183" t="str">
        <f t="shared" si="0"/>
        <v>C009-158-26</v>
      </c>
      <c r="E11" s="11" t="s">
        <v>276</v>
      </c>
      <c r="F11" s="11"/>
      <c r="G11" s="76" t="s">
        <v>282</v>
      </c>
      <c r="H11" s="10" t="s">
        <v>268</v>
      </c>
      <c r="I11" s="19" t="s">
        <v>54</v>
      </c>
      <c r="J11" s="142">
        <v>46045</v>
      </c>
      <c r="K11" s="142"/>
      <c r="L11" s="61"/>
      <c r="M11" s="164"/>
      <c r="N11" s="142"/>
      <c r="O11" s="61"/>
      <c r="P11" s="168"/>
      <c r="Q11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11" s="36"/>
      <c r="S11" s="90"/>
    </row>
    <row r="12" spans="1:19" s="4" customFormat="1" ht="30" hidden="1" customHeight="1">
      <c r="A12" s="9" t="s">
        <v>25</v>
      </c>
      <c r="B12" s="13">
        <f>VLOOKUP(Table2[[#This Row],[Location 
(drop-down)]],'List source'!D$2:E$71,2,FALSE)</f>
        <v>158</v>
      </c>
      <c r="C12" s="11" t="s">
        <v>42</v>
      </c>
      <c r="D12" s="183" t="str">
        <f t="shared" si="0"/>
        <v>C010-158-26</v>
      </c>
      <c r="E12" s="11" t="s">
        <v>276</v>
      </c>
      <c r="F12" s="11"/>
      <c r="G12" s="76" t="s">
        <v>283</v>
      </c>
      <c r="H12" s="10" t="s">
        <v>268</v>
      </c>
      <c r="I12" s="19" t="s">
        <v>54</v>
      </c>
      <c r="J12" s="142">
        <v>46045</v>
      </c>
      <c r="K12" s="142"/>
      <c r="L12" s="61"/>
      <c r="M12" s="164"/>
      <c r="N12" s="142"/>
      <c r="O12" s="61"/>
      <c r="P12" s="168"/>
      <c r="Q12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12" s="36"/>
      <c r="S12" s="90"/>
    </row>
    <row r="13" spans="1:19" s="4" customFormat="1" ht="30" hidden="1" customHeight="1">
      <c r="A13" s="9" t="s">
        <v>25</v>
      </c>
      <c r="B13" s="13">
        <f>VLOOKUP(Table2[[#This Row],[Location 
(drop-down)]],'List source'!D$2:E$71,2,FALSE)</f>
        <v>158</v>
      </c>
      <c r="C13" s="11" t="s">
        <v>44</v>
      </c>
      <c r="D13" s="183" t="str">
        <f t="shared" si="0"/>
        <v>C011-158-26</v>
      </c>
      <c r="E13" s="11" t="s">
        <v>276</v>
      </c>
      <c r="F13" s="11"/>
      <c r="G13" s="76" t="s">
        <v>284</v>
      </c>
      <c r="H13" s="10" t="s">
        <v>268</v>
      </c>
      <c r="I13" s="19" t="s">
        <v>54</v>
      </c>
      <c r="J13" s="142">
        <v>46045</v>
      </c>
      <c r="K13" s="142"/>
      <c r="L13" s="61"/>
      <c r="M13" s="164"/>
      <c r="N13" s="142"/>
      <c r="O13" s="61"/>
      <c r="P13" s="168"/>
      <c r="Q13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13" s="212"/>
      <c r="S13" s="90"/>
    </row>
    <row r="14" spans="1:19" s="4" customFormat="1" ht="30" hidden="1" customHeight="1">
      <c r="A14" s="9" t="s">
        <v>25</v>
      </c>
      <c r="B14" s="13">
        <f>VLOOKUP(Table2[[#This Row],[Location 
(drop-down)]],'List source'!D$2:E$71,2,FALSE)</f>
        <v>158</v>
      </c>
      <c r="C14" s="11" t="s">
        <v>51</v>
      </c>
      <c r="D14" s="183" t="str">
        <f t="shared" si="0"/>
        <v>C012-158-26</v>
      </c>
      <c r="E14" s="11" t="s">
        <v>276</v>
      </c>
      <c r="F14" s="11"/>
      <c r="G14" s="133" t="s">
        <v>285</v>
      </c>
      <c r="H14" s="10" t="s">
        <v>286</v>
      </c>
      <c r="I14" s="19" t="s">
        <v>54</v>
      </c>
      <c r="J14" s="142">
        <v>46045</v>
      </c>
      <c r="K14" s="142"/>
      <c r="L14" s="61"/>
      <c r="M14" s="164"/>
      <c r="N14" s="142"/>
      <c r="O14" s="61"/>
      <c r="P14" s="168"/>
      <c r="Q14" s="13">
        <f ca="1">IF(ISBLANK(Table2[[#This Row],[Corrective Action Completion Date]]), TODAY()-Table2[[#This Row],[CAR initialized date]], Table2[[#This Row],[Corrective Action Completion Date]]-Table2[[#This Row],[CAR initialized date]])</f>
        <v>22</v>
      </c>
      <c r="R14" s="36"/>
      <c r="S14" s="90"/>
    </row>
    <row r="15" spans="1:19" s="4" customFormat="1" ht="30" hidden="1" customHeight="1">
      <c r="A15" s="9" t="s">
        <v>14</v>
      </c>
      <c r="B15" s="13">
        <f>VLOOKUP(Table2[[#This Row],[Location 
(drop-down)]],'List source'!D$2:E$71,2,FALSE)</f>
        <v>131</v>
      </c>
      <c r="C15" s="11" t="s">
        <v>53</v>
      </c>
      <c r="D15" s="183" t="str">
        <f t="shared" si="0"/>
        <v>C013-131-26</v>
      </c>
      <c r="E15" s="11" t="s">
        <v>276</v>
      </c>
      <c r="F15" s="17"/>
      <c r="G15" s="9" t="s">
        <v>287</v>
      </c>
      <c r="H15" s="10" t="s">
        <v>262</v>
      </c>
      <c r="I15" s="19" t="s">
        <v>18</v>
      </c>
      <c r="J15" s="142">
        <v>46048</v>
      </c>
      <c r="K15" s="142"/>
      <c r="L15" s="61"/>
      <c r="M15" s="164"/>
      <c r="N15" s="142"/>
      <c r="O15" s="61"/>
      <c r="P15" s="168"/>
      <c r="Q15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15" s="36"/>
      <c r="S15" s="90"/>
    </row>
    <row r="16" spans="1:19" s="4" customFormat="1" ht="30" hidden="1" customHeight="1">
      <c r="A16" s="9" t="s">
        <v>14</v>
      </c>
      <c r="B16" s="13">
        <f>VLOOKUP(Table2[[#This Row],[Location 
(drop-down)]],'List source'!D$2:E$71,2,FALSE)</f>
        <v>131</v>
      </c>
      <c r="C16" s="11" t="s">
        <v>55</v>
      </c>
      <c r="D16" s="183" t="str">
        <f t="shared" si="0"/>
        <v>C014-131-26</v>
      </c>
      <c r="E16" s="11" t="s">
        <v>276</v>
      </c>
      <c r="F16" s="17"/>
      <c r="G16" s="9" t="s">
        <v>288</v>
      </c>
      <c r="H16" s="10" t="s">
        <v>262</v>
      </c>
      <c r="I16" s="19" t="s">
        <v>18</v>
      </c>
      <c r="J16" s="142">
        <v>46048</v>
      </c>
      <c r="K16" s="142"/>
      <c r="L16" s="61"/>
      <c r="M16" s="164"/>
      <c r="N16" s="142"/>
      <c r="O16" s="61"/>
      <c r="P16" s="168"/>
      <c r="Q16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16" s="36"/>
      <c r="S16" s="90"/>
    </row>
    <row r="17" spans="1:19" s="4" customFormat="1" ht="30" hidden="1" customHeight="1">
      <c r="A17" s="9" t="s">
        <v>14</v>
      </c>
      <c r="B17" s="13">
        <f>VLOOKUP(Table2[[#This Row],[Location 
(drop-down)]],'List source'!D$2:E$71,2,FALSE)</f>
        <v>131</v>
      </c>
      <c r="C17" s="11" t="s">
        <v>56</v>
      </c>
      <c r="D17" s="183" t="str">
        <f t="shared" si="0"/>
        <v>C015-131-26</v>
      </c>
      <c r="E17" s="11" t="s">
        <v>276</v>
      </c>
      <c r="F17" s="11"/>
      <c r="G17" s="9" t="s">
        <v>289</v>
      </c>
      <c r="H17" s="10" t="s">
        <v>262</v>
      </c>
      <c r="I17" s="19" t="s">
        <v>18</v>
      </c>
      <c r="J17" s="142">
        <v>46048</v>
      </c>
      <c r="K17" s="142"/>
      <c r="L17" s="61"/>
      <c r="M17" s="164"/>
      <c r="N17" s="142"/>
      <c r="O17" s="61"/>
      <c r="P17" s="168"/>
      <c r="Q17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17" s="36"/>
      <c r="S17" s="90"/>
    </row>
    <row r="18" spans="1:19" s="4" customFormat="1" ht="30" hidden="1" customHeight="1">
      <c r="A18" s="9" t="s">
        <v>14</v>
      </c>
      <c r="B18" s="13">
        <f>VLOOKUP(Table2[[#This Row],[Location 
(drop-down)]],'List source'!D$2:E$71,2,FALSE)</f>
        <v>131</v>
      </c>
      <c r="C18" s="11" t="s">
        <v>57</v>
      </c>
      <c r="D18" s="183" t="str">
        <f t="shared" si="0"/>
        <v>C016-131-26</v>
      </c>
      <c r="E18" s="11" t="s">
        <v>276</v>
      </c>
      <c r="F18" s="206"/>
      <c r="G18" s="9" t="s">
        <v>290</v>
      </c>
      <c r="H18" s="10" t="s">
        <v>268</v>
      </c>
      <c r="I18" s="19" t="s">
        <v>18</v>
      </c>
      <c r="J18" s="142">
        <v>46048</v>
      </c>
      <c r="K18" s="142"/>
      <c r="L18" s="61"/>
      <c r="M18" s="164"/>
      <c r="N18" s="142"/>
      <c r="O18" s="61"/>
      <c r="P18" s="168"/>
      <c r="Q18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18" s="36"/>
      <c r="S18" s="90"/>
    </row>
    <row r="19" spans="1:19" s="4" customFormat="1" ht="30" hidden="1" customHeight="1">
      <c r="A19" s="9" t="s">
        <v>14</v>
      </c>
      <c r="B19" s="13">
        <f>VLOOKUP(Table2[[#This Row],[Location 
(drop-down)]],'List source'!D$2:E$71,2,FALSE)</f>
        <v>131</v>
      </c>
      <c r="C19" s="11" t="s">
        <v>58</v>
      </c>
      <c r="D19" s="183" t="str">
        <f t="shared" si="0"/>
        <v>C017-131-26</v>
      </c>
      <c r="E19" s="11" t="s">
        <v>276</v>
      </c>
      <c r="F19" s="202"/>
      <c r="G19" s="9" t="s">
        <v>291</v>
      </c>
      <c r="H19" s="10" t="s">
        <v>268</v>
      </c>
      <c r="I19" s="19" t="s">
        <v>18</v>
      </c>
      <c r="J19" s="142">
        <v>46048</v>
      </c>
      <c r="K19" s="142"/>
      <c r="L19" s="61"/>
      <c r="M19" s="164"/>
      <c r="N19" s="142"/>
      <c r="O19" s="61"/>
      <c r="P19" s="168"/>
      <c r="Q19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19" s="36"/>
      <c r="S19" s="90"/>
    </row>
    <row r="20" spans="1:19" s="4" customFormat="1" ht="30" hidden="1" customHeight="1">
      <c r="A20" s="9" t="s">
        <v>14</v>
      </c>
      <c r="B20" s="13">
        <f>VLOOKUP(Table2[[#This Row],[Location 
(drop-down)]],'List source'!D$2:E$71,2,FALSE)</f>
        <v>131</v>
      </c>
      <c r="C20" s="11" t="s">
        <v>59</v>
      </c>
      <c r="D20" s="183" t="str">
        <f t="shared" si="0"/>
        <v>C018-131-26</v>
      </c>
      <c r="E20" s="11" t="s">
        <v>276</v>
      </c>
      <c r="F20" s="11"/>
      <c r="G20" s="9" t="s">
        <v>292</v>
      </c>
      <c r="H20" s="10" t="s">
        <v>268</v>
      </c>
      <c r="I20" s="19" t="s">
        <v>18</v>
      </c>
      <c r="J20" s="142">
        <v>46048</v>
      </c>
      <c r="K20" s="142"/>
      <c r="L20" s="61"/>
      <c r="M20" s="164"/>
      <c r="N20" s="142"/>
      <c r="O20" s="61"/>
      <c r="P20" s="168"/>
      <c r="Q20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20" s="36"/>
      <c r="S20" s="90"/>
    </row>
    <row r="21" spans="1:19" s="4" customFormat="1" ht="30" hidden="1" customHeight="1">
      <c r="A21" s="9" t="s">
        <v>14</v>
      </c>
      <c r="B21" s="13">
        <f>VLOOKUP(Table2[[#This Row],[Location 
(drop-down)]],'List source'!D$2:E$71,2,FALSE)</f>
        <v>131</v>
      </c>
      <c r="C21" s="11" t="s">
        <v>60</v>
      </c>
      <c r="D21" s="183" t="str">
        <f t="shared" si="0"/>
        <v>C019-131-26</v>
      </c>
      <c r="E21" s="11" t="s">
        <v>276</v>
      </c>
      <c r="F21" s="202"/>
      <c r="G21" s="9" t="s">
        <v>293</v>
      </c>
      <c r="H21" s="10" t="s">
        <v>268</v>
      </c>
      <c r="I21" s="19" t="s">
        <v>18</v>
      </c>
      <c r="J21" s="142">
        <v>46048</v>
      </c>
      <c r="K21" s="142"/>
      <c r="L21" s="61"/>
      <c r="M21" s="164"/>
      <c r="N21" s="142"/>
      <c r="O21" s="61"/>
      <c r="P21" s="168"/>
      <c r="Q21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21" s="213"/>
      <c r="S21" s="218"/>
    </row>
    <row r="22" spans="1:19" s="4" customFormat="1" ht="30" hidden="1" customHeight="1">
      <c r="A22" s="9" t="s">
        <v>14</v>
      </c>
      <c r="B22" s="13">
        <f>VLOOKUP(Table2[[#This Row],[Location 
(drop-down)]],'List source'!D$2:E$71,2,FALSE)</f>
        <v>131</v>
      </c>
      <c r="C22" s="11" t="s">
        <v>61</v>
      </c>
      <c r="D22" s="183" t="str">
        <f t="shared" si="0"/>
        <v>C020-131-26</v>
      </c>
      <c r="E22" s="11" t="s">
        <v>276</v>
      </c>
      <c r="F22" s="11"/>
      <c r="G22" s="9" t="s">
        <v>294</v>
      </c>
      <c r="H22" s="10" t="s">
        <v>268</v>
      </c>
      <c r="I22" s="19" t="s">
        <v>18</v>
      </c>
      <c r="J22" s="142">
        <v>46048</v>
      </c>
      <c r="K22" s="142"/>
      <c r="L22" s="61"/>
      <c r="M22" s="164"/>
      <c r="N22" s="142"/>
      <c r="O22" s="61"/>
      <c r="P22" s="168"/>
      <c r="Q22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22" s="36"/>
      <c r="S22" s="90"/>
    </row>
    <row r="23" spans="1:19" s="4" customFormat="1" ht="32.25" hidden="1" customHeight="1">
      <c r="A23" s="9" t="s">
        <v>14</v>
      </c>
      <c r="B23" s="13">
        <f>VLOOKUP(Table2[[#This Row],[Location 
(drop-down)]],'List source'!D$2:E$71,2,FALSE)</f>
        <v>131</v>
      </c>
      <c r="C23" s="11" t="s">
        <v>62</v>
      </c>
      <c r="D23" s="183" t="str">
        <f t="shared" si="0"/>
        <v>C021-131-26</v>
      </c>
      <c r="E23" s="11" t="s">
        <v>276</v>
      </c>
      <c r="F23" s="11"/>
      <c r="G23" s="9" t="s">
        <v>295</v>
      </c>
      <c r="H23" s="10" t="s">
        <v>268</v>
      </c>
      <c r="I23" s="19" t="s">
        <v>18</v>
      </c>
      <c r="J23" s="142">
        <v>46048</v>
      </c>
      <c r="K23" s="142"/>
      <c r="L23" s="61"/>
      <c r="M23" s="164"/>
      <c r="N23" s="142"/>
      <c r="O23" s="61"/>
      <c r="P23" s="168"/>
      <c r="Q23" s="13">
        <f ca="1">IF(ISBLANK(Table2[[#This Row],[Corrective Action Completion Date]]), TODAY()-Table2[[#This Row],[CAR initialized date]], Table2[[#This Row],[Corrective Action Completion Date]]-Table2[[#This Row],[CAR initialized date]])</f>
        <v>19</v>
      </c>
      <c r="R23" s="36"/>
      <c r="S23" s="90"/>
    </row>
    <row r="24" spans="1:19" s="4" customFormat="1" ht="30" hidden="1" customHeight="1">
      <c r="A24" s="9" t="s">
        <v>14</v>
      </c>
      <c r="B24" s="13">
        <f>VLOOKUP(Table2[[#This Row],[Location 
(drop-down)]],'List source'!D$2:E$71,2,FALSE)</f>
        <v>131</v>
      </c>
      <c r="C24" s="11" t="s">
        <v>64</v>
      </c>
      <c r="D24" s="183" t="str">
        <f t="shared" si="0"/>
        <v>C023-131-26</v>
      </c>
      <c r="E24" s="11" t="s">
        <v>260</v>
      </c>
      <c r="F24" s="11" t="s">
        <v>296</v>
      </c>
      <c r="G24" s="9" t="s">
        <v>297</v>
      </c>
      <c r="H24" s="10" t="s">
        <v>262</v>
      </c>
      <c r="I24" s="19" t="s">
        <v>46</v>
      </c>
      <c r="J24" s="142">
        <v>46052</v>
      </c>
      <c r="K24" s="142"/>
      <c r="L24" s="61"/>
      <c r="M24" s="164"/>
      <c r="N24" s="142"/>
      <c r="O24" s="61"/>
      <c r="P24" s="168"/>
      <c r="Q24" s="13">
        <f ca="1">IF(ISBLANK(Table2[[#This Row],[Corrective Action Completion Date]]), TODAY()-Table2[[#This Row],[CAR initialized date]], Table2[[#This Row],[Corrective Action Completion Date]]-Table2[[#This Row],[CAR initialized date]])</f>
        <v>15</v>
      </c>
      <c r="R24" s="36" t="s">
        <v>298</v>
      </c>
      <c r="S24" s="90"/>
    </row>
    <row r="25" spans="1:19" s="4" customFormat="1" ht="30" customHeight="1">
      <c r="A25" s="9" t="s">
        <v>43</v>
      </c>
      <c r="B25" s="13">
        <f>VLOOKUP(Table2[[#This Row],[Location 
(drop-down)]],'List source'!D$2:E$71,2,FALSE)</f>
        <v>130</v>
      </c>
      <c r="C25" s="11" t="s">
        <v>65</v>
      </c>
      <c r="D25" s="183" t="str">
        <f>"C" &amp; C25 &amp;"-" &amp; B25 &amp; "-" &amp; "26"</f>
        <v>C024-130-26</v>
      </c>
      <c r="E25" s="11" t="s">
        <v>299</v>
      </c>
      <c r="F25" s="11"/>
      <c r="G25" s="9" t="s">
        <v>300</v>
      </c>
      <c r="H25" s="10" t="s">
        <v>268</v>
      </c>
      <c r="I25" s="19" t="s">
        <v>46</v>
      </c>
      <c r="J25" s="174">
        <v>46057</v>
      </c>
      <c r="K25" s="174"/>
      <c r="L25" s="61"/>
      <c r="M25" s="164"/>
      <c r="N25" s="174"/>
      <c r="O25" s="61"/>
      <c r="P25" s="168"/>
      <c r="Q25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25" s="36" t="s">
        <v>301</v>
      </c>
      <c r="S25" s="90"/>
    </row>
    <row r="26" spans="1:19" s="4" customFormat="1" ht="30" customHeight="1">
      <c r="A26" s="9" t="s">
        <v>43</v>
      </c>
      <c r="B26" s="13">
        <f>VLOOKUP(Table2[[#This Row],[Location 
(drop-down)]],'List source'!D$2:E$71,2,FALSE)</f>
        <v>130</v>
      </c>
      <c r="C26" s="11" t="s">
        <v>66</v>
      </c>
      <c r="D26" s="183" t="str">
        <f t="shared" si="0"/>
        <v>C025-130-26</v>
      </c>
      <c r="E26" s="11" t="s">
        <v>299</v>
      </c>
      <c r="F26" s="11"/>
      <c r="G26" s="9" t="s">
        <v>302</v>
      </c>
      <c r="H26" s="13" t="s">
        <v>268</v>
      </c>
      <c r="I26" s="19" t="s">
        <v>46</v>
      </c>
      <c r="J26" s="174">
        <v>46057</v>
      </c>
      <c r="K26" s="142"/>
      <c r="L26" s="61"/>
      <c r="M26" s="164"/>
      <c r="N26" s="142"/>
      <c r="O26" s="61"/>
      <c r="P26" s="168"/>
      <c r="Q26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26" s="36" t="s">
        <v>301</v>
      </c>
      <c r="S26" s="90"/>
    </row>
    <row r="27" spans="1:19" s="4" customFormat="1" ht="41.25" customHeight="1">
      <c r="A27" s="9" t="s">
        <v>43</v>
      </c>
      <c r="B27" s="13">
        <f>VLOOKUP(Table2[[#This Row],[Location 
(drop-down)]],'List source'!D$2:E$71,2,FALSE)</f>
        <v>130</v>
      </c>
      <c r="C27" s="11" t="s">
        <v>67</v>
      </c>
      <c r="D27" s="183" t="str">
        <f t="shared" si="0"/>
        <v>C026-130-26</v>
      </c>
      <c r="E27" s="11" t="s">
        <v>299</v>
      </c>
      <c r="F27" s="11"/>
      <c r="G27" s="9" t="s">
        <v>303</v>
      </c>
      <c r="H27" s="10" t="s">
        <v>268</v>
      </c>
      <c r="I27" s="19" t="s">
        <v>46</v>
      </c>
      <c r="J27" s="174">
        <v>46057</v>
      </c>
      <c r="K27" s="142"/>
      <c r="L27" s="61"/>
      <c r="M27" s="164"/>
      <c r="N27" s="142"/>
      <c r="O27" s="61"/>
      <c r="P27" s="168"/>
      <c r="Q27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27" s="36" t="s">
        <v>301</v>
      </c>
      <c r="S27" s="90"/>
    </row>
    <row r="28" spans="1:19" s="4" customFormat="1" ht="30" customHeight="1">
      <c r="A28" s="9" t="s">
        <v>43</v>
      </c>
      <c r="B28" s="13">
        <f>VLOOKUP(Table2[[#This Row],[Location 
(drop-down)]],'List source'!D$2:E$71,2,FALSE)</f>
        <v>130</v>
      </c>
      <c r="C28" s="11" t="s">
        <v>68</v>
      </c>
      <c r="D28" s="183" t="str">
        <f t="shared" si="0"/>
        <v>C027-130-26</v>
      </c>
      <c r="E28" s="11" t="s">
        <v>299</v>
      </c>
      <c r="F28" s="11"/>
      <c r="G28" s="9" t="s">
        <v>304</v>
      </c>
      <c r="H28" s="10" t="s">
        <v>268</v>
      </c>
      <c r="I28" s="19" t="s">
        <v>46</v>
      </c>
      <c r="J28" s="174">
        <v>46057</v>
      </c>
      <c r="K28" s="142"/>
      <c r="L28" s="61"/>
      <c r="M28" s="164"/>
      <c r="N28" s="142"/>
      <c r="O28" s="61"/>
      <c r="P28" s="168"/>
      <c r="Q28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28" s="36" t="s">
        <v>301</v>
      </c>
      <c r="S28" s="90"/>
    </row>
    <row r="29" spans="1:19" s="4" customFormat="1" ht="30" customHeight="1">
      <c r="A29" s="9" t="s">
        <v>43</v>
      </c>
      <c r="B29" s="13">
        <f>VLOOKUP(Table2[[#This Row],[Location 
(drop-down)]],'List source'!D$2:E$71,2,FALSE)</f>
        <v>130</v>
      </c>
      <c r="C29" s="11" t="s">
        <v>69</v>
      </c>
      <c r="D29" s="183" t="str">
        <f t="shared" si="0"/>
        <v>C028-130-26</v>
      </c>
      <c r="E29" s="11" t="s">
        <v>299</v>
      </c>
      <c r="F29" s="11"/>
      <c r="G29" s="9" t="s">
        <v>305</v>
      </c>
      <c r="H29" s="10" t="s">
        <v>268</v>
      </c>
      <c r="I29" s="19" t="s">
        <v>46</v>
      </c>
      <c r="J29" s="174">
        <v>46057</v>
      </c>
      <c r="K29" s="142"/>
      <c r="L29" s="61"/>
      <c r="M29" s="164"/>
      <c r="N29" s="142"/>
      <c r="O29" s="61"/>
      <c r="P29" s="168"/>
      <c r="Q29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29" s="36" t="s">
        <v>301</v>
      </c>
      <c r="S29" s="90"/>
    </row>
    <row r="30" spans="1:19" s="4" customFormat="1" ht="30" customHeight="1">
      <c r="A30" s="9" t="s">
        <v>43</v>
      </c>
      <c r="B30" s="13">
        <f>VLOOKUP(Table2[[#This Row],[Location 
(drop-down)]],'List source'!D$2:E$71,2,FALSE)</f>
        <v>130</v>
      </c>
      <c r="C30" s="11" t="s">
        <v>70</v>
      </c>
      <c r="D30" s="183" t="str">
        <f t="shared" si="0"/>
        <v>C029-130-26</v>
      </c>
      <c r="E30" s="11" t="s">
        <v>299</v>
      </c>
      <c r="F30" s="11"/>
      <c r="G30" s="9" t="s">
        <v>306</v>
      </c>
      <c r="H30" s="10" t="s">
        <v>268</v>
      </c>
      <c r="I30" s="19" t="s">
        <v>46</v>
      </c>
      <c r="J30" s="174">
        <v>46057</v>
      </c>
      <c r="K30" s="142"/>
      <c r="L30" s="61"/>
      <c r="M30" s="164"/>
      <c r="N30" s="142"/>
      <c r="O30" s="61"/>
      <c r="P30" s="168"/>
      <c r="Q30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30" s="36" t="s">
        <v>301</v>
      </c>
      <c r="S30" s="90"/>
    </row>
    <row r="31" spans="1:19" s="4" customFormat="1" ht="30" customHeight="1">
      <c r="A31" s="9" t="s">
        <v>43</v>
      </c>
      <c r="B31" s="13">
        <f>VLOOKUP(Table2[[#This Row],[Location 
(drop-down)]],'List source'!D$2:E$71,2,FALSE)</f>
        <v>130</v>
      </c>
      <c r="C31" s="11" t="s">
        <v>71</v>
      </c>
      <c r="D31" s="183" t="str">
        <f t="shared" si="0"/>
        <v>C030-130-26</v>
      </c>
      <c r="E31" s="11" t="s">
        <v>299</v>
      </c>
      <c r="F31" s="11"/>
      <c r="G31" s="73" t="s">
        <v>307</v>
      </c>
      <c r="H31" s="10" t="s">
        <v>268</v>
      </c>
      <c r="I31" s="19" t="s">
        <v>46</v>
      </c>
      <c r="J31" s="174">
        <v>46057</v>
      </c>
      <c r="K31" s="142"/>
      <c r="L31" s="61"/>
      <c r="M31" s="164"/>
      <c r="N31" s="142"/>
      <c r="O31" s="61"/>
      <c r="P31" s="168"/>
      <c r="Q31" s="13">
        <f ca="1">IF(ISBLANK(Table2[[#This Row],[Corrective Action Completion Date]]), TODAY()-Table2[[#This Row],[CAR initialized date]], Table2[[#This Row],[Corrective Action Completion Date]]-Table2[[#This Row],[CAR initialized date]])</f>
        <v>10</v>
      </c>
      <c r="R31" s="36" t="s">
        <v>301</v>
      </c>
      <c r="S31" s="90"/>
    </row>
    <row r="32" spans="1:19" s="4" customFormat="1" ht="30" hidden="1" customHeight="1">
      <c r="A32" s="9" t="s">
        <v>308</v>
      </c>
      <c r="B32" s="13">
        <f>VLOOKUP(Table2[[#This Row],[Location 
(drop-down)]],'List source'!D$2:E$71,2,FALSE)</f>
        <v>170</v>
      </c>
      <c r="C32" s="11" t="s">
        <v>72</v>
      </c>
      <c r="D32" s="183" t="str">
        <f t="shared" si="0"/>
        <v>C031-170-26</v>
      </c>
      <c r="E32" s="11" t="s">
        <v>260</v>
      </c>
      <c r="F32" s="11"/>
      <c r="G32" s="73" t="s">
        <v>309</v>
      </c>
      <c r="H32" s="10" t="s">
        <v>268</v>
      </c>
      <c r="I32" s="19" t="s">
        <v>310</v>
      </c>
      <c r="J32" s="142">
        <v>46062</v>
      </c>
      <c r="K32" s="142"/>
      <c r="L32" s="61"/>
      <c r="M32" s="164"/>
      <c r="N32" s="142"/>
      <c r="O32" s="61"/>
      <c r="P32" s="168"/>
      <c r="Q32" s="13">
        <f ca="1">IF(ISBLANK(Table2[[#This Row],[Corrective Action Completion Date]]), TODAY()-Table2[[#This Row],[CAR initialized date]], Table2[[#This Row],[Corrective Action Completion Date]]-Table2[[#This Row],[CAR initialized date]])</f>
        <v>5</v>
      </c>
      <c r="R32" s="162"/>
      <c r="S32" s="90"/>
    </row>
    <row r="33" spans="1:19" s="4" customFormat="1" ht="30" hidden="1" customHeight="1">
      <c r="A33" s="9" t="s">
        <v>308</v>
      </c>
      <c r="B33" s="13">
        <f>VLOOKUP(Table2[[#This Row],[Location 
(drop-down)]],'List source'!D$2:E$71,2,FALSE)</f>
        <v>170</v>
      </c>
      <c r="C33" s="11" t="s">
        <v>73</v>
      </c>
      <c r="D33" s="183" t="str">
        <f t="shared" si="0"/>
        <v>C032-170-26</v>
      </c>
      <c r="E33" s="11" t="s">
        <v>260</v>
      </c>
      <c r="F33" s="11"/>
      <c r="G33" s="9" t="s">
        <v>311</v>
      </c>
      <c r="H33" s="10" t="s">
        <v>268</v>
      </c>
      <c r="I33" s="19" t="s">
        <v>310</v>
      </c>
      <c r="J33" s="142">
        <v>46062</v>
      </c>
      <c r="K33" s="142"/>
      <c r="L33" s="61"/>
      <c r="M33" s="164"/>
      <c r="N33" s="142"/>
      <c r="O33" s="61"/>
      <c r="P33" s="168"/>
      <c r="Q33" s="13">
        <f ca="1">IF(ISBLANK(Table2[[#This Row],[Corrective Action Completion Date]]), TODAY()-Table2[[#This Row],[CAR initialized date]], Table2[[#This Row],[Corrective Action Completion Date]]-Table2[[#This Row],[CAR initialized date]])</f>
        <v>5</v>
      </c>
      <c r="R33" s="211"/>
      <c r="S33" s="90"/>
    </row>
    <row r="34" spans="1:19" s="4" customFormat="1" ht="30" hidden="1" customHeight="1">
      <c r="A34" s="9" t="s">
        <v>308</v>
      </c>
      <c r="B34" s="13">
        <f>VLOOKUP(Table2[[#This Row],[Location 
(drop-down)]],'List source'!D$2:E$71,2,FALSE)</f>
        <v>170</v>
      </c>
      <c r="C34" s="11" t="s">
        <v>74</v>
      </c>
      <c r="D34" s="183" t="str">
        <f t="shared" si="0"/>
        <v>C033-170-26</v>
      </c>
      <c r="E34" s="11" t="s">
        <v>260</v>
      </c>
      <c r="F34" s="11"/>
      <c r="G34" s="75" t="s">
        <v>312</v>
      </c>
      <c r="H34" s="10" t="s">
        <v>268</v>
      </c>
      <c r="I34" s="19" t="s">
        <v>310</v>
      </c>
      <c r="J34" s="142">
        <v>46062</v>
      </c>
      <c r="K34" s="142"/>
      <c r="L34" s="61"/>
      <c r="M34" s="164"/>
      <c r="N34" s="142"/>
      <c r="O34" s="61"/>
      <c r="P34" s="168"/>
      <c r="Q34" s="13">
        <f ca="1">IF(ISBLANK(Table2[[#This Row],[Corrective Action Completion Date]]), TODAY()-Table2[[#This Row],[CAR initialized date]], Table2[[#This Row],[Corrective Action Completion Date]]-Table2[[#This Row],[CAR initialized date]])</f>
        <v>5</v>
      </c>
      <c r="R34" s="211"/>
      <c r="S34" s="90"/>
    </row>
    <row r="35" spans="1:19" s="4" customFormat="1" ht="30" hidden="1" customHeight="1">
      <c r="A35" s="9" t="s">
        <v>313</v>
      </c>
      <c r="B35" s="13">
        <f>VLOOKUP(Table2[[#This Row],[Location 
(drop-down)]],'List source'!D$2:E$71,2,FALSE)</f>
        <v>199</v>
      </c>
      <c r="C35" s="11" t="s">
        <v>75</v>
      </c>
      <c r="D35" s="183" t="str">
        <f t="shared" si="0"/>
        <v>C034-199-26</v>
      </c>
      <c r="E35" s="11" t="s">
        <v>260</v>
      </c>
      <c r="F35" s="11"/>
      <c r="G35" s="9" t="s">
        <v>314</v>
      </c>
      <c r="H35" s="10" t="s">
        <v>262</v>
      </c>
      <c r="I35" s="19" t="s">
        <v>315</v>
      </c>
      <c r="J35" s="142">
        <v>46064</v>
      </c>
      <c r="K35" s="142"/>
      <c r="L35" s="61"/>
      <c r="M35" s="164"/>
      <c r="N35" s="142"/>
      <c r="O35" s="61"/>
      <c r="P35" s="168"/>
      <c r="Q35" s="13">
        <f ca="1">IF(ISBLANK(Table2[[#This Row],[Corrective Action Completion Date]]), TODAY()-Table2[[#This Row],[CAR initialized date]], Table2[[#This Row],[Corrective Action Completion Date]]-Table2[[#This Row],[CAR initialized date]])</f>
        <v>3</v>
      </c>
      <c r="R35" s="36"/>
      <c r="S35" s="90"/>
    </row>
    <row r="36" spans="1:19" s="4" customFormat="1" ht="30" hidden="1" customHeight="1">
      <c r="A36" s="9" t="s">
        <v>313</v>
      </c>
      <c r="B36" s="13">
        <f>VLOOKUP(Table2[[#This Row],[Location 
(drop-down)]],'List source'!D$2:E$71,2,FALSE)</f>
        <v>199</v>
      </c>
      <c r="C36" s="11" t="s">
        <v>76</v>
      </c>
      <c r="D36" s="183" t="str">
        <f t="shared" si="0"/>
        <v>C035-199-26</v>
      </c>
      <c r="E36" s="11" t="s">
        <v>260</v>
      </c>
      <c r="F36" s="11"/>
      <c r="G36" s="9" t="s">
        <v>316</v>
      </c>
      <c r="H36" s="10" t="s">
        <v>262</v>
      </c>
      <c r="I36" s="19" t="s">
        <v>315</v>
      </c>
      <c r="J36" s="142">
        <v>46064</v>
      </c>
      <c r="K36" s="142"/>
      <c r="L36" s="61"/>
      <c r="M36" s="164"/>
      <c r="N36" s="142"/>
      <c r="O36" s="61"/>
      <c r="P36" s="168"/>
      <c r="Q36" s="13">
        <f ca="1">IF(ISBLANK(Table2[[#This Row],[Corrective Action Completion Date]]), TODAY()-Table2[[#This Row],[CAR initialized date]], Table2[[#This Row],[Corrective Action Completion Date]]-Table2[[#This Row],[CAR initialized date]])</f>
        <v>3</v>
      </c>
      <c r="R36" s="36"/>
      <c r="S36" s="90"/>
    </row>
    <row r="37" spans="1:19" s="4" customFormat="1" ht="30" customHeight="1">
      <c r="A37" s="9" t="s">
        <v>43</v>
      </c>
      <c r="B37" s="13">
        <f>VLOOKUP(Table2[[#This Row],[Location 
(drop-down)]],'List source'!D$2:E$71,2,FALSE)</f>
        <v>130</v>
      </c>
      <c r="C37" s="11" t="s">
        <v>77</v>
      </c>
      <c r="D37" s="183" t="str">
        <f t="shared" si="0"/>
        <v>C036-130-26</v>
      </c>
      <c r="E37" s="11" t="s">
        <v>260</v>
      </c>
      <c r="F37" s="11"/>
      <c r="G37" s="9" t="s">
        <v>317</v>
      </c>
      <c r="H37" s="10" t="s">
        <v>286</v>
      </c>
      <c r="I37" s="19" t="s">
        <v>46</v>
      </c>
      <c r="J37" s="142">
        <v>46062</v>
      </c>
      <c r="K37" s="142"/>
      <c r="L37" s="231"/>
      <c r="M37" s="342"/>
      <c r="N37" s="230"/>
      <c r="O37" s="231"/>
      <c r="P37" s="232"/>
      <c r="Q37" s="13">
        <f ca="1">IF(ISBLANK(Table2[[#This Row],[Corrective Action Completion Date]]), TODAY()-Table2[[#This Row],[CAR initialized date]], Table2[[#This Row],[Corrective Action Completion Date]]-Table2[[#This Row],[CAR initialized date]])</f>
        <v>5</v>
      </c>
      <c r="R37" s="233"/>
      <c r="S37" s="90"/>
    </row>
    <row r="38" spans="1:19" s="4" customFormat="1" ht="30" hidden="1" customHeight="1">
      <c r="A38" s="9" t="s">
        <v>14</v>
      </c>
      <c r="B38" s="13">
        <f>VLOOKUP(Table2[[#This Row],[Location 
(drop-down)]],'List source'!D$2:E$71,2,FALSE)</f>
        <v>131</v>
      </c>
      <c r="C38" s="11" t="s">
        <v>78</v>
      </c>
      <c r="D38" s="183" t="str">
        <f t="shared" si="0"/>
        <v>C037-131-26</v>
      </c>
      <c r="E38" s="11" t="s">
        <v>260</v>
      </c>
      <c r="F38" s="11"/>
      <c r="G38" s="9" t="s">
        <v>318</v>
      </c>
      <c r="H38" s="10" t="s">
        <v>262</v>
      </c>
      <c r="I38" s="19" t="s">
        <v>46</v>
      </c>
      <c r="J38" s="142">
        <v>46063</v>
      </c>
      <c r="K38" s="142"/>
      <c r="L38" s="61"/>
      <c r="M38" s="164"/>
      <c r="N38" s="142"/>
      <c r="O38" s="61"/>
      <c r="P38" s="168"/>
      <c r="Q38" s="13">
        <f ca="1">IF(ISBLANK(Table2[[#This Row],[Corrective Action Completion Date]]), TODAY()-Table2[[#This Row],[CAR initialized date]], Table2[[#This Row],[Corrective Action Completion Date]]-Table2[[#This Row],[CAR initialized date]])</f>
        <v>4</v>
      </c>
      <c r="R38" s="36"/>
      <c r="S38" s="90"/>
    </row>
    <row r="39" spans="1:19" s="4" customFormat="1" ht="30" hidden="1" customHeight="1">
      <c r="A39" s="9"/>
      <c r="B39" s="13" t="e">
        <f>VLOOKUP(Table2[[#This Row],[Location 
(drop-down)]],'List source'!D$2:E$71,2,FALSE)</f>
        <v>#N/A</v>
      </c>
      <c r="C39" s="11" t="s">
        <v>79</v>
      </c>
      <c r="D39" s="183" t="e">
        <f t="shared" si="0"/>
        <v>#N/A</v>
      </c>
      <c r="E39" s="11"/>
      <c r="F39" s="11"/>
      <c r="G39" s="9"/>
      <c r="H39" s="10"/>
      <c r="I39" s="19"/>
      <c r="J39" s="230"/>
      <c r="K39" s="230"/>
      <c r="L39" s="231"/>
      <c r="M39" s="342"/>
      <c r="N39" s="230"/>
      <c r="O39" s="231"/>
      <c r="P39" s="232"/>
      <c r="Q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" s="233"/>
      <c r="S39" s="90"/>
    </row>
    <row r="40" spans="1:19" s="4" customFormat="1" ht="30" hidden="1" customHeight="1">
      <c r="A40" s="9"/>
      <c r="B40" s="13" t="e">
        <f>VLOOKUP(Table2[[#This Row],[Location 
(drop-down)]],'List source'!D$2:E$71,2,FALSE)</f>
        <v>#N/A</v>
      </c>
      <c r="C40" s="11" t="s">
        <v>80</v>
      </c>
      <c r="D40" s="183" t="e">
        <f t="shared" si="0"/>
        <v>#N/A</v>
      </c>
      <c r="E40" s="11"/>
      <c r="F40" s="11"/>
      <c r="G40" s="9"/>
      <c r="H40" s="10"/>
      <c r="I40" s="19"/>
      <c r="J40" s="142"/>
      <c r="K40" s="142"/>
      <c r="L40" s="61"/>
      <c r="M40" s="164"/>
      <c r="N40" s="142"/>
      <c r="O40" s="61"/>
      <c r="P40" s="168"/>
      <c r="Q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" s="36"/>
      <c r="S40" s="90"/>
    </row>
    <row r="41" spans="1:19" s="4" customFormat="1" ht="30" hidden="1" customHeight="1">
      <c r="A41" s="9"/>
      <c r="B41" s="13" t="e">
        <f>VLOOKUP(Table2[[#This Row],[Location 
(drop-down)]],'List source'!D$2:E$71,2,FALSE)</f>
        <v>#N/A</v>
      </c>
      <c r="C41" s="11" t="s">
        <v>81</v>
      </c>
      <c r="D41" s="183" t="e">
        <f t="shared" si="0"/>
        <v>#N/A</v>
      </c>
      <c r="E41" s="11"/>
      <c r="F41" s="11"/>
      <c r="G41" s="9"/>
      <c r="H41" s="10"/>
      <c r="I41" s="19"/>
      <c r="J41" s="142"/>
      <c r="K41" s="142"/>
      <c r="L41" s="61"/>
      <c r="M41" s="164"/>
      <c r="N41" s="142"/>
      <c r="O41" s="61"/>
      <c r="P41" s="168"/>
      <c r="Q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" s="36"/>
      <c r="S41" s="90"/>
    </row>
    <row r="42" spans="1:19" s="4" customFormat="1" ht="30" hidden="1" customHeight="1">
      <c r="A42" s="9"/>
      <c r="B42" s="13" t="e">
        <f>VLOOKUP(Table2[[#This Row],[Location 
(drop-down)]],'List source'!D$2:E$71,2,FALSE)</f>
        <v>#N/A</v>
      </c>
      <c r="C42" s="11" t="s">
        <v>82</v>
      </c>
      <c r="D42" s="183" t="e">
        <f t="shared" si="0"/>
        <v>#N/A</v>
      </c>
      <c r="E42" s="11"/>
      <c r="F42" s="11"/>
      <c r="G42" s="67"/>
      <c r="H42" s="10"/>
      <c r="I42" s="19"/>
      <c r="J42" s="142"/>
      <c r="K42" s="142"/>
      <c r="L42" s="61"/>
      <c r="M42" s="164"/>
      <c r="N42" s="142"/>
      <c r="O42" s="61"/>
      <c r="P42" s="168"/>
      <c r="Q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" s="211"/>
      <c r="S42" s="90"/>
    </row>
    <row r="43" spans="1:19" s="4" customFormat="1" ht="30" hidden="1" customHeight="1">
      <c r="A43" s="9"/>
      <c r="B43" s="13" t="e">
        <f>VLOOKUP(Table2[[#This Row],[Location 
(drop-down)]],'List source'!D$2:E$71,2,FALSE)</f>
        <v>#N/A</v>
      </c>
      <c r="C43" s="11" t="s">
        <v>83</v>
      </c>
      <c r="D43" s="183" t="e">
        <f t="shared" si="0"/>
        <v>#N/A</v>
      </c>
      <c r="E43" s="11"/>
      <c r="F43" s="11"/>
      <c r="G43" s="9"/>
      <c r="H43" s="10"/>
      <c r="I43" s="19"/>
      <c r="J43" s="142"/>
      <c r="K43" s="142"/>
      <c r="L43" s="61"/>
      <c r="M43" s="164"/>
      <c r="N43" s="142"/>
      <c r="O43" s="61"/>
      <c r="P43" s="168"/>
      <c r="Q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" s="36"/>
      <c r="S43" s="90"/>
    </row>
    <row r="44" spans="1:19" s="4" customFormat="1" ht="30" hidden="1" customHeight="1">
      <c r="A44" s="9"/>
      <c r="B44" s="13" t="e">
        <f>VLOOKUP(Table2[[#This Row],[Location 
(drop-down)]],'List source'!D$2:E$71,2,FALSE)</f>
        <v>#N/A</v>
      </c>
      <c r="C44" s="11" t="s">
        <v>84</v>
      </c>
      <c r="D44" s="183" t="e">
        <f t="shared" si="0"/>
        <v>#N/A</v>
      </c>
      <c r="E44" s="11"/>
      <c r="F44" s="11"/>
      <c r="G44" s="9"/>
      <c r="H44" s="10"/>
      <c r="I44" s="19"/>
      <c r="J44" s="142"/>
      <c r="K44" s="142"/>
      <c r="L44" s="61"/>
      <c r="M44" s="164"/>
      <c r="N44" s="142"/>
      <c r="O44" s="61"/>
      <c r="P44" s="168"/>
      <c r="Q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" s="36"/>
      <c r="S44" s="90"/>
    </row>
    <row r="45" spans="1:19" s="4" customFormat="1" ht="30" hidden="1" customHeight="1">
      <c r="A45" s="9"/>
      <c r="B45" s="13" t="e">
        <f>VLOOKUP(Table2[[#This Row],[Location 
(drop-down)]],'List source'!D$2:E$71,2,FALSE)</f>
        <v>#N/A</v>
      </c>
      <c r="C45" s="11" t="s">
        <v>85</v>
      </c>
      <c r="D45" s="183" t="e">
        <f t="shared" si="0"/>
        <v>#N/A</v>
      </c>
      <c r="E45" s="11"/>
      <c r="F45" s="11"/>
      <c r="G45" s="9"/>
      <c r="H45" s="10"/>
      <c r="I45" s="19"/>
      <c r="J45" s="142"/>
      <c r="K45" s="142"/>
      <c r="L45" s="61"/>
      <c r="M45" s="164"/>
      <c r="N45" s="142"/>
      <c r="O45" s="61"/>
      <c r="P45" s="168"/>
      <c r="Q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" s="36"/>
      <c r="S45" s="90"/>
    </row>
    <row r="46" spans="1:19" s="4" customFormat="1" ht="30" hidden="1" customHeight="1">
      <c r="A46" s="9"/>
      <c r="B46" s="13" t="e">
        <f>VLOOKUP(Table2[[#This Row],[Location 
(drop-down)]],'List source'!D$2:E$71,2,FALSE)</f>
        <v>#N/A</v>
      </c>
      <c r="C46" s="11" t="s">
        <v>86</v>
      </c>
      <c r="D46" s="183" t="e">
        <f t="shared" si="0"/>
        <v>#N/A</v>
      </c>
      <c r="E46" s="11"/>
      <c r="F46" s="11"/>
      <c r="G46" s="9"/>
      <c r="H46" s="10"/>
      <c r="I46" s="19"/>
      <c r="J46" s="142"/>
      <c r="K46" s="142"/>
      <c r="L46" s="61"/>
      <c r="M46" s="164"/>
      <c r="N46" s="142"/>
      <c r="O46" s="61"/>
      <c r="P46" s="168"/>
      <c r="Q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" s="36"/>
      <c r="S46" s="90"/>
    </row>
    <row r="47" spans="1:19" s="4" customFormat="1" ht="30" hidden="1" customHeight="1">
      <c r="A47" s="9"/>
      <c r="B47" s="13" t="e">
        <f>VLOOKUP(Table2[[#This Row],[Location 
(drop-down)]],'List source'!D$2:E$71,2,FALSE)</f>
        <v>#N/A</v>
      </c>
      <c r="C47" s="11" t="s">
        <v>87</v>
      </c>
      <c r="D47" s="183" t="e">
        <f t="shared" si="0"/>
        <v>#N/A</v>
      </c>
      <c r="E47" s="11"/>
      <c r="F47" s="11"/>
      <c r="G47" s="9"/>
      <c r="H47" s="10"/>
      <c r="I47" s="19"/>
      <c r="J47" s="142"/>
      <c r="K47" s="142"/>
      <c r="L47" s="61"/>
      <c r="M47" s="164"/>
      <c r="N47" s="142"/>
      <c r="O47" s="61"/>
      <c r="P47" s="168"/>
      <c r="Q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" s="214"/>
      <c r="S47" s="90"/>
    </row>
    <row r="48" spans="1:19" s="4" customFormat="1" ht="30" hidden="1" customHeight="1">
      <c r="A48" s="9"/>
      <c r="B48" s="13" t="e">
        <f>VLOOKUP(Table2[[#This Row],[Location 
(drop-down)]],'List source'!D$2:E$71,2,FALSE)</f>
        <v>#N/A</v>
      </c>
      <c r="C48" s="11" t="s">
        <v>88</v>
      </c>
      <c r="D48" s="183" t="e">
        <f t="shared" si="0"/>
        <v>#N/A</v>
      </c>
      <c r="E48" s="11"/>
      <c r="F48" s="11"/>
      <c r="G48" s="73"/>
      <c r="H48" s="10"/>
      <c r="I48" s="19"/>
      <c r="J48" s="142"/>
      <c r="K48" s="142"/>
      <c r="L48" s="61"/>
      <c r="M48" s="164"/>
      <c r="N48" s="142"/>
      <c r="O48" s="61"/>
      <c r="P48" s="168"/>
      <c r="Q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" s="36"/>
      <c r="S48" s="90"/>
    </row>
    <row r="49" spans="1:19" s="4" customFormat="1" ht="30" hidden="1" customHeight="1">
      <c r="A49" s="9"/>
      <c r="B49" s="13" t="e">
        <f>VLOOKUP(Table2[[#This Row],[Location 
(drop-down)]],'List source'!D$2:E$71,2,FALSE)</f>
        <v>#N/A</v>
      </c>
      <c r="C49" s="11" t="s">
        <v>89</v>
      </c>
      <c r="D49" s="183" t="e">
        <f t="shared" si="0"/>
        <v>#N/A</v>
      </c>
      <c r="E49" s="11"/>
      <c r="F49" s="11"/>
      <c r="G49" s="9"/>
      <c r="H49" s="10"/>
      <c r="I49" s="19"/>
      <c r="J49" s="142"/>
      <c r="K49" s="142"/>
      <c r="L49" s="61"/>
      <c r="M49" s="164"/>
      <c r="N49" s="142"/>
      <c r="O49" s="61"/>
      <c r="P49" s="168"/>
      <c r="Q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" s="36"/>
      <c r="S49" s="90"/>
    </row>
    <row r="50" spans="1:19" s="4" customFormat="1" ht="30" hidden="1" customHeight="1">
      <c r="A50" s="9"/>
      <c r="B50" s="13" t="e">
        <f>VLOOKUP(Table2[[#This Row],[Location 
(drop-down)]],'List source'!D$2:E$71,2,FALSE)</f>
        <v>#N/A</v>
      </c>
      <c r="C50" s="11" t="s">
        <v>90</v>
      </c>
      <c r="D50" s="183" t="e">
        <f t="shared" si="0"/>
        <v>#N/A</v>
      </c>
      <c r="E50" s="11"/>
      <c r="F50" s="11"/>
      <c r="G50" s="9"/>
      <c r="H50" s="10"/>
      <c r="I50" s="19"/>
      <c r="J50" s="142"/>
      <c r="K50" s="142"/>
      <c r="L50" s="61"/>
      <c r="M50" s="164"/>
      <c r="N50" s="142"/>
      <c r="O50" s="61"/>
      <c r="P50" s="168"/>
      <c r="Q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" s="36"/>
      <c r="S50" s="90"/>
    </row>
    <row r="51" spans="1:19" s="4" customFormat="1" ht="30" hidden="1" customHeight="1">
      <c r="A51" s="9"/>
      <c r="B51" s="13" t="e">
        <f>VLOOKUP(Table2[[#This Row],[Location 
(drop-down)]],'List source'!D$2:E$71,2,FALSE)</f>
        <v>#N/A</v>
      </c>
      <c r="C51" s="11" t="s">
        <v>91</v>
      </c>
      <c r="D51" s="183" t="e">
        <f t="shared" si="0"/>
        <v>#N/A</v>
      </c>
      <c r="E51" s="11"/>
      <c r="F51" s="11"/>
      <c r="G51" s="9"/>
      <c r="H51" s="10"/>
      <c r="I51" s="19"/>
      <c r="J51" s="142"/>
      <c r="K51" s="142"/>
      <c r="L51" s="61"/>
      <c r="M51" s="164"/>
      <c r="N51" s="142"/>
      <c r="O51" s="61"/>
      <c r="P51" s="168"/>
      <c r="Q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" s="36"/>
      <c r="S51" s="90"/>
    </row>
    <row r="52" spans="1:19" s="4" customFormat="1" ht="30" hidden="1" customHeight="1">
      <c r="A52" s="9"/>
      <c r="B52" s="13" t="e">
        <f>VLOOKUP(Table2[[#This Row],[Location 
(drop-down)]],'List source'!D$2:E$71,2,FALSE)</f>
        <v>#N/A</v>
      </c>
      <c r="C52" s="11" t="s">
        <v>92</v>
      </c>
      <c r="D52" s="183" t="e">
        <f t="shared" si="0"/>
        <v>#N/A</v>
      </c>
      <c r="E52" s="11"/>
      <c r="F52" s="11"/>
      <c r="G52" s="73"/>
      <c r="H52" s="10"/>
      <c r="I52" s="19"/>
      <c r="J52" s="142"/>
      <c r="K52" s="142"/>
      <c r="L52" s="61"/>
      <c r="M52" s="164"/>
      <c r="N52" s="142"/>
      <c r="O52" s="61"/>
      <c r="P52" s="168"/>
      <c r="Q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" s="36"/>
      <c r="S52" s="90"/>
    </row>
    <row r="53" spans="1:19" s="4" customFormat="1" ht="30" hidden="1" customHeight="1">
      <c r="A53" s="9"/>
      <c r="B53" s="13" t="e">
        <f>VLOOKUP(Table2[[#This Row],[Location 
(drop-down)]],'List source'!D$2:E$71,2,FALSE)</f>
        <v>#N/A</v>
      </c>
      <c r="C53" s="11" t="s">
        <v>93</v>
      </c>
      <c r="D53" s="183" t="e">
        <f t="shared" si="0"/>
        <v>#N/A</v>
      </c>
      <c r="E53" s="11"/>
      <c r="F53" s="11"/>
      <c r="G53" s="9"/>
      <c r="H53" s="10"/>
      <c r="I53" s="19"/>
      <c r="J53" s="142"/>
      <c r="K53" s="142"/>
      <c r="L53" s="61"/>
      <c r="M53" s="164"/>
      <c r="N53" s="142"/>
      <c r="O53" s="61"/>
      <c r="P53" s="168"/>
      <c r="Q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" s="36"/>
      <c r="S53" s="90"/>
    </row>
    <row r="54" spans="1:19" s="4" customFormat="1" ht="30" hidden="1" customHeight="1">
      <c r="A54" s="9"/>
      <c r="B54" s="13" t="e">
        <f>VLOOKUP(Table2[[#This Row],[Location 
(drop-down)]],'List source'!D$2:E$71,2,FALSE)</f>
        <v>#N/A</v>
      </c>
      <c r="C54" s="11" t="s">
        <v>94</v>
      </c>
      <c r="D54" s="183" t="e">
        <f t="shared" si="0"/>
        <v>#N/A</v>
      </c>
      <c r="E54" s="11"/>
      <c r="F54" s="11"/>
      <c r="G54" s="9"/>
      <c r="H54" s="10"/>
      <c r="I54" s="19"/>
      <c r="J54" s="142"/>
      <c r="K54" s="142"/>
      <c r="L54" s="61"/>
      <c r="M54" s="164"/>
      <c r="N54" s="142"/>
      <c r="O54" s="61"/>
      <c r="P54" s="168"/>
      <c r="Q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" s="36"/>
      <c r="S54" s="90"/>
    </row>
    <row r="55" spans="1:19" s="4" customFormat="1" ht="30" hidden="1" customHeight="1">
      <c r="A55" s="9"/>
      <c r="B55" s="13" t="e">
        <f>VLOOKUP(Table2[[#This Row],[Location 
(drop-down)]],'List source'!D$2:E$71,2,FALSE)</f>
        <v>#N/A</v>
      </c>
      <c r="C55" s="11" t="s">
        <v>95</v>
      </c>
      <c r="D55" s="183" t="e">
        <f t="shared" si="0"/>
        <v>#N/A</v>
      </c>
      <c r="E55" s="11"/>
      <c r="F55" s="11"/>
      <c r="G55" s="9"/>
      <c r="H55" s="10"/>
      <c r="I55" s="19"/>
      <c r="J55" s="142"/>
      <c r="K55" s="142"/>
      <c r="L55" s="61"/>
      <c r="M55" s="164"/>
      <c r="N55" s="142"/>
      <c r="O55" s="61"/>
      <c r="P55" s="168"/>
      <c r="Q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" s="36"/>
      <c r="S55" s="90"/>
    </row>
    <row r="56" spans="1:19" s="4" customFormat="1" ht="30" hidden="1" customHeight="1">
      <c r="A56" s="9"/>
      <c r="B56" s="13" t="e">
        <f>VLOOKUP(Table2[[#This Row],[Location 
(drop-down)]],'List source'!D$2:E$71,2,FALSE)</f>
        <v>#N/A</v>
      </c>
      <c r="C56" s="11" t="s">
        <v>96</v>
      </c>
      <c r="D56" s="183" t="e">
        <f t="shared" si="0"/>
        <v>#N/A</v>
      </c>
      <c r="E56" s="11"/>
      <c r="F56" s="11"/>
      <c r="G56" s="9"/>
      <c r="H56" s="10"/>
      <c r="I56" s="19"/>
      <c r="J56" s="142"/>
      <c r="K56" s="142"/>
      <c r="L56" s="61"/>
      <c r="M56" s="164"/>
      <c r="N56" s="142"/>
      <c r="O56" s="61"/>
      <c r="P56" s="168"/>
      <c r="Q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" s="36"/>
      <c r="S56" s="90"/>
    </row>
    <row r="57" spans="1:19" s="4" customFormat="1" ht="30" hidden="1" customHeight="1">
      <c r="A57" s="9"/>
      <c r="B57" s="13" t="e">
        <f>VLOOKUP(Table2[[#This Row],[Location 
(drop-down)]],'List source'!D$2:E$71,2,FALSE)</f>
        <v>#N/A</v>
      </c>
      <c r="C57" s="11" t="s">
        <v>97</v>
      </c>
      <c r="D57" s="183" t="e">
        <f t="shared" si="0"/>
        <v>#N/A</v>
      </c>
      <c r="E57" s="11"/>
      <c r="F57" s="11"/>
      <c r="G57" s="9"/>
      <c r="H57" s="10"/>
      <c r="I57" s="19"/>
      <c r="J57" s="142"/>
      <c r="K57" s="142"/>
      <c r="L57" s="61"/>
      <c r="M57" s="164"/>
      <c r="N57" s="142"/>
      <c r="O57" s="61"/>
      <c r="P57" s="168"/>
      <c r="Q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" s="36"/>
      <c r="S57" s="90"/>
    </row>
    <row r="58" spans="1:19" s="4" customFormat="1" ht="30" hidden="1" customHeight="1">
      <c r="A58" s="9"/>
      <c r="B58" s="13" t="e">
        <f>VLOOKUP(Table2[[#This Row],[Location 
(drop-down)]],'List source'!D$2:E$71,2,FALSE)</f>
        <v>#N/A</v>
      </c>
      <c r="C58" s="11" t="s">
        <v>98</v>
      </c>
      <c r="D58" s="183" t="e">
        <f t="shared" si="0"/>
        <v>#N/A</v>
      </c>
      <c r="E58" s="11"/>
      <c r="F58" s="11"/>
      <c r="G58" s="9"/>
      <c r="H58" s="10"/>
      <c r="I58" s="19"/>
      <c r="J58" s="142"/>
      <c r="K58" s="142"/>
      <c r="L58" s="61"/>
      <c r="M58" s="164"/>
      <c r="N58" s="142"/>
      <c r="O58" s="61"/>
      <c r="P58" s="168"/>
      <c r="Q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" s="36"/>
      <c r="S58" s="90"/>
    </row>
    <row r="59" spans="1:19" s="4" customFormat="1" ht="30" hidden="1" customHeight="1">
      <c r="A59" s="9"/>
      <c r="B59" s="13" t="e">
        <f>VLOOKUP(Table2[[#This Row],[Location 
(drop-down)]],'List source'!D$2:E$71,2,FALSE)</f>
        <v>#N/A</v>
      </c>
      <c r="C59" s="11" t="s">
        <v>99</v>
      </c>
      <c r="D59" s="183" t="e">
        <f t="shared" si="0"/>
        <v>#N/A</v>
      </c>
      <c r="E59" s="11"/>
      <c r="F59" s="11"/>
      <c r="G59" s="9"/>
      <c r="H59" s="10"/>
      <c r="I59" s="19"/>
      <c r="J59" s="142"/>
      <c r="K59" s="142"/>
      <c r="L59" s="61"/>
      <c r="M59" s="164"/>
      <c r="N59" s="142"/>
      <c r="O59" s="61"/>
      <c r="P59" s="168"/>
      <c r="Q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" s="36"/>
      <c r="S59" s="90"/>
    </row>
    <row r="60" spans="1:19" s="4" customFormat="1" ht="30" hidden="1" customHeight="1">
      <c r="A60" s="9"/>
      <c r="B60" s="13" t="e">
        <f>VLOOKUP(Table2[[#This Row],[Location 
(drop-down)]],'List source'!D$2:E$71,2,FALSE)</f>
        <v>#N/A</v>
      </c>
      <c r="C60" s="11" t="s">
        <v>100</v>
      </c>
      <c r="D60" s="183" t="e">
        <f t="shared" si="0"/>
        <v>#N/A</v>
      </c>
      <c r="E60" s="11"/>
      <c r="F60" s="11"/>
      <c r="G60" s="9"/>
      <c r="H60" s="10"/>
      <c r="I60" s="19"/>
      <c r="J60" s="142"/>
      <c r="K60" s="142"/>
      <c r="L60" s="61"/>
      <c r="M60" s="164"/>
      <c r="N60" s="142"/>
      <c r="O60" s="61"/>
      <c r="P60" s="168"/>
      <c r="Q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" s="36"/>
      <c r="S60" s="90"/>
    </row>
    <row r="61" spans="1:19" s="4" customFormat="1" ht="30" hidden="1" customHeight="1">
      <c r="A61" s="9"/>
      <c r="B61" s="13" t="e">
        <f>VLOOKUP(Table2[[#This Row],[Location 
(drop-down)]],'List source'!D$2:E$71,2,FALSE)</f>
        <v>#N/A</v>
      </c>
      <c r="C61" s="11" t="s">
        <v>101</v>
      </c>
      <c r="D61" s="183" t="e">
        <f t="shared" si="0"/>
        <v>#N/A</v>
      </c>
      <c r="E61" s="11"/>
      <c r="F61" s="11"/>
      <c r="G61" s="9"/>
      <c r="H61" s="10"/>
      <c r="I61" s="19"/>
      <c r="J61" s="142"/>
      <c r="K61" s="142"/>
      <c r="L61" s="61"/>
      <c r="M61" s="164"/>
      <c r="N61" s="142"/>
      <c r="O61" s="61"/>
      <c r="P61" s="168"/>
      <c r="Q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" s="36"/>
      <c r="S61" s="90"/>
    </row>
    <row r="62" spans="1:19" s="4" customFormat="1" ht="30" hidden="1" customHeight="1">
      <c r="A62" s="9"/>
      <c r="B62" s="13" t="e">
        <f>VLOOKUP(Table2[[#This Row],[Location 
(drop-down)]],'List source'!D$2:E$71,2,FALSE)</f>
        <v>#N/A</v>
      </c>
      <c r="C62" s="11" t="s">
        <v>102</v>
      </c>
      <c r="D62" s="183" t="e">
        <f t="shared" si="0"/>
        <v>#N/A</v>
      </c>
      <c r="E62" s="11"/>
      <c r="F62" s="11"/>
      <c r="G62" s="9"/>
      <c r="H62" s="10"/>
      <c r="I62" s="19"/>
      <c r="J62" s="142"/>
      <c r="K62" s="142"/>
      <c r="L62" s="61"/>
      <c r="M62" s="164"/>
      <c r="N62" s="142"/>
      <c r="O62" s="61"/>
      <c r="P62" s="168"/>
      <c r="Q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" s="36"/>
      <c r="S62" s="90"/>
    </row>
    <row r="63" spans="1:19" s="4" customFormat="1" ht="30" hidden="1" customHeight="1">
      <c r="A63" s="9"/>
      <c r="B63" s="13" t="e">
        <f>VLOOKUP(Table2[[#This Row],[Location 
(drop-down)]],'List source'!D$2:E$71,2,FALSE)</f>
        <v>#N/A</v>
      </c>
      <c r="C63" s="11" t="s">
        <v>103</v>
      </c>
      <c r="D63" s="183" t="e">
        <f t="shared" si="0"/>
        <v>#N/A</v>
      </c>
      <c r="E63" s="11"/>
      <c r="F63" s="11"/>
      <c r="G63" s="9"/>
      <c r="H63" s="10"/>
      <c r="I63" s="19"/>
      <c r="J63" s="142"/>
      <c r="K63" s="142"/>
      <c r="L63" s="61"/>
      <c r="M63" s="164"/>
      <c r="N63" s="142"/>
      <c r="O63" s="61"/>
      <c r="P63" s="168"/>
      <c r="Q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" s="36"/>
      <c r="S63" s="90"/>
    </row>
    <row r="64" spans="1:19" s="4" customFormat="1" ht="30" hidden="1" customHeight="1">
      <c r="A64" s="9"/>
      <c r="B64" s="13" t="e">
        <f>VLOOKUP(Table2[[#This Row],[Location 
(drop-down)]],'List source'!D$2:E$71,2,FALSE)</f>
        <v>#N/A</v>
      </c>
      <c r="C64" s="11" t="s">
        <v>104</v>
      </c>
      <c r="D64" s="183" t="e">
        <f t="shared" si="0"/>
        <v>#N/A</v>
      </c>
      <c r="E64" s="11"/>
      <c r="F64" s="11"/>
      <c r="G64" s="9"/>
      <c r="H64" s="10"/>
      <c r="I64" s="19"/>
      <c r="J64" s="142"/>
      <c r="K64" s="142"/>
      <c r="L64" s="61"/>
      <c r="M64" s="164"/>
      <c r="N64" s="142"/>
      <c r="O64" s="61"/>
      <c r="P64" s="168"/>
      <c r="Q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" s="36"/>
      <c r="S64" s="90"/>
    </row>
    <row r="65" spans="1:19" s="4" customFormat="1" ht="30" hidden="1" customHeight="1">
      <c r="A65" s="9"/>
      <c r="B65" s="13" t="e">
        <f>VLOOKUP(Table2[[#This Row],[Location 
(drop-down)]],'List source'!D$2:E$71,2,FALSE)</f>
        <v>#N/A</v>
      </c>
      <c r="C65" s="11" t="s">
        <v>105</v>
      </c>
      <c r="D65" s="183" t="e">
        <f t="shared" si="0"/>
        <v>#N/A</v>
      </c>
      <c r="E65" s="11"/>
      <c r="F65" s="11"/>
      <c r="G65" s="9"/>
      <c r="H65" s="10"/>
      <c r="I65" s="19"/>
      <c r="J65" s="142"/>
      <c r="K65" s="142"/>
      <c r="L65" s="61"/>
      <c r="M65" s="164"/>
      <c r="N65" s="142"/>
      <c r="O65" s="61"/>
      <c r="P65" s="168"/>
      <c r="Q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" s="36"/>
      <c r="S65" s="90"/>
    </row>
    <row r="66" spans="1:19" s="4" customFormat="1" ht="30" hidden="1" customHeight="1">
      <c r="A66" s="9"/>
      <c r="B66" s="13" t="e">
        <f>VLOOKUP(Table2[[#This Row],[Location 
(drop-down)]],'List source'!D$2:E$71,2,FALSE)</f>
        <v>#N/A</v>
      </c>
      <c r="C66" s="11" t="s">
        <v>106</v>
      </c>
      <c r="D66" s="183" t="e">
        <f t="shared" ref="D66:D129" si="1">"C" &amp; C66 &amp;"-" &amp; B66 &amp; "-" &amp; "26"</f>
        <v>#N/A</v>
      </c>
      <c r="E66" s="11"/>
      <c r="F66" s="11"/>
      <c r="G66" s="9"/>
      <c r="H66" s="10"/>
      <c r="I66" s="19"/>
      <c r="J66" s="142"/>
      <c r="K66" s="142"/>
      <c r="L66" s="61"/>
      <c r="M66" s="164"/>
      <c r="N66" s="142"/>
      <c r="O66" s="61"/>
      <c r="P66" s="168"/>
      <c r="Q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" s="36"/>
      <c r="S66" s="90"/>
    </row>
    <row r="67" spans="1:19" s="4" customFormat="1" ht="30" hidden="1" customHeight="1">
      <c r="A67" s="9"/>
      <c r="B67" s="13" t="e">
        <f>VLOOKUP(Table2[[#This Row],[Location 
(drop-down)]],'List source'!D$2:E$71,2,FALSE)</f>
        <v>#N/A</v>
      </c>
      <c r="C67" s="11" t="s">
        <v>107</v>
      </c>
      <c r="D67" s="183" t="e">
        <f t="shared" si="1"/>
        <v>#N/A</v>
      </c>
      <c r="E67" s="11"/>
      <c r="F67" s="11"/>
      <c r="G67" s="87"/>
      <c r="H67" s="10"/>
      <c r="I67" s="19"/>
      <c r="J67" s="142"/>
      <c r="K67" s="142"/>
      <c r="L67" s="61"/>
      <c r="M67" s="164"/>
      <c r="N67" s="142"/>
      <c r="O67" s="61"/>
      <c r="P67" s="168"/>
      <c r="Q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" s="36"/>
      <c r="S67" s="90"/>
    </row>
    <row r="68" spans="1:19" s="4" customFormat="1" ht="30" hidden="1" customHeight="1">
      <c r="A68" s="9"/>
      <c r="B68" s="13" t="e">
        <f>VLOOKUP(Table2[[#This Row],[Location 
(drop-down)]],'List source'!D$2:E$71,2,FALSE)</f>
        <v>#N/A</v>
      </c>
      <c r="C68" s="11" t="s">
        <v>108</v>
      </c>
      <c r="D68" s="183" t="e">
        <f t="shared" si="1"/>
        <v>#N/A</v>
      </c>
      <c r="E68" s="11"/>
      <c r="F68" s="11"/>
      <c r="G68" s="9"/>
      <c r="H68" s="10"/>
      <c r="I68" s="19"/>
      <c r="J68" s="142"/>
      <c r="K68" s="142"/>
      <c r="L68" s="61"/>
      <c r="M68" s="164"/>
      <c r="N68" s="142"/>
      <c r="O68" s="61"/>
      <c r="P68" s="162"/>
      <c r="Q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" s="36"/>
      <c r="S68" s="90"/>
    </row>
    <row r="69" spans="1:19" s="4" customFormat="1" ht="30" hidden="1" customHeight="1">
      <c r="A69" s="9"/>
      <c r="B69" s="13" t="e">
        <f>VLOOKUP(Table2[[#This Row],[Location 
(drop-down)]],'List source'!D$2:E$71,2,FALSE)</f>
        <v>#N/A</v>
      </c>
      <c r="C69" s="11" t="s">
        <v>109</v>
      </c>
      <c r="D69" s="183" t="e">
        <f t="shared" si="1"/>
        <v>#N/A</v>
      </c>
      <c r="E69" s="11"/>
      <c r="F69" s="11"/>
      <c r="G69" s="73"/>
      <c r="H69" s="10"/>
      <c r="I69" s="19"/>
      <c r="J69" s="142"/>
      <c r="K69" s="142"/>
      <c r="L69" s="61"/>
      <c r="M69" s="164"/>
      <c r="N69" s="142"/>
      <c r="O69" s="61"/>
      <c r="P69" s="168"/>
      <c r="Q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" s="36"/>
      <c r="S69" s="90"/>
    </row>
    <row r="70" spans="1:19" s="4" customFormat="1" ht="30" hidden="1" customHeight="1">
      <c r="A70" s="9"/>
      <c r="B70" s="13" t="e">
        <f>VLOOKUP(Table2[[#This Row],[Location 
(drop-down)]],'List source'!D$2:E$71,2,FALSE)</f>
        <v>#N/A</v>
      </c>
      <c r="C70" s="11" t="s">
        <v>110</v>
      </c>
      <c r="D70" s="183" t="e">
        <f t="shared" si="1"/>
        <v>#N/A</v>
      </c>
      <c r="E70" s="11"/>
      <c r="F70" s="10"/>
      <c r="G70" s="9"/>
      <c r="H70" s="10"/>
      <c r="I70" s="19"/>
      <c r="J70" s="142"/>
      <c r="K70" s="142"/>
      <c r="L70" s="61"/>
      <c r="M70" s="164"/>
      <c r="N70" s="142"/>
      <c r="O70" s="61"/>
      <c r="P70" s="168"/>
      <c r="Q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" s="36"/>
      <c r="S70" s="90"/>
    </row>
    <row r="71" spans="1:19" s="4" customFormat="1" ht="30" hidden="1" customHeight="1">
      <c r="A71" s="9"/>
      <c r="B71" s="13" t="e">
        <f>VLOOKUP(Table2[[#This Row],[Location 
(drop-down)]],'List source'!D$2:E$71,2,FALSE)</f>
        <v>#N/A</v>
      </c>
      <c r="C71" s="11" t="s">
        <v>111</v>
      </c>
      <c r="D71" s="183" t="e">
        <f t="shared" si="1"/>
        <v>#N/A</v>
      </c>
      <c r="E71" s="11"/>
      <c r="F71" s="10"/>
      <c r="G71" s="9"/>
      <c r="H71" s="10"/>
      <c r="I71" s="19"/>
      <c r="J71" s="142"/>
      <c r="K71" s="142"/>
      <c r="L71" s="61"/>
      <c r="M71" s="164"/>
      <c r="N71" s="142"/>
      <c r="O71" s="61"/>
      <c r="P71" s="168"/>
      <c r="Q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" s="36"/>
      <c r="S71" s="90"/>
    </row>
    <row r="72" spans="1:19" s="4" customFormat="1" ht="30" hidden="1" customHeight="1">
      <c r="A72" s="9"/>
      <c r="B72" s="13" t="e">
        <f>VLOOKUP(Table2[[#This Row],[Location 
(drop-down)]],'List source'!D$2:E$71,2,FALSE)</f>
        <v>#N/A</v>
      </c>
      <c r="C72" s="11" t="s">
        <v>112</v>
      </c>
      <c r="D72" s="183" t="e">
        <f t="shared" si="1"/>
        <v>#N/A</v>
      </c>
      <c r="E72" s="11"/>
      <c r="F72" s="11"/>
      <c r="G72" s="9"/>
      <c r="H72" s="10"/>
      <c r="I72" s="19"/>
      <c r="J72" s="142"/>
      <c r="K72" s="142"/>
      <c r="L72" s="61"/>
      <c r="M72" s="164"/>
      <c r="N72" s="142"/>
      <c r="O72" s="61"/>
      <c r="P72" s="168"/>
      <c r="Q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" s="36"/>
      <c r="S72" s="90"/>
    </row>
    <row r="73" spans="1:19" s="4" customFormat="1" ht="30" hidden="1" customHeight="1">
      <c r="A73" s="9"/>
      <c r="B73" s="13" t="e">
        <f>VLOOKUP(Table2[[#This Row],[Location 
(drop-down)]],'List source'!D$2:E$71,2,FALSE)</f>
        <v>#N/A</v>
      </c>
      <c r="C73" s="11" t="s">
        <v>113</v>
      </c>
      <c r="D73" s="183" t="e">
        <f t="shared" si="1"/>
        <v>#N/A</v>
      </c>
      <c r="E73" s="11"/>
      <c r="F73" s="11"/>
      <c r="G73" s="9"/>
      <c r="H73" s="10"/>
      <c r="I73" s="19"/>
      <c r="J73" s="142"/>
      <c r="K73" s="142"/>
      <c r="L73" s="61"/>
      <c r="M73" s="164"/>
      <c r="N73" s="142"/>
      <c r="O73" s="61"/>
      <c r="P73" s="168"/>
      <c r="Q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" s="36"/>
      <c r="S73" s="90"/>
    </row>
    <row r="74" spans="1:19" s="4" customFormat="1" ht="30" hidden="1" customHeight="1">
      <c r="A74" s="9"/>
      <c r="B74" s="13" t="e">
        <f>VLOOKUP(Table2[[#This Row],[Location 
(drop-down)]],'List source'!D$2:E$71,2,FALSE)</f>
        <v>#N/A</v>
      </c>
      <c r="C74" s="11" t="s">
        <v>114</v>
      </c>
      <c r="D74" s="183" t="e">
        <f t="shared" si="1"/>
        <v>#N/A</v>
      </c>
      <c r="E74" s="11"/>
      <c r="F74" s="11"/>
      <c r="G74" s="75"/>
      <c r="H74" s="10"/>
      <c r="I74" s="19"/>
      <c r="J74" s="142"/>
      <c r="K74" s="142"/>
      <c r="L74" s="61"/>
      <c r="M74" s="164"/>
      <c r="N74" s="142"/>
      <c r="O74" s="61"/>
      <c r="P74" s="168"/>
      <c r="Q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" s="36"/>
      <c r="S74" s="90"/>
    </row>
    <row r="75" spans="1:19" s="4" customFormat="1" ht="30" hidden="1" customHeight="1">
      <c r="A75" s="9"/>
      <c r="B75" s="13" t="e">
        <f>VLOOKUP(Table2[[#This Row],[Location 
(drop-down)]],'List source'!D$2:E$71,2,FALSE)</f>
        <v>#N/A</v>
      </c>
      <c r="C75" s="11" t="s">
        <v>115</v>
      </c>
      <c r="D75" s="183" t="e">
        <f t="shared" si="1"/>
        <v>#N/A</v>
      </c>
      <c r="E75" s="11"/>
      <c r="F75" s="11"/>
      <c r="G75" s="9"/>
      <c r="H75" s="10"/>
      <c r="I75" s="19"/>
      <c r="J75" s="142"/>
      <c r="K75" s="142"/>
      <c r="L75" s="61"/>
      <c r="M75" s="164"/>
      <c r="N75" s="142"/>
      <c r="O75" s="61"/>
      <c r="P75" s="168"/>
      <c r="Q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" s="36"/>
      <c r="S75" s="90"/>
    </row>
    <row r="76" spans="1:19" s="4" customFormat="1" ht="30" hidden="1" customHeight="1">
      <c r="A76" s="9"/>
      <c r="B76" s="13" t="e">
        <f>VLOOKUP(Table2[[#This Row],[Location 
(drop-down)]],'List source'!D$2:E$71,2,FALSE)</f>
        <v>#N/A</v>
      </c>
      <c r="C76" s="11" t="s">
        <v>116</v>
      </c>
      <c r="D76" s="183" t="e">
        <f t="shared" si="1"/>
        <v>#N/A</v>
      </c>
      <c r="E76" s="11"/>
      <c r="F76" s="11"/>
      <c r="G76" s="75"/>
      <c r="H76" s="10"/>
      <c r="I76" s="19"/>
      <c r="J76" s="142"/>
      <c r="K76" s="142"/>
      <c r="L76" s="61"/>
      <c r="M76" s="164"/>
      <c r="N76" s="142"/>
      <c r="O76" s="61"/>
      <c r="P76" s="168"/>
      <c r="Q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" s="36"/>
      <c r="S76" s="90"/>
    </row>
    <row r="77" spans="1:19" s="4" customFormat="1" ht="30" hidden="1" customHeight="1">
      <c r="A77" s="9"/>
      <c r="B77" s="13" t="e">
        <f>VLOOKUP(Table2[[#This Row],[Location 
(drop-down)]],'List source'!D$2:E$71,2,FALSE)</f>
        <v>#N/A</v>
      </c>
      <c r="C77" s="11" t="s">
        <v>117</v>
      </c>
      <c r="D77" s="183" t="e">
        <f t="shared" si="1"/>
        <v>#N/A</v>
      </c>
      <c r="E77" s="11"/>
      <c r="F77" s="11"/>
      <c r="G77" s="75"/>
      <c r="H77" s="10"/>
      <c r="I77" s="19"/>
      <c r="J77" s="142"/>
      <c r="K77" s="142"/>
      <c r="L77" s="61"/>
      <c r="M77" s="164"/>
      <c r="N77" s="142"/>
      <c r="O77" s="61"/>
      <c r="P77" s="168"/>
      <c r="Q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" s="214"/>
      <c r="S77" s="90"/>
    </row>
    <row r="78" spans="1:19" s="4" customFormat="1" ht="30" hidden="1" customHeight="1">
      <c r="A78" s="9"/>
      <c r="B78" s="13" t="e">
        <f>VLOOKUP(Table2[[#This Row],[Location 
(drop-down)]],'List source'!D$2:E$71,2,FALSE)</f>
        <v>#N/A</v>
      </c>
      <c r="C78" s="11" t="s">
        <v>118</v>
      </c>
      <c r="D78" s="183" t="e">
        <f t="shared" si="1"/>
        <v>#N/A</v>
      </c>
      <c r="E78" s="11"/>
      <c r="F78" s="11"/>
      <c r="G78" s="75"/>
      <c r="H78" s="10"/>
      <c r="I78" s="19"/>
      <c r="J78" s="142"/>
      <c r="K78" s="142"/>
      <c r="L78" s="61"/>
      <c r="M78" s="164"/>
      <c r="N78" s="142"/>
      <c r="O78" s="61"/>
      <c r="P78" s="168"/>
      <c r="Q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" s="214"/>
      <c r="S78" s="90"/>
    </row>
    <row r="79" spans="1:19" s="4" customFormat="1" ht="30" hidden="1" customHeight="1">
      <c r="A79" s="9"/>
      <c r="B79" s="13" t="e">
        <f>VLOOKUP(Table2[[#This Row],[Location 
(drop-down)]],'List source'!D$2:E$71,2,FALSE)</f>
        <v>#N/A</v>
      </c>
      <c r="C79" s="11" t="s">
        <v>119</v>
      </c>
      <c r="D79" s="183" t="e">
        <f t="shared" si="1"/>
        <v>#N/A</v>
      </c>
      <c r="E79" s="11"/>
      <c r="F79" s="11"/>
      <c r="G79" s="75"/>
      <c r="H79" s="10"/>
      <c r="I79" s="19"/>
      <c r="J79" s="142"/>
      <c r="K79" s="142"/>
      <c r="L79" s="61"/>
      <c r="M79" s="164"/>
      <c r="N79" s="142"/>
      <c r="O79" s="61"/>
      <c r="P79" s="168"/>
      <c r="Q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" s="36"/>
      <c r="S79" s="90"/>
    </row>
    <row r="80" spans="1:19" s="4" customFormat="1" ht="30" hidden="1" customHeight="1">
      <c r="A80" s="9"/>
      <c r="B80" s="13" t="e">
        <f>VLOOKUP(Table2[[#This Row],[Location 
(drop-down)]],'List source'!D$2:E$71,2,FALSE)</f>
        <v>#N/A</v>
      </c>
      <c r="C80" s="11" t="s">
        <v>120</v>
      </c>
      <c r="D80" s="183" t="e">
        <f t="shared" si="1"/>
        <v>#N/A</v>
      </c>
      <c r="E80" s="11"/>
      <c r="F80" s="11"/>
      <c r="G80" s="67"/>
      <c r="H80" s="10"/>
      <c r="I80" s="19"/>
      <c r="J80" s="142"/>
      <c r="K80" s="142"/>
      <c r="L80" s="61"/>
      <c r="M80" s="164"/>
      <c r="N80" s="142"/>
      <c r="O80" s="61"/>
      <c r="P80" s="168"/>
      <c r="Q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" s="36"/>
      <c r="S80" s="90"/>
    </row>
    <row r="81" spans="1:19" s="4" customFormat="1" ht="30" hidden="1" customHeight="1">
      <c r="A81" s="9"/>
      <c r="B81" s="13" t="e">
        <f>VLOOKUP(Table2[[#This Row],[Location 
(drop-down)]],'List source'!D$2:E$71,2,FALSE)</f>
        <v>#N/A</v>
      </c>
      <c r="C81" s="11" t="s">
        <v>121</v>
      </c>
      <c r="D81" s="183" t="e">
        <f t="shared" si="1"/>
        <v>#N/A</v>
      </c>
      <c r="E81" s="11"/>
      <c r="F81" s="11"/>
      <c r="G81" s="75"/>
      <c r="H81" s="10"/>
      <c r="I81" s="19"/>
      <c r="J81" s="142"/>
      <c r="K81" s="142"/>
      <c r="L81" s="61"/>
      <c r="M81" s="164"/>
      <c r="N81" s="142"/>
      <c r="O81" s="61"/>
      <c r="P81" s="168"/>
      <c r="Q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" s="36"/>
      <c r="S81" s="90"/>
    </row>
    <row r="82" spans="1:19" s="4" customFormat="1" ht="30" hidden="1" customHeight="1">
      <c r="A82" s="9"/>
      <c r="B82" s="13" t="e">
        <f>VLOOKUP(Table2[[#This Row],[Location 
(drop-down)]],'List source'!D$2:E$71,2,FALSE)</f>
        <v>#N/A</v>
      </c>
      <c r="C82" s="11" t="s">
        <v>122</v>
      </c>
      <c r="D82" s="183" t="e">
        <f t="shared" si="1"/>
        <v>#N/A</v>
      </c>
      <c r="E82" s="11"/>
      <c r="F82" s="11"/>
      <c r="G82" s="75"/>
      <c r="H82" s="10"/>
      <c r="I82" s="19"/>
      <c r="J82" s="142"/>
      <c r="K82" s="142"/>
      <c r="L82" s="61"/>
      <c r="M82" s="164"/>
      <c r="N82" s="142"/>
      <c r="O82" s="61"/>
      <c r="P82" s="168"/>
      <c r="Q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" s="36"/>
      <c r="S82" s="90"/>
    </row>
    <row r="83" spans="1:19" s="4" customFormat="1" ht="30" hidden="1" customHeight="1">
      <c r="A83" s="9"/>
      <c r="B83" s="13" t="e">
        <f>VLOOKUP(Table2[[#This Row],[Location 
(drop-down)]],'List source'!D$2:E$71,2,FALSE)</f>
        <v>#N/A</v>
      </c>
      <c r="C83" s="11" t="s">
        <v>123</v>
      </c>
      <c r="D83" s="183" t="e">
        <f t="shared" si="1"/>
        <v>#N/A</v>
      </c>
      <c r="E83" s="11"/>
      <c r="F83" s="11"/>
      <c r="G83" s="75"/>
      <c r="H83" s="10"/>
      <c r="I83" s="19"/>
      <c r="J83" s="142"/>
      <c r="K83" s="142"/>
      <c r="L83" s="61"/>
      <c r="M83" s="164"/>
      <c r="N83" s="142"/>
      <c r="O83" s="61"/>
      <c r="P83" s="168"/>
      <c r="Q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" s="36"/>
      <c r="S83" s="90"/>
    </row>
    <row r="84" spans="1:19" s="4" customFormat="1" ht="30" hidden="1" customHeight="1">
      <c r="A84" s="9"/>
      <c r="B84" s="13" t="e">
        <f>VLOOKUP(Table2[[#This Row],[Location 
(drop-down)]],'List source'!D$2:E$71,2,FALSE)</f>
        <v>#N/A</v>
      </c>
      <c r="C84" s="11" t="s">
        <v>124</v>
      </c>
      <c r="D84" s="183" t="e">
        <f t="shared" si="1"/>
        <v>#N/A</v>
      </c>
      <c r="E84" s="11"/>
      <c r="F84" s="11"/>
      <c r="G84" s="9"/>
      <c r="H84" s="10"/>
      <c r="I84" s="19"/>
      <c r="J84" s="142"/>
      <c r="K84" s="142"/>
      <c r="L84" s="61"/>
      <c r="M84" s="164"/>
      <c r="N84" s="142"/>
      <c r="O84" s="61"/>
      <c r="P84" s="168"/>
      <c r="Q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" s="36"/>
      <c r="S84" s="90"/>
    </row>
    <row r="85" spans="1:19" s="4" customFormat="1" ht="30" hidden="1" customHeight="1">
      <c r="A85" s="9"/>
      <c r="B85" s="13" t="e">
        <f>VLOOKUP(Table2[[#This Row],[Location 
(drop-down)]],'List source'!D$2:E$71,2,FALSE)</f>
        <v>#N/A</v>
      </c>
      <c r="C85" s="11" t="s">
        <v>125</v>
      </c>
      <c r="D85" s="183" t="e">
        <f t="shared" si="1"/>
        <v>#N/A</v>
      </c>
      <c r="E85" s="11"/>
      <c r="F85" s="11"/>
      <c r="G85" s="9"/>
      <c r="H85" s="14"/>
      <c r="I85" s="19"/>
      <c r="J85" s="142"/>
      <c r="K85" s="142"/>
      <c r="L85" s="143"/>
      <c r="M85" s="343"/>
      <c r="N85" s="142"/>
      <c r="O85" s="61"/>
      <c r="P85" s="220"/>
      <c r="Q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" s="36"/>
      <c r="S85" s="90"/>
    </row>
    <row r="86" spans="1:19" s="4" customFormat="1" ht="30" hidden="1" customHeight="1">
      <c r="A86" s="9"/>
      <c r="B86" s="13" t="e">
        <f>VLOOKUP(Table2[[#This Row],[Location 
(drop-down)]],'List source'!D$2:E$71,2,FALSE)</f>
        <v>#N/A</v>
      </c>
      <c r="C86" s="11" t="s">
        <v>126</v>
      </c>
      <c r="D86" s="183" t="e">
        <f t="shared" si="1"/>
        <v>#N/A</v>
      </c>
      <c r="E86" s="11"/>
      <c r="F86" s="11"/>
      <c r="G86" s="9"/>
      <c r="H86" s="10"/>
      <c r="I86" s="19"/>
      <c r="J86" s="142"/>
      <c r="K86" s="142"/>
      <c r="L86" s="210"/>
      <c r="M86" s="210"/>
      <c r="N86" s="142"/>
      <c r="O86" s="61"/>
      <c r="P86" s="237"/>
      <c r="Q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" s="36"/>
      <c r="S86" s="90"/>
    </row>
    <row r="87" spans="1:19" s="4" customFormat="1" ht="30" hidden="1" customHeight="1">
      <c r="A87" s="9"/>
      <c r="B87" s="13" t="e">
        <f>VLOOKUP(Table2[[#This Row],[Location 
(drop-down)]],'List source'!D$2:E$71,2,FALSE)</f>
        <v>#N/A</v>
      </c>
      <c r="C87" s="11" t="s">
        <v>127</v>
      </c>
      <c r="D87" s="183" t="e">
        <f t="shared" si="1"/>
        <v>#N/A</v>
      </c>
      <c r="E87" s="11"/>
      <c r="F87" s="11"/>
      <c r="G87" s="86"/>
      <c r="H87" s="10"/>
      <c r="I87" s="19"/>
      <c r="J87" s="142"/>
      <c r="K87" s="142"/>
      <c r="L87" s="210"/>
      <c r="M87" s="210"/>
      <c r="N87" s="142"/>
      <c r="O87" s="61"/>
      <c r="P87" s="221"/>
      <c r="Q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" s="36"/>
      <c r="S87" s="90"/>
    </row>
    <row r="88" spans="1:19" s="4" customFormat="1" ht="30" hidden="1" customHeight="1">
      <c r="A88" s="9"/>
      <c r="B88" s="13" t="e">
        <f>VLOOKUP(Table2[[#This Row],[Location 
(drop-down)]],'List source'!D$2:E$71,2,FALSE)</f>
        <v>#N/A</v>
      </c>
      <c r="C88" s="11" t="s">
        <v>128</v>
      </c>
      <c r="D88" s="183" t="e">
        <f t="shared" si="1"/>
        <v>#N/A</v>
      </c>
      <c r="E88" s="11"/>
      <c r="F88" s="11"/>
      <c r="G88" s="9"/>
      <c r="H88" s="10"/>
      <c r="I88" s="19"/>
      <c r="J88" s="142"/>
      <c r="K88" s="142"/>
      <c r="L88" s="137"/>
      <c r="M88" s="210"/>
      <c r="N88" s="142"/>
      <c r="O88" s="61"/>
      <c r="P88" s="162"/>
      <c r="Q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" s="36"/>
      <c r="S88" s="90"/>
    </row>
    <row r="89" spans="1:19" s="4" customFormat="1" ht="30" hidden="1" customHeight="1">
      <c r="A89" s="9"/>
      <c r="B89" s="13" t="e">
        <f>VLOOKUP(Table2[[#This Row],[Location 
(drop-down)]],'List source'!D$2:E$71,2,FALSE)</f>
        <v>#N/A</v>
      </c>
      <c r="C89" s="11" t="s">
        <v>129</v>
      </c>
      <c r="D89" s="183" t="e">
        <f t="shared" si="1"/>
        <v>#N/A</v>
      </c>
      <c r="E89" s="11"/>
      <c r="F89" s="11"/>
      <c r="G89" s="9"/>
      <c r="H89" s="10"/>
      <c r="I89" s="19"/>
      <c r="J89" s="142"/>
      <c r="K89" s="142"/>
      <c r="L89" s="61"/>
      <c r="M89" s="164"/>
      <c r="N89" s="142"/>
      <c r="O89" s="61"/>
      <c r="P89" s="168"/>
      <c r="Q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" s="36"/>
      <c r="S89" s="90"/>
    </row>
    <row r="90" spans="1:19" s="4" customFormat="1" ht="30" hidden="1" customHeight="1">
      <c r="A90" s="9"/>
      <c r="B90" s="13" t="e">
        <f>VLOOKUP(Table2[[#This Row],[Location 
(drop-down)]],'List source'!D$2:E$71,2,FALSE)</f>
        <v>#N/A</v>
      </c>
      <c r="C90" s="11" t="s">
        <v>130</v>
      </c>
      <c r="D90" s="183" t="e">
        <f t="shared" si="1"/>
        <v>#N/A</v>
      </c>
      <c r="E90" s="11"/>
      <c r="F90" s="11"/>
      <c r="G90" s="9"/>
      <c r="H90" s="10"/>
      <c r="I90" s="19"/>
      <c r="J90" s="142"/>
      <c r="K90" s="142"/>
      <c r="L90" s="61"/>
      <c r="M90" s="164"/>
      <c r="N90" s="142"/>
      <c r="O90" s="61"/>
      <c r="P90" s="168"/>
      <c r="Q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" s="36"/>
      <c r="S90" s="90"/>
    </row>
    <row r="91" spans="1:19" s="4" customFormat="1" ht="30" hidden="1" customHeight="1">
      <c r="A91" s="9"/>
      <c r="B91" s="13" t="e">
        <f>VLOOKUP(Table2[[#This Row],[Location 
(drop-down)]],'List source'!D$2:E$71,2,FALSE)</f>
        <v>#N/A</v>
      </c>
      <c r="C91" s="11" t="s">
        <v>131</v>
      </c>
      <c r="D91" s="183" t="e">
        <f t="shared" si="1"/>
        <v>#N/A</v>
      </c>
      <c r="E91" s="11"/>
      <c r="F91" s="11"/>
      <c r="G91" s="76"/>
      <c r="H91" s="10"/>
      <c r="I91" s="19"/>
      <c r="J91" s="142"/>
      <c r="K91" s="142"/>
      <c r="L91" s="61"/>
      <c r="M91" s="164"/>
      <c r="N91" s="142"/>
      <c r="O91" s="61"/>
      <c r="P91" s="168"/>
      <c r="Q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" s="36"/>
      <c r="S91" s="90"/>
    </row>
    <row r="92" spans="1:19" s="4" customFormat="1" ht="30" hidden="1" customHeight="1">
      <c r="A92" s="9"/>
      <c r="B92" s="13" t="e">
        <f>VLOOKUP(Table2[[#This Row],[Location 
(drop-down)]],'List source'!D$2:E$71,2,FALSE)</f>
        <v>#N/A</v>
      </c>
      <c r="C92" s="11" t="s">
        <v>132</v>
      </c>
      <c r="D92" s="183" t="e">
        <f t="shared" si="1"/>
        <v>#N/A</v>
      </c>
      <c r="E92" s="11"/>
      <c r="F92" s="11"/>
      <c r="G92" s="9"/>
      <c r="H92" s="10"/>
      <c r="I92" s="19"/>
      <c r="J92" s="142"/>
      <c r="K92" s="142"/>
      <c r="L92" s="61"/>
      <c r="M92" s="164"/>
      <c r="N92" s="142"/>
      <c r="O92" s="61"/>
      <c r="P92" s="168"/>
      <c r="Q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" s="36"/>
      <c r="S92" s="90"/>
    </row>
    <row r="93" spans="1:19" s="4" customFormat="1" ht="30" hidden="1" customHeight="1">
      <c r="A93" s="9"/>
      <c r="B93" s="13" t="e">
        <f>VLOOKUP(Table2[[#This Row],[Location 
(drop-down)]],'List source'!D$2:E$71,2,FALSE)</f>
        <v>#N/A</v>
      </c>
      <c r="C93" s="11" t="s">
        <v>133</v>
      </c>
      <c r="D93" s="183" t="e">
        <f t="shared" si="1"/>
        <v>#N/A</v>
      </c>
      <c r="E93" s="11"/>
      <c r="F93" s="11"/>
      <c r="G93" s="9"/>
      <c r="H93" s="10"/>
      <c r="I93" s="19"/>
      <c r="J93" s="142"/>
      <c r="K93" s="142"/>
      <c r="L93" s="61"/>
      <c r="M93" s="164"/>
      <c r="N93" s="142"/>
      <c r="O93" s="61"/>
      <c r="P93" s="168"/>
      <c r="Q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" s="213"/>
      <c r="S93" s="90"/>
    </row>
    <row r="94" spans="1:19" s="4" customFormat="1" ht="30" hidden="1" customHeight="1">
      <c r="A94" s="9"/>
      <c r="B94" s="13" t="e">
        <f>VLOOKUP(Table2[[#This Row],[Location 
(drop-down)]],'List source'!D$2:E$71,2,FALSE)</f>
        <v>#N/A</v>
      </c>
      <c r="C94" s="11" t="s">
        <v>134</v>
      </c>
      <c r="D94" s="183" t="e">
        <f t="shared" si="1"/>
        <v>#N/A</v>
      </c>
      <c r="E94" s="11"/>
      <c r="F94" s="11"/>
      <c r="G94" s="9"/>
      <c r="H94" s="10"/>
      <c r="I94" s="19"/>
      <c r="J94" s="142"/>
      <c r="K94" s="142"/>
      <c r="L94" s="61"/>
      <c r="M94" s="164"/>
      <c r="N94" s="142"/>
      <c r="O94" s="61"/>
      <c r="P94" s="168"/>
      <c r="Q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" s="211"/>
      <c r="S94" s="90"/>
    </row>
    <row r="95" spans="1:19" s="4" customFormat="1" ht="30" hidden="1" customHeight="1">
      <c r="A95" s="9"/>
      <c r="B95" s="13" t="e">
        <f>VLOOKUP(Table2[[#This Row],[Location 
(drop-down)]],'List source'!D$2:E$71,2,FALSE)</f>
        <v>#N/A</v>
      </c>
      <c r="C95" s="11" t="s">
        <v>135</v>
      </c>
      <c r="D95" s="183" t="e">
        <f t="shared" si="1"/>
        <v>#N/A</v>
      </c>
      <c r="E95" s="11"/>
      <c r="F95" s="11"/>
      <c r="G95" s="9"/>
      <c r="H95" s="10"/>
      <c r="I95" s="19"/>
      <c r="J95" s="142"/>
      <c r="K95" s="142"/>
      <c r="L95" s="61"/>
      <c r="M95" s="164"/>
      <c r="N95" s="142"/>
      <c r="O95" s="61"/>
      <c r="P95" s="168"/>
      <c r="Q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" s="36"/>
      <c r="S95" s="90"/>
    </row>
    <row r="96" spans="1:19" s="4" customFormat="1" ht="30" hidden="1" customHeight="1">
      <c r="A96" s="9"/>
      <c r="B96" s="13" t="e">
        <f>VLOOKUP(Table2[[#This Row],[Location 
(drop-down)]],'List source'!D$2:E$71,2,FALSE)</f>
        <v>#N/A</v>
      </c>
      <c r="C96" s="11" t="s">
        <v>136</v>
      </c>
      <c r="D96" s="183" t="e">
        <f t="shared" si="1"/>
        <v>#N/A</v>
      </c>
      <c r="E96" s="11"/>
      <c r="F96" s="11"/>
      <c r="G96" s="9"/>
      <c r="H96" s="10"/>
      <c r="I96" s="19"/>
      <c r="J96" s="142"/>
      <c r="K96" s="142"/>
      <c r="L96" s="61"/>
      <c r="M96" s="164"/>
      <c r="N96" s="142"/>
      <c r="O96" s="61"/>
      <c r="P96" s="168"/>
      <c r="Q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" s="211"/>
      <c r="S96" s="90"/>
    </row>
    <row r="97" spans="1:19" s="4" customFormat="1" ht="30" hidden="1" customHeight="1">
      <c r="A97" s="9"/>
      <c r="B97" s="13" t="e">
        <f>VLOOKUP(Table2[[#This Row],[Location 
(drop-down)]],'List source'!D$2:E$71,2,FALSE)</f>
        <v>#N/A</v>
      </c>
      <c r="C97" s="11" t="s">
        <v>137</v>
      </c>
      <c r="D97" s="183" t="e">
        <f t="shared" si="1"/>
        <v>#N/A</v>
      </c>
      <c r="E97" s="11"/>
      <c r="F97" s="11"/>
      <c r="G97" s="9"/>
      <c r="H97" s="10"/>
      <c r="I97" s="19"/>
      <c r="J97" s="142"/>
      <c r="K97" s="142"/>
      <c r="L97" s="61"/>
      <c r="M97" s="164"/>
      <c r="N97" s="142"/>
      <c r="O97" s="61"/>
      <c r="P97" s="168"/>
      <c r="Q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" s="36"/>
      <c r="S97" s="90"/>
    </row>
    <row r="98" spans="1:19" s="4" customFormat="1" ht="30" hidden="1" customHeight="1">
      <c r="A98" s="9"/>
      <c r="B98" s="13" t="e">
        <f>VLOOKUP(Table2[[#This Row],[Location 
(drop-down)]],'List source'!D$2:E$71,2,FALSE)</f>
        <v>#N/A</v>
      </c>
      <c r="C98" s="11" t="s">
        <v>138</v>
      </c>
      <c r="D98" s="183" t="e">
        <f t="shared" si="1"/>
        <v>#N/A</v>
      </c>
      <c r="E98" s="11"/>
      <c r="F98" s="11"/>
      <c r="G98" s="9"/>
      <c r="H98" s="10"/>
      <c r="I98" s="19"/>
      <c r="J98" s="142"/>
      <c r="K98" s="142"/>
      <c r="L98" s="61"/>
      <c r="M98" s="164"/>
      <c r="N98" s="142"/>
      <c r="O98" s="61"/>
      <c r="P98" s="168"/>
      <c r="Q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" s="36"/>
      <c r="S98" s="90"/>
    </row>
    <row r="99" spans="1:19" s="4" customFormat="1" ht="30" hidden="1" customHeight="1">
      <c r="A99" s="9"/>
      <c r="B99" s="13" t="e">
        <f>VLOOKUP(Table2[[#This Row],[Location 
(drop-down)]],'List source'!D$2:E$71,2,FALSE)</f>
        <v>#N/A</v>
      </c>
      <c r="C99" s="11" t="s">
        <v>139</v>
      </c>
      <c r="D99" s="183" t="e">
        <f t="shared" si="1"/>
        <v>#N/A</v>
      </c>
      <c r="E99" s="11"/>
      <c r="F99" s="11"/>
      <c r="G99" s="9"/>
      <c r="H99" s="10"/>
      <c r="I99" s="19"/>
      <c r="J99" s="142"/>
      <c r="K99" s="142"/>
      <c r="L99" s="61"/>
      <c r="M99" s="164"/>
      <c r="N99" s="142"/>
      <c r="O99" s="61"/>
      <c r="P99" s="168"/>
      <c r="Q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" s="36"/>
      <c r="S99" s="90"/>
    </row>
    <row r="100" spans="1:19" s="4" customFormat="1" ht="30" hidden="1" customHeight="1">
      <c r="A100" s="9"/>
      <c r="B100" s="13" t="e">
        <f>VLOOKUP(Table2[[#This Row],[Location 
(drop-down)]],'List source'!D$2:E$71,2,FALSE)</f>
        <v>#N/A</v>
      </c>
      <c r="C100" s="11" t="s">
        <v>140</v>
      </c>
      <c r="D100" s="183" t="e">
        <f t="shared" si="1"/>
        <v>#N/A</v>
      </c>
      <c r="E100" s="11"/>
      <c r="F100" s="11"/>
      <c r="G100" s="9"/>
      <c r="H100" s="10"/>
      <c r="I100" s="19"/>
      <c r="J100" s="142"/>
      <c r="K100" s="142"/>
      <c r="L100" s="61"/>
      <c r="M100" s="164"/>
      <c r="N100" s="142"/>
      <c r="O100" s="61"/>
      <c r="P100" s="168"/>
      <c r="Q1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0" s="36"/>
      <c r="S100" s="90"/>
    </row>
    <row r="101" spans="1:19" s="4" customFormat="1" ht="30" hidden="1" customHeight="1">
      <c r="A101" s="9"/>
      <c r="B101" s="13" t="e">
        <f>VLOOKUP(Table2[[#This Row],[Location 
(drop-down)]],'List source'!D$2:E$71,2,FALSE)</f>
        <v>#N/A</v>
      </c>
      <c r="C101" s="11" t="s">
        <v>141</v>
      </c>
      <c r="D101" s="183" t="e">
        <f t="shared" si="1"/>
        <v>#N/A</v>
      </c>
      <c r="E101" s="11"/>
      <c r="F101" s="11"/>
      <c r="G101" s="9"/>
      <c r="H101" s="10"/>
      <c r="I101" s="19"/>
      <c r="J101" s="142"/>
      <c r="K101" s="142"/>
      <c r="L101" s="61"/>
      <c r="M101" s="164"/>
      <c r="N101" s="142"/>
      <c r="O101" s="61"/>
      <c r="P101" s="168"/>
      <c r="Q1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1" s="36"/>
      <c r="S101" s="90"/>
    </row>
    <row r="102" spans="1:19" s="4" customFormat="1" ht="30" hidden="1" customHeight="1">
      <c r="A102" s="9"/>
      <c r="B102" s="13" t="e">
        <f>VLOOKUP(Table2[[#This Row],[Location 
(drop-down)]],'List source'!D$2:E$71,2,FALSE)</f>
        <v>#N/A</v>
      </c>
      <c r="C102" s="11" t="s">
        <v>142</v>
      </c>
      <c r="D102" s="183" t="e">
        <f t="shared" si="1"/>
        <v>#N/A</v>
      </c>
      <c r="E102" s="11"/>
      <c r="F102" s="11"/>
      <c r="G102" s="9"/>
      <c r="H102" s="10"/>
      <c r="I102" s="19"/>
      <c r="J102" s="142"/>
      <c r="K102" s="142"/>
      <c r="L102" s="61"/>
      <c r="M102" s="164"/>
      <c r="N102" s="142"/>
      <c r="O102" s="61"/>
      <c r="P102" s="168"/>
      <c r="Q1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2" s="36"/>
      <c r="S102" s="90"/>
    </row>
    <row r="103" spans="1:19" s="4" customFormat="1" ht="30" hidden="1" customHeight="1">
      <c r="A103" s="9"/>
      <c r="B103" s="13" t="e">
        <f>VLOOKUP(Table2[[#This Row],[Location 
(drop-down)]],'List source'!D$2:E$71,2,FALSE)</f>
        <v>#N/A</v>
      </c>
      <c r="C103" s="11" t="s">
        <v>143</v>
      </c>
      <c r="D103" s="183" t="e">
        <f t="shared" si="1"/>
        <v>#N/A</v>
      </c>
      <c r="E103" s="11"/>
      <c r="F103" s="11"/>
      <c r="G103" s="9"/>
      <c r="H103" s="10"/>
      <c r="I103" s="19"/>
      <c r="J103" s="142"/>
      <c r="K103" s="142"/>
      <c r="L103" s="61"/>
      <c r="M103" s="164"/>
      <c r="N103" s="142"/>
      <c r="O103" s="61"/>
      <c r="P103" s="168"/>
      <c r="Q1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3" s="36"/>
      <c r="S103" s="90"/>
    </row>
    <row r="104" spans="1:19" s="4" customFormat="1" ht="30" hidden="1" customHeight="1">
      <c r="A104" s="9"/>
      <c r="B104" s="13" t="e">
        <f>VLOOKUP(Table2[[#This Row],[Location 
(drop-down)]],'List source'!D$2:E$71,2,FALSE)</f>
        <v>#N/A</v>
      </c>
      <c r="C104" s="11" t="s">
        <v>144</v>
      </c>
      <c r="D104" s="183" t="e">
        <f t="shared" si="1"/>
        <v>#N/A</v>
      </c>
      <c r="E104" s="11"/>
      <c r="F104" s="11"/>
      <c r="G104" s="67"/>
      <c r="H104" s="10"/>
      <c r="I104" s="19"/>
      <c r="J104" s="142"/>
      <c r="K104" s="142"/>
      <c r="L104" s="61"/>
      <c r="M104" s="164"/>
      <c r="N104" s="142"/>
      <c r="O104" s="61"/>
      <c r="P104" s="168"/>
      <c r="Q1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4" s="36"/>
      <c r="S104" s="90"/>
    </row>
    <row r="105" spans="1:19" s="4" customFormat="1" ht="30" hidden="1" customHeight="1">
      <c r="A105" s="9"/>
      <c r="B105" s="13" t="e">
        <f>VLOOKUP(Table2[[#This Row],[Location 
(drop-down)]],'List source'!D$2:E$71,2,FALSE)</f>
        <v>#N/A</v>
      </c>
      <c r="C105" s="11" t="s">
        <v>145</v>
      </c>
      <c r="D105" s="183" t="e">
        <f t="shared" si="1"/>
        <v>#N/A</v>
      </c>
      <c r="E105" s="11"/>
      <c r="F105" s="11"/>
      <c r="G105" s="9"/>
      <c r="H105" s="10"/>
      <c r="I105" s="19"/>
      <c r="J105" s="142"/>
      <c r="K105" s="142"/>
      <c r="L105" s="61"/>
      <c r="M105" s="164"/>
      <c r="N105" s="142"/>
      <c r="O105" s="61"/>
      <c r="P105" s="168"/>
      <c r="Q1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5" s="36"/>
      <c r="S105" s="90"/>
    </row>
    <row r="106" spans="1:19" s="4" customFormat="1" ht="30" hidden="1" customHeight="1">
      <c r="A106" s="9"/>
      <c r="B106" s="13" t="e">
        <f>VLOOKUP(Table2[[#This Row],[Location 
(drop-down)]],'List source'!D$2:E$71,2,FALSE)</f>
        <v>#N/A</v>
      </c>
      <c r="C106" s="11" t="s">
        <v>146</v>
      </c>
      <c r="D106" s="183" t="e">
        <f t="shared" si="1"/>
        <v>#N/A</v>
      </c>
      <c r="E106" s="11"/>
      <c r="F106" s="11"/>
      <c r="G106" s="9"/>
      <c r="H106" s="10"/>
      <c r="I106" s="19"/>
      <c r="J106" s="142"/>
      <c r="K106" s="142"/>
      <c r="L106" s="61"/>
      <c r="M106" s="164"/>
      <c r="N106" s="142"/>
      <c r="O106" s="61"/>
      <c r="P106" s="168"/>
      <c r="Q1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6" s="36"/>
      <c r="S106" s="90"/>
    </row>
    <row r="107" spans="1:19" s="4" customFormat="1" ht="30" hidden="1" customHeight="1">
      <c r="A107" s="9"/>
      <c r="B107" s="13" t="e">
        <f>VLOOKUP(Table2[[#This Row],[Location 
(drop-down)]],'List source'!D$2:E$71,2,FALSE)</f>
        <v>#N/A</v>
      </c>
      <c r="C107" s="11" t="s">
        <v>147</v>
      </c>
      <c r="D107" s="183" t="e">
        <f t="shared" si="1"/>
        <v>#N/A</v>
      </c>
      <c r="E107" s="11"/>
      <c r="F107" s="11"/>
      <c r="G107" s="9"/>
      <c r="H107" s="10"/>
      <c r="I107" s="19"/>
      <c r="J107" s="142"/>
      <c r="K107" s="142"/>
      <c r="L107" s="61"/>
      <c r="M107" s="164"/>
      <c r="N107" s="142"/>
      <c r="O107" s="61"/>
      <c r="P107" s="168"/>
      <c r="Q1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7" s="215"/>
      <c r="S107" s="90"/>
    </row>
    <row r="108" spans="1:19" s="4" customFormat="1" ht="30" hidden="1" customHeight="1">
      <c r="A108" s="9"/>
      <c r="B108" s="13" t="e">
        <f>VLOOKUP(Table2[[#This Row],[Location 
(drop-down)]],'List source'!D$2:E$71,2,FALSE)</f>
        <v>#N/A</v>
      </c>
      <c r="C108" s="11" t="s">
        <v>148</v>
      </c>
      <c r="D108" s="183" t="e">
        <f t="shared" si="1"/>
        <v>#N/A</v>
      </c>
      <c r="E108" s="11"/>
      <c r="F108" s="11"/>
      <c r="G108" s="9"/>
      <c r="H108" s="10"/>
      <c r="I108" s="19"/>
      <c r="J108" s="142"/>
      <c r="K108" s="142"/>
      <c r="L108" s="61"/>
      <c r="M108" s="164"/>
      <c r="N108" s="142"/>
      <c r="O108" s="61"/>
      <c r="P108" s="168"/>
      <c r="Q1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8" s="36"/>
      <c r="S108" s="90"/>
    </row>
    <row r="109" spans="1:19" s="4" customFormat="1" ht="30" hidden="1" customHeight="1">
      <c r="A109" s="9"/>
      <c r="B109" s="13" t="e">
        <f>VLOOKUP(Table2[[#This Row],[Location 
(drop-down)]],'List source'!D$2:E$71,2,FALSE)</f>
        <v>#N/A</v>
      </c>
      <c r="C109" s="11" t="s">
        <v>149</v>
      </c>
      <c r="D109" s="183" t="e">
        <f t="shared" si="1"/>
        <v>#N/A</v>
      </c>
      <c r="E109" s="11"/>
      <c r="F109" s="11"/>
      <c r="G109" s="9"/>
      <c r="H109" s="10"/>
      <c r="I109" s="19"/>
      <c r="J109" s="142"/>
      <c r="K109" s="142"/>
      <c r="L109" s="61"/>
      <c r="M109" s="164"/>
      <c r="N109" s="142"/>
      <c r="O109" s="61"/>
      <c r="P109" s="168"/>
      <c r="Q1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9" s="36"/>
      <c r="S109" s="90"/>
    </row>
    <row r="110" spans="1:19" s="4" customFormat="1" ht="30" hidden="1" customHeight="1">
      <c r="A110" s="9"/>
      <c r="B110" s="13" t="e">
        <f>VLOOKUP(Table2[[#This Row],[Location 
(drop-down)]],'List source'!D$2:E$71,2,FALSE)</f>
        <v>#N/A</v>
      </c>
      <c r="C110" s="11" t="s">
        <v>150</v>
      </c>
      <c r="D110" s="183" t="e">
        <f t="shared" si="1"/>
        <v>#N/A</v>
      </c>
      <c r="E110" s="11"/>
      <c r="F110" s="11"/>
      <c r="G110" s="9"/>
      <c r="H110" s="10"/>
      <c r="I110" s="19"/>
      <c r="J110" s="142"/>
      <c r="K110" s="142"/>
      <c r="L110" s="61"/>
      <c r="M110" s="164"/>
      <c r="N110" s="142"/>
      <c r="O110" s="61"/>
      <c r="P110" s="168"/>
      <c r="Q1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0" s="36"/>
      <c r="S110" s="90"/>
    </row>
    <row r="111" spans="1:19" s="4" customFormat="1" ht="30" hidden="1" customHeight="1">
      <c r="A111" s="9"/>
      <c r="B111" s="13" t="e">
        <f>VLOOKUP(Table2[[#This Row],[Location 
(drop-down)]],'List source'!D$2:E$71,2,FALSE)</f>
        <v>#N/A</v>
      </c>
      <c r="C111" s="11" t="s">
        <v>151</v>
      </c>
      <c r="D111" s="183" t="e">
        <f t="shared" si="1"/>
        <v>#N/A</v>
      </c>
      <c r="E111" s="11"/>
      <c r="F111" s="11"/>
      <c r="G111" s="9"/>
      <c r="H111" s="10"/>
      <c r="I111" s="19"/>
      <c r="J111" s="142"/>
      <c r="K111" s="142"/>
      <c r="L111" s="61"/>
      <c r="M111" s="164"/>
      <c r="N111" s="142"/>
      <c r="O111" s="61"/>
      <c r="P111" s="168"/>
      <c r="Q1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1" s="36"/>
      <c r="S111" s="90"/>
    </row>
    <row r="112" spans="1:19" s="4" customFormat="1" ht="30" hidden="1" customHeight="1">
      <c r="A112" s="9"/>
      <c r="B112" s="13" t="e">
        <f>VLOOKUP(Table2[[#This Row],[Location 
(drop-down)]],'List source'!D$2:E$71,2,FALSE)</f>
        <v>#N/A</v>
      </c>
      <c r="C112" s="11" t="s">
        <v>152</v>
      </c>
      <c r="D112" s="183" t="e">
        <f t="shared" si="1"/>
        <v>#N/A</v>
      </c>
      <c r="E112" s="11"/>
      <c r="F112" s="11"/>
      <c r="G112" s="9"/>
      <c r="H112" s="10"/>
      <c r="I112" s="19"/>
      <c r="J112" s="142"/>
      <c r="K112" s="142"/>
      <c r="L112" s="61"/>
      <c r="M112" s="164"/>
      <c r="N112" s="142"/>
      <c r="O112" s="61"/>
      <c r="P112" s="168"/>
      <c r="Q1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2" s="36"/>
      <c r="S112" s="90"/>
    </row>
    <row r="113" spans="1:19" s="4" customFormat="1" ht="30" hidden="1" customHeight="1">
      <c r="A113" s="9"/>
      <c r="B113" s="13" t="e">
        <f>VLOOKUP(Table2[[#This Row],[Location 
(drop-down)]],'List source'!D$2:E$71,2,FALSE)</f>
        <v>#N/A</v>
      </c>
      <c r="C113" s="11" t="s">
        <v>153</v>
      </c>
      <c r="D113" s="183" t="e">
        <f t="shared" si="1"/>
        <v>#N/A</v>
      </c>
      <c r="E113" s="11"/>
      <c r="F113" s="11"/>
      <c r="G113" s="138"/>
      <c r="H113" s="10"/>
      <c r="I113" s="19"/>
      <c r="J113" s="142"/>
      <c r="K113" s="142"/>
      <c r="L113" s="61"/>
      <c r="M113" s="164"/>
      <c r="N113" s="142"/>
      <c r="O113" s="61"/>
      <c r="P113" s="168"/>
      <c r="Q1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3" s="36"/>
      <c r="S113" s="90"/>
    </row>
    <row r="114" spans="1:19" s="4" customFormat="1" ht="30" hidden="1" customHeight="1">
      <c r="A114" s="9"/>
      <c r="B114" s="13" t="e">
        <f>VLOOKUP(Table2[[#This Row],[Location 
(drop-down)]],'List source'!D$2:E$71,2,FALSE)</f>
        <v>#N/A</v>
      </c>
      <c r="C114" s="11" t="s">
        <v>154</v>
      </c>
      <c r="D114" s="183" t="e">
        <f t="shared" si="1"/>
        <v>#N/A</v>
      </c>
      <c r="E114" s="11"/>
      <c r="F114" s="11"/>
      <c r="G114" s="9"/>
      <c r="H114" s="10"/>
      <c r="I114" s="19"/>
      <c r="J114" s="142"/>
      <c r="K114" s="142"/>
      <c r="L114" s="61"/>
      <c r="M114" s="164"/>
      <c r="N114" s="142"/>
      <c r="O114" s="61"/>
      <c r="P114" s="168"/>
      <c r="Q1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4" s="36"/>
      <c r="S114" s="90"/>
    </row>
    <row r="115" spans="1:19" s="4" customFormat="1" ht="30" hidden="1" customHeight="1">
      <c r="A115" s="9"/>
      <c r="B115" s="13" t="e">
        <f>VLOOKUP(Table2[[#This Row],[Location 
(drop-down)]],'List source'!D$2:E$71,2,FALSE)</f>
        <v>#N/A</v>
      </c>
      <c r="C115" s="11" t="s">
        <v>155</v>
      </c>
      <c r="D115" s="183" t="e">
        <f t="shared" si="1"/>
        <v>#N/A</v>
      </c>
      <c r="E115" s="11"/>
      <c r="F115" s="11"/>
      <c r="G115" s="9"/>
      <c r="H115" s="10"/>
      <c r="I115" s="19"/>
      <c r="J115" s="142"/>
      <c r="K115" s="142"/>
      <c r="L115" s="61"/>
      <c r="M115" s="164"/>
      <c r="N115" s="142"/>
      <c r="O115" s="61"/>
      <c r="P115" s="168"/>
      <c r="Q1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5" s="36"/>
      <c r="S115" s="90"/>
    </row>
    <row r="116" spans="1:19" s="4" customFormat="1" ht="30" hidden="1" customHeight="1">
      <c r="A116" s="9"/>
      <c r="B116" s="13" t="e">
        <f>VLOOKUP(Table2[[#This Row],[Location 
(drop-down)]],'List source'!D$2:E$71,2,FALSE)</f>
        <v>#N/A</v>
      </c>
      <c r="C116" s="11" t="s">
        <v>156</v>
      </c>
      <c r="D116" s="183" t="e">
        <f t="shared" si="1"/>
        <v>#N/A</v>
      </c>
      <c r="E116" s="11"/>
      <c r="F116" s="11"/>
      <c r="G116" s="9"/>
      <c r="H116" s="10"/>
      <c r="I116" s="19"/>
      <c r="J116" s="142"/>
      <c r="K116" s="142"/>
      <c r="L116" s="61"/>
      <c r="M116" s="164"/>
      <c r="N116" s="142"/>
      <c r="O116" s="61"/>
      <c r="P116" s="168"/>
      <c r="Q1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6" s="36"/>
      <c r="S116" s="90"/>
    </row>
    <row r="117" spans="1:19" s="4" customFormat="1" ht="30" hidden="1" customHeight="1">
      <c r="A117" s="9"/>
      <c r="B117" s="13" t="e">
        <f>VLOOKUP(Table2[[#This Row],[Location 
(drop-down)]],'List source'!D$2:E$71,2,FALSE)</f>
        <v>#N/A</v>
      </c>
      <c r="C117" s="11" t="s">
        <v>157</v>
      </c>
      <c r="D117" s="183" t="e">
        <f t="shared" si="1"/>
        <v>#N/A</v>
      </c>
      <c r="E117" s="11"/>
      <c r="F117" s="11"/>
      <c r="G117" s="9"/>
      <c r="H117" s="10"/>
      <c r="I117" s="19"/>
      <c r="J117" s="142"/>
      <c r="K117" s="142"/>
      <c r="L117" s="61"/>
      <c r="M117" s="164"/>
      <c r="N117" s="142"/>
      <c r="O117" s="61"/>
      <c r="P117" s="168"/>
      <c r="Q1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7" s="36"/>
      <c r="S117" s="90"/>
    </row>
    <row r="118" spans="1:19" s="4" customFormat="1" ht="30" hidden="1" customHeight="1">
      <c r="A118" s="9"/>
      <c r="B118" s="13" t="e">
        <f>VLOOKUP(Table2[[#This Row],[Location 
(drop-down)]],'List source'!D$2:E$71,2,FALSE)</f>
        <v>#N/A</v>
      </c>
      <c r="C118" s="11" t="s">
        <v>158</v>
      </c>
      <c r="D118" s="183" t="e">
        <f t="shared" si="1"/>
        <v>#N/A</v>
      </c>
      <c r="E118" s="11"/>
      <c r="F118" s="11"/>
      <c r="G118" s="9"/>
      <c r="H118" s="10"/>
      <c r="I118" s="19"/>
      <c r="J118" s="142"/>
      <c r="K118" s="142"/>
      <c r="L118" s="61"/>
      <c r="M118" s="164"/>
      <c r="N118" s="142"/>
      <c r="O118" s="61"/>
      <c r="P118" s="168"/>
      <c r="Q1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8" s="36"/>
      <c r="S118" s="90"/>
    </row>
    <row r="119" spans="1:19" s="4" customFormat="1" ht="30" hidden="1" customHeight="1">
      <c r="A119" s="9"/>
      <c r="B119" s="13" t="e">
        <f>VLOOKUP(Table2[[#This Row],[Location 
(drop-down)]],'List source'!D$2:E$71,2,FALSE)</f>
        <v>#N/A</v>
      </c>
      <c r="C119" s="11" t="s">
        <v>159</v>
      </c>
      <c r="D119" s="183" t="e">
        <f t="shared" si="1"/>
        <v>#N/A</v>
      </c>
      <c r="E119" s="11"/>
      <c r="F119" s="11"/>
      <c r="G119" s="9"/>
      <c r="H119" s="10"/>
      <c r="I119" s="19"/>
      <c r="J119" s="142"/>
      <c r="K119" s="142"/>
      <c r="L119" s="61"/>
      <c r="M119" s="164"/>
      <c r="N119" s="142"/>
      <c r="O119" s="61"/>
      <c r="P119" s="168"/>
      <c r="Q1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19" s="36"/>
      <c r="S119" s="90"/>
    </row>
    <row r="120" spans="1:19" s="4" customFormat="1" ht="30" hidden="1" customHeight="1">
      <c r="A120" s="9"/>
      <c r="B120" s="13" t="e">
        <f>VLOOKUP(Table2[[#This Row],[Location 
(drop-down)]],'List source'!D$2:E$71,2,FALSE)</f>
        <v>#N/A</v>
      </c>
      <c r="C120" s="11" t="s">
        <v>160</v>
      </c>
      <c r="D120" s="183" t="e">
        <f t="shared" si="1"/>
        <v>#N/A</v>
      </c>
      <c r="E120" s="11"/>
      <c r="F120" s="11"/>
      <c r="G120" s="9"/>
      <c r="H120" s="10"/>
      <c r="I120" s="19"/>
      <c r="J120" s="142"/>
      <c r="K120" s="142"/>
      <c r="L120" s="61"/>
      <c r="M120" s="164"/>
      <c r="N120" s="142"/>
      <c r="O120" s="61"/>
      <c r="P120" s="168"/>
      <c r="Q1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0" s="36"/>
      <c r="S120" s="90"/>
    </row>
    <row r="121" spans="1:19" s="4" customFormat="1" ht="30" hidden="1" customHeight="1">
      <c r="A121" s="9"/>
      <c r="B121" s="13" t="e">
        <f>VLOOKUP(Table2[[#This Row],[Location 
(drop-down)]],'List source'!D$2:E$71,2,FALSE)</f>
        <v>#N/A</v>
      </c>
      <c r="C121" s="11" t="s">
        <v>161</v>
      </c>
      <c r="D121" s="183" t="e">
        <f t="shared" si="1"/>
        <v>#N/A</v>
      </c>
      <c r="E121" s="11"/>
      <c r="F121" s="11"/>
      <c r="G121" s="9"/>
      <c r="H121" s="10"/>
      <c r="I121" s="19"/>
      <c r="J121" s="142"/>
      <c r="K121" s="142"/>
      <c r="L121" s="61"/>
      <c r="M121" s="164"/>
      <c r="N121" s="142"/>
      <c r="O121" s="61"/>
      <c r="P121" s="168"/>
      <c r="Q1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1" s="36"/>
      <c r="S121" s="90"/>
    </row>
    <row r="122" spans="1:19" s="4" customFormat="1" ht="30" hidden="1" customHeight="1">
      <c r="A122" s="9"/>
      <c r="B122" s="13" t="e">
        <f>VLOOKUP(Table2[[#This Row],[Location 
(drop-down)]],'List source'!D$2:E$71,2,FALSE)</f>
        <v>#N/A</v>
      </c>
      <c r="C122" s="11" t="s">
        <v>162</v>
      </c>
      <c r="D122" s="183" t="e">
        <f t="shared" si="1"/>
        <v>#N/A</v>
      </c>
      <c r="E122" s="11"/>
      <c r="F122" s="11"/>
      <c r="G122" s="9"/>
      <c r="H122" s="10"/>
      <c r="I122" s="19"/>
      <c r="J122" s="142"/>
      <c r="K122" s="142"/>
      <c r="L122" s="61"/>
      <c r="M122" s="164"/>
      <c r="N122" s="142"/>
      <c r="O122" s="61"/>
      <c r="P122" s="168"/>
      <c r="Q1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2" s="36"/>
      <c r="S122" s="90"/>
    </row>
    <row r="123" spans="1:19" s="4" customFormat="1" ht="30" hidden="1" customHeight="1">
      <c r="A123" s="9"/>
      <c r="B123" s="13" t="e">
        <f>VLOOKUP(Table2[[#This Row],[Location 
(drop-down)]],'List source'!D$2:E$71,2,FALSE)</f>
        <v>#N/A</v>
      </c>
      <c r="C123" s="11" t="s">
        <v>163</v>
      </c>
      <c r="D123" s="183" t="e">
        <f t="shared" si="1"/>
        <v>#N/A</v>
      </c>
      <c r="E123" s="11"/>
      <c r="F123" s="11"/>
      <c r="G123" s="9"/>
      <c r="H123" s="10"/>
      <c r="I123" s="19"/>
      <c r="J123" s="142"/>
      <c r="K123" s="142"/>
      <c r="L123" s="61"/>
      <c r="M123" s="164"/>
      <c r="N123" s="142"/>
      <c r="O123" s="61"/>
      <c r="P123" s="168"/>
      <c r="Q1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3" s="36"/>
      <c r="S123" s="90"/>
    </row>
    <row r="124" spans="1:19" s="4" customFormat="1" ht="30" hidden="1" customHeight="1">
      <c r="A124" s="9"/>
      <c r="B124" s="13" t="e">
        <f>VLOOKUP(Table2[[#This Row],[Location 
(drop-down)]],'List source'!D$2:E$71,2,FALSE)</f>
        <v>#N/A</v>
      </c>
      <c r="C124" s="11" t="s">
        <v>164</v>
      </c>
      <c r="D124" s="183" t="e">
        <f t="shared" si="1"/>
        <v>#N/A</v>
      </c>
      <c r="E124" s="11"/>
      <c r="F124" s="11"/>
      <c r="G124" s="9"/>
      <c r="H124" s="10"/>
      <c r="I124" s="19"/>
      <c r="J124" s="142"/>
      <c r="K124" s="142"/>
      <c r="L124" s="61"/>
      <c r="M124" s="164"/>
      <c r="N124" s="142"/>
      <c r="O124" s="61"/>
      <c r="P124" s="168"/>
      <c r="Q1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4" s="36"/>
      <c r="S124" s="90"/>
    </row>
    <row r="125" spans="1:19" s="4" customFormat="1" ht="30" hidden="1" customHeight="1">
      <c r="A125" s="9"/>
      <c r="B125" s="13" t="e">
        <f>VLOOKUP(Table2[[#This Row],[Location 
(drop-down)]],'List source'!D$2:E$71,2,FALSE)</f>
        <v>#N/A</v>
      </c>
      <c r="C125" s="11" t="s">
        <v>165</v>
      </c>
      <c r="D125" s="183" t="e">
        <f t="shared" si="1"/>
        <v>#N/A</v>
      </c>
      <c r="E125" s="11"/>
      <c r="F125" s="11"/>
      <c r="G125" s="9"/>
      <c r="H125" s="10"/>
      <c r="I125" s="19"/>
      <c r="J125" s="142"/>
      <c r="K125" s="142"/>
      <c r="L125" s="61"/>
      <c r="M125" s="164"/>
      <c r="N125" s="142"/>
      <c r="O125" s="61"/>
      <c r="P125" s="168"/>
      <c r="Q1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5" s="36"/>
      <c r="S125" s="90"/>
    </row>
    <row r="126" spans="1:19" s="4" customFormat="1" ht="30" hidden="1" customHeight="1">
      <c r="A126" s="9"/>
      <c r="B126" s="13" t="e">
        <f>VLOOKUP(Table2[[#This Row],[Location 
(drop-down)]],'List source'!D$2:E$71,2,FALSE)</f>
        <v>#N/A</v>
      </c>
      <c r="C126" s="11" t="s">
        <v>166</v>
      </c>
      <c r="D126" s="183" t="e">
        <f t="shared" si="1"/>
        <v>#N/A</v>
      </c>
      <c r="E126" s="11"/>
      <c r="F126" s="11"/>
      <c r="G126" s="178"/>
      <c r="H126" s="10"/>
      <c r="I126" s="19"/>
      <c r="J126" s="142"/>
      <c r="K126" s="142"/>
      <c r="L126" s="61"/>
      <c r="M126" s="164"/>
      <c r="N126" s="142"/>
      <c r="O126" s="61"/>
      <c r="P126" s="168"/>
      <c r="Q1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6" s="36"/>
      <c r="S126" s="90"/>
    </row>
    <row r="127" spans="1:19" s="4" customFormat="1" ht="30" hidden="1" customHeight="1">
      <c r="A127" s="9"/>
      <c r="B127" s="13" t="e">
        <f>VLOOKUP(Table2[[#This Row],[Location 
(drop-down)]],'List source'!D$2:E$71,2,FALSE)</f>
        <v>#N/A</v>
      </c>
      <c r="C127" s="11" t="s">
        <v>167</v>
      </c>
      <c r="D127" s="183" t="e">
        <f t="shared" si="1"/>
        <v>#N/A</v>
      </c>
      <c r="E127" s="11"/>
      <c r="F127" s="11"/>
      <c r="G127" s="9"/>
      <c r="H127" s="10"/>
      <c r="I127" s="19"/>
      <c r="J127" s="142"/>
      <c r="K127" s="142"/>
      <c r="L127" s="61"/>
      <c r="M127" s="164"/>
      <c r="N127" s="142"/>
      <c r="O127" s="61"/>
      <c r="P127" s="168"/>
      <c r="Q1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7" s="36"/>
      <c r="S127" s="90"/>
    </row>
    <row r="128" spans="1:19" s="4" customFormat="1" ht="30" hidden="1" customHeight="1">
      <c r="A128" s="9"/>
      <c r="B128" s="13" t="e">
        <f>VLOOKUP(Table2[[#This Row],[Location 
(drop-down)]],'List source'!D$2:E$71,2,FALSE)</f>
        <v>#N/A</v>
      </c>
      <c r="C128" s="11" t="s">
        <v>168</v>
      </c>
      <c r="D128" s="183" t="e">
        <f t="shared" si="1"/>
        <v>#N/A</v>
      </c>
      <c r="E128" s="11"/>
      <c r="F128" s="11"/>
      <c r="G128" s="9"/>
      <c r="H128" s="10"/>
      <c r="I128" s="19"/>
      <c r="J128" s="142"/>
      <c r="K128" s="142"/>
      <c r="L128" s="61"/>
      <c r="M128" s="164"/>
      <c r="N128" s="142"/>
      <c r="O128" s="61"/>
      <c r="P128" s="168"/>
      <c r="Q1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8" s="36"/>
      <c r="S128" s="90"/>
    </row>
    <row r="129" spans="1:19" s="4" customFormat="1" ht="30" hidden="1" customHeight="1">
      <c r="A129" s="9"/>
      <c r="B129" s="13" t="e">
        <f>VLOOKUP(Table2[[#This Row],[Location 
(drop-down)]],'List source'!D$2:E$71,2,FALSE)</f>
        <v>#N/A</v>
      </c>
      <c r="C129" s="11" t="s">
        <v>169</v>
      </c>
      <c r="D129" s="183" t="e">
        <f t="shared" si="1"/>
        <v>#N/A</v>
      </c>
      <c r="E129" s="11"/>
      <c r="F129" s="11"/>
      <c r="G129" s="9"/>
      <c r="H129" s="10"/>
      <c r="I129" s="19"/>
      <c r="J129" s="142"/>
      <c r="K129" s="142"/>
      <c r="L129" s="61"/>
      <c r="M129" s="164"/>
      <c r="N129" s="142"/>
      <c r="O129" s="61"/>
      <c r="P129" s="168"/>
      <c r="Q1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29" s="36"/>
      <c r="S129" s="90"/>
    </row>
    <row r="130" spans="1:19" s="4" customFormat="1" ht="30" hidden="1" customHeight="1">
      <c r="A130" s="9"/>
      <c r="B130" s="13" t="e">
        <f>VLOOKUP(Table2[[#This Row],[Location 
(drop-down)]],'List source'!D$2:E$71,2,FALSE)</f>
        <v>#N/A</v>
      </c>
      <c r="C130" s="11" t="s">
        <v>170</v>
      </c>
      <c r="D130" s="183" t="e">
        <f t="shared" ref="D130:D193" si="2">"C" &amp; C130 &amp;"-" &amp; B130 &amp; "-" &amp; "26"</f>
        <v>#N/A</v>
      </c>
      <c r="E130" s="11"/>
      <c r="F130" s="11"/>
      <c r="G130" s="9"/>
      <c r="H130" s="10"/>
      <c r="I130" s="19"/>
      <c r="J130" s="142"/>
      <c r="K130" s="142"/>
      <c r="L130" s="61"/>
      <c r="M130" s="164"/>
      <c r="N130" s="142"/>
      <c r="O130" s="61"/>
      <c r="P130" s="168"/>
      <c r="Q1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0" s="36"/>
      <c r="S130" s="90"/>
    </row>
    <row r="131" spans="1:19" s="4" customFormat="1" ht="30" hidden="1" customHeight="1">
      <c r="A131" s="9"/>
      <c r="B131" s="13" t="e">
        <f>VLOOKUP(Table2[[#This Row],[Location 
(drop-down)]],'List source'!D$2:E$71,2,FALSE)</f>
        <v>#N/A</v>
      </c>
      <c r="C131" s="11" t="s">
        <v>171</v>
      </c>
      <c r="D131" s="183" t="e">
        <f t="shared" si="2"/>
        <v>#N/A</v>
      </c>
      <c r="E131" s="11"/>
      <c r="F131" s="11"/>
      <c r="G131" s="9"/>
      <c r="H131" s="10"/>
      <c r="I131" s="19"/>
      <c r="J131" s="142"/>
      <c r="K131" s="142"/>
      <c r="L131" s="61"/>
      <c r="M131" s="164"/>
      <c r="N131" s="142"/>
      <c r="O131" s="61"/>
      <c r="P131" s="168"/>
      <c r="Q1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1" s="36"/>
      <c r="S131" s="90"/>
    </row>
    <row r="132" spans="1:19" s="4" customFormat="1" ht="30" hidden="1" customHeight="1">
      <c r="A132" s="9"/>
      <c r="B132" s="13" t="e">
        <f>VLOOKUP(Table2[[#This Row],[Location 
(drop-down)]],'List source'!D$2:E$71,2,FALSE)</f>
        <v>#N/A</v>
      </c>
      <c r="C132" s="11" t="s">
        <v>172</v>
      </c>
      <c r="D132" s="183" t="e">
        <f t="shared" si="2"/>
        <v>#N/A</v>
      </c>
      <c r="E132" s="11"/>
      <c r="F132" s="11"/>
      <c r="G132" s="9"/>
      <c r="H132" s="10"/>
      <c r="I132" s="19"/>
      <c r="J132" s="142"/>
      <c r="K132" s="142"/>
      <c r="L132" s="61"/>
      <c r="M132" s="164"/>
      <c r="N132" s="142"/>
      <c r="O132" s="61"/>
      <c r="P132" s="168"/>
      <c r="Q1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2" s="36"/>
      <c r="S132" s="90"/>
    </row>
    <row r="133" spans="1:19" s="4" customFormat="1" ht="30" hidden="1" customHeight="1">
      <c r="A133" s="9"/>
      <c r="B133" s="13" t="e">
        <f>VLOOKUP(Table2[[#This Row],[Location 
(drop-down)]],'List source'!D$2:E$71,2,FALSE)</f>
        <v>#N/A</v>
      </c>
      <c r="C133" s="11" t="s">
        <v>173</v>
      </c>
      <c r="D133" s="183" t="e">
        <f t="shared" si="2"/>
        <v>#N/A</v>
      </c>
      <c r="E133" s="11"/>
      <c r="F133" s="11"/>
      <c r="G133" s="9"/>
      <c r="H133" s="10"/>
      <c r="I133" s="19"/>
      <c r="J133" s="142"/>
      <c r="K133" s="142"/>
      <c r="L133" s="61"/>
      <c r="M133" s="164"/>
      <c r="N133" s="142"/>
      <c r="O133" s="61"/>
      <c r="P133" s="168"/>
      <c r="Q1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3" s="36"/>
      <c r="S133" s="90"/>
    </row>
    <row r="134" spans="1:19" s="4" customFormat="1" ht="30" hidden="1" customHeight="1">
      <c r="A134" s="9"/>
      <c r="B134" s="13" t="e">
        <f>VLOOKUP(Table2[[#This Row],[Location 
(drop-down)]],'List source'!D$2:E$71,2,FALSE)</f>
        <v>#N/A</v>
      </c>
      <c r="C134" s="11" t="s">
        <v>174</v>
      </c>
      <c r="D134" s="183" t="e">
        <f t="shared" si="2"/>
        <v>#N/A</v>
      </c>
      <c r="E134" s="11"/>
      <c r="F134" s="11"/>
      <c r="G134" s="9"/>
      <c r="H134" s="10"/>
      <c r="I134" s="19"/>
      <c r="J134" s="142"/>
      <c r="K134" s="142"/>
      <c r="L134" s="164"/>
      <c r="M134" s="164"/>
      <c r="N134" s="142"/>
      <c r="O134" s="61"/>
      <c r="P134" s="222"/>
      <c r="Q1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4" s="36"/>
      <c r="S134" s="90"/>
    </row>
    <row r="135" spans="1:19" s="4" customFormat="1" ht="30" hidden="1" customHeight="1">
      <c r="A135" s="9"/>
      <c r="B135" s="13" t="e">
        <f>VLOOKUP(Table2[[#This Row],[Location 
(drop-down)]],'List source'!D$2:E$71,2,FALSE)</f>
        <v>#N/A</v>
      </c>
      <c r="C135" s="11" t="s">
        <v>175</v>
      </c>
      <c r="D135" s="183" t="e">
        <f t="shared" si="2"/>
        <v>#N/A</v>
      </c>
      <c r="E135" s="11"/>
      <c r="F135" s="11"/>
      <c r="G135" s="9"/>
      <c r="H135" s="10"/>
      <c r="I135" s="19"/>
      <c r="J135" s="142"/>
      <c r="K135" s="142"/>
      <c r="L135" s="61"/>
      <c r="M135" s="164"/>
      <c r="N135" s="142"/>
      <c r="O135" s="61"/>
      <c r="P135" s="168"/>
      <c r="Q1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5" s="36"/>
      <c r="S135" s="90"/>
    </row>
    <row r="136" spans="1:19" s="4" customFormat="1" ht="30" hidden="1" customHeight="1">
      <c r="A136" s="9"/>
      <c r="B136" s="13" t="e">
        <f>VLOOKUP(Table2[[#This Row],[Location 
(drop-down)]],'List source'!D$2:E$71,2,FALSE)</f>
        <v>#N/A</v>
      </c>
      <c r="C136" s="11" t="s">
        <v>176</v>
      </c>
      <c r="D136" s="183" t="e">
        <f t="shared" si="2"/>
        <v>#N/A</v>
      </c>
      <c r="E136" s="11"/>
      <c r="F136" s="11"/>
      <c r="G136" s="145"/>
      <c r="H136" s="11"/>
      <c r="I136" s="19"/>
      <c r="J136" s="142"/>
      <c r="K136" s="142"/>
      <c r="L136" s="61"/>
      <c r="M136" s="164"/>
      <c r="N136" s="142"/>
      <c r="O136" s="61"/>
      <c r="P136" s="238"/>
      <c r="Q1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6" s="36"/>
      <c r="S136" s="90"/>
    </row>
    <row r="137" spans="1:19" s="4" customFormat="1" ht="30" hidden="1" customHeight="1">
      <c r="A137" s="9"/>
      <c r="B137" s="13" t="e">
        <f>VLOOKUP(Table2[[#This Row],[Location 
(drop-down)]],'List source'!D$2:E$71,2,FALSE)</f>
        <v>#N/A</v>
      </c>
      <c r="C137" s="11" t="s">
        <v>177</v>
      </c>
      <c r="D137" s="183" t="e">
        <f t="shared" si="2"/>
        <v>#N/A</v>
      </c>
      <c r="E137" s="11"/>
      <c r="F137" s="11"/>
      <c r="G137" s="9"/>
      <c r="H137" s="10"/>
      <c r="I137" s="19"/>
      <c r="J137" s="142"/>
      <c r="K137" s="142"/>
      <c r="L137" s="61"/>
      <c r="M137" s="164"/>
      <c r="N137" s="142"/>
      <c r="O137" s="61"/>
      <c r="P137" s="168"/>
      <c r="Q1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7" s="36"/>
      <c r="S137" s="90"/>
    </row>
    <row r="138" spans="1:19" s="4" customFormat="1" ht="30" hidden="1" customHeight="1">
      <c r="A138" s="9"/>
      <c r="B138" s="13" t="e">
        <f>VLOOKUP(Table2[[#This Row],[Location 
(drop-down)]],'List source'!D$2:E$71,2,FALSE)</f>
        <v>#N/A</v>
      </c>
      <c r="C138" s="11" t="s">
        <v>178</v>
      </c>
      <c r="D138" s="183" t="e">
        <f t="shared" si="2"/>
        <v>#N/A</v>
      </c>
      <c r="E138" s="11"/>
      <c r="F138" s="139"/>
      <c r="G138" s="9"/>
      <c r="H138" s="10"/>
      <c r="I138" s="19"/>
      <c r="J138" s="142"/>
      <c r="K138" s="142"/>
      <c r="L138" s="61"/>
      <c r="M138" s="164"/>
      <c r="N138" s="142"/>
      <c r="O138" s="61"/>
      <c r="P138" s="162"/>
      <c r="Q1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8" s="36"/>
      <c r="S138" s="90"/>
    </row>
    <row r="139" spans="1:19" s="4" customFormat="1" ht="30" hidden="1" customHeight="1">
      <c r="A139" s="9"/>
      <c r="B139" s="13" t="e">
        <f>VLOOKUP(Table2[[#This Row],[Location 
(drop-down)]],'List source'!D$2:E$71,2,FALSE)</f>
        <v>#N/A</v>
      </c>
      <c r="C139" s="11" t="s">
        <v>179</v>
      </c>
      <c r="D139" s="183" t="e">
        <f t="shared" si="2"/>
        <v>#N/A</v>
      </c>
      <c r="E139" s="140"/>
      <c r="F139" s="203"/>
      <c r="G139" s="208"/>
      <c r="H139" s="10"/>
      <c r="I139" s="19"/>
      <c r="J139" s="142"/>
      <c r="K139" s="142"/>
      <c r="L139" s="61"/>
      <c r="M139" s="164"/>
      <c r="N139" s="142"/>
      <c r="O139" s="61"/>
      <c r="P139" s="168"/>
      <c r="Q1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39" s="214"/>
      <c r="S139" s="90"/>
    </row>
    <row r="140" spans="1:19" s="4" customFormat="1" ht="30" hidden="1" customHeight="1">
      <c r="A140" s="9"/>
      <c r="B140" s="13" t="e">
        <f>VLOOKUP(Table2[[#This Row],[Location 
(drop-down)]],'List source'!D$2:E$71,2,FALSE)</f>
        <v>#N/A</v>
      </c>
      <c r="C140" s="11" t="s">
        <v>180</v>
      </c>
      <c r="D140" s="183" t="e">
        <f t="shared" si="2"/>
        <v>#N/A</v>
      </c>
      <c r="E140" s="140"/>
      <c r="F140" s="203"/>
      <c r="G140" s="208"/>
      <c r="H140" s="10"/>
      <c r="I140" s="19"/>
      <c r="J140" s="142"/>
      <c r="K140" s="142"/>
      <c r="L140" s="61"/>
      <c r="M140" s="164"/>
      <c r="N140" s="142"/>
      <c r="O140" s="61"/>
      <c r="P140" s="168"/>
      <c r="Q1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0" s="36"/>
      <c r="S140" s="90"/>
    </row>
    <row r="141" spans="1:19" s="4" customFormat="1" ht="30" hidden="1" customHeight="1">
      <c r="A141" s="9"/>
      <c r="B141" s="13" t="e">
        <f>VLOOKUP(Table2[[#This Row],[Location 
(drop-down)]],'List source'!D$2:E$71,2,FALSE)</f>
        <v>#N/A</v>
      </c>
      <c r="C141" s="11" t="s">
        <v>181</v>
      </c>
      <c r="D141" s="183" t="e">
        <f t="shared" si="2"/>
        <v>#N/A</v>
      </c>
      <c r="E141" s="140"/>
      <c r="F141" s="204"/>
      <c r="G141" s="207"/>
      <c r="H141" s="10"/>
      <c r="I141" s="19"/>
      <c r="J141" s="142"/>
      <c r="K141" s="142"/>
      <c r="L141" s="61"/>
      <c r="M141" s="164"/>
      <c r="N141" s="142"/>
      <c r="O141" s="61"/>
      <c r="P141" s="168"/>
      <c r="Q1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1" s="36"/>
      <c r="S141" s="90"/>
    </row>
    <row r="142" spans="1:19" s="4" customFormat="1" ht="30" hidden="1" customHeight="1">
      <c r="A142" s="9"/>
      <c r="B142" s="13" t="e">
        <f>VLOOKUP(Table2[[#This Row],[Location 
(drop-down)]],'List source'!D$2:E$71,2,FALSE)</f>
        <v>#N/A</v>
      </c>
      <c r="C142" s="11" t="s">
        <v>182</v>
      </c>
      <c r="D142" s="183" t="e">
        <f t="shared" si="2"/>
        <v>#N/A</v>
      </c>
      <c r="E142" s="11"/>
      <c r="F142" s="117"/>
      <c r="G142" s="141"/>
      <c r="H142" s="10"/>
      <c r="I142" s="19"/>
      <c r="J142" s="166"/>
      <c r="K142" s="166"/>
      <c r="L142" s="61"/>
      <c r="M142" s="164"/>
      <c r="N142" s="166"/>
      <c r="O142" s="61"/>
      <c r="P142" s="168"/>
      <c r="Q1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2" s="36"/>
      <c r="S142" s="90"/>
    </row>
    <row r="143" spans="1:19" s="4" customFormat="1" ht="30" hidden="1" customHeight="1">
      <c r="A143" s="9"/>
      <c r="B143" s="13" t="e">
        <f>VLOOKUP(Table2[[#This Row],[Location 
(drop-down)]],'List source'!D$2:E$71,2,FALSE)</f>
        <v>#N/A</v>
      </c>
      <c r="C143" s="11" t="s">
        <v>183</v>
      </c>
      <c r="D143" s="183" t="e">
        <f t="shared" si="2"/>
        <v>#N/A</v>
      </c>
      <c r="E143" s="140"/>
      <c r="F143" s="204"/>
      <c r="G143" s="209"/>
      <c r="H143" s="10"/>
      <c r="I143" s="19"/>
      <c r="J143" s="142"/>
      <c r="K143" s="142"/>
      <c r="L143" s="61"/>
      <c r="M143" s="164"/>
      <c r="N143" s="142"/>
      <c r="O143" s="61"/>
      <c r="P143" s="168"/>
      <c r="Q1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3" s="36"/>
      <c r="S143" s="90"/>
    </row>
    <row r="144" spans="1:19" s="4" customFormat="1" ht="30" hidden="1" customHeight="1">
      <c r="A144" s="9"/>
      <c r="B144" s="13" t="e">
        <f>VLOOKUP(Table2[[#This Row],[Location 
(drop-down)]],'List source'!D$2:E$71,2,FALSE)</f>
        <v>#N/A</v>
      </c>
      <c r="C144" s="11" t="s">
        <v>184</v>
      </c>
      <c r="D144" s="183" t="e">
        <f t="shared" si="2"/>
        <v>#N/A</v>
      </c>
      <c r="E144" s="11"/>
      <c r="F144" s="205"/>
      <c r="G144" s="208"/>
      <c r="H144" s="10"/>
      <c r="I144" s="19"/>
      <c r="J144" s="142"/>
      <c r="K144" s="142"/>
      <c r="L144" s="61"/>
      <c r="M144" s="164"/>
      <c r="N144" s="142"/>
      <c r="O144" s="61"/>
      <c r="P144" s="168"/>
      <c r="Q1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4" s="36"/>
      <c r="S144" s="90"/>
    </row>
    <row r="145" spans="1:19" s="4" customFormat="1" ht="30" hidden="1" customHeight="1">
      <c r="A145" s="9"/>
      <c r="B145" s="13" t="e">
        <f>VLOOKUP(Table2[[#This Row],[Location 
(drop-down)]],'List source'!D$2:E$71,2,FALSE)</f>
        <v>#N/A</v>
      </c>
      <c r="C145" s="11" t="s">
        <v>185</v>
      </c>
      <c r="D145" s="183" t="e">
        <f t="shared" si="2"/>
        <v>#N/A</v>
      </c>
      <c r="E145" s="11"/>
      <c r="F145" s="85"/>
      <c r="G145" s="75"/>
      <c r="H145" s="10"/>
      <c r="I145" s="19"/>
      <c r="J145" s="142"/>
      <c r="K145" s="142"/>
      <c r="L145" s="61"/>
      <c r="M145" s="164"/>
      <c r="N145" s="142"/>
      <c r="O145" s="61"/>
      <c r="P145" s="168"/>
      <c r="Q1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5" s="36"/>
      <c r="S145" s="90"/>
    </row>
    <row r="146" spans="1:19" s="4" customFormat="1" ht="30" hidden="1" customHeight="1">
      <c r="A146" s="9"/>
      <c r="B146" s="13" t="e">
        <f>VLOOKUP(Table2[[#This Row],[Location 
(drop-down)]],'List source'!D$2:E$71,2,FALSE)</f>
        <v>#N/A</v>
      </c>
      <c r="C146" s="11" t="s">
        <v>186</v>
      </c>
      <c r="D146" s="183" t="e">
        <f t="shared" si="2"/>
        <v>#N/A</v>
      </c>
      <c r="E146" s="11"/>
      <c r="F146" s="11"/>
      <c r="G146" s="75"/>
      <c r="H146" s="10"/>
      <c r="I146" s="19"/>
      <c r="J146" s="142"/>
      <c r="K146" s="142"/>
      <c r="L146" s="61"/>
      <c r="M146" s="164"/>
      <c r="N146" s="142"/>
      <c r="O146" s="61"/>
      <c r="P146" s="168"/>
      <c r="Q1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6" s="36"/>
      <c r="S146" s="90"/>
    </row>
    <row r="147" spans="1:19" s="4" customFormat="1" ht="30" hidden="1" customHeight="1">
      <c r="A147" s="9"/>
      <c r="B147" s="13" t="e">
        <f>VLOOKUP(Table2[[#This Row],[Location 
(drop-down)]],'List source'!D$2:E$71,2,FALSE)</f>
        <v>#N/A</v>
      </c>
      <c r="C147" s="11" t="s">
        <v>187</v>
      </c>
      <c r="D147" s="183" t="e">
        <f t="shared" si="2"/>
        <v>#N/A</v>
      </c>
      <c r="E147" s="11"/>
      <c r="F147" s="11"/>
      <c r="G147" s="75"/>
      <c r="H147" s="10"/>
      <c r="I147" s="19"/>
      <c r="J147" s="142"/>
      <c r="K147" s="142"/>
      <c r="L147" s="61"/>
      <c r="M147" s="164"/>
      <c r="N147" s="142"/>
      <c r="O147" s="61"/>
      <c r="P147" s="168"/>
      <c r="Q1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7" s="36"/>
      <c r="S147" s="90"/>
    </row>
    <row r="148" spans="1:19" s="4" customFormat="1" ht="30" hidden="1" customHeight="1">
      <c r="A148" s="9"/>
      <c r="B148" s="13" t="e">
        <f>VLOOKUP(Table2[[#This Row],[Location 
(drop-down)]],'List source'!D$2:E$71,2,FALSE)</f>
        <v>#N/A</v>
      </c>
      <c r="C148" s="11" t="s">
        <v>188</v>
      </c>
      <c r="D148" s="183" t="e">
        <f t="shared" si="2"/>
        <v>#N/A</v>
      </c>
      <c r="E148" s="11"/>
      <c r="F148" s="11"/>
      <c r="G148" s="75"/>
      <c r="H148" s="10"/>
      <c r="I148" s="19"/>
      <c r="J148" s="142"/>
      <c r="K148" s="142"/>
      <c r="L148" s="61"/>
      <c r="M148" s="164"/>
      <c r="N148" s="142"/>
      <c r="O148" s="61"/>
      <c r="P148" s="168"/>
      <c r="Q1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8" s="36"/>
      <c r="S148" s="90"/>
    </row>
    <row r="149" spans="1:19" s="4" customFormat="1" ht="30" hidden="1" customHeight="1">
      <c r="A149" s="9"/>
      <c r="B149" s="13" t="e">
        <f>VLOOKUP(Table2[[#This Row],[Location 
(drop-down)]],'List source'!D$2:E$71,2,FALSE)</f>
        <v>#N/A</v>
      </c>
      <c r="C149" s="11" t="s">
        <v>189</v>
      </c>
      <c r="D149" s="183" t="e">
        <f t="shared" si="2"/>
        <v>#N/A</v>
      </c>
      <c r="E149" s="11"/>
      <c r="F149" s="11"/>
      <c r="G149" s="75"/>
      <c r="H149" s="10"/>
      <c r="I149" s="19"/>
      <c r="J149" s="142"/>
      <c r="K149" s="142"/>
      <c r="L149" s="143"/>
      <c r="M149" s="343"/>
      <c r="N149" s="142"/>
      <c r="O149" s="61"/>
      <c r="P149" s="220"/>
      <c r="Q1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49" s="36"/>
      <c r="S149" s="90"/>
    </row>
    <row r="150" spans="1:19" s="4" customFormat="1" ht="30" hidden="1" customHeight="1">
      <c r="A150" s="9"/>
      <c r="B150" s="13" t="e">
        <f>VLOOKUP(Table2[[#This Row],[Location 
(drop-down)]],'List source'!D$2:E$71,2,FALSE)</f>
        <v>#N/A</v>
      </c>
      <c r="C150" s="11" t="s">
        <v>190</v>
      </c>
      <c r="D150" s="183" t="e">
        <f t="shared" si="2"/>
        <v>#N/A</v>
      </c>
      <c r="E150" s="11"/>
      <c r="F150" s="11"/>
      <c r="G150" s="75"/>
      <c r="H150" s="13"/>
      <c r="I150" s="19"/>
      <c r="J150" s="142"/>
      <c r="K150" s="142"/>
      <c r="L150" s="143"/>
      <c r="M150" s="343"/>
      <c r="N150" s="142"/>
      <c r="O150" s="61"/>
      <c r="P150" s="220"/>
      <c r="Q1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0" s="36"/>
      <c r="S150" s="90"/>
    </row>
    <row r="151" spans="1:19" s="4" customFormat="1" ht="30" hidden="1" customHeight="1">
      <c r="A151" s="9"/>
      <c r="B151" s="13" t="e">
        <f>VLOOKUP(Table2[[#This Row],[Location 
(drop-down)]],'List source'!D$2:E$71,2,FALSE)</f>
        <v>#N/A</v>
      </c>
      <c r="C151" s="11" t="s">
        <v>191</v>
      </c>
      <c r="D151" s="183" t="e">
        <f t="shared" si="2"/>
        <v>#N/A</v>
      </c>
      <c r="E151" s="11"/>
      <c r="F151" s="11"/>
      <c r="G151" s="75"/>
      <c r="H151" s="13"/>
      <c r="I151" s="19"/>
      <c r="J151" s="142"/>
      <c r="K151" s="142"/>
      <c r="L151" s="143"/>
      <c r="M151" s="343"/>
      <c r="N151" s="142"/>
      <c r="O151" s="61"/>
      <c r="P151" s="220"/>
      <c r="Q1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1" s="36"/>
      <c r="S151" s="90"/>
    </row>
    <row r="152" spans="1:19" s="4" customFormat="1" ht="30" hidden="1" customHeight="1">
      <c r="A152" s="9"/>
      <c r="B152" s="13" t="e">
        <f>VLOOKUP(Table2[[#This Row],[Location 
(drop-down)]],'List source'!D$2:E$71,2,FALSE)</f>
        <v>#N/A</v>
      </c>
      <c r="C152" s="11" t="s">
        <v>192</v>
      </c>
      <c r="D152" s="183" t="e">
        <f t="shared" si="2"/>
        <v>#N/A</v>
      </c>
      <c r="E152" s="11"/>
      <c r="F152" s="11"/>
      <c r="G152" s="75"/>
      <c r="H152" s="13"/>
      <c r="I152" s="19"/>
      <c r="J152" s="142"/>
      <c r="K152" s="142"/>
      <c r="L152" s="143"/>
      <c r="M152" s="343"/>
      <c r="N152" s="142"/>
      <c r="O152" s="61"/>
      <c r="P152" s="220"/>
      <c r="Q1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2" s="36"/>
      <c r="S152" s="90"/>
    </row>
    <row r="153" spans="1:19" s="4" customFormat="1" ht="30" hidden="1" customHeight="1">
      <c r="A153" s="9"/>
      <c r="B153" s="13" t="e">
        <f>VLOOKUP(Table2[[#This Row],[Location 
(drop-down)]],'List source'!D$2:E$71,2,FALSE)</f>
        <v>#N/A</v>
      </c>
      <c r="C153" s="11" t="s">
        <v>193</v>
      </c>
      <c r="D153" s="183" t="e">
        <f t="shared" si="2"/>
        <v>#N/A</v>
      </c>
      <c r="E153" s="11"/>
      <c r="F153" s="11"/>
      <c r="G153" s="75"/>
      <c r="H153" s="13"/>
      <c r="I153" s="19"/>
      <c r="J153" s="142"/>
      <c r="K153" s="142"/>
      <c r="L153" s="143"/>
      <c r="M153" s="343"/>
      <c r="N153" s="142"/>
      <c r="O153" s="61"/>
      <c r="P153" s="220"/>
      <c r="Q1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3" s="36"/>
      <c r="S153" s="90"/>
    </row>
    <row r="154" spans="1:19" s="4" customFormat="1" ht="30" hidden="1" customHeight="1">
      <c r="A154" s="9"/>
      <c r="B154" s="13" t="e">
        <f>VLOOKUP(Table2[[#This Row],[Location 
(drop-down)]],'List source'!D$2:E$71,2,FALSE)</f>
        <v>#N/A</v>
      </c>
      <c r="C154" s="11" t="s">
        <v>194</v>
      </c>
      <c r="D154" s="183" t="e">
        <f t="shared" si="2"/>
        <v>#N/A</v>
      </c>
      <c r="E154" s="11"/>
      <c r="F154" s="11"/>
      <c r="G154" s="75"/>
      <c r="H154" s="13"/>
      <c r="I154" s="19"/>
      <c r="J154" s="142"/>
      <c r="K154" s="142"/>
      <c r="L154" s="143"/>
      <c r="M154" s="343"/>
      <c r="N154" s="142"/>
      <c r="O154" s="61"/>
      <c r="P154" s="220"/>
      <c r="Q1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4" s="36"/>
      <c r="S154" s="90"/>
    </row>
    <row r="155" spans="1:19" s="4" customFormat="1" ht="30" hidden="1" customHeight="1">
      <c r="A155" s="9"/>
      <c r="B155" s="13" t="e">
        <f>VLOOKUP(Table2[[#This Row],[Location 
(drop-down)]],'List source'!D$2:E$71,2,FALSE)</f>
        <v>#N/A</v>
      </c>
      <c r="C155" s="11" t="s">
        <v>195</v>
      </c>
      <c r="D155" s="183" t="e">
        <f t="shared" si="2"/>
        <v>#N/A</v>
      </c>
      <c r="E155" s="11"/>
      <c r="F155" s="11"/>
      <c r="G155" s="75"/>
      <c r="H155" s="13"/>
      <c r="I155" s="19"/>
      <c r="J155" s="142"/>
      <c r="K155" s="142"/>
      <c r="L155" s="143"/>
      <c r="M155" s="343"/>
      <c r="N155" s="142"/>
      <c r="O155" s="61"/>
      <c r="P155" s="220"/>
      <c r="Q1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5" s="36"/>
      <c r="S155" s="90"/>
    </row>
    <row r="156" spans="1:19" s="4" customFormat="1" ht="30" hidden="1" customHeight="1">
      <c r="A156" s="9"/>
      <c r="B156" s="13" t="e">
        <f>VLOOKUP(Table2[[#This Row],[Location 
(drop-down)]],'List source'!D$2:E$71,2,FALSE)</f>
        <v>#N/A</v>
      </c>
      <c r="C156" s="11" t="s">
        <v>196</v>
      </c>
      <c r="D156" s="183" t="e">
        <f t="shared" si="2"/>
        <v>#N/A</v>
      </c>
      <c r="E156" s="11"/>
      <c r="F156" s="11"/>
      <c r="G156" s="179"/>
      <c r="H156" s="13"/>
      <c r="I156" s="19"/>
      <c r="J156" s="142"/>
      <c r="K156" s="142"/>
      <c r="L156" s="143"/>
      <c r="M156" s="343"/>
      <c r="N156" s="142"/>
      <c r="O156" s="61"/>
      <c r="P156" s="220"/>
      <c r="Q1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6" s="36"/>
      <c r="S156" s="90"/>
    </row>
    <row r="157" spans="1:19" s="4" customFormat="1" ht="30" hidden="1" customHeight="1">
      <c r="A157" s="9"/>
      <c r="B157" s="13" t="e">
        <f>VLOOKUP(Table2[[#This Row],[Location 
(drop-down)]],'List source'!D$2:E$71,2,FALSE)</f>
        <v>#N/A</v>
      </c>
      <c r="C157" s="11" t="s">
        <v>197</v>
      </c>
      <c r="D157" s="183" t="e">
        <f t="shared" si="2"/>
        <v>#N/A</v>
      </c>
      <c r="E157" s="11"/>
      <c r="F157" s="11"/>
      <c r="G157" s="179"/>
      <c r="H157" s="13"/>
      <c r="I157" s="19"/>
      <c r="J157" s="142"/>
      <c r="K157" s="142"/>
      <c r="L157" s="143"/>
      <c r="M157" s="343"/>
      <c r="N157" s="142"/>
      <c r="O157" s="61"/>
      <c r="P157" s="220"/>
      <c r="Q1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7" s="36"/>
      <c r="S157" s="90"/>
    </row>
    <row r="158" spans="1:19" s="4" customFormat="1" ht="30" hidden="1" customHeight="1">
      <c r="A158" s="9"/>
      <c r="B158" s="13" t="e">
        <f>VLOOKUP(Table2[[#This Row],[Location 
(drop-down)]],'List source'!D$2:E$71,2,FALSE)</f>
        <v>#N/A</v>
      </c>
      <c r="C158" s="11" t="s">
        <v>198</v>
      </c>
      <c r="D158" s="183" t="e">
        <f t="shared" si="2"/>
        <v>#N/A</v>
      </c>
      <c r="E158" s="11"/>
      <c r="F158" s="11"/>
      <c r="G158" s="9"/>
      <c r="H158" s="13"/>
      <c r="I158" s="19"/>
      <c r="J158" s="142"/>
      <c r="K158" s="142"/>
      <c r="L158" s="143"/>
      <c r="M158" s="343"/>
      <c r="N158" s="142"/>
      <c r="O158" s="61"/>
      <c r="P158" s="220"/>
      <c r="Q1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8" s="36"/>
      <c r="S158" s="90"/>
    </row>
    <row r="159" spans="1:19" s="4" customFormat="1" ht="30" hidden="1" customHeight="1">
      <c r="A159" s="9"/>
      <c r="B159" s="13" t="e">
        <f>VLOOKUP(Table2[[#This Row],[Location 
(drop-down)]],'List source'!D$2:E$71,2,FALSE)</f>
        <v>#N/A</v>
      </c>
      <c r="C159" s="11" t="s">
        <v>199</v>
      </c>
      <c r="D159" s="183" t="e">
        <f t="shared" si="2"/>
        <v>#N/A</v>
      </c>
      <c r="E159" s="11"/>
      <c r="F159" s="11"/>
      <c r="G159" s="75"/>
      <c r="H159" s="13"/>
      <c r="I159" s="19"/>
      <c r="J159" s="142"/>
      <c r="K159" s="142"/>
      <c r="L159" s="143"/>
      <c r="M159" s="343"/>
      <c r="N159" s="142"/>
      <c r="O159" s="61"/>
      <c r="P159" s="220"/>
      <c r="Q1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59" s="36"/>
      <c r="S159" s="90"/>
    </row>
    <row r="160" spans="1:19" s="4" customFormat="1" ht="30" hidden="1" customHeight="1">
      <c r="A160" s="9"/>
      <c r="B160" s="13" t="e">
        <f>VLOOKUP(Table2[[#This Row],[Location 
(drop-down)]],'List source'!D$2:E$71,2,FALSE)</f>
        <v>#N/A</v>
      </c>
      <c r="C160" s="11" t="s">
        <v>200</v>
      </c>
      <c r="D160" s="183" t="e">
        <f t="shared" si="2"/>
        <v>#N/A</v>
      </c>
      <c r="E160" s="11"/>
      <c r="F160" s="11"/>
      <c r="G160" s="75"/>
      <c r="H160" s="13"/>
      <c r="I160" s="19"/>
      <c r="J160" s="142"/>
      <c r="K160" s="142"/>
      <c r="L160" s="143"/>
      <c r="M160" s="343"/>
      <c r="N160" s="142"/>
      <c r="O160" s="61"/>
      <c r="P160" s="220"/>
      <c r="Q1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0" s="36"/>
      <c r="S160" s="90"/>
    </row>
    <row r="161" spans="1:19" s="4" customFormat="1" ht="30" hidden="1" customHeight="1">
      <c r="A161" s="9"/>
      <c r="B161" s="13" t="e">
        <f>VLOOKUP(Table2[[#This Row],[Location 
(drop-down)]],'List source'!D$2:E$71,2,FALSE)</f>
        <v>#N/A</v>
      </c>
      <c r="C161" s="11" t="s">
        <v>201</v>
      </c>
      <c r="D161" s="183" t="e">
        <f t="shared" si="2"/>
        <v>#N/A</v>
      </c>
      <c r="E161" s="11"/>
      <c r="F161" s="11"/>
      <c r="G161" s="75"/>
      <c r="H161" s="13"/>
      <c r="I161" s="19"/>
      <c r="J161" s="166"/>
      <c r="K161" s="166"/>
      <c r="L161" s="143"/>
      <c r="M161" s="343"/>
      <c r="N161" s="166"/>
      <c r="O161" s="61"/>
      <c r="P161" s="220"/>
      <c r="Q1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1" s="36"/>
      <c r="S161" s="90"/>
    </row>
    <row r="162" spans="1:19" s="4" customFormat="1" ht="30" hidden="1" customHeight="1">
      <c r="A162" s="9"/>
      <c r="B162" s="13" t="e">
        <f>VLOOKUP(Table2[[#This Row],[Location 
(drop-down)]],'List source'!D$2:E$71,2,FALSE)</f>
        <v>#N/A</v>
      </c>
      <c r="C162" s="11" t="s">
        <v>202</v>
      </c>
      <c r="D162" s="183" t="e">
        <f t="shared" si="2"/>
        <v>#N/A</v>
      </c>
      <c r="E162" s="10"/>
      <c r="F162" s="10"/>
      <c r="G162" s="144"/>
      <c r="H162" s="10"/>
      <c r="I162" s="19"/>
      <c r="J162" s="166"/>
      <c r="K162" s="166"/>
      <c r="L162" s="143"/>
      <c r="M162" s="343"/>
      <c r="N162" s="166"/>
      <c r="O162" s="61"/>
      <c r="P162" s="220"/>
      <c r="Q1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2" s="216"/>
      <c r="S162" s="90"/>
    </row>
    <row r="163" spans="1:19" s="4" customFormat="1" ht="30" hidden="1" customHeight="1">
      <c r="A163" s="9"/>
      <c r="B163" s="13" t="e">
        <f>VLOOKUP(Table2[[#This Row],[Location 
(drop-down)]],'List source'!D$2:E$71,2,FALSE)</f>
        <v>#N/A</v>
      </c>
      <c r="C163" s="11" t="s">
        <v>203</v>
      </c>
      <c r="D163" s="183" t="e">
        <f t="shared" si="2"/>
        <v>#N/A</v>
      </c>
      <c r="E163" s="124"/>
      <c r="F163" s="155"/>
      <c r="G163" s="144"/>
      <c r="H163" s="10"/>
      <c r="I163" s="19"/>
      <c r="J163" s="16"/>
      <c r="K163" s="16"/>
      <c r="L163" s="182"/>
      <c r="M163" s="182"/>
      <c r="N163" s="16"/>
      <c r="O163" s="61"/>
      <c r="P163" s="236"/>
      <c r="Q1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3" s="239"/>
      <c r="S163" s="90"/>
    </row>
    <row r="164" spans="1:19" s="4" customFormat="1" ht="30" hidden="1" customHeight="1">
      <c r="A164" s="9"/>
      <c r="B164" s="13" t="e">
        <f>VLOOKUP(Table2[[#This Row],[Location 
(drop-down)]],'List source'!D$2:E$71,2,FALSE)</f>
        <v>#N/A</v>
      </c>
      <c r="C164" s="11" t="s">
        <v>204</v>
      </c>
      <c r="D164" s="183" t="e">
        <f t="shared" si="2"/>
        <v>#N/A</v>
      </c>
      <c r="E164" s="11"/>
      <c r="F164" s="10"/>
      <c r="G164" s="144"/>
      <c r="H164" s="10"/>
      <c r="I164" s="19"/>
      <c r="J164" s="142"/>
      <c r="K164" s="142"/>
      <c r="L164" s="143"/>
      <c r="M164" s="343"/>
      <c r="N164" s="142"/>
      <c r="O164" s="157"/>
      <c r="P164" s="220"/>
      <c r="Q1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4" s="216"/>
      <c r="S164" s="90"/>
    </row>
    <row r="165" spans="1:19" s="4" customFormat="1" ht="30" hidden="1" customHeight="1">
      <c r="A165" s="9"/>
      <c r="B165" s="13" t="e">
        <f>VLOOKUP(Table2[[#This Row],[Location 
(drop-down)]],'List source'!D$2:E$71,2,FALSE)</f>
        <v>#N/A</v>
      </c>
      <c r="C165" s="11" t="s">
        <v>205</v>
      </c>
      <c r="D165" s="183" t="e">
        <f t="shared" si="2"/>
        <v>#N/A</v>
      </c>
      <c r="E165" s="11"/>
      <c r="F165" s="9"/>
      <c r="G165" s="144"/>
      <c r="H165" s="10"/>
      <c r="I165" s="19"/>
      <c r="J165" s="142"/>
      <c r="K165" s="142"/>
      <c r="L165" s="61"/>
      <c r="M165" s="164"/>
      <c r="N165" s="142"/>
      <c r="O165" s="61"/>
      <c r="P165" s="235"/>
      <c r="Q1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5" s="100"/>
      <c r="S165" s="90"/>
    </row>
    <row r="166" spans="1:19" s="4" customFormat="1" ht="30" hidden="1" customHeight="1">
      <c r="A166" s="9"/>
      <c r="B166" s="13" t="e">
        <f>VLOOKUP(Table2[[#This Row],[Location 
(drop-down)]],'List source'!D$2:E$71,2,FALSE)</f>
        <v>#N/A</v>
      </c>
      <c r="C166" s="11" t="s">
        <v>206</v>
      </c>
      <c r="D166" s="183" t="e">
        <f t="shared" si="2"/>
        <v>#N/A</v>
      </c>
      <c r="E166" s="11"/>
      <c r="F166" s="11"/>
      <c r="G166" s="75"/>
      <c r="H166" s="13"/>
      <c r="I166" s="19"/>
      <c r="J166" s="142"/>
      <c r="K166" s="142"/>
      <c r="L166" s="143"/>
      <c r="M166" s="343"/>
      <c r="N166" s="142"/>
      <c r="O166" s="61"/>
      <c r="P166" s="241"/>
      <c r="Q1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6" s="245"/>
      <c r="S166" s="90"/>
    </row>
    <row r="167" spans="1:19" s="4" customFormat="1" ht="30" hidden="1" customHeight="1">
      <c r="A167" s="9"/>
      <c r="B167" s="13" t="e">
        <f>VLOOKUP(Table2[[#This Row],[Location 
(drop-down)]],'List source'!D$2:E$71,2,FALSE)</f>
        <v>#N/A</v>
      </c>
      <c r="C167" s="11" t="s">
        <v>207</v>
      </c>
      <c r="D167" s="183" t="e">
        <f t="shared" si="2"/>
        <v>#N/A</v>
      </c>
      <c r="E167" s="11"/>
      <c r="F167" s="11"/>
      <c r="G167" s="75"/>
      <c r="H167" s="13"/>
      <c r="I167" s="19"/>
      <c r="J167" s="142"/>
      <c r="K167" s="142"/>
      <c r="L167" s="61"/>
      <c r="M167" s="164"/>
      <c r="N167" s="142"/>
      <c r="O167" s="61"/>
      <c r="P167" s="235"/>
      <c r="Q1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7" s="245"/>
      <c r="S167" s="90"/>
    </row>
    <row r="168" spans="1:19" s="4" customFormat="1" ht="30" hidden="1" customHeight="1">
      <c r="A168" s="9"/>
      <c r="B168" s="13" t="e">
        <f>VLOOKUP(Table2[[#This Row],[Location 
(drop-down)]],'List source'!D$2:E$71,2,FALSE)</f>
        <v>#N/A</v>
      </c>
      <c r="C168" s="11" t="s">
        <v>208</v>
      </c>
      <c r="D168" s="183" t="e">
        <f t="shared" si="2"/>
        <v>#N/A</v>
      </c>
      <c r="E168" s="11"/>
      <c r="F168" s="11"/>
      <c r="G168" s="75"/>
      <c r="H168" s="13"/>
      <c r="I168" s="19"/>
      <c r="J168" s="142"/>
      <c r="K168" s="142"/>
      <c r="L168" s="143"/>
      <c r="M168" s="343"/>
      <c r="N168" s="142"/>
      <c r="O168" s="61"/>
      <c r="P168" s="220"/>
      <c r="Q1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8" s="36"/>
      <c r="S168" s="90"/>
    </row>
    <row r="169" spans="1:19" s="4" customFormat="1" ht="30" hidden="1" customHeight="1">
      <c r="A169" s="9"/>
      <c r="B169" s="13" t="e">
        <f>VLOOKUP(Table2[[#This Row],[Location 
(drop-down)]],'List source'!D$2:E$71,2,FALSE)</f>
        <v>#N/A</v>
      </c>
      <c r="C169" s="11" t="s">
        <v>209</v>
      </c>
      <c r="D169" s="183" t="e">
        <f t="shared" si="2"/>
        <v>#N/A</v>
      </c>
      <c r="E169" s="11"/>
      <c r="F169" s="11"/>
      <c r="G169" s="9"/>
      <c r="H169" s="10"/>
      <c r="I169" s="19"/>
      <c r="J169" s="142"/>
      <c r="K169" s="142"/>
      <c r="L169" s="61"/>
      <c r="M169" s="164"/>
      <c r="N169" s="142"/>
      <c r="O169" s="61"/>
      <c r="P169" s="168"/>
      <c r="Q1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69" s="36"/>
      <c r="S169" s="90"/>
    </row>
    <row r="170" spans="1:19" s="4" customFormat="1" ht="30" hidden="1" customHeight="1">
      <c r="A170" s="9"/>
      <c r="B170" s="13" t="e">
        <f>VLOOKUP(Table2[[#This Row],[Location 
(drop-down)]],'List source'!D$2:E$71,2,FALSE)</f>
        <v>#N/A</v>
      </c>
      <c r="C170" s="11" t="s">
        <v>210</v>
      </c>
      <c r="D170" s="183" t="e">
        <f t="shared" si="2"/>
        <v>#N/A</v>
      </c>
      <c r="E170" s="11"/>
      <c r="F170" s="11"/>
      <c r="G170" s="145"/>
      <c r="H170" s="11"/>
      <c r="I170" s="19"/>
      <c r="J170" s="142"/>
      <c r="K170" s="142"/>
      <c r="L170" s="16"/>
      <c r="M170" s="166"/>
      <c r="N170" s="142"/>
      <c r="O170" s="61"/>
      <c r="P170" s="223"/>
      <c r="Q1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0" s="36"/>
      <c r="S170" s="90"/>
    </row>
    <row r="171" spans="1:19" s="4" customFormat="1" ht="30" hidden="1" customHeight="1">
      <c r="A171" s="9"/>
      <c r="B171" s="13" t="e">
        <f>VLOOKUP(Table2[[#This Row],[Location 
(drop-down)]],'List source'!D$2:E$71,2,FALSE)</f>
        <v>#N/A</v>
      </c>
      <c r="C171" s="11" t="s">
        <v>211</v>
      </c>
      <c r="D171" s="183" t="e">
        <f t="shared" si="2"/>
        <v>#N/A</v>
      </c>
      <c r="E171" s="11"/>
      <c r="F171" s="11"/>
      <c r="G171" s="67"/>
      <c r="H171" s="10"/>
      <c r="I171" s="19"/>
      <c r="J171" s="166"/>
      <c r="K171" s="166"/>
      <c r="L171" s="61"/>
      <c r="M171" s="164"/>
      <c r="N171" s="166"/>
      <c r="O171" s="61"/>
      <c r="P171" s="168"/>
      <c r="Q1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1" s="36"/>
      <c r="S171" s="90"/>
    </row>
    <row r="172" spans="1:19" s="4" customFormat="1" ht="30" hidden="1" customHeight="1">
      <c r="A172" s="9"/>
      <c r="B172" s="13" t="e">
        <f>VLOOKUP(Table2[[#This Row],[Location 
(drop-down)]],'List source'!D$2:E$71,2,FALSE)</f>
        <v>#N/A</v>
      </c>
      <c r="C172" s="11" t="s">
        <v>212</v>
      </c>
      <c r="D172" s="183" t="e">
        <f t="shared" si="2"/>
        <v>#N/A</v>
      </c>
      <c r="E172" s="11"/>
      <c r="F172" s="11"/>
      <c r="G172" s="9"/>
      <c r="H172" s="10"/>
      <c r="I172" s="19"/>
      <c r="J172" s="166"/>
      <c r="K172" s="166"/>
      <c r="L172" s="143"/>
      <c r="M172" s="343"/>
      <c r="N172" s="166"/>
      <c r="O172" s="61"/>
      <c r="P172" s="220"/>
      <c r="Q1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2" s="36"/>
      <c r="S172" s="90"/>
    </row>
    <row r="173" spans="1:19" s="4" customFormat="1" ht="30" hidden="1" customHeight="1">
      <c r="A173" s="9"/>
      <c r="B173" s="13" t="e">
        <f>VLOOKUP(Table2[[#This Row],[Location 
(drop-down)]],'List source'!D$2:E$71,2,FALSE)</f>
        <v>#N/A</v>
      </c>
      <c r="C173" s="11" t="s">
        <v>213</v>
      </c>
      <c r="D173" s="183" t="e">
        <f t="shared" si="2"/>
        <v>#N/A</v>
      </c>
      <c r="E173" s="11"/>
      <c r="F173" s="11"/>
      <c r="G173" s="9"/>
      <c r="H173" s="10"/>
      <c r="I173" s="19"/>
      <c r="J173" s="166"/>
      <c r="K173" s="166"/>
      <c r="L173" s="61"/>
      <c r="M173" s="164"/>
      <c r="N173" s="166"/>
      <c r="O173" s="61"/>
      <c r="P173" s="168"/>
      <c r="Q1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3" s="36"/>
      <c r="S173" s="90"/>
    </row>
    <row r="174" spans="1:19" s="4" customFormat="1" ht="30" hidden="1" customHeight="1">
      <c r="A174" s="9"/>
      <c r="B174" s="13" t="e">
        <f>VLOOKUP(Table2[[#This Row],[Location 
(drop-down)]],'List source'!D$2:E$71,2,FALSE)</f>
        <v>#N/A</v>
      </c>
      <c r="C174" s="11" t="s">
        <v>214</v>
      </c>
      <c r="D174" s="183" t="e">
        <f t="shared" si="2"/>
        <v>#N/A</v>
      </c>
      <c r="E174" s="11"/>
      <c r="F174" s="11"/>
      <c r="G174" s="9"/>
      <c r="H174" s="10"/>
      <c r="I174" s="19"/>
      <c r="J174" s="166"/>
      <c r="K174" s="166"/>
      <c r="L174" s="61"/>
      <c r="M174" s="164"/>
      <c r="N174" s="166"/>
      <c r="O174" s="61"/>
      <c r="P174" s="168"/>
      <c r="Q1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4" s="36"/>
      <c r="S174" s="90"/>
    </row>
    <row r="175" spans="1:19" s="4" customFormat="1" ht="30" hidden="1" customHeight="1">
      <c r="A175" s="9"/>
      <c r="B175" s="13" t="e">
        <f>VLOOKUP(Table2[[#This Row],[Location 
(drop-down)]],'List source'!D$2:E$71,2,FALSE)</f>
        <v>#N/A</v>
      </c>
      <c r="C175" s="11" t="s">
        <v>215</v>
      </c>
      <c r="D175" s="183" t="e">
        <f t="shared" si="2"/>
        <v>#N/A</v>
      </c>
      <c r="E175" s="11"/>
      <c r="F175" s="11"/>
      <c r="G175" s="9"/>
      <c r="H175" s="10"/>
      <c r="I175" s="19"/>
      <c r="J175" s="166"/>
      <c r="K175" s="166"/>
      <c r="L175" s="61"/>
      <c r="M175" s="164"/>
      <c r="N175" s="166"/>
      <c r="O175" s="61"/>
      <c r="P175" s="168"/>
      <c r="Q1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5" s="36"/>
      <c r="S175" s="90"/>
    </row>
    <row r="176" spans="1:19" s="4" customFormat="1" ht="30" hidden="1" customHeight="1">
      <c r="A176" s="9"/>
      <c r="B176" s="13" t="e">
        <f>VLOOKUP(Table2[[#This Row],[Location 
(drop-down)]],'List source'!D$2:E$71,2,FALSE)</f>
        <v>#N/A</v>
      </c>
      <c r="C176" s="11" t="s">
        <v>216</v>
      </c>
      <c r="D176" s="183" t="e">
        <f t="shared" si="2"/>
        <v>#N/A</v>
      </c>
      <c r="E176" s="11"/>
      <c r="F176" s="11"/>
      <c r="G176" s="9"/>
      <c r="H176" s="10"/>
      <c r="I176" s="19"/>
      <c r="J176" s="166"/>
      <c r="K176" s="166"/>
      <c r="L176" s="61"/>
      <c r="M176" s="164"/>
      <c r="N176" s="166"/>
      <c r="O176" s="61"/>
      <c r="P176" s="168"/>
      <c r="Q1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6" s="36"/>
      <c r="S176" s="90"/>
    </row>
    <row r="177" spans="1:19" s="4" customFormat="1" ht="30" hidden="1" customHeight="1">
      <c r="A177" s="9"/>
      <c r="B177" s="13" t="e">
        <f>VLOOKUP(Table2[[#This Row],[Location 
(drop-down)]],'List source'!D$2:E$71,2,FALSE)</f>
        <v>#N/A</v>
      </c>
      <c r="C177" s="11" t="s">
        <v>217</v>
      </c>
      <c r="D177" s="183" t="e">
        <f t="shared" si="2"/>
        <v>#N/A</v>
      </c>
      <c r="E177" s="11"/>
      <c r="F177" s="11"/>
      <c r="G177" s="9"/>
      <c r="H177" s="10"/>
      <c r="I177" s="19"/>
      <c r="J177" s="166"/>
      <c r="K177" s="166"/>
      <c r="L177" s="61"/>
      <c r="M177" s="164"/>
      <c r="N177" s="166"/>
      <c r="O177" s="61"/>
      <c r="P177" s="168"/>
      <c r="Q1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7" s="36"/>
      <c r="S177" s="90"/>
    </row>
    <row r="178" spans="1:19" s="4" customFormat="1" ht="30" hidden="1" customHeight="1">
      <c r="A178" s="9"/>
      <c r="B178" s="13" t="e">
        <f>VLOOKUP(Table2[[#This Row],[Location 
(drop-down)]],'List source'!D$2:E$71,2,FALSE)</f>
        <v>#N/A</v>
      </c>
      <c r="C178" s="11" t="s">
        <v>218</v>
      </c>
      <c r="D178" s="183" t="e">
        <f t="shared" si="2"/>
        <v>#N/A</v>
      </c>
      <c r="E178" s="11"/>
      <c r="F178" s="11"/>
      <c r="G178" s="9"/>
      <c r="H178" s="10"/>
      <c r="I178" s="19"/>
      <c r="J178" s="166"/>
      <c r="K178" s="166"/>
      <c r="L178" s="61"/>
      <c r="M178" s="164"/>
      <c r="N178" s="166"/>
      <c r="O178" s="61"/>
      <c r="P178" s="168"/>
      <c r="Q1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8" s="36"/>
      <c r="S178" s="90"/>
    </row>
    <row r="179" spans="1:19" s="4" customFormat="1" ht="30" hidden="1" customHeight="1">
      <c r="A179" s="9"/>
      <c r="B179" s="13" t="e">
        <f>VLOOKUP(Table2[[#This Row],[Location 
(drop-down)]],'List source'!D$2:E$71,2,FALSE)</f>
        <v>#N/A</v>
      </c>
      <c r="C179" s="11" t="s">
        <v>219</v>
      </c>
      <c r="D179" s="183" t="e">
        <f t="shared" si="2"/>
        <v>#N/A</v>
      </c>
      <c r="E179" s="11"/>
      <c r="F179" s="11"/>
      <c r="G179" s="9"/>
      <c r="H179" s="10"/>
      <c r="I179" s="19"/>
      <c r="J179" s="166"/>
      <c r="K179" s="166"/>
      <c r="L179" s="61"/>
      <c r="M179" s="164"/>
      <c r="N179" s="166"/>
      <c r="O179" s="61"/>
      <c r="P179" s="168"/>
      <c r="Q1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79" s="36"/>
      <c r="S179" s="90"/>
    </row>
    <row r="180" spans="1:19" s="4" customFormat="1" ht="30" hidden="1" customHeight="1">
      <c r="A180" s="9"/>
      <c r="B180" s="13" t="e">
        <f>VLOOKUP(Table2[[#This Row],[Location 
(drop-down)]],'List source'!D$2:E$71,2,FALSE)</f>
        <v>#N/A</v>
      </c>
      <c r="C180" s="11" t="s">
        <v>220</v>
      </c>
      <c r="D180" s="183" t="e">
        <f t="shared" si="2"/>
        <v>#N/A</v>
      </c>
      <c r="E180" s="11"/>
      <c r="F180" s="11"/>
      <c r="G180" s="9"/>
      <c r="H180" s="10"/>
      <c r="I180" s="19"/>
      <c r="J180" s="166"/>
      <c r="K180" s="166"/>
      <c r="L180" s="61"/>
      <c r="M180" s="164"/>
      <c r="N180" s="166"/>
      <c r="O180" s="61"/>
      <c r="P180" s="168"/>
      <c r="Q1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0" s="36"/>
      <c r="S180" s="90"/>
    </row>
    <row r="181" spans="1:19" s="4" customFormat="1" ht="30" hidden="1" customHeight="1">
      <c r="A181" s="9"/>
      <c r="B181" s="13" t="e">
        <f>VLOOKUP(Table2[[#This Row],[Location 
(drop-down)]],'List source'!D$2:E$71,2,FALSE)</f>
        <v>#N/A</v>
      </c>
      <c r="C181" s="11" t="s">
        <v>221</v>
      </c>
      <c r="D181" s="183" t="e">
        <f t="shared" si="2"/>
        <v>#N/A</v>
      </c>
      <c r="E181" s="11"/>
      <c r="F181" s="11"/>
      <c r="G181" s="9"/>
      <c r="H181" s="10"/>
      <c r="I181" s="19"/>
      <c r="J181" s="166"/>
      <c r="K181" s="166"/>
      <c r="L181" s="61"/>
      <c r="M181" s="164"/>
      <c r="N181" s="166"/>
      <c r="O181" s="61"/>
      <c r="P181" s="168"/>
      <c r="Q1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1" s="36"/>
      <c r="S181" s="90"/>
    </row>
    <row r="182" spans="1:19" s="4" customFormat="1" ht="30" hidden="1" customHeight="1">
      <c r="A182" s="9"/>
      <c r="B182" s="13" t="e">
        <f>VLOOKUP(Table2[[#This Row],[Location 
(drop-down)]],'List source'!D$2:E$71,2,FALSE)</f>
        <v>#N/A</v>
      </c>
      <c r="C182" s="11" t="s">
        <v>222</v>
      </c>
      <c r="D182" s="183" t="e">
        <f t="shared" si="2"/>
        <v>#N/A</v>
      </c>
      <c r="E182" s="11"/>
      <c r="F182" s="11"/>
      <c r="G182" s="9"/>
      <c r="H182" s="10"/>
      <c r="I182" s="19"/>
      <c r="J182" s="166"/>
      <c r="K182" s="166"/>
      <c r="L182" s="61"/>
      <c r="M182" s="164"/>
      <c r="N182" s="166"/>
      <c r="O182" s="61"/>
      <c r="P182" s="168"/>
      <c r="Q1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2" s="36"/>
      <c r="S182" s="90"/>
    </row>
    <row r="183" spans="1:19" s="4" customFormat="1" ht="30" hidden="1" customHeight="1">
      <c r="A183" s="9"/>
      <c r="B183" s="13" t="e">
        <f>VLOOKUP(Table2[[#This Row],[Location 
(drop-down)]],'List source'!D$2:E$71,2,FALSE)</f>
        <v>#N/A</v>
      </c>
      <c r="C183" s="11" t="s">
        <v>223</v>
      </c>
      <c r="D183" s="183" t="e">
        <f t="shared" si="2"/>
        <v>#N/A</v>
      </c>
      <c r="E183" s="11"/>
      <c r="F183" s="11"/>
      <c r="G183" s="9"/>
      <c r="H183" s="10"/>
      <c r="I183" s="19"/>
      <c r="J183" s="166"/>
      <c r="K183" s="166"/>
      <c r="L183" s="61"/>
      <c r="M183" s="164"/>
      <c r="N183" s="166"/>
      <c r="O183" s="61"/>
      <c r="P183" s="168"/>
      <c r="Q1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3" s="36"/>
      <c r="S183" s="90"/>
    </row>
    <row r="184" spans="1:19" s="4" customFormat="1" ht="30" hidden="1" customHeight="1">
      <c r="A184" s="9"/>
      <c r="B184" s="13" t="e">
        <f>VLOOKUP(Table2[[#This Row],[Location 
(drop-down)]],'List source'!D$2:E$71,2,FALSE)</f>
        <v>#N/A</v>
      </c>
      <c r="C184" s="11" t="s">
        <v>224</v>
      </c>
      <c r="D184" s="183" t="e">
        <f t="shared" si="2"/>
        <v>#N/A</v>
      </c>
      <c r="E184" s="11"/>
      <c r="F184" s="11"/>
      <c r="G184" s="9"/>
      <c r="H184" s="10"/>
      <c r="I184" s="19"/>
      <c r="J184" s="166"/>
      <c r="K184" s="166"/>
      <c r="L184" s="61"/>
      <c r="M184" s="164"/>
      <c r="N184" s="166"/>
      <c r="O184" s="61"/>
      <c r="P184" s="168"/>
      <c r="Q1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4" s="36"/>
      <c r="S184" s="90"/>
    </row>
    <row r="185" spans="1:19" s="4" customFormat="1" ht="30" hidden="1" customHeight="1">
      <c r="A185" s="9"/>
      <c r="B185" s="13" t="e">
        <f>VLOOKUP(Table2[[#This Row],[Location 
(drop-down)]],'List source'!D$2:E$71,2,FALSE)</f>
        <v>#N/A</v>
      </c>
      <c r="C185" s="11" t="s">
        <v>225</v>
      </c>
      <c r="D185" s="183" t="e">
        <f t="shared" si="2"/>
        <v>#N/A</v>
      </c>
      <c r="E185" s="11"/>
      <c r="F185" s="11"/>
      <c r="G185" s="9"/>
      <c r="H185" s="10"/>
      <c r="I185" s="19"/>
      <c r="J185" s="166"/>
      <c r="K185" s="166"/>
      <c r="L185" s="61"/>
      <c r="M185" s="164"/>
      <c r="N185" s="166"/>
      <c r="O185" s="61"/>
      <c r="P185" s="168"/>
      <c r="Q1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5" s="36"/>
      <c r="S185" s="90"/>
    </row>
    <row r="186" spans="1:19" s="4" customFormat="1" ht="30" hidden="1" customHeight="1">
      <c r="A186" s="9"/>
      <c r="B186" s="13" t="e">
        <f>VLOOKUP(Table2[[#This Row],[Location 
(drop-down)]],'List source'!D$2:E$71,2,FALSE)</f>
        <v>#N/A</v>
      </c>
      <c r="C186" s="11" t="s">
        <v>226</v>
      </c>
      <c r="D186" s="183" t="e">
        <f t="shared" si="2"/>
        <v>#N/A</v>
      </c>
      <c r="E186" s="11"/>
      <c r="F186" s="11"/>
      <c r="G186" s="9"/>
      <c r="H186" s="10"/>
      <c r="I186" s="19"/>
      <c r="J186" s="166"/>
      <c r="K186" s="166"/>
      <c r="L186" s="61"/>
      <c r="M186" s="164"/>
      <c r="N186" s="166"/>
      <c r="O186" s="61"/>
      <c r="P186" s="168"/>
      <c r="Q1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6" s="36"/>
      <c r="S186" s="90"/>
    </row>
    <row r="187" spans="1:19" s="4" customFormat="1" ht="30" hidden="1" customHeight="1">
      <c r="A187" s="9"/>
      <c r="B187" s="13" t="e">
        <f>VLOOKUP(Table2[[#This Row],[Location 
(drop-down)]],'List source'!D$2:E$71,2,FALSE)</f>
        <v>#N/A</v>
      </c>
      <c r="C187" s="11" t="s">
        <v>227</v>
      </c>
      <c r="D187" s="183" t="e">
        <f t="shared" si="2"/>
        <v>#N/A</v>
      </c>
      <c r="E187" s="11"/>
      <c r="F187" s="11"/>
      <c r="G187" s="9"/>
      <c r="H187" s="10"/>
      <c r="I187" s="19"/>
      <c r="J187" s="166"/>
      <c r="K187" s="166"/>
      <c r="L187" s="61"/>
      <c r="M187" s="164"/>
      <c r="N187" s="166"/>
      <c r="O187" s="61"/>
      <c r="P187" s="168"/>
      <c r="Q1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7" s="36"/>
      <c r="S187" s="90"/>
    </row>
    <row r="188" spans="1:19" s="4" customFormat="1" ht="30" hidden="1" customHeight="1">
      <c r="A188" s="9"/>
      <c r="B188" s="13" t="e">
        <f>VLOOKUP(Table2[[#This Row],[Location 
(drop-down)]],'List source'!D$2:E$71,2,FALSE)</f>
        <v>#N/A</v>
      </c>
      <c r="C188" s="11" t="s">
        <v>228</v>
      </c>
      <c r="D188" s="183" t="e">
        <f t="shared" si="2"/>
        <v>#N/A</v>
      </c>
      <c r="E188" s="11"/>
      <c r="F188" s="11"/>
      <c r="G188" s="9"/>
      <c r="H188" s="10"/>
      <c r="I188" s="19"/>
      <c r="J188" s="166"/>
      <c r="K188" s="166"/>
      <c r="L188" s="61"/>
      <c r="M188" s="164"/>
      <c r="N188" s="166"/>
      <c r="O188" s="61"/>
      <c r="P188" s="168"/>
      <c r="Q1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8" s="36"/>
      <c r="S188" s="90"/>
    </row>
    <row r="189" spans="1:19" s="4" customFormat="1" ht="30" hidden="1" customHeight="1">
      <c r="A189" s="9"/>
      <c r="B189" s="13" t="e">
        <f>VLOOKUP(Table2[[#This Row],[Location 
(drop-down)]],'List source'!D$2:E$71,2,FALSE)</f>
        <v>#N/A</v>
      </c>
      <c r="C189" s="11" t="s">
        <v>229</v>
      </c>
      <c r="D189" s="183" t="e">
        <f t="shared" si="2"/>
        <v>#N/A</v>
      </c>
      <c r="E189" s="11"/>
      <c r="F189" s="11"/>
      <c r="G189" s="9"/>
      <c r="H189" s="10"/>
      <c r="I189" s="19"/>
      <c r="J189" s="166"/>
      <c r="K189" s="166"/>
      <c r="L189" s="61"/>
      <c r="M189" s="164"/>
      <c r="N189" s="166"/>
      <c r="O189" s="61"/>
      <c r="P189" s="168"/>
      <c r="Q1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89" s="36"/>
      <c r="S189" s="90"/>
    </row>
    <row r="190" spans="1:19" s="4" customFormat="1" ht="30" hidden="1" customHeight="1">
      <c r="A190" s="9"/>
      <c r="B190" s="13" t="e">
        <f>VLOOKUP(Table2[[#This Row],[Location 
(drop-down)]],'List source'!D$2:E$71,2,FALSE)</f>
        <v>#N/A</v>
      </c>
      <c r="C190" s="11" t="s">
        <v>230</v>
      </c>
      <c r="D190" s="183" t="e">
        <f t="shared" si="2"/>
        <v>#N/A</v>
      </c>
      <c r="E190" s="11"/>
      <c r="F190" s="11"/>
      <c r="G190" s="9"/>
      <c r="H190" s="10"/>
      <c r="I190" s="19"/>
      <c r="J190" s="166"/>
      <c r="K190" s="166"/>
      <c r="L190" s="61"/>
      <c r="M190" s="164"/>
      <c r="N190" s="166"/>
      <c r="O190" s="61"/>
      <c r="P190" s="168"/>
      <c r="Q1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0" s="36"/>
      <c r="S190" s="90"/>
    </row>
    <row r="191" spans="1:19" s="4" customFormat="1" ht="30" hidden="1" customHeight="1">
      <c r="A191" s="9"/>
      <c r="B191" s="13" t="e">
        <f>VLOOKUP(Table2[[#This Row],[Location 
(drop-down)]],'List source'!D$2:E$71,2,FALSE)</f>
        <v>#N/A</v>
      </c>
      <c r="C191" s="11" t="s">
        <v>231</v>
      </c>
      <c r="D191" s="183" t="e">
        <f t="shared" si="2"/>
        <v>#N/A</v>
      </c>
      <c r="E191" s="11"/>
      <c r="F191" s="11"/>
      <c r="G191" s="9"/>
      <c r="H191" s="10"/>
      <c r="I191" s="19"/>
      <c r="J191" s="166"/>
      <c r="K191" s="166"/>
      <c r="L191" s="61"/>
      <c r="M191" s="164"/>
      <c r="N191" s="166"/>
      <c r="O191" s="61"/>
      <c r="P191" s="168"/>
      <c r="Q1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1" s="36"/>
      <c r="S191" s="90"/>
    </row>
    <row r="192" spans="1:19" s="4" customFormat="1" ht="30" hidden="1" customHeight="1">
      <c r="A192" s="9"/>
      <c r="B192" s="13" t="e">
        <f>VLOOKUP(Table2[[#This Row],[Location 
(drop-down)]],'List source'!D$2:E$71,2,FALSE)</f>
        <v>#N/A</v>
      </c>
      <c r="C192" s="11" t="s">
        <v>232</v>
      </c>
      <c r="D192" s="183" t="e">
        <f t="shared" si="2"/>
        <v>#N/A</v>
      </c>
      <c r="E192" s="11"/>
      <c r="F192" s="11"/>
      <c r="G192" s="9"/>
      <c r="H192" s="10"/>
      <c r="I192" s="19"/>
      <c r="J192" s="166"/>
      <c r="K192" s="166"/>
      <c r="L192" s="61"/>
      <c r="M192" s="164"/>
      <c r="N192" s="166"/>
      <c r="O192" s="61"/>
      <c r="P192" s="168"/>
      <c r="Q1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2" s="36"/>
      <c r="S192" s="90"/>
    </row>
    <row r="193" spans="1:19" s="4" customFormat="1" ht="30" hidden="1" customHeight="1">
      <c r="A193" s="9"/>
      <c r="B193" s="13" t="e">
        <f>VLOOKUP(Table2[[#This Row],[Location 
(drop-down)]],'List source'!D$2:E$71,2,FALSE)</f>
        <v>#N/A</v>
      </c>
      <c r="C193" s="11" t="s">
        <v>233</v>
      </c>
      <c r="D193" s="183" t="e">
        <f t="shared" si="2"/>
        <v>#N/A</v>
      </c>
      <c r="E193" s="11"/>
      <c r="F193" s="11"/>
      <c r="G193" s="9"/>
      <c r="H193" s="10"/>
      <c r="I193" s="19"/>
      <c r="J193" s="166"/>
      <c r="K193" s="166"/>
      <c r="L193" s="61"/>
      <c r="M193" s="164"/>
      <c r="N193" s="166"/>
      <c r="O193" s="61"/>
      <c r="P193" s="168"/>
      <c r="Q1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3" s="36"/>
      <c r="S193" s="90"/>
    </row>
    <row r="194" spans="1:19" s="4" customFormat="1" ht="30" hidden="1" customHeight="1">
      <c r="A194" s="9"/>
      <c r="B194" s="13" t="e">
        <f>VLOOKUP(Table2[[#This Row],[Location 
(drop-down)]],'List source'!D$2:E$71,2,FALSE)</f>
        <v>#N/A</v>
      </c>
      <c r="C194" s="11" t="s">
        <v>234</v>
      </c>
      <c r="D194" s="183" t="e">
        <f t="shared" ref="D194:D257" si="3">"C" &amp; C194 &amp;"-" &amp; B194 &amp; "-" &amp; "26"</f>
        <v>#N/A</v>
      </c>
      <c r="E194" s="11"/>
      <c r="F194" s="11"/>
      <c r="G194" s="9"/>
      <c r="H194" s="10"/>
      <c r="I194" s="19"/>
      <c r="J194" s="166"/>
      <c r="K194" s="166"/>
      <c r="L194" s="61"/>
      <c r="M194" s="164"/>
      <c r="N194" s="166"/>
      <c r="O194" s="61"/>
      <c r="P194" s="168"/>
      <c r="Q1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4" s="36"/>
      <c r="S194" s="90"/>
    </row>
    <row r="195" spans="1:19" s="4" customFormat="1" ht="30" hidden="1" customHeight="1">
      <c r="A195" s="9"/>
      <c r="B195" s="13" t="e">
        <f>VLOOKUP(Table2[[#This Row],[Location 
(drop-down)]],'List source'!D$2:E$71,2,FALSE)</f>
        <v>#N/A</v>
      </c>
      <c r="C195" s="11" t="s">
        <v>235</v>
      </c>
      <c r="D195" s="183" t="e">
        <f t="shared" si="3"/>
        <v>#N/A</v>
      </c>
      <c r="E195" s="11"/>
      <c r="F195" s="11"/>
      <c r="G195" s="9"/>
      <c r="H195" s="10"/>
      <c r="I195" s="19"/>
      <c r="J195" s="166"/>
      <c r="K195" s="166"/>
      <c r="L195" s="61"/>
      <c r="M195" s="164"/>
      <c r="N195" s="166"/>
      <c r="O195" s="61"/>
      <c r="P195" s="168"/>
      <c r="Q1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5" s="36"/>
      <c r="S195" s="90"/>
    </row>
    <row r="196" spans="1:19" s="4" customFormat="1" ht="30" hidden="1" customHeight="1">
      <c r="A196" s="9"/>
      <c r="B196" s="13" t="e">
        <f>VLOOKUP(Table2[[#This Row],[Location 
(drop-down)]],'List source'!D$2:E$71,2,FALSE)</f>
        <v>#N/A</v>
      </c>
      <c r="C196" s="11" t="s">
        <v>236</v>
      </c>
      <c r="D196" s="183" t="e">
        <f t="shared" si="3"/>
        <v>#N/A</v>
      </c>
      <c r="E196" s="11"/>
      <c r="F196" s="11"/>
      <c r="G196" s="9"/>
      <c r="H196" s="10"/>
      <c r="I196" s="19"/>
      <c r="J196" s="166"/>
      <c r="K196" s="166"/>
      <c r="L196" s="61"/>
      <c r="M196" s="164"/>
      <c r="N196" s="166"/>
      <c r="O196" s="61"/>
      <c r="P196" s="168"/>
      <c r="Q1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6" s="36"/>
      <c r="S196" s="90"/>
    </row>
    <row r="197" spans="1:19" s="4" customFormat="1" ht="30" hidden="1" customHeight="1">
      <c r="A197" s="9"/>
      <c r="B197" s="13" t="e">
        <f>VLOOKUP(Table2[[#This Row],[Location 
(drop-down)]],'List source'!D$2:E$71,2,FALSE)</f>
        <v>#N/A</v>
      </c>
      <c r="C197" s="11" t="s">
        <v>237</v>
      </c>
      <c r="D197" s="183" t="e">
        <f t="shared" si="3"/>
        <v>#N/A</v>
      </c>
      <c r="E197" s="11"/>
      <c r="F197" s="11"/>
      <c r="G197" s="9"/>
      <c r="H197" s="10"/>
      <c r="I197" s="19"/>
      <c r="J197" s="166"/>
      <c r="K197" s="166"/>
      <c r="L197" s="61"/>
      <c r="M197" s="164"/>
      <c r="N197" s="166"/>
      <c r="O197" s="61"/>
      <c r="P197" s="168"/>
      <c r="Q1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7" s="36"/>
      <c r="S197" s="90"/>
    </row>
    <row r="198" spans="1:19" s="4" customFormat="1" ht="30" hidden="1" customHeight="1">
      <c r="A198" s="9"/>
      <c r="B198" s="13" t="e">
        <f>VLOOKUP(Table2[[#This Row],[Location 
(drop-down)]],'List source'!D$2:E$71,2,FALSE)</f>
        <v>#N/A</v>
      </c>
      <c r="C198" s="11" t="s">
        <v>238</v>
      </c>
      <c r="D198" s="183" t="e">
        <f t="shared" si="3"/>
        <v>#N/A</v>
      </c>
      <c r="E198" s="11"/>
      <c r="F198" s="11"/>
      <c r="G198" s="9"/>
      <c r="H198" s="10"/>
      <c r="I198" s="19"/>
      <c r="J198" s="166"/>
      <c r="K198" s="166"/>
      <c r="L198" s="61"/>
      <c r="M198" s="164"/>
      <c r="N198" s="166"/>
      <c r="O198" s="61"/>
      <c r="P198" s="168"/>
      <c r="Q1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8" s="36"/>
      <c r="S198" s="90"/>
    </row>
    <row r="199" spans="1:19" s="4" customFormat="1" ht="30" hidden="1" customHeight="1">
      <c r="A199" s="9"/>
      <c r="B199" s="13" t="e">
        <f>VLOOKUP(Table2[[#This Row],[Location 
(drop-down)]],'List source'!D$2:E$71,2,FALSE)</f>
        <v>#N/A</v>
      </c>
      <c r="C199" s="11" t="s">
        <v>239</v>
      </c>
      <c r="D199" s="183" t="e">
        <f t="shared" si="3"/>
        <v>#N/A</v>
      </c>
      <c r="E199" s="11"/>
      <c r="F199" s="11"/>
      <c r="G199" s="9"/>
      <c r="H199" s="10"/>
      <c r="I199" s="19"/>
      <c r="J199" s="166"/>
      <c r="K199" s="166"/>
      <c r="L199" s="61"/>
      <c r="M199" s="164"/>
      <c r="N199" s="166"/>
      <c r="O199" s="61"/>
      <c r="P199" s="168"/>
      <c r="Q1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99" s="36"/>
      <c r="S199" s="90"/>
    </row>
    <row r="200" spans="1:19" s="4" customFormat="1" ht="30" hidden="1" customHeight="1">
      <c r="A200" s="9"/>
      <c r="B200" s="13" t="e">
        <f>VLOOKUP(Table2[[#This Row],[Location 
(drop-down)]],'List source'!D$2:E$71,2,FALSE)</f>
        <v>#N/A</v>
      </c>
      <c r="C200" s="11" t="s">
        <v>240</v>
      </c>
      <c r="D200" s="183" t="e">
        <f t="shared" si="3"/>
        <v>#N/A</v>
      </c>
      <c r="E200" s="11"/>
      <c r="F200" s="11"/>
      <c r="G200" s="9"/>
      <c r="H200" s="10"/>
      <c r="I200" s="19"/>
      <c r="J200" s="166"/>
      <c r="K200" s="166"/>
      <c r="L200" s="61"/>
      <c r="M200" s="164"/>
      <c r="N200" s="166"/>
      <c r="O200" s="61"/>
      <c r="P200" s="168"/>
      <c r="Q2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0" s="36"/>
      <c r="S200" s="90"/>
    </row>
    <row r="201" spans="1:19" s="4" customFormat="1" ht="30" hidden="1" customHeight="1">
      <c r="A201" s="9"/>
      <c r="B201" s="13" t="e">
        <f>VLOOKUP(Table2[[#This Row],[Location 
(drop-down)]],'List source'!D$2:E$71,2,FALSE)</f>
        <v>#N/A</v>
      </c>
      <c r="C201" s="11" t="s">
        <v>241</v>
      </c>
      <c r="D201" s="183" t="e">
        <f t="shared" si="3"/>
        <v>#N/A</v>
      </c>
      <c r="E201" s="11"/>
      <c r="F201" s="11"/>
      <c r="G201" s="9"/>
      <c r="H201" s="10"/>
      <c r="I201" s="19"/>
      <c r="J201" s="166"/>
      <c r="K201" s="166"/>
      <c r="L201" s="61"/>
      <c r="M201" s="164"/>
      <c r="N201" s="166"/>
      <c r="O201" s="61"/>
      <c r="P201" s="168"/>
      <c r="Q2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1" s="36"/>
      <c r="S201" s="90"/>
    </row>
    <row r="202" spans="1:19" s="4" customFormat="1" ht="30" hidden="1" customHeight="1">
      <c r="A202" s="9"/>
      <c r="B202" s="13" t="e">
        <f>VLOOKUP(Table2[[#This Row],[Location 
(drop-down)]],'List source'!D$2:E$71,2,FALSE)</f>
        <v>#N/A</v>
      </c>
      <c r="C202" s="11" t="s">
        <v>319</v>
      </c>
      <c r="D202" s="183" t="e">
        <f t="shared" si="3"/>
        <v>#N/A</v>
      </c>
      <c r="E202" s="11"/>
      <c r="F202" s="11"/>
      <c r="G202" s="9"/>
      <c r="H202" s="10"/>
      <c r="I202" s="19"/>
      <c r="J202" s="166"/>
      <c r="K202" s="166"/>
      <c r="L202" s="61"/>
      <c r="M202" s="164"/>
      <c r="N202" s="166"/>
      <c r="O202" s="61"/>
      <c r="P202" s="168"/>
      <c r="Q2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2" s="36"/>
      <c r="S202" s="90"/>
    </row>
    <row r="203" spans="1:19" s="4" customFormat="1" ht="30" hidden="1" customHeight="1">
      <c r="A203" s="9"/>
      <c r="B203" s="13" t="e">
        <f>VLOOKUP(Table2[[#This Row],[Location 
(drop-down)]],'List source'!D$2:E$71,2,FALSE)</f>
        <v>#N/A</v>
      </c>
      <c r="C203" s="11" t="s">
        <v>320</v>
      </c>
      <c r="D203" s="183" t="e">
        <f t="shared" si="3"/>
        <v>#N/A</v>
      </c>
      <c r="E203" s="11"/>
      <c r="F203" s="11"/>
      <c r="G203" s="9"/>
      <c r="H203" s="10"/>
      <c r="I203" s="19"/>
      <c r="J203" s="166"/>
      <c r="K203" s="166"/>
      <c r="L203" s="61"/>
      <c r="M203" s="164"/>
      <c r="N203" s="166"/>
      <c r="O203" s="61"/>
      <c r="P203" s="168"/>
      <c r="Q2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3" s="36"/>
      <c r="S203" s="90"/>
    </row>
    <row r="204" spans="1:19" s="4" customFormat="1" ht="30" hidden="1" customHeight="1">
      <c r="A204" s="9"/>
      <c r="B204" s="13" t="e">
        <f>VLOOKUP(Table2[[#This Row],[Location 
(drop-down)]],'List source'!D$2:E$71,2,FALSE)</f>
        <v>#N/A</v>
      </c>
      <c r="C204" s="11" t="s">
        <v>321</v>
      </c>
      <c r="D204" s="183" t="e">
        <f t="shared" si="3"/>
        <v>#N/A</v>
      </c>
      <c r="E204" s="11"/>
      <c r="F204" s="11"/>
      <c r="G204" s="9"/>
      <c r="H204" s="10"/>
      <c r="I204" s="19"/>
      <c r="J204" s="166"/>
      <c r="K204" s="166"/>
      <c r="L204" s="61"/>
      <c r="M204" s="164"/>
      <c r="N204" s="166"/>
      <c r="O204" s="61"/>
      <c r="P204" s="168"/>
      <c r="Q2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4" s="36"/>
      <c r="S204" s="90"/>
    </row>
    <row r="205" spans="1:19" s="4" customFormat="1" ht="30" hidden="1" customHeight="1">
      <c r="A205" s="9"/>
      <c r="B205" s="13" t="e">
        <f>VLOOKUP(Table2[[#This Row],[Location 
(drop-down)]],'List source'!D$2:E$71,2,FALSE)</f>
        <v>#N/A</v>
      </c>
      <c r="C205" s="11" t="s">
        <v>322</v>
      </c>
      <c r="D205" s="183" t="e">
        <f t="shared" si="3"/>
        <v>#N/A</v>
      </c>
      <c r="E205" s="11"/>
      <c r="F205" s="11"/>
      <c r="G205" s="9"/>
      <c r="H205" s="10"/>
      <c r="I205" s="19"/>
      <c r="J205" s="166"/>
      <c r="K205" s="166"/>
      <c r="L205" s="61"/>
      <c r="M205" s="164"/>
      <c r="N205" s="166"/>
      <c r="O205" s="61"/>
      <c r="P205" s="168"/>
      <c r="Q2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5" s="36"/>
      <c r="S205" s="90"/>
    </row>
    <row r="206" spans="1:19" s="4" customFormat="1" ht="30" hidden="1" customHeight="1">
      <c r="A206" s="9"/>
      <c r="B206" s="13" t="e">
        <f>VLOOKUP(Table2[[#This Row],[Location 
(drop-down)]],'List source'!D$2:E$71,2,FALSE)</f>
        <v>#N/A</v>
      </c>
      <c r="C206" s="11" t="s">
        <v>323</v>
      </c>
      <c r="D206" s="183" t="e">
        <f t="shared" si="3"/>
        <v>#N/A</v>
      </c>
      <c r="E206" s="11"/>
      <c r="F206" s="11"/>
      <c r="G206" s="9"/>
      <c r="H206" s="10"/>
      <c r="I206" s="19"/>
      <c r="J206" s="166"/>
      <c r="K206" s="166"/>
      <c r="L206" s="61"/>
      <c r="M206" s="164"/>
      <c r="N206" s="166"/>
      <c r="O206" s="61"/>
      <c r="P206" s="168"/>
      <c r="Q2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6" s="36"/>
      <c r="S206" s="90"/>
    </row>
    <row r="207" spans="1:19" s="4" customFormat="1" ht="30" hidden="1" customHeight="1">
      <c r="A207" s="9"/>
      <c r="B207" s="13" t="e">
        <f>VLOOKUP(Table2[[#This Row],[Location 
(drop-down)]],'List source'!D$2:E$71,2,FALSE)</f>
        <v>#N/A</v>
      </c>
      <c r="C207" s="11" t="s">
        <v>324</v>
      </c>
      <c r="D207" s="183" t="e">
        <f t="shared" si="3"/>
        <v>#N/A</v>
      </c>
      <c r="E207" s="11"/>
      <c r="F207" s="11"/>
      <c r="G207" s="9"/>
      <c r="H207" s="10"/>
      <c r="I207" s="19"/>
      <c r="J207" s="166"/>
      <c r="K207" s="166"/>
      <c r="L207" s="61"/>
      <c r="M207" s="164"/>
      <c r="N207" s="166"/>
      <c r="O207" s="61"/>
      <c r="P207" s="168"/>
      <c r="Q2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7" s="36"/>
      <c r="S207" s="90"/>
    </row>
    <row r="208" spans="1:19" s="4" customFormat="1" ht="30" hidden="1" customHeight="1">
      <c r="A208" s="9"/>
      <c r="B208" s="13" t="e">
        <f>VLOOKUP(Table2[[#This Row],[Location 
(drop-down)]],'List source'!D$2:E$71,2,FALSE)</f>
        <v>#N/A</v>
      </c>
      <c r="C208" s="11" t="s">
        <v>325</v>
      </c>
      <c r="D208" s="183" t="e">
        <f t="shared" si="3"/>
        <v>#N/A</v>
      </c>
      <c r="E208" s="11"/>
      <c r="F208" s="11"/>
      <c r="G208" s="9"/>
      <c r="H208" s="10"/>
      <c r="I208" s="19"/>
      <c r="J208" s="166"/>
      <c r="K208" s="166"/>
      <c r="L208" s="61"/>
      <c r="M208" s="164"/>
      <c r="N208" s="166"/>
      <c r="O208" s="61"/>
      <c r="P208" s="168"/>
      <c r="Q2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8" s="36"/>
      <c r="S208" s="90"/>
    </row>
    <row r="209" spans="1:19" s="4" customFormat="1" ht="30" hidden="1" customHeight="1">
      <c r="A209" s="9"/>
      <c r="B209" s="13" t="e">
        <f>VLOOKUP(Table2[[#This Row],[Location 
(drop-down)]],'List source'!D$2:E$71,2,FALSE)</f>
        <v>#N/A</v>
      </c>
      <c r="C209" s="11" t="s">
        <v>326</v>
      </c>
      <c r="D209" s="183" t="e">
        <f t="shared" si="3"/>
        <v>#N/A</v>
      </c>
      <c r="E209" s="11"/>
      <c r="F209" s="11"/>
      <c r="G209" s="9"/>
      <c r="H209" s="10"/>
      <c r="I209" s="19"/>
      <c r="J209" s="166"/>
      <c r="K209" s="166"/>
      <c r="L209" s="61"/>
      <c r="M209" s="164"/>
      <c r="N209" s="166"/>
      <c r="O209" s="61"/>
      <c r="P209" s="168"/>
      <c r="Q2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09" s="36"/>
      <c r="S209" s="90"/>
    </row>
    <row r="210" spans="1:19" s="4" customFormat="1" ht="30" hidden="1" customHeight="1">
      <c r="A210" s="9"/>
      <c r="B210" s="13" t="e">
        <f>VLOOKUP(Table2[[#This Row],[Location 
(drop-down)]],'List source'!D$2:E$71,2,FALSE)</f>
        <v>#N/A</v>
      </c>
      <c r="C210" s="11" t="s">
        <v>327</v>
      </c>
      <c r="D210" s="183" t="e">
        <f t="shared" si="3"/>
        <v>#N/A</v>
      </c>
      <c r="E210" s="11"/>
      <c r="F210" s="11"/>
      <c r="G210" s="9"/>
      <c r="H210" s="10"/>
      <c r="I210" s="19"/>
      <c r="J210" s="166"/>
      <c r="K210" s="166"/>
      <c r="L210" s="61"/>
      <c r="M210" s="164"/>
      <c r="N210" s="166"/>
      <c r="O210" s="61"/>
      <c r="P210" s="168"/>
      <c r="Q2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0" s="36"/>
      <c r="S210" s="90"/>
    </row>
    <row r="211" spans="1:19" s="4" customFormat="1" ht="30" hidden="1" customHeight="1">
      <c r="A211" s="9"/>
      <c r="B211" s="13" t="e">
        <f>VLOOKUP(Table2[[#This Row],[Location 
(drop-down)]],'List source'!D$2:E$71,2,FALSE)</f>
        <v>#N/A</v>
      </c>
      <c r="C211" s="11" t="s">
        <v>328</v>
      </c>
      <c r="D211" s="183" t="e">
        <f t="shared" si="3"/>
        <v>#N/A</v>
      </c>
      <c r="E211" s="11"/>
      <c r="F211" s="11"/>
      <c r="G211" s="9"/>
      <c r="H211" s="10"/>
      <c r="I211" s="19"/>
      <c r="J211" s="166"/>
      <c r="K211" s="166"/>
      <c r="L211" s="61"/>
      <c r="M211" s="164"/>
      <c r="N211" s="166"/>
      <c r="O211" s="61"/>
      <c r="P211" s="168"/>
      <c r="Q2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1" s="36"/>
      <c r="S211" s="90"/>
    </row>
    <row r="212" spans="1:19" s="4" customFormat="1" ht="30" hidden="1" customHeight="1">
      <c r="A212" s="9"/>
      <c r="B212" s="13" t="e">
        <f>VLOOKUP(Table2[[#This Row],[Location 
(drop-down)]],'List source'!D$2:E$71,2,FALSE)</f>
        <v>#N/A</v>
      </c>
      <c r="C212" s="11" t="s">
        <v>329</v>
      </c>
      <c r="D212" s="183" t="e">
        <f t="shared" si="3"/>
        <v>#N/A</v>
      </c>
      <c r="E212" s="11"/>
      <c r="F212" s="11"/>
      <c r="G212" s="146"/>
      <c r="H212" s="10"/>
      <c r="I212" s="19"/>
      <c r="J212" s="166"/>
      <c r="K212" s="166"/>
      <c r="L212" s="61"/>
      <c r="M212" s="164"/>
      <c r="N212" s="166"/>
      <c r="O212" s="61"/>
      <c r="P212" s="168"/>
      <c r="Q2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2" s="36"/>
      <c r="S212" s="90"/>
    </row>
    <row r="213" spans="1:19" s="4" customFormat="1" ht="30" hidden="1" customHeight="1">
      <c r="A213" s="9"/>
      <c r="B213" s="13" t="e">
        <f>VLOOKUP(Table2[[#This Row],[Location 
(drop-down)]],'List source'!D$2:E$71,2,FALSE)</f>
        <v>#N/A</v>
      </c>
      <c r="C213" s="11" t="s">
        <v>330</v>
      </c>
      <c r="D213" s="183" t="e">
        <f t="shared" si="3"/>
        <v>#N/A</v>
      </c>
      <c r="E213" s="11"/>
      <c r="F213" s="11"/>
      <c r="G213" s="9"/>
      <c r="H213" s="10"/>
      <c r="I213" s="19"/>
      <c r="J213" s="166"/>
      <c r="K213" s="166"/>
      <c r="L213" s="61"/>
      <c r="M213" s="164"/>
      <c r="N213" s="166"/>
      <c r="O213" s="61"/>
      <c r="P213" s="168"/>
      <c r="Q2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3" s="36"/>
      <c r="S213" s="90"/>
    </row>
    <row r="214" spans="1:19" s="4" customFormat="1" ht="30" hidden="1" customHeight="1">
      <c r="A214" s="9"/>
      <c r="B214" s="13" t="e">
        <f>VLOOKUP(Table2[[#This Row],[Location 
(drop-down)]],'List source'!D$2:E$71,2,FALSE)</f>
        <v>#N/A</v>
      </c>
      <c r="C214" s="11" t="s">
        <v>331</v>
      </c>
      <c r="D214" s="183" t="e">
        <f t="shared" si="3"/>
        <v>#N/A</v>
      </c>
      <c r="E214" s="11"/>
      <c r="F214" s="11"/>
      <c r="G214" s="9"/>
      <c r="H214" s="10"/>
      <c r="I214" s="19"/>
      <c r="J214" s="166"/>
      <c r="K214" s="166"/>
      <c r="L214" s="61"/>
      <c r="M214" s="164"/>
      <c r="N214" s="166"/>
      <c r="O214" s="61"/>
      <c r="P214" s="168"/>
      <c r="Q2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4" s="36"/>
      <c r="S214" s="90"/>
    </row>
    <row r="215" spans="1:19" s="4" customFormat="1" ht="30" hidden="1" customHeight="1">
      <c r="A215" s="9"/>
      <c r="B215" s="13" t="e">
        <f>VLOOKUP(Table2[[#This Row],[Location 
(drop-down)]],'List source'!D$2:E$71,2,FALSE)</f>
        <v>#N/A</v>
      </c>
      <c r="C215" s="11" t="s">
        <v>332</v>
      </c>
      <c r="D215" s="183" t="e">
        <f t="shared" si="3"/>
        <v>#N/A</v>
      </c>
      <c r="E215" s="11"/>
      <c r="F215" s="11"/>
      <c r="G215" s="9"/>
      <c r="H215" s="10"/>
      <c r="I215" s="19"/>
      <c r="J215" s="166"/>
      <c r="K215" s="166"/>
      <c r="L215" s="61"/>
      <c r="M215" s="164"/>
      <c r="N215" s="166"/>
      <c r="O215" s="61"/>
      <c r="P215" s="168"/>
      <c r="Q2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5" s="36"/>
      <c r="S215" s="90"/>
    </row>
    <row r="216" spans="1:19" s="4" customFormat="1" ht="30" hidden="1" customHeight="1">
      <c r="A216" s="9"/>
      <c r="B216" s="13" t="e">
        <f>VLOOKUP(Table2[[#This Row],[Location 
(drop-down)]],'List source'!D$2:E$71,2,FALSE)</f>
        <v>#N/A</v>
      </c>
      <c r="C216" s="11" t="s">
        <v>333</v>
      </c>
      <c r="D216" s="183" t="e">
        <f t="shared" si="3"/>
        <v>#N/A</v>
      </c>
      <c r="E216" s="11"/>
      <c r="F216" s="11"/>
      <c r="G216" s="9"/>
      <c r="H216" s="10"/>
      <c r="I216" s="19"/>
      <c r="J216" s="166"/>
      <c r="K216" s="166"/>
      <c r="L216" s="61"/>
      <c r="M216" s="164"/>
      <c r="N216" s="166"/>
      <c r="O216" s="61"/>
      <c r="P216" s="168"/>
      <c r="Q2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6" s="36"/>
      <c r="S216" s="90"/>
    </row>
    <row r="217" spans="1:19" s="4" customFormat="1" ht="30" hidden="1" customHeight="1">
      <c r="A217" s="9"/>
      <c r="B217" s="13" t="e">
        <f>VLOOKUP(Table2[[#This Row],[Location 
(drop-down)]],'List source'!D$2:E$71,2,FALSE)</f>
        <v>#N/A</v>
      </c>
      <c r="C217" s="11" t="s">
        <v>334</v>
      </c>
      <c r="D217" s="183" t="e">
        <f t="shared" si="3"/>
        <v>#N/A</v>
      </c>
      <c r="E217" s="11"/>
      <c r="F217" s="11"/>
      <c r="G217" s="9"/>
      <c r="H217" s="10"/>
      <c r="I217" s="19"/>
      <c r="J217" s="166"/>
      <c r="K217" s="166"/>
      <c r="L217" s="61"/>
      <c r="M217" s="164"/>
      <c r="N217" s="166"/>
      <c r="O217" s="61"/>
      <c r="P217" s="168"/>
      <c r="Q2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7" s="36"/>
      <c r="S217" s="90"/>
    </row>
    <row r="218" spans="1:19" s="4" customFormat="1" ht="30" hidden="1" customHeight="1">
      <c r="A218" s="9"/>
      <c r="B218" s="13" t="e">
        <f>VLOOKUP(Table2[[#This Row],[Location 
(drop-down)]],'List source'!D$2:E$71,2,FALSE)</f>
        <v>#N/A</v>
      </c>
      <c r="C218" s="11" t="s">
        <v>335</v>
      </c>
      <c r="D218" s="183" t="e">
        <f t="shared" si="3"/>
        <v>#N/A</v>
      </c>
      <c r="E218" s="11"/>
      <c r="F218" s="11"/>
      <c r="G218" s="9"/>
      <c r="H218" s="10"/>
      <c r="I218" s="19"/>
      <c r="J218" s="166"/>
      <c r="K218" s="166"/>
      <c r="L218" s="61"/>
      <c r="M218" s="164"/>
      <c r="N218" s="166"/>
      <c r="O218" s="61"/>
      <c r="P218" s="168"/>
      <c r="Q2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8" s="36"/>
      <c r="S218" s="90"/>
    </row>
    <row r="219" spans="1:19" s="4" customFormat="1" ht="30" hidden="1" customHeight="1">
      <c r="A219" s="9"/>
      <c r="B219" s="13" t="e">
        <f>VLOOKUP(Table2[[#This Row],[Location 
(drop-down)]],'List source'!D$2:E$71,2,FALSE)</f>
        <v>#N/A</v>
      </c>
      <c r="C219" s="11" t="s">
        <v>336</v>
      </c>
      <c r="D219" s="183" t="e">
        <f t="shared" si="3"/>
        <v>#N/A</v>
      </c>
      <c r="E219" s="11"/>
      <c r="F219" s="11"/>
      <c r="G219" s="9"/>
      <c r="H219" s="10"/>
      <c r="I219" s="19"/>
      <c r="J219" s="166"/>
      <c r="K219" s="166"/>
      <c r="L219" s="61"/>
      <c r="M219" s="164"/>
      <c r="N219" s="166"/>
      <c r="O219" s="61"/>
      <c r="P219" s="168"/>
      <c r="Q2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19" s="36"/>
      <c r="S219" s="90"/>
    </row>
    <row r="220" spans="1:19" s="4" customFormat="1" ht="30" hidden="1" customHeight="1">
      <c r="A220" s="9"/>
      <c r="B220" s="13" t="e">
        <f>VLOOKUP(Table2[[#This Row],[Location 
(drop-down)]],'List source'!D$2:E$71,2,FALSE)</f>
        <v>#N/A</v>
      </c>
      <c r="C220" s="11" t="s">
        <v>337</v>
      </c>
      <c r="D220" s="183" t="e">
        <f t="shared" si="3"/>
        <v>#N/A</v>
      </c>
      <c r="E220" s="11"/>
      <c r="F220" s="11"/>
      <c r="G220" s="9"/>
      <c r="H220" s="10"/>
      <c r="I220" s="19"/>
      <c r="J220" s="166"/>
      <c r="K220" s="166"/>
      <c r="L220" s="61"/>
      <c r="M220" s="164"/>
      <c r="N220" s="166"/>
      <c r="O220" s="61"/>
      <c r="P220" s="168"/>
      <c r="Q2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0" s="36"/>
      <c r="S220" s="90"/>
    </row>
    <row r="221" spans="1:19" s="4" customFormat="1" ht="30" hidden="1" customHeight="1">
      <c r="A221" s="9"/>
      <c r="B221" s="13" t="e">
        <f>VLOOKUP(Table2[[#This Row],[Location 
(drop-down)]],'List source'!D$2:E$71,2,FALSE)</f>
        <v>#N/A</v>
      </c>
      <c r="C221" s="11" t="s">
        <v>338</v>
      </c>
      <c r="D221" s="183" t="e">
        <f t="shared" si="3"/>
        <v>#N/A</v>
      </c>
      <c r="E221" s="11"/>
      <c r="F221" s="11"/>
      <c r="G221" s="9"/>
      <c r="H221" s="10"/>
      <c r="I221" s="19"/>
      <c r="J221" s="166"/>
      <c r="K221" s="166"/>
      <c r="L221" s="61"/>
      <c r="M221" s="164"/>
      <c r="N221" s="166"/>
      <c r="O221" s="61"/>
      <c r="P221" s="168"/>
      <c r="Q2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1" s="36"/>
      <c r="S221" s="90"/>
    </row>
    <row r="222" spans="1:19" s="4" customFormat="1" ht="30" hidden="1" customHeight="1">
      <c r="A222" s="9"/>
      <c r="B222" s="13" t="e">
        <f>VLOOKUP(Table2[[#This Row],[Location 
(drop-down)]],'List source'!D$2:E$71,2,FALSE)</f>
        <v>#N/A</v>
      </c>
      <c r="C222" s="11" t="s">
        <v>339</v>
      </c>
      <c r="D222" s="183" t="e">
        <f t="shared" si="3"/>
        <v>#N/A</v>
      </c>
      <c r="E222" s="11"/>
      <c r="F222" s="11"/>
      <c r="G222" s="9"/>
      <c r="H222" s="10"/>
      <c r="I222" s="19"/>
      <c r="J222" s="166"/>
      <c r="K222" s="166"/>
      <c r="L222" s="61"/>
      <c r="M222" s="164"/>
      <c r="N222" s="166"/>
      <c r="O222" s="61"/>
      <c r="P222" s="168"/>
      <c r="Q2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2" s="36"/>
      <c r="S222" s="90"/>
    </row>
    <row r="223" spans="1:19" s="4" customFormat="1" ht="30" hidden="1" customHeight="1">
      <c r="A223" s="9"/>
      <c r="B223" s="13" t="e">
        <f>VLOOKUP(Table2[[#This Row],[Location 
(drop-down)]],'List source'!D$2:E$71,2,FALSE)</f>
        <v>#N/A</v>
      </c>
      <c r="C223" s="11" t="s">
        <v>340</v>
      </c>
      <c r="D223" s="183" t="e">
        <f t="shared" si="3"/>
        <v>#N/A</v>
      </c>
      <c r="E223" s="11"/>
      <c r="F223" s="11"/>
      <c r="G223" s="9"/>
      <c r="H223" s="10"/>
      <c r="I223" s="19"/>
      <c r="J223" s="166"/>
      <c r="K223" s="166"/>
      <c r="L223" s="61"/>
      <c r="M223" s="164"/>
      <c r="N223" s="166"/>
      <c r="O223" s="61"/>
      <c r="P223" s="168"/>
      <c r="Q2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3" s="36"/>
      <c r="S223" s="90"/>
    </row>
    <row r="224" spans="1:19" s="4" customFormat="1" ht="30" hidden="1" customHeight="1">
      <c r="A224" s="9"/>
      <c r="B224" s="13" t="e">
        <f>VLOOKUP(Table2[[#This Row],[Location 
(drop-down)]],'List source'!D$2:E$71,2,FALSE)</f>
        <v>#N/A</v>
      </c>
      <c r="C224" s="11" t="s">
        <v>341</v>
      </c>
      <c r="D224" s="183" t="e">
        <f t="shared" si="3"/>
        <v>#N/A</v>
      </c>
      <c r="E224" s="11"/>
      <c r="F224" s="18"/>
      <c r="G224" s="86"/>
      <c r="H224" s="10"/>
      <c r="I224" s="19"/>
      <c r="J224" s="166"/>
      <c r="K224" s="166"/>
      <c r="L224" s="61"/>
      <c r="M224" s="164"/>
      <c r="N224" s="166"/>
      <c r="O224" s="61"/>
      <c r="P224" s="168"/>
      <c r="Q2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4" s="36"/>
      <c r="S224" s="90"/>
    </row>
    <row r="225" spans="1:19" s="4" customFormat="1" ht="30" hidden="1" customHeight="1">
      <c r="A225" s="9"/>
      <c r="B225" s="13" t="e">
        <f>VLOOKUP(Table2[[#This Row],[Location 
(drop-down)]],'List source'!D$2:E$71,2,FALSE)</f>
        <v>#N/A</v>
      </c>
      <c r="C225" s="11" t="s">
        <v>342</v>
      </c>
      <c r="D225" s="183" t="e">
        <f t="shared" si="3"/>
        <v>#N/A</v>
      </c>
      <c r="E225" s="11"/>
      <c r="F225" s="11"/>
      <c r="G225" s="9"/>
      <c r="H225" s="10"/>
      <c r="I225" s="19"/>
      <c r="J225" s="166"/>
      <c r="K225" s="166"/>
      <c r="L225" s="61"/>
      <c r="M225" s="164"/>
      <c r="N225" s="166"/>
      <c r="O225" s="61"/>
      <c r="P225" s="168"/>
      <c r="Q2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5" s="36"/>
      <c r="S225" s="90"/>
    </row>
    <row r="226" spans="1:19" s="4" customFormat="1" ht="30" hidden="1" customHeight="1">
      <c r="A226" s="9"/>
      <c r="B226" s="13" t="e">
        <f>VLOOKUP(Table2[[#This Row],[Location 
(drop-down)]],'List source'!D$2:E$71,2,FALSE)</f>
        <v>#N/A</v>
      </c>
      <c r="C226" s="11" t="s">
        <v>343</v>
      </c>
      <c r="D226" s="183" t="e">
        <f t="shared" si="3"/>
        <v>#N/A</v>
      </c>
      <c r="E226" s="11"/>
      <c r="F226" s="11"/>
      <c r="G226" s="9"/>
      <c r="H226" s="10"/>
      <c r="I226" s="19"/>
      <c r="J226" s="166"/>
      <c r="K226" s="166"/>
      <c r="L226" s="61"/>
      <c r="M226" s="164"/>
      <c r="N226" s="166"/>
      <c r="O226" s="61"/>
      <c r="P226" s="168"/>
      <c r="Q2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6" s="36"/>
      <c r="S226" s="90"/>
    </row>
    <row r="227" spans="1:19" s="4" customFormat="1" ht="30" hidden="1" customHeight="1">
      <c r="A227" s="9"/>
      <c r="B227" s="13" t="e">
        <f>VLOOKUP(Table2[[#This Row],[Location 
(drop-down)]],'List source'!D$2:E$71,2,FALSE)</f>
        <v>#N/A</v>
      </c>
      <c r="C227" s="11" t="s">
        <v>344</v>
      </c>
      <c r="D227" s="183" t="e">
        <f t="shared" si="3"/>
        <v>#N/A</v>
      </c>
      <c r="E227" s="11"/>
      <c r="F227" s="11"/>
      <c r="G227" s="133"/>
      <c r="H227" s="10"/>
      <c r="I227" s="19"/>
      <c r="J227" s="166"/>
      <c r="K227" s="166"/>
      <c r="L227" s="61"/>
      <c r="M227" s="164"/>
      <c r="N227" s="166"/>
      <c r="O227" s="61"/>
      <c r="P227" s="168"/>
      <c r="Q2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7" s="36"/>
      <c r="S227" s="90"/>
    </row>
    <row r="228" spans="1:19" s="4" customFormat="1" ht="30" hidden="1" customHeight="1">
      <c r="A228" s="9"/>
      <c r="B228" s="13" t="e">
        <f>VLOOKUP(Table2[[#This Row],[Location 
(drop-down)]],'List source'!D$2:E$71,2,FALSE)</f>
        <v>#N/A</v>
      </c>
      <c r="C228" s="11" t="s">
        <v>345</v>
      </c>
      <c r="D228" s="183" t="e">
        <f t="shared" si="3"/>
        <v>#N/A</v>
      </c>
      <c r="E228" s="11"/>
      <c r="F228" s="11"/>
      <c r="G228" s="9"/>
      <c r="H228" s="10"/>
      <c r="I228" s="19"/>
      <c r="J228" s="166"/>
      <c r="K228" s="166"/>
      <c r="L228" s="61"/>
      <c r="M228" s="164"/>
      <c r="N228" s="166"/>
      <c r="O228" s="61"/>
      <c r="P228" s="168"/>
      <c r="Q2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8" s="36"/>
      <c r="S228" s="90"/>
    </row>
    <row r="229" spans="1:19" s="4" customFormat="1" ht="30" hidden="1" customHeight="1">
      <c r="A229" s="9"/>
      <c r="B229" s="13" t="e">
        <f>VLOOKUP(Table2[[#This Row],[Location 
(drop-down)]],'List source'!D$2:E$71,2,FALSE)</f>
        <v>#N/A</v>
      </c>
      <c r="C229" s="11" t="s">
        <v>346</v>
      </c>
      <c r="D229" s="183" t="e">
        <f t="shared" si="3"/>
        <v>#N/A</v>
      </c>
      <c r="E229" s="11"/>
      <c r="F229" s="11"/>
      <c r="G229" s="9"/>
      <c r="H229" s="10"/>
      <c r="I229" s="19"/>
      <c r="J229" s="166"/>
      <c r="K229" s="166"/>
      <c r="L229" s="61"/>
      <c r="M229" s="164"/>
      <c r="N229" s="166"/>
      <c r="O229" s="61"/>
      <c r="P229" s="168"/>
      <c r="Q2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29" s="36"/>
      <c r="S229" s="90"/>
    </row>
    <row r="230" spans="1:19" s="4" customFormat="1" ht="30" hidden="1" customHeight="1">
      <c r="A230" s="9"/>
      <c r="B230" s="13" t="e">
        <f>VLOOKUP(Table2[[#This Row],[Location 
(drop-down)]],'List source'!D$2:E$71,2,FALSE)</f>
        <v>#N/A</v>
      </c>
      <c r="C230" s="11" t="s">
        <v>347</v>
      </c>
      <c r="D230" s="183" t="e">
        <f t="shared" si="3"/>
        <v>#N/A</v>
      </c>
      <c r="E230" s="11"/>
      <c r="F230" s="11"/>
      <c r="G230" s="145"/>
      <c r="H230" s="10"/>
      <c r="I230" s="19"/>
      <c r="J230" s="166"/>
      <c r="K230" s="166"/>
      <c r="L230" s="61"/>
      <c r="M230" s="164"/>
      <c r="N230" s="166"/>
      <c r="O230" s="61"/>
      <c r="P230" s="168"/>
      <c r="Q2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0" s="36"/>
      <c r="S230" s="90"/>
    </row>
    <row r="231" spans="1:19" s="4" customFormat="1" ht="30" hidden="1" customHeight="1">
      <c r="A231" s="9"/>
      <c r="B231" s="13" t="e">
        <f>VLOOKUP(Table2[[#This Row],[Location 
(drop-down)]],'List source'!D$2:E$71,2,FALSE)</f>
        <v>#N/A</v>
      </c>
      <c r="C231" s="11" t="s">
        <v>348</v>
      </c>
      <c r="D231" s="183" t="e">
        <f t="shared" si="3"/>
        <v>#N/A</v>
      </c>
      <c r="E231" s="11"/>
      <c r="F231" s="11"/>
      <c r="G231" s="145"/>
      <c r="H231" s="10"/>
      <c r="I231" s="19"/>
      <c r="J231" s="166"/>
      <c r="K231" s="166"/>
      <c r="L231" s="61"/>
      <c r="M231" s="164"/>
      <c r="N231" s="166"/>
      <c r="O231" s="61"/>
      <c r="P231" s="168"/>
      <c r="Q2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1" s="36"/>
      <c r="S231" s="90"/>
    </row>
    <row r="232" spans="1:19" s="4" customFormat="1" ht="30" hidden="1" customHeight="1">
      <c r="A232" s="9"/>
      <c r="B232" s="13" t="e">
        <f>VLOOKUP(Table2[[#This Row],[Location 
(drop-down)]],'List source'!D$2:E$71,2,FALSE)</f>
        <v>#N/A</v>
      </c>
      <c r="C232" s="11" t="s">
        <v>349</v>
      </c>
      <c r="D232" s="183" t="e">
        <f t="shared" si="3"/>
        <v>#N/A</v>
      </c>
      <c r="E232" s="11"/>
      <c r="F232" s="11"/>
      <c r="G232" s="9"/>
      <c r="H232" s="10"/>
      <c r="I232" s="19"/>
      <c r="J232" s="166"/>
      <c r="K232" s="166"/>
      <c r="L232" s="64"/>
      <c r="M232" s="344"/>
      <c r="N232" s="166"/>
      <c r="O232" s="61"/>
      <c r="P232" s="211"/>
      <c r="Q2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2" s="36"/>
      <c r="S232" s="90"/>
    </row>
    <row r="233" spans="1:19" s="4" customFormat="1" ht="30" hidden="1" customHeight="1">
      <c r="A233" s="9"/>
      <c r="B233" s="13" t="e">
        <f>VLOOKUP(Table2[[#This Row],[Location 
(drop-down)]],'List source'!D$2:E$71,2,FALSE)</f>
        <v>#N/A</v>
      </c>
      <c r="C233" s="11" t="s">
        <v>350</v>
      </c>
      <c r="D233" s="183" t="e">
        <f t="shared" si="3"/>
        <v>#N/A</v>
      </c>
      <c r="E233" s="11"/>
      <c r="F233" s="11"/>
      <c r="G233" s="9"/>
      <c r="H233" s="10"/>
      <c r="I233" s="19"/>
      <c r="J233" s="166"/>
      <c r="K233" s="166"/>
      <c r="L233" s="61"/>
      <c r="M233" s="164"/>
      <c r="N233" s="166"/>
      <c r="O233" s="61"/>
      <c r="P233" s="168"/>
      <c r="Q2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3" s="36"/>
      <c r="S233" s="90"/>
    </row>
    <row r="234" spans="1:19" s="4" customFormat="1" ht="30" hidden="1" customHeight="1">
      <c r="A234" s="9"/>
      <c r="B234" s="13" t="e">
        <f>VLOOKUP(Table2[[#This Row],[Location 
(drop-down)]],'List source'!D$2:E$71,2,FALSE)</f>
        <v>#N/A</v>
      </c>
      <c r="C234" s="11" t="s">
        <v>351</v>
      </c>
      <c r="D234" s="183" t="e">
        <f t="shared" si="3"/>
        <v>#N/A</v>
      </c>
      <c r="E234" s="11"/>
      <c r="F234" s="11"/>
      <c r="G234" s="9"/>
      <c r="H234" s="10"/>
      <c r="I234" s="19"/>
      <c r="J234" s="166"/>
      <c r="K234" s="166"/>
      <c r="L234" s="61"/>
      <c r="M234" s="164"/>
      <c r="N234" s="166"/>
      <c r="O234" s="61"/>
      <c r="P234" s="211"/>
      <c r="Q2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4" s="36"/>
      <c r="S234" s="90"/>
    </row>
    <row r="235" spans="1:19" s="4" customFormat="1" ht="30" hidden="1" customHeight="1">
      <c r="A235" s="9"/>
      <c r="B235" s="13" t="e">
        <f>VLOOKUP(Table2[[#This Row],[Location 
(drop-down)]],'List source'!D$2:E$71,2,FALSE)</f>
        <v>#N/A</v>
      </c>
      <c r="C235" s="11" t="s">
        <v>352</v>
      </c>
      <c r="D235" s="183" t="e">
        <f t="shared" si="3"/>
        <v>#N/A</v>
      </c>
      <c r="E235" s="11"/>
      <c r="F235" s="11"/>
      <c r="G235" s="9"/>
      <c r="H235" s="10"/>
      <c r="I235" s="19"/>
      <c r="J235" s="166"/>
      <c r="K235" s="166"/>
      <c r="L235" s="61"/>
      <c r="M235" s="164"/>
      <c r="N235" s="166"/>
      <c r="O235" s="61"/>
      <c r="P235" s="211"/>
      <c r="Q2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5" s="36"/>
      <c r="S235" s="90"/>
    </row>
    <row r="236" spans="1:19" s="4" customFormat="1" ht="30" hidden="1" customHeight="1">
      <c r="A236" s="9"/>
      <c r="B236" s="13" t="e">
        <f>VLOOKUP(Table2[[#This Row],[Location 
(drop-down)]],'List source'!D$2:E$71,2,FALSE)</f>
        <v>#N/A</v>
      </c>
      <c r="C236" s="11" t="s">
        <v>353</v>
      </c>
      <c r="D236" s="183" t="e">
        <f t="shared" si="3"/>
        <v>#N/A</v>
      </c>
      <c r="E236" s="11"/>
      <c r="F236" s="11"/>
      <c r="G236" s="9"/>
      <c r="H236" s="10"/>
      <c r="I236" s="19"/>
      <c r="J236" s="166"/>
      <c r="K236" s="166"/>
      <c r="L236" s="61"/>
      <c r="M236" s="164"/>
      <c r="N236" s="166"/>
      <c r="O236" s="61"/>
      <c r="P236" s="168"/>
      <c r="Q2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6" s="36"/>
      <c r="S236" s="90"/>
    </row>
    <row r="237" spans="1:19" s="4" customFormat="1" ht="30" hidden="1" customHeight="1">
      <c r="A237" s="9"/>
      <c r="B237" s="13" t="e">
        <f>VLOOKUP(Table2[[#This Row],[Location 
(drop-down)]],'List source'!D$2:E$71,2,FALSE)</f>
        <v>#N/A</v>
      </c>
      <c r="C237" s="11" t="s">
        <v>354</v>
      </c>
      <c r="D237" s="183" t="e">
        <f t="shared" si="3"/>
        <v>#N/A</v>
      </c>
      <c r="E237" s="11"/>
      <c r="F237" s="11"/>
      <c r="G237" s="9"/>
      <c r="H237" s="10"/>
      <c r="I237" s="19"/>
      <c r="J237" s="166"/>
      <c r="K237" s="166"/>
      <c r="L237" s="61"/>
      <c r="M237" s="164"/>
      <c r="N237" s="166"/>
      <c r="O237" s="61"/>
      <c r="P237" s="168"/>
      <c r="Q2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7" s="36"/>
      <c r="S237" s="90"/>
    </row>
    <row r="238" spans="1:19" s="4" customFormat="1" ht="30" hidden="1" customHeight="1">
      <c r="A238" s="9"/>
      <c r="B238" s="13" t="e">
        <f>VLOOKUP(Table2[[#This Row],[Location 
(drop-down)]],'List source'!D$2:E$71,2,FALSE)</f>
        <v>#N/A</v>
      </c>
      <c r="C238" s="11" t="s">
        <v>355</v>
      </c>
      <c r="D238" s="183" t="e">
        <f t="shared" si="3"/>
        <v>#N/A</v>
      </c>
      <c r="E238" s="11"/>
      <c r="F238" s="11"/>
      <c r="G238" s="9"/>
      <c r="H238" s="10"/>
      <c r="I238" s="19"/>
      <c r="J238" s="166"/>
      <c r="K238" s="166"/>
      <c r="L238" s="61"/>
      <c r="M238" s="164"/>
      <c r="N238" s="166"/>
      <c r="O238" s="61"/>
      <c r="P238" s="168"/>
      <c r="Q2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8" s="36"/>
      <c r="S238" s="90"/>
    </row>
    <row r="239" spans="1:19" s="4" customFormat="1" ht="30" hidden="1" customHeight="1">
      <c r="A239" s="9"/>
      <c r="B239" s="13" t="e">
        <f>VLOOKUP(Table2[[#This Row],[Location 
(drop-down)]],'List source'!D$2:E$71,2,FALSE)</f>
        <v>#N/A</v>
      </c>
      <c r="C239" s="11" t="s">
        <v>356</v>
      </c>
      <c r="D239" s="183" t="e">
        <f t="shared" si="3"/>
        <v>#N/A</v>
      </c>
      <c r="E239" s="11"/>
      <c r="F239" s="11"/>
      <c r="G239" s="9"/>
      <c r="H239" s="10"/>
      <c r="I239" s="19"/>
      <c r="J239" s="166"/>
      <c r="K239" s="166"/>
      <c r="L239" s="61"/>
      <c r="M239" s="164"/>
      <c r="N239" s="166"/>
      <c r="O239" s="61"/>
      <c r="P239" s="168"/>
      <c r="Q2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39" s="36"/>
      <c r="S239" s="90"/>
    </row>
    <row r="240" spans="1:19" s="4" customFormat="1" ht="30" hidden="1" customHeight="1">
      <c r="A240" s="9"/>
      <c r="B240" s="13" t="e">
        <f>VLOOKUP(Table2[[#This Row],[Location 
(drop-down)]],'List source'!D$2:E$71,2,FALSE)</f>
        <v>#N/A</v>
      </c>
      <c r="C240" s="11" t="s">
        <v>357</v>
      </c>
      <c r="D240" s="183" t="e">
        <f t="shared" si="3"/>
        <v>#N/A</v>
      </c>
      <c r="E240" s="11"/>
      <c r="F240" s="11"/>
      <c r="G240" s="9"/>
      <c r="H240" s="10"/>
      <c r="I240" s="19"/>
      <c r="J240" s="166"/>
      <c r="K240" s="166"/>
      <c r="L240" s="61"/>
      <c r="M240" s="164"/>
      <c r="N240" s="166"/>
      <c r="O240" s="61"/>
      <c r="P240" s="168"/>
      <c r="Q2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0" s="36"/>
      <c r="S240" s="90"/>
    </row>
    <row r="241" spans="1:19" s="4" customFormat="1" ht="30" hidden="1" customHeight="1">
      <c r="A241" s="9"/>
      <c r="B241" s="13" t="e">
        <f>VLOOKUP(Table2[[#This Row],[Location 
(drop-down)]],'List source'!D$2:E$71,2,FALSE)</f>
        <v>#N/A</v>
      </c>
      <c r="C241" s="11" t="s">
        <v>358</v>
      </c>
      <c r="D241" s="183" t="e">
        <f t="shared" si="3"/>
        <v>#N/A</v>
      </c>
      <c r="E241" s="11"/>
      <c r="F241" s="11"/>
      <c r="G241" s="9"/>
      <c r="H241" s="10"/>
      <c r="I241" s="19"/>
      <c r="J241" s="166"/>
      <c r="K241" s="166"/>
      <c r="L241" s="61"/>
      <c r="M241" s="164"/>
      <c r="N241" s="166"/>
      <c r="O241" s="61"/>
      <c r="P241" s="168"/>
      <c r="Q2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1" s="36"/>
      <c r="S241" s="90"/>
    </row>
    <row r="242" spans="1:19" s="4" customFormat="1" ht="30" hidden="1" customHeight="1">
      <c r="A242" s="9"/>
      <c r="B242" s="13" t="e">
        <f>VLOOKUP(Table2[[#This Row],[Location 
(drop-down)]],'List source'!D$2:E$71,2,FALSE)</f>
        <v>#N/A</v>
      </c>
      <c r="C242" s="11" t="s">
        <v>359</v>
      </c>
      <c r="D242" s="183" t="e">
        <f t="shared" si="3"/>
        <v>#N/A</v>
      </c>
      <c r="E242" s="11"/>
      <c r="F242" s="11"/>
      <c r="G242" s="9"/>
      <c r="H242" s="131"/>
      <c r="I242" s="19"/>
      <c r="J242" s="166"/>
      <c r="K242" s="166"/>
      <c r="L242" s="143"/>
      <c r="M242" s="343"/>
      <c r="N242" s="166"/>
      <c r="O242" s="61"/>
      <c r="P242" s="220"/>
      <c r="Q2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2" s="172"/>
      <c r="S242" s="90"/>
    </row>
    <row r="243" spans="1:19" s="4" customFormat="1" ht="30" hidden="1" customHeight="1">
      <c r="A243" s="9"/>
      <c r="B243" s="13" t="e">
        <f>VLOOKUP(Table2[[#This Row],[Location 
(drop-down)]],'List source'!D$2:E$71,2,FALSE)</f>
        <v>#N/A</v>
      </c>
      <c r="C243" s="11" t="s">
        <v>360</v>
      </c>
      <c r="D243" s="183" t="e">
        <f t="shared" si="3"/>
        <v>#N/A</v>
      </c>
      <c r="E243" s="11"/>
      <c r="F243" s="11"/>
      <c r="G243" s="9"/>
      <c r="H243" s="170"/>
      <c r="I243" s="19"/>
      <c r="J243" s="166"/>
      <c r="K243" s="166"/>
      <c r="L243" s="143"/>
      <c r="M243" s="343"/>
      <c r="N243" s="166"/>
      <c r="O243" s="61"/>
      <c r="P243" s="220"/>
      <c r="Q2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3" s="172"/>
      <c r="S243" s="90"/>
    </row>
    <row r="244" spans="1:19" s="4" customFormat="1" ht="30" hidden="1" customHeight="1">
      <c r="A244" s="9"/>
      <c r="B244" s="13" t="e">
        <f>VLOOKUP(Table2[[#This Row],[Location 
(drop-down)]],'List source'!D$2:E$71,2,FALSE)</f>
        <v>#N/A</v>
      </c>
      <c r="C244" s="11" t="s">
        <v>361</v>
      </c>
      <c r="D244" s="183" t="e">
        <f t="shared" si="3"/>
        <v>#N/A</v>
      </c>
      <c r="E244" s="11"/>
      <c r="F244" s="11"/>
      <c r="G244" s="242"/>
      <c r="H244" s="10"/>
      <c r="I244" s="19"/>
      <c r="J244" s="166"/>
      <c r="K244" s="166"/>
      <c r="L244" s="137"/>
      <c r="M244" s="210"/>
      <c r="N244" s="166"/>
      <c r="O244" s="61"/>
      <c r="P244" s="221"/>
      <c r="Q2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4" s="172"/>
      <c r="S244" s="90"/>
    </row>
    <row r="245" spans="1:19" s="4" customFormat="1" ht="30" hidden="1" customHeight="1">
      <c r="A245" s="9"/>
      <c r="B245" s="13" t="e">
        <f>VLOOKUP(Table2[[#This Row],[Location 
(drop-down)]],'List source'!D$2:E$71,2,FALSE)</f>
        <v>#N/A</v>
      </c>
      <c r="C245" s="11" t="s">
        <v>362</v>
      </c>
      <c r="D245" s="183" t="e">
        <f t="shared" si="3"/>
        <v>#N/A</v>
      </c>
      <c r="E245" s="11"/>
      <c r="F245" s="11"/>
      <c r="G245" s="134"/>
      <c r="H245" s="10"/>
      <c r="I245" s="19"/>
      <c r="J245" s="166"/>
      <c r="K245" s="166"/>
      <c r="L245" s="137"/>
      <c r="M245" s="210"/>
      <c r="N245" s="166"/>
      <c r="O245" s="61"/>
      <c r="P245" s="221"/>
      <c r="Q2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5" s="172"/>
      <c r="S245" s="90"/>
    </row>
    <row r="246" spans="1:19" s="4" customFormat="1" ht="30" hidden="1" customHeight="1">
      <c r="A246" s="9"/>
      <c r="B246" s="13" t="e">
        <f>VLOOKUP(Table2[[#This Row],[Location 
(drop-down)]],'List source'!D$2:E$71,2,FALSE)</f>
        <v>#N/A</v>
      </c>
      <c r="C246" s="11" t="s">
        <v>363</v>
      </c>
      <c r="D246" s="183" t="e">
        <f t="shared" si="3"/>
        <v>#N/A</v>
      </c>
      <c r="E246" s="11"/>
      <c r="F246" s="11"/>
      <c r="G246" s="9"/>
      <c r="H246" s="10"/>
      <c r="I246" s="19"/>
      <c r="J246" s="166"/>
      <c r="K246" s="166"/>
      <c r="L246" s="61"/>
      <c r="M246" s="164"/>
      <c r="N246" s="166"/>
      <c r="O246" s="61"/>
      <c r="P246" s="168"/>
      <c r="Q2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6" s="36"/>
      <c r="S246" s="90"/>
    </row>
    <row r="247" spans="1:19" s="4" customFormat="1" ht="30" hidden="1" customHeight="1">
      <c r="A247" s="9"/>
      <c r="B247" s="13" t="e">
        <f>VLOOKUP(Table2[[#This Row],[Location 
(drop-down)]],'List source'!D$2:E$71,2,FALSE)</f>
        <v>#N/A</v>
      </c>
      <c r="C247" s="11" t="s">
        <v>364</v>
      </c>
      <c r="D247" s="183" t="e">
        <f t="shared" si="3"/>
        <v>#N/A</v>
      </c>
      <c r="E247" s="11"/>
      <c r="F247" s="11"/>
      <c r="G247" s="9"/>
      <c r="H247" s="10"/>
      <c r="I247" s="19"/>
      <c r="J247" s="166"/>
      <c r="K247" s="166"/>
      <c r="L247" s="61"/>
      <c r="M247" s="164"/>
      <c r="N247" s="166"/>
      <c r="O247" s="61"/>
      <c r="P247" s="168"/>
      <c r="Q2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7" s="36"/>
      <c r="S247" s="90"/>
    </row>
    <row r="248" spans="1:19" s="4" customFormat="1" ht="30" hidden="1" customHeight="1">
      <c r="A248" s="9"/>
      <c r="B248" s="13" t="e">
        <f>VLOOKUP(Table2[[#This Row],[Location 
(drop-down)]],'List source'!D$2:E$71,2,FALSE)</f>
        <v>#N/A</v>
      </c>
      <c r="C248" s="11" t="s">
        <v>365</v>
      </c>
      <c r="D248" s="183" t="e">
        <f t="shared" si="3"/>
        <v>#N/A</v>
      </c>
      <c r="E248" s="11"/>
      <c r="F248" s="11"/>
      <c r="G248" s="9"/>
      <c r="H248" s="10"/>
      <c r="I248" s="19"/>
      <c r="J248" s="166"/>
      <c r="K248" s="166"/>
      <c r="L248" s="61"/>
      <c r="M248" s="164"/>
      <c r="N248" s="166"/>
      <c r="O248" s="61"/>
      <c r="P248" s="168"/>
      <c r="Q2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8" s="36"/>
      <c r="S248" s="90"/>
    </row>
    <row r="249" spans="1:19" s="4" customFormat="1" ht="30" hidden="1" customHeight="1">
      <c r="A249" s="9"/>
      <c r="B249" s="13" t="e">
        <f>VLOOKUP(Table2[[#This Row],[Location 
(drop-down)]],'List source'!D$2:E$71,2,FALSE)</f>
        <v>#N/A</v>
      </c>
      <c r="C249" s="11" t="s">
        <v>366</v>
      </c>
      <c r="D249" s="183" t="e">
        <f t="shared" si="3"/>
        <v>#N/A</v>
      </c>
      <c r="E249" s="11"/>
      <c r="F249" s="11"/>
      <c r="G249" s="9"/>
      <c r="H249" s="10"/>
      <c r="I249" s="19"/>
      <c r="J249" s="166"/>
      <c r="K249" s="166"/>
      <c r="L249" s="61"/>
      <c r="M249" s="164"/>
      <c r="N249" s="166"/>
      <c r="O249" s="61"/>
      <c r="P249" s="168"/>
      <c r="Q2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49" s="36"/>
      <c r="S249" s="90"/>
    </row>
    <row r="250" spans="1:19" s="4" customFormat="1" ht="30" hidden="1" customHeight="1">
      <c r="A250" s="9"/>
      <c r="B250" s="13" t="e">
        <f>VLOOKUP(Table2[[#This Row],[Location 
(drop-down)]],'List source'!D$2:E$71,2,FALSE)</f>
        <v>#N/A</v>
      </c>
      <c r="C250" s="11" t="s">
        <v>367</v>
      </c>
      <c r="D250" s="183" t="e">
        <f t="shared" si="3"/>
        <v>#N/A</v>
      </c>
      <c r="E250" s="11"/>
      <c r="F250" s="11"/>
      <c r="G250" s="9"/>
      <c r="H250" s="10"/>
      <c r="I250" s="19"/>
      <c r="J250" s="166"/>
      <c r="K250" s="166"/>
      <c r="L250" s="61"/>
      <c r="M250" s="164"/>
      <c r="N250" s="166"/>
      <c r="O250" s="61"/>
      <c r="P250" s="168"/>
      <c r="Q2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0" s="36"/>
      <c r="S250" s="90"/>
    </row>
    <row r="251" spans="1:19" s="4" customFormat="1" ht="30" hidden="1" customHeight="1">
      <c r="A251" s="9"/>
      <c r="B251" s="13" t="e">
        <f>VLOOKUP(Table2[[#This Row],[Location 
(drop-down)]],'List source'!D$2:E$71,2,FALSE)</f>
        <v>#N/A</v>
      </c>
      <c r="C251" s="11" t="s">
        <v>368</v>
      </c>
      <c r="D251" s="183" t="e">
        <f t="shared" si="3"/>
        <v>#N/A</v>
      </c>
      <c r="E251" s="11"/>
      <c r="F251" s="11"/>
      <c r="G251" s="9"/>
      <c r="H251" s="10"/>
      <c r="I251" s="19"/>
      <c r="J251" s="166"/>
      <c r="K251" s="166"/>
      <c r="L251" s="61"/>
      <c r="M251" s="164"/>
      <c r="N251" s="166"/>
      <c r="O251" s="61"/>
      <c r="P251" s="168"/>
      <c r="Q2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1" s="36"/>
      <c r="S251" s="90"/>
    </row>
    <row r="252" spans="1:19" s="4" customFormat="1" ht="30" hidden="1" customHeight="1">
      <c r="A252" s="9"/>
      <c r="B252" s="13" t="e">
        <f>VLOOKUP(Table2[[#This Row],[Location 
(drop-down)]],'List source'!D$2:E$71,2,FALSE)</f>
        <v>#N/A</v>
      </c>
      <c r="C252" s="11" t="s">
        <v>369</v>
      </c>
      <c r="D252" s="183" t="e">
        <f t="shared" si="3"/>
        <v>#N/A</v>
      </c>
      <c r="E252" s="11"/>
      <c r="F252" s="11"/>
      <c r="G252" s="9"/>
      <c r="H252" s="10"/>
      <c r="I252" s="19"/>
      <c r="J252" s="166"/>
      <c r="K252" s="166"/>
      <c r="L252" s="61"/>
      <c r="M252" s="164"/>
      <c r="N252" s="166"/>
      <c r="O252" s="61"/>
      <c r="P252" s="168"/>
      <c r="Q2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2" s="36"/>
      <c r="S252" s="90"/>
    </row>
    <row r="253" spans="1:19" s="4" customFormat="1" ht="30" hidden="1" customHeight="1">
      <c r="A253" s="9"/>
      <c r="B253" s="13" t="e">
        <f>VLOOKUP(Table2[[#This Row],[Location 
(drop-down)]],'List source'!D$2:E$71,2,FALSE)</f>
        <v>#N/A</v>
      </c>
      <c r="C253" s="11" t="s">
        <v>370</v>
      </c>
      <c r="D253" s="183" t="e">
        <f t="shared" si="3"/>
        <v>#N/A</v>
      </c>
      <c r="E253" s="11"/>
      <c r="F253" s="11"/>
      <c r="G253" s="9"/>
      <c r="H253" s="10"/>
      <c r="I253" s="19"/>
      <c r="J253" s="166"/>
      <c r="K253" s="166"/>
      <c r="L253" s="61"/>
      <c r="M253" s="164"/>
      <c r="N253" s="166"/>
      <c r="O253" s="61"/>
      <c r="P253" s="168"/>
      <c r="Q2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3" s="36"/>
      <c r="S253" s="90"/>
    </row>
    <row r="254" spans="1:19" s="4" customFormat="1" ht="30" hidden="1" customHeight="1">
      <c r="A254" s="9"/>
      <c r="B254" s="13" t="e">
        <f>VLOOKUP(Table2[[#This Row],[Location 
(drop-down)]],'List source'!D$2:E$71,2,FALSE)</f>
        <v>#N/A</v>
      </c>
      <c r="C254" s="11" t="s">
        <v>371</v>
      </c>
      <c r="D254" s="183" t="e">
        <f t="shared" si="3"/>
        <v>#N/A</v>
      </c>
      <c r="E254" s="11"/>
      <c r="F254" s="11"/>
      <c r="G254" s="9"/>
      <c r="H254" s="10"/>
      <c r="I254" s="19"/>
      <c r="J254" s="166"/>
      <c r="K254" s="166"/>
      <c r="L254" s="61"/>
      <c r="M254" s="164"/>
      <c r="N254" s="166"/>
      <c r="O254" s="61"/>
      <c r="P254" s="168"/>
      <c r="Q2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4" s="36"/>
      <c r="S254" s="90"/>
    </row>
    <row r="255" spans="1:19" s="4" customFormat="1" ht="30" hidden="1" customHeight="1">
      <c r="A255" s="9"/>
      <c r="B255" s="13" t="e">
        <f>VLOOKUP(Table2[[#This Row],[Location 
(drop-down)]],'List source'!D$2:E$71,2,FALSE)</f>
        <v>#N/A</v>
      </c>
      <c r="C255" s="11" t="s">
        <v>372</v>
      </c>
      <c r="D255" s="183" t="e">
        <f t="shared" si="3"/>
        <v>#N/A</v>
      </c>
      <c r="E255" s="11"/>
      <c r="F255" s="11"/>
      <c r="G255" s="147"/>
      <c r="H255" s="10"/>
      <c r="I255" s="19"/>
      <c r="J255" s="166"/>
      <c r="K255" s="166"/>
      <c r="L255" s="61"/>
      <c r="M255" s="164"/>
      <c r="N255" s="166"/>
      <c r="O255" s="61"/>
      <c r="P255" s="168"/>
      <c r="Q2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5" s="36"/>
      <c r="S255" s="90"/>
    </row>
    <row r="256" spans="1:19" s="4" customFormat="1" ht="30" hidden="1" customHeight="1">
      <c r="A256" s="9"/>
      <c r="B256" s="13" t="e">
        <f>VLOOKUP(Table2[[#This Row],[Location 
(drop-down)]],'List source'!D$2:E$71,2,FALSE)</f>
        <v>#N/A</v>
      </c>
      <c r="C256" s="11" t="s">
        <v>373</v>
      </c>
      <c r="D256" s="183" t="e">
        <f t="shared" si="3"/>
        <v>#N/A</v>
      </c>
      <c r="E256" s="11"/>
      <c r="F256" s="11"/>
      <c r="G256" s="148"/>
      <c r="H256" s="10"/>
      <c r="I256" s="19"/>
      <c r="J256" s="166"/>
      <c r="K256" s="166"/>
      <c r="L256" s="61"/>
      <c r="M256" s="164"/>
      <c r="N256" s="166"/>
      <c r="O256" s="61"/>
      <c r="P256" s="168"/>
      <c r="Q2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6" s="246"/>
      <c r="S256" s="90"/>
    </row>
    <row r="257" spans="1:19" s="4" customFormat="1" ht="30" hidden="1" customHeight="1">
      <c r="A257" s="9"/>
      <c r="B257" s="13" t="e">
        <f>VLOOKUP(Table2[[#This Row],[Location 
(drop-down)]],'List source'!D$2:E$71,2,FALSE)</f>
        <v>#N/A</v>
      </c>
      <c r="C257" s="11" t="s">
        <v>374</v>
      </c>
      <c r="D257" s="183" t="e">
        <f t="shared" si="3"/>
        <v>#N/A</v>
      </c>
      <c r="E257" s="11"/>
      <c r="F257" s="11"/>
      <c r="G257" s="148"/>
      <c r="H257" s="10"/>
      <c r="I257" s="19"/>
      <c r="J257" s="166"/>
      <c r="K257" s="166"/>
      <c r="L257" s="61"/>
      <c r="M257" s="164"/>
      <c r="N257" s="166"/>
      <c r="O257" s="61"/>
      <c r="P257" s="168"/>
      <c r="Q2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7" s="36"/>
      <c r="S257" s="90"/>
    </row>
    <row r="258" spans="1:19" s="4" customFormat="1" ht="30" hidden="1" customHeight="1">
      <c r="A258" s="9"/>
      <c r="B258" s="13" t="e">
        <f>VLOOKUP(Table2[[#This Row],[Location 
(drop-down)]],'List source'!D$2:E$71,2,FALSE)</f>
        <v>#N/A</v>
      </c>
      <c r="C258" s="11" t="s">
        <v>375</v>
      </c>
      <c r="D258" s="183" t="e">
        <f t="shared" ref="D258:D321" si="4">"C" &amp; C258 &amp;"-" &amp; B258 &amp; "-" &amp; "26"</f>
        <v>#N/A</v>
      </c>
      <c r="E258" s="11"/>
      <c r="F258" s="11"/>
      <c r="G258" s="9"/>
      <c r="H258" s="10"/>
      <c r="I258" s="19"/>
      <c r="J258" s="166"/>
      <c r="K258" s="166"/>
      <c r="L258" s="61"/>
      <c r="M258" s="164"/>
      <c r="N258" s="166"/>
      <c r="O258" s="61"/>
      <c r="P258" s="168"/>
      <c r="Q2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8" s="36"/>
      <c r="S258" s="90"/>
    </row>
    <row r="259" spans="1:19" s="4" customFormat="1" ht="30" hidden="1" customHeight="1">
      <c r="A259" s="9"/>
      <c r="B259" s="13" t="e">
        <f>VLOOKUP(Table2[[#This Row],[Location 
(drop-down)]],'List source'!D$2:E$71,2,FALSE)</f>
        <v>#N/A</v>
      </c>
      <c r="C259" s="11" t="s">
        <v>376</v>
      </c>
      <c r="D259" s="183" t="e">
        <f t="shared" si="4"/>
        <v>#N/A</v>
      </c>
      <c r="E259" s="11"/>
      <c r="F259" s="11"/>
      <c r="G259" s="148"/>
      <c r="H259" s="10"/>
      <c r="I259" s="19"/>
      <c r="J259" s="166"/>
      <c r="K259" s="166"/>
      <c r="L259" s="61"/>
      <c r="M259" s="164"/>
      <c r="N259" s="166"/>
      <c r="O259" s="61"/>
      <c r="P259" s="168"/>
      <c r="Q2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59" s="36"/>
      <c r="S259" s="90"/>
    </row>
    <row r="260" spans="1:19" s="4" customFormat="1" ht="30" hidden="1" customHeight="1">
      <c r="A260" s="9"/>
      <c r="B260" s="13" t="e">
        <f>VLOOKUP(Table2[[#This Row],[Location 
(drop-down)]],'List source'!D$2:E$71,2,FALSE)</f>
        <v>#N/A</v>
      </c>
      <c r="C260" s="11" t="s">
        <v>377</v>
      </c>
      <c r="D260" s="183" t="e">
        <f t="shared" si="4"/>
        <v>#N/A</v>
      </c>
      <c r="E260" s="11"/>
      <c r="F260" s="117"/>
      <c r="G260" s="148"/>
      <c r="H260" s="10"/>
      <c r="I260" s="19"/>
      <c r="J260" s="166"/>
      <c r="K260" s="166"/>
      <c r="L260" s="61"/>
      <c r="M260" s="164"/>
      <c r="N260" s="166"/>
      <c r="O260" s="61"/>
      <c r="P260" s="168"/>
      <c r="Q2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0" s="36"/>
      <c r="S260" s="90"/>
    </row>
    <row r="261" spans="1:19" s="4" customFormat="1" ht="30" hidden="1" customHeight="1">
      <c r="A261" s="9"/>
      <c r="B261" s="13" t="e">
        <f>VLOOKUP(Table2[[#This Row],[Location 
(drop-down)]],'List source'!D$2:E$71,2,FALSE)</f>
        <v>#N/A</v>
      </c>
      <c r="C261" s="11" t="s">
        <v>378</v>
      </c>
      <c r="D261" s="183" t="e">
        <f t="shared" si="4"/>
        <v>#N/A</v>
      </c>
      <c r="E261" s="11"/>
      <c r="F261" s="117"/>
      <c r="G261" s="76"/>
      <c r="H261" s="10"/>
      <c r="I261" s="19"/>
      <c r="J261" s="142"/>
      <c r="K261" s="142"/>
      <c r="L261" s="61"/>
      <c r="M261" s="164"/>
      <c r="N261" s="142"/>
      <c r="O261" s="61"/>
      <c r="P261" s="168"/>
      <c r="Q2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1" s="36"/>
      <c r="S261" s="90"/>
    </row>
    <row r="262" spans="1:19" s="4" customFormat="1" ht="30" hidden="1" customHeight="1">
      <c r="A262" s="9"/>
      <c r="B262" s="13" t="e">
        <f>VLOOKUP(Table2[[#This Row],[Location 
(drop-down)]],'List source'!D$2:E$71,2,FALSE)</f>
        <v>#N/A</v>
      </c>
      <c r="C262" s="11" t="s">
        <v>379</v>
      </c>
      <c r="D262" s="183" t="e">
        <f t="shared" si="4"/>
        <v>#N/A</v>
      </c>
      <c r="E262" s="11"/>
      <c r="F262" s="11"/>
      <c r="G262" s="76"/>
      <c r="H262" s="10"/>
      <c r="I262" s="19"/>
      <c r="J262" s="142"/>
      <c r="K262" s="142"/>
      <c r="L262" s="61"/>
      <c r="M262" s="164"/>
      <c r="N262" s="142"/>
      <c r="O262" s="61"/>
      <c r="P262" s="168"/>
      <c r="Q2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2" s="36"/>
      <c r="S262" s="90"/>
    </row>
    <row r="263" spans="1:19" s="4" customFormat="1" ht="30" hidden="1" customHeight="1">
      <c r="A263" s="9"/>
      <c r="B263" s="13" t="e">
        <f>VLOOKUP(Table2[[#This Row],[Location 
(drop-down)]],'List source'!D$2:E$71,2,FALSE)</f>
        <v>#N/A</v>
      </c>
      <c r="C263" s="11" t="s">
        <v>380</v>
      </c>
      <c r="D263" s="183" t="e">
        <f t="shared" si="4"/>
        <v>#N/A</v>
      </c>
      <c r="E263" s="11"/>
      <c r="F263" s="11"/>
      <c r="G263" s="76"/>
      <c r="H263" s="10"/>
      <c r="I263" s="19"/>
      <c r="J263" s="142"/>
      <c r="K263" s="142"/>
      <c r="L263" s="61"/>
      <c r="M263" s="164"/>
      <c r="N263" s="142"/>
      <c r="O263" s="61"/>
      <c r="P263" s="168"/>
      <c r="Q2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3" s="36"/>
      <c r="S263" s="90"/>
    </row>
    <row r="264" spans="1:19" s="4" customFormat="1" ht="30" hidden="1" customHeight="1">
      <c r="A264" s="9"/>
      <c r="B264" s="13" t="e">
        <f>VLOOKUP(Table2[[#This Row],[Location 
(drop-down)]],'List source'!D$2:E$71,2,FALSE)</f>
        <v>#N/A</v>
      </c>
      <c r="C264" s="11" t="s">
        <v>381</v>
      </c>
      <c r="D264" s="183" t="e">
        <f t="shared" si="4"/>
        <v>#N/A</v>
      </c>
      <c r="E264" s="11"/>
      <c r="F264" s="11"/>
      <c r="G264" s="76"/>
      <c r="H264" s="10"/>
      <c r="I264" s="19"/>
      <c r="J264" s="142"/>
      <c r="K264" s="142"/>
      <c r="L264" s="61"/>
      <c r="M264" s="164"/>
      <c r="N264" s="142"/>
      <c r="O264" s="61"/>
      <c r="P264" s="168"/>
      <c r="Q2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4" s="36"/>
      <c r="S264" s="90"/>
    </row>
    <row r="265" spans="1:19" s="4" customFormat="1" ht="30" hidden="1" customHeight="1">
      <c r="A265" s="9"/>
      <c r="B265" s="13" t="e">
        <f>VLOOKUP(Table2[[#This Row],[Location 
(drop-down)]],'List source'!D$2:E$71,2,FALSE)</f>
        <v>#N/A</v>
      </c>
      <c r="C265" s="11" t="s">
        <v>382</v>
      </c>
      <c r="D265" s="183" t="e">
        <f t="shared" si="4"/>
        <v>#N/A</v>
      </c>
      <c r="E265" s="11"/>
      <c r="F265" s="11"/>
      <c r="G265" s="76"/>
      <c r="H265" s="10"/>
      <c r="I265" s="19"/>
      <c r="J265" s="142"/>
      <c r="K265" s="142"/>
      <c r="L265" s="61"/>
      <c r="M265" s="164"/>
      <c r="N265" s="142"/>
      <c r="O265" s="61"/>
      <c r="P265" s="168"/>
      <c r="Q2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5" s="36"/>
      <c r="S265" s="90"/>
    </row>
    <row r="266" spans="1:19" s="4" customFormat="1" ht="30" hidden="1" customHeight="1">
      <c r="A266" s="9"/>
      <c r="B266" s="13" t="e">
        <f>VLOOKUP(Table2[[#This Row],[Location 
(drop-down)]],'List source'!D$2:E$71,2,FALSE)</f>
        <v>#N/A</v>
      </c>
      <c r="C266" s="11" t="s">
        <v>383</v>
      </c>
      <c r="D266" s="183" t="e">
        <f t="shared" si="4"/>
        <v>#N/A</v>
      </c>
      <c r="E266" s="11"/>
      <c r="F266" s="11"/>
      <c r="G266" s="76"/>
      <c r="H266" s="10"/>
      <c r="I266" s="19"/>
      <c r="J266" s="142"/>
      <c r="K266" s="142"/>
      <c r="L266" s="61"/>
      <c r="M266" s="164"/>
      <c r="N266" s="142"/>
      <c r="O266" s="61"/>
      <c r="P266" s="168"/>
      <c r="Q2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6" s="36"/>
      <c r="S266" s="90"/>
    </row>
    <row r="267" spans="1:19" s="4" customFormat="1" ht="30" hidden="1" customHeight="1">
      <c r="A267" s="9"/>
      <c r="B267" s="13" t="e">
        <f>VLOOKUP(Table2[[#This Row],[Location 
(drop-down)]],'List source'!D$2:E$71,2,FALSE)</f>
        <v>#N/A</v>
      </c>
      <c r="C267" s="11" t="s">
        <v>384</v>
      </c>
      <c r="D267" s="183" t="e">
        <f t="shared" si="4"/>
        <v>#N/A</v>
      </c>
      <c r="E267" s="11"/>
      <c r="F267" s="11"/>
      <c r="G267" s="76"/>
      <c r="H267" s="10"/>
      <c r="I267" s="19"/>
      <c r="J267" s="142"/>
      <c r="K267" s="142"/>
      <c r="L267" s="61"/>
      <c r="M267" s="164"/>
      <c r="N267" s="142"/>
      <c r="O267" s="61"/>
      <c r="P267" s="168"/>
      <c r="Q2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7" s="36"/>
      <c r="S267" s="90"/>
    </row>
    <row r="268" spans="1:19" s="4" customFormat="1" ht="30" hidden="1" customHeight="1">
      <c r="A268" s="9"/>
      <c r="B268" s="13" t="e">
        <f>VLOOKUP(Table2[[#This Row],[Location 
(drop-down)]],'List source'!D$2:E$71,2,FALSE)</f>
        <v>#N/A</v>
      </c>
      <c r="C268" s="11" t="s">
        <v>385</v>
      </c>
      <c r="D268" s="183" t="e">
        <f t="shared" si="4"/>
        <v>#N/A</v>
      </c>
      <c r="E268" s="11"/>
      <c r="F268" s="11"/>
      <c r="G268" s="76"/>
      <c r="H268" s="10"/>
      <c r="I268" s="19"/>
      <c r="J268" s="142"/>
      <c r="K268" s="142"/>
      <c r="L268" s="61"/>
      <c r="M268" s="164"/>
      <c r="N268" s="142"/>
      <c r="O268" s="61"/>
      <c r="P268" s="168"/>
      <c r="Q2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8" s="36"/>
      <c r="S268" s="90"/>
    </row>
    <row r="269" spans="1:19" s="4" customFormat="1" ht="30" hidden="1" customHeight="1">
      <c r="A269" s="9"/>
      <c r="B269" s="13" t="e">
        <f>VLOOKUP(Table2[[#This Row],[Location 
(drop-down)]],'List source'!D$2:E$71,2,FALSE)</f>
        <v>#N/A</v>
      </c>
      <c r="C269" s="11" t="s">
        <v>386</v>
      </c>
      <c r="D269" s="183" t="e">
        <f t="shared" si="4"/>
        <v>#N/A</v>
      </c>
      <c r="E269" s="11"/>
      <c r="F269" s="11"/>
      <c r="G269" s="76"/>
      <c r="H269" s="10"/>
      <c r="I269" s="19"/>
      <c r="J269" s="142"/>
      <c r="K269" s="142"/>
      <c r="L269" s="61"/>
      <c r="M269" s="164"/>
      <c r="N269" s="142"/>
      <c r="O269" s="61"/>
      <c r="P269" s="168"/>
      <c r="Q2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69" s="36"/>
      <c r="S269" s="90"/>
    </row>
    <row r="270" spans="1:19" s="4" customFormat="1" ht="30" hidden="1" customHeight="1">
      <c r="A270" s="9"/>
      <c r="B270" s="13" t="e">
        <f>VLOOKUP(Table2[[#This Row],[Location 
(drop-down)]],'List source'!D$2:E$71,2,FALSE)</f>
        <v>#N/A</v>
      </c>
      <c r="C270" s="11" t="s">
        <v>387</v>
      </c>
      <c r="D270" s="183" t="e">
        <f t="shared" si="4"/>
        <v>#N/A</v>
      </c>
      <c r="E270" s="11"/>
      <c r="F270" s="11"/>
      <c r="G270" s="76"/>
      <c r="H270" s="10"/>
      <c r="I270" s="19"/>
      <c r="J270" s="142"/>
      <c r="K270" s="142"/>
      <c r="L270" s="61"/>
      <c r="M270" s="164"/>
      <c r="N270" s="142"/>
      <c r="O270" s="61"/>
      <c r="P270" s="168"/>
      <c r="Q2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0" s="36"/>
      <c r="S270" s="90"/>
    </row>
    <row r="271" spans="1:19" s="4" customFormat="1" ht="30" hidden="1" customHeight="1">
      <c r="A271" s="9"/>
      <c r="B271" s="13" t="e">
        <f>VLOOKUP(Table2[[#This Row],[Location 
(drop-down)]],'List source'!D$2:E$71,2,FALSE)</f>
        <v>#N/A</v>
      </c>
      <c r="C271" s="11" t="s">
        <v>388</v>
      </c>
      <c r="D271" s="183" t="e">
        <f t="shared" si="4"/>
        <v>#N/A</v>
      </c>
      <c r="E271" s="11"/>
      <c r="F271" s="11"/>
      <c r="G271" s="76"/>
      <c r="H271" s="10"/>
      <c r="I271" s="19"/>
      <c r="J271" s="142"/>
      <c r="K271" s="142"/>
      <c r="L271" s="61"/>
      <c r="M271" s="164"/>
      <c r="N271" s="142"/>
      <c r="O271" s="61"/>
      <c r="P271" s="168"/>
      <c r="Q2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1" s="36"/>
      <c r="S271" s="90"/>
    </row>
    <row r="272" spans="1:19" s="4" customFormat="1" ht="30" hidden="1" customHeight="1">
      <c r="A272" s="9"/>
      <c r="B272" s="13" t="e">
        <f>VLOOKUP(Table2[[#This Row],[Location 
(drop-down)]],'List source'!D$2:E$71,2,FALSE)</f>
        <v>#N/A</v>
      </c>
      <c r="C272" s="11" t="s">
        <v>389</v>
      </c>
      <c r="D272" s="183" t="e">
        <f t="shared" si="4"/>
        <v>#N/A</v>
      </c>
      <c r="E272" s="11"/>
      <c r="F272" s="11"/>
      <c r="G272" s="76"/>
      <c r="H272" s="10"/>
      <c r="I272" s="19"/>
      <c r="J272" s="142"/>
      <c r="K272" s="166"/>
      <c r="L272" s="61"/>
      <c r="M272" s="164"/>
      <c r="N272" s="166"/>
      <c r="O272" s="61"/>
      <c r="P272" s="168"/>
      <c r="Q2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2" s="36"/>
      <c r="S272" s="90"/>
    </row>
    <row r="273" spans="1:19" s="4" customFormat="1" ht="30" hidden="1" customHeight="1">
      <c r="A273" s="9"/>
      <c r="B273" s="13" t="e">
        <f>VLOOKUP(Table2[[#This Row],[Location 
(drop-down)]],'List source'!D$2:E$71,2,FALSE)</f>
        <v>#N/A</v>
      </c>
      <c r="C273" s="11" t="s">
        <v>390</v>
      </c>
      <c r="D273" s="183" t="e">
        <f t="shared" si="4"/>
        <v>#N/A</v>
      </c>
      <c r="E273" s="11"/>
      <c r="F273" s="11"/>
      <c r="G273" s="76"/>
      <c r="H273" s="10"/>
      <c r="I273" s="19"/>
      <c r="J273" s="142"/>
      <c r="K273" s="166"/>
      <c r="L273" s="61"/>
      <c r="M273" s="164"/>
      <c r="N273" s="166"/>
      <c r="O273" s="61"/>
      <c r="P273" s="168"/>
      <c r="Q2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3" s="36"/>
      <c r="S273" s="90"/>
    </row>
    <row r="274" spans="1:19" s="4" customFormat="1" ht="30" hidden="1" customHeight="1">
      <c r="A274" s="9"/>
      <c r="B274" s="13" t="e">
        <f>VLOOKUP(Table2[[#This Row],[Location 
(drop-down)]],'List source'!D$2:E$71,2,FALSE)</f>
        <v>#N/A</v>
      </c>
      <c r="C274" s="11" t="s">
        <v>391</v>
      </c>
      <c r="D274" s="183" t="e">
        <f t="shared" si="4"/>
        <v>#N/A</v>
      </c>
      <c r="E274" s="11"/>
      <c r="F274" s="11"/>
      <c r="G274" s="67"/>
      <c r="H274" s="10"/>
      <c r="I274" s="19"/>
      <c r="J274" s="142"/>
      <c r="K274" s="142"/>
      <c r="L274" s="61"/>
      <c r="M274" s="164"/>
      <c r="N274" s="142"/>
      <c r="O274" s="61"/>
      <c r="P274" s="168"/>
      <c r="Q2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4" s="36"/>
      <c r="S274" s="90"/>
    </row>
    <row r="275" spans="1:19" s="4" customFormat="1" ht="30" hidden="1" customHeight="1">
      <c r="A275" s="9"/>
      <c r="B275" s="13" t="e">
        <f>VLOOKUP(Table2[[#This Row],[Location 
(drop-down)]],'List source'!D$2:E$71,2,FALSE)</f>
        <v>#N/A</v>
      </c>
      <c r="C275" s="11" t="s">
        <v>392</v>
      </c>
      <c r="D275" s="183" t="e">
        <f t="shared" si="4"/>
        <v>#N/A</v>
      </c>
      <c r="E275" s="11"/>
      <c r="F275" s="11"/>
      <c r="G275" s="67"/>
      <c r="H275" s="10"/>
      <c r="I275" s="19"/>
      <c r="J275" s="142"/>
      <c r="K275" s="142"/>
      <c r="L275" s="61"/>
      <c r="M275" s="164"/>
      <c r="N275" s="142"/>
      <c r="O275" s="61"/>
      <c r="P275" s="168"/>
      <c r="Q2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5" s="36"/>
      <c r="S275" s="90"/>
    </row>
    <row r="276" spans="1:19" s="4" customFormat="1" ht="30" hidden="1" customHeight="1">
      <c r="A276" s="9"/>
      <c r="B276" s="13" t="e">
        <f>VLOOKUP(Table2[[#This Row],[Location 
(drop-down)]],'List source'!D$2:E$71,2,FALSE)</f>
        <v>#N/A</v>
      </c>
      <c r="C276" s="11" t="s">
        <v>393</v>
      </c>
      <c r="D276" s="183" t="e">
        <f t="shared" si="4"/>
        <v>#N/A</v>
      </c>
      <c r="E276" s="11"/>
      <c r="F276" s="11"/>
      <c r="G276" s="9"/>
      <c r="H276" s="10"/>
      <c r="I276" s="19"/>
      <c r="J276" s="142"/>
      <c r="K276" s="142"/>
      <c r="L276" s="61"/>
      <c r="M276" s="164"/>
      <c r="N276" s="142"/>
      <c r="O276" s="61"/>
      <c r="P276" s="168"/>
      <c r="Q2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6" s="36"/>
      <c r="S276" s="90"/>
    </row>
    <row r="277" spans="1:19" s="4" customFormat="1" ht="30" hidden="1" customHeight="1">
      <c r="A277" s="9"/>
      <c r="B277" s="13" t="e">
        <f>VLOOKUP(Table2[[#This Row],[Location 
(drop-down)]],'List source'!D$2:E$71,2,FALSE)</f>
        <v>#N/A</v>
      </c>
      <c r="C277" s="11" t="s">
        <v>394</v>
      </c>
      <c r="D277" s="183" t="e">
        <f t="shared" si="4"/>
        <v>#N/A</v>
      </c>
      <c r="E277" s="11"/>
      <c r="F277" s="11"/>
      <c r="G277" s="76"/>
      <c r="H277" s="10"/>
      <c r="I277" s="19"/>
      <c r="J277" s="174"/>
      <c r="K277" s="166"/>
      <c r="L277" s="61"/>
      <c r="M277" s="164"/>
      <c r="N277" s="166"/>
      <c r="O277" s="61"/>
      <c r="P277" s="168"/>
      <c r="Q2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7" s="36"/>
      <c r="S277" s="90"/>
    </row>
    <row r="278" spans="1:19" s="4" customFormat="1" ht="30" hidden="1" customHeight="1">
      <c r="A278" s="9"/>
      <c r="B278" s="13" t="e">
        <f>VLOOKUP(Table2[[#This Row],[Location 
(drop-down)]],'List source'!D$2:E$71,2,FALSE)</f>
        <v>#N/A</v>
      </c>
      <c r="C278" s="11" t="s">
        <v>395</v>
      </c>
      <c r="D278" s="183" t="e">
        <f t="shared" si="4"/>
        <v>#N/A</v>
      </c>
      <c r="E278" s="11"/>
      <c r="F278" s="11"/>
      <c r="G278" s="145"/>
      <c r="H278" s="10"/>
      <c r="I278" s="19"/>
      <c r="J278" s="142"/>
      <c r="K278" s="166"/>
      <c r="L278" s="61"/>
      <c r="M278" s="164"/>
      <c r="N278" s="166"/>
      <c r="O278" s="61"/>
      <c r="P278" s="168"/>
      <c r="Q2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8" s="36"/>
      <c r="S278" s="90"/>
    </row>
    <row r="279" spans="1:19" s="4" customFormat="1" ht="30" hidden="1" customHeight="1">
      <c r="A279" s="9"/>
      <c r="B279" s="13" t="e">
        <f>VLOOKUP(Table2[[#This Row],[Location 
(drop-down)]],'List source'!D$2:E$71,2,FALSE)</f>
        <v>#N/A</v>
      </c>
      <c r="C279" s="11" t="s">
        <v>396</v>
      </c>
      <c r="D279" s="183" t="e">
        <f t="shared" si="4"/>
        <v>#N/A</v>
      </c>
      <c r="E279" s="11"/>
      <c r="F279" s="11"/>
      <c r="G279" s="145"/>
      <c r="H279" s="10"/>
      <c r="I279" s="19"/>
      <c r="J279" s="142"/>
      <c r="K279" s="142"/>
      <c r="L279" s="61"/>
      <c r="M279" s="164"/>
      <c r="N279" s="142"/>
      <c r="O279" s="61"/>
      <c r="P279" s="168"/>
      <c r="Q2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79" s="36"/>
      <c r="S279" s="90"/>
    </row>
    <row r="280" spans="1:19" s="4" customFormat="1" ht="30" hidden="1" customHeight="1">
      <c r="A280" s="9"/>
      <c r="B280" s="13" t="e">
        <f>VLOOKUP(Table2[[#This Row],[Location 
(drop-down)]],'List source'!D$2:E$71,2,FALSE)</f>
        <v>#N/A</v>
      </c>
      <c r="C280" s="11" t="s">
        <v>397</v>
      </c>
      <c r="D280" s="183" t="e">
        <f t="shared" si="4"/>
        <v>#N/A</v>
      </c>
      <c r="E280" s="11"/>
      <c r="F280" s="11"/>
      <c r="G280" s="9"/>
      <c r="H280" s="10"/>
      <c r="I280" s="19"/>
      <c r="J280" s="142"/>
      <c r="K280" s="142"/>
      <c r="L280" s="61"/>
      <c r="M280" s="164"/>
      <c r="N280" s="142"/>
      <c r="O280" s="61"/>
      <c r="P280" s="168"/>
      <c r="Q2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0" s="36"/>
      <c r="S280" s="90"/>
    </row>
    <row r="281" spans="1:19" s="4" customFormat="1" ht="30" hidden="1" customHeight="1">
      <c r="A281" s="9"/>
      <c r="B281" s="13" t="e">
        <f>VLOOKUP(Table2[[#This Row],[Location 
(drop-down)]],'List source'!D$2:E$71,2,FALSE)</f>
        <v>#N/A</v>
      </c>
      <c r="C281" s="11" t="s">
        <v>398</v>
      </c>
      <c r="D281" s="183" t="e">
        <f t="shared" si="4"/>
        <v>#N/A</v>
      </c>
      <c r="E281" s="11"/>
      <c r="F281" s="11"/>
      <c r="G281" s="9"/>
      <c r="H281" s="10"/>
      <c r="I281" s="19"/>
      <c r="J281" s="142"/>
      <c r="K281" s="142"/>
      <c r="L281" s="61"/>
      <c r="M281" s="164"/>
      <c r="N281" s="142"/>
      <c r="O281" s="61"/>
      <c r="P281" s="168"/>
      <c r="Q2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1" s="36"/>
      <c r="S281" s="90"/>
    </row>
    <row r="282" spans="1:19" s="4" customFormat="1" ht="30" hidden="1" customHeight="1">
      <c r="A282" s="9"/>
      <c r="B282" s="13" t="e">
        <f>VLOOKUP(Table2[[#This Row],[Location 
(drop-down)]],'List source'!D$2:E$71,2,FALSE)</f>
        <v>#N/A</v>
      </c>
      <c r="C282" s="11" t="s">
        <v>399</v>
      </c>
      <c r="D282" s="183" t="e">
        <f t="shared" si="4"/>
        <v>#N/A</v>
      </c>
      <c r="E282" s="11"/>
      <c r="F282" s="11"/>
      <c r="G282" s="9"/>
      <c r="H282" s="10"/>
      <c r="I282" s="19"/>
      <c r="J282" s="142"/>
      <c r="K282" s="142"/>
      <c r="L282" s="61"/>
      <c r="M282" s="164"/>
      <c r="N282" s="142"/>
      <c r="O282" s="61"/>
      <c r="P282" s="168"/>
      <c r="Q2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2" s="36"/>
      <c r="S282" s="90"/>
    </row>
    <row r="283" spans="1:19" s="4" customFormat="1" ht="30" hidden="1" customHeight="1">
      <c r="A283" s="9"/>
      <c r="B283" s="13" t="e">
        <f>VLOOKUP(Table2[[#This Row],[Location 
(drop-down)]],'List source'!D$2:E$71,2,FALSE)</f>
        <v>#N/A</v>
      </c>
      <c r="C283" s="11" t="s">
        <v>400</v>
      </c>
      <c r="D283" s="183" t="e">
        <f t="shared" si="4"/>
        <v>#N/A</v>
      </c>
      <c r="E283" s="11"/>
      <c r="F283" s="11"/>
      <c r="G283" s="9"/>
      <c r="H283" s="10"/>
      <c r="I283" s="19"/>
      <c r="J283" s="142"/>
      <c r="K283" s="142"/>
      <c r="L283" s="61"/>
      <c r="M283" s="164"/>
      <c r="N283" s="142"/>
      <c r="O283" s="61"/>
      <c r="P283" s="168"/>
      <c r="Q2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3" s="36"/>
      <c r="S283" s="90"/>
    </row>
    <row r="284" spans="1:19" s="4" customFormat="1" ht="30" hidden="1" customHeight="1">
      <c r="A284" s="9"/>
      <c r="B284" s="13" t="e">
        <f>VLOOKUP(Table2[[#This Row],[Location 
(drop-down)]],'List source'!D$2:E$71,2,FALSE)</f>
        <v>#N/A</v>
      </c>
      <c r="C284" s="11" t="s">
        <v>401</v>
      </c>
      <c r="D284" s="183" t="e">
        <f t="shared" si="4"/>
        <v>#N/A</v>
      </c>
      <c r="E284" s="11"/>
      <c r="F284" s="11"/>
      <c r="G284" s="9"/>
      <c r="H284" s="10"/>
      <c r="I284" s="19"/>
      <c r="J284" s="142"/>
      <c r="K284" s="142"/>
      <c r="L284" s="61"/>
      <c r="M284" s="164"/>
      <c r="N284" s="142"/>
      <c r="O284" s="61"/>
      <c r="P284" s="168"/>
      <c r="Q2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4" s="36"/>
      <c r="S284" s="90"/>
    </row>
    <row r="285" spans="1:19" s="4" customFormat="1" ht="30" hidden="1" customHeight="1">
      <c r="A285" s="9"/>
      <c r="B285" s="13" t="e">
        <f>VLOOKUP(Table2[[#This Row],[Location 
(drop-down)]],'List source'!D$2:E$71,2,FALSE)</f>
        <v>#N/A</v>
      </c>
      <c r="C285" s="11" t="s">
        <v>402</v>
      </c>
      <c r="D285" s="183" t="e">
        <f t="shared" si="4"/>
        <v>#N/A</v>
      </c>
      <c r="E285" s="11"/>
      <c r="F285" s="11"/>
      <c r="G285" s="9"/>
      <c r="H285" s="10"/>
      <c r="I285" s="19"/>
      <c r="J285" s="142"/>
      <c r="K285" s="142"/>
      <c r="L285" s="61"/>
      <c r="M285" s="164"/>
      <c r="N285" s="142"/>
      <c r="O285" s="61"/>
      <c r="P285" s="168"/>
      <c r="Q2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5" s="289"/>
      <c r="S285" s="90"/>
    </row>
    <row r="286" spans="1:19" s="4" customFormat="1" ht="30" hidden="1" customHeight="1">
      <c r="A286" s="9"/>
      <c r="B286" s="13" t="e">
        <f>VLOOKUP(Table2[[#This Row],[Location 
(drop-down)]],'List source'!D$2:E$71,2,FALSE)</f>
        <v>#N/A</v>
      </c>
      <c r="C286" s="11" t="s">
        <v>403</v>
      </c>
      <c r="D286" s="183" t="e">
        <f t="shared" si="4"/>
        <v>#N/A</v>
      </c>
      <c r="E286" s="11"/>
      <c r="F286" s="11"/>
      <c r="G286" s="9"/>
      <c r="H286" s="10"/>
      <c r="I286" s="19"/>
      <c r="J286" s="142"/>
      <c r="K286" s="142"/>
      <c r="L286" s="61"/>
      <c r="M286" s="164"/>
      <c r="N286" s="142"/>
      <c r="O286" s="61"/>
      <c r="P286" s="168"/>
      <c r="Q2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6" s="36"/>
      <c r="S286" s="90"/>
    </row>
    <row r="287" spans="1:19" s="4" customFormat="1" ht="30" hidden="1" customHeight="1">
      <c r="A287" s="9"/>
      <c r="B287" s="13" t="e">
        <f>VLOOKUP(Table2[[#This Row],[Location 
(drop-down)]],'List source'!D$2:E$71,2,FALSE)</f>
        <v>#N/A</v>
      </c>
      <c r="C287" s="11" t="s">
        <v>404</v>
      </c>
      <c r="D287" s="183" t="e">
        <f t="shared" si="4"/>
        <v>#N/A</v>
      </c>
      <c r="E287" s="11"/>
      <c r="F287" s="11"/>
      <c r="G287" s="9"/>
      <c r="H287" s="10"/>
      <c r="I287" s="19"/>
      <c r="J287" s="142"/>
      <c r="K287" s="142"/>
      <c r="L287" s="61"/>
      <c r="M287" s="164"/>
      <c r="N287" s="142"/>
      <c r="O287" s="61"/>
      <c r="P287" s="168"/>
      <c r="Q2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7" s="228"/>
      <c r="S287" s="90"/>
    </row>
    <row r="288" spans="1:19" s="4" customFormat="1" ht="30" hidden="1" customHeight="1">
      <c r="A288" s="9"/>
      <c r="B288" s="13" t="e">
        <f>VLOOKUP(Table2[[#This Row],[Location 
(drop-down)]],'List source'!D$2:E$71,2,FALSE)</f>
        <v>#N/A</v>
      </c>
      <c r="C288" s="11" t="s">
        <v>405</v>
      </c>
      <c r="D288" s="183" t="e">
        <f t="shared" si="4"/>
        <v>#N/A</v>
      </c>
      <c r="E288" s="11"/>
      <c r="F288" s="11"/>
      <c r="G288" s="9"/>
      <c r="H288" s="10"/>
      <c r="I288" s="19"/>
      <c r="J288" s="142"/>
      <c r="K288" s="142"/>
      <c r="L288" s="61"/>
      <c r="M288" s="164"/>
      <c r="N288" s="142"/>
      <c r="O288" s="61"/>
      <c r="P288" s="168"/>
      <c r="Q2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8" s="228"/>
      <c r="S288" s="90"/>
    </row>
    <row r="289" spans="1:19" s="4" customFormat="1" ht="30" hidden="1" customHeight="1">
      <c r="A289" s="9"/>
      <c r="B289" s="13" t="e">
        <f>VLOOKUP(Table2[[#This Row],[Location 
(drop-down)]],'List source'!D$2:E$71,2,FALSE)</f>
        <v>#N/A</v>
      </c>
      <c r="C289" s="11" t="s">
        <v>406</v>
      </c>
      <c r="D289" s="183" t="e">
        <f t="shared" si="4"/>
        <v>#N/A</v>
      </c>
      <c r="E289" s="11"/>
      <c r="F289" s="11"/>
      <c r="G289" s="9"/>
      <c r="H289" s="10"/>
      <c r="I289" s="19"/>
      <c r="J289" s="142"/>
      <c r="K289" s="142"/>
      <c r="L289" s="61"/>
      <c r="M289" s="164"/>
      <c r="N289" s="142"/>
      <c r="O289" s="61"/>
      <c r="P289" s="168"/>
      <c r="Q2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89" s="36"/>
      <c r="S289" s="90"/>
    </row>
    <row r="290" spans="1:19" s="4" customFormat="1" ht="30" hidden="1" customHeight="1">
      <c r="A290" s="9"/>
      <c r="B290" s="13" t="e">
        <f>VLOOKUP(Table2[[#This Row],[Location 
(drop-down)]],'List source'!D$2:E$71,2,FALSE)</f>
        <v>#N/A</v>
      </c>
      <c r="C290" s="11" t="s">
        <v>407</v>
      </c>
      <c r="D290" s="183" t="e">
        <f t="shared" si="4"/>
        <v>#N/A</v>
      </c>
      <c r="E290" s="11"/>
      <c r="F290" s="11"/>
      <c r="G290" s="9"/>
      <c r="H290" s="10"/>
      <c r="I290" s="19"/>
      <c r="J290" s="142"/>
      <c r="K290" s="142"/>
      <c r="L290" s="61"/>
      <c r="M290" s="164"/>
      <c r="N290" s="142"/>
      <c r="O290" s="61"/>
      <c r="P290" s="168"/>
      <c r="Q2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0" s="229"/>
      <c r="S290" s="90"/>
    </row>
    <row r="291" spans="1:19" s="4" customFormat="1" ht="30" hidden="1" customHeight="1">
      <c r="A291" s="9"/>
      <c r="B291" s="13" t="e">
        <f>VLOOKUP(Table2[[#This Row],[Location 
(drop-down)]],'List source'!D$2:E$71,2,FALSE)</f>
        <v>#N/A</v>
      </c>
      <c r="C291" s="11" t="s">
        <v>408</v>
      </c>
      <c r="D291" s="183" t="e">
        <f t="shared" si="4"/>
        <v>#N/A</v>
      </c>
      <c r="E291" s="11"/>
      <c r="F291" s="11"/>
      <c r="G291" s="9"/>
      <c r="H291" s="10"/>
      <c r="I291" s="19"/>
      <c r="J291" s="142"/>
      <c r="K291" s="142"/>
      <c r="L291" s="61"/>
      <c r="M291" s="164"/>
      <c r="N291" s="142"/>
      <c r="O291" s="61"/>
      <c r="P291" s="168"/>
      <c r="Q2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1" s="36"/>
      <c r="S291" s="90"/>
    </row>
    <row r="292" spans="1:19" s="4" customFormat="1" ht="30" hidden="1" customHeight="1">
      <c r="A292" s="9"/>
      <c r="B292" s="13" t="e">
        <f>VLOOKUP(Table2[[#This Row],[Location 
(drop-down)]],'List source'!D$2:E$71,2,FALSE)</f>
        <v>#N/A</v>
      </c>
      <c r="C292" s="11" t="s">
        <v>409</v>
      </c>
      <c r="D292" s="183" t="e">
        <f t="shared" si="4"/>
        <v>#N/A</v>
      </c>
      <c r="E292" s="11"/>
      <c r="F292" s="11"/>
      <c r="G292" s="9"/>
      <c r="H292" s="10"/>
      <c r="I292" s="19"/>
      <c r="J292" s="142"/>
      <c r="K292" s="142"/>
      <c r="L292" s="61"/>
      <c r="M292" s="164"/>
      <c r="N292" s="142"/>
      <c r="O292" s="61"/>
      <c r="P292" s="168"/>
      <c r="Q2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2" s="36"/>
      <c r="S292" s="90"/>
    </row>
    <row r="293" spans="1:19" s="4" customFormat="1" ht="30" hidden="1" customHeight="1">
      <c r="A293" s="9"/>
      <c r="B293" s="13" t="e">
        <f>VLOOKUP(Table2[[#This Row],[Location 
(drop-down)]],'List source'!D$2:E$71,2,FALSE)</f>
        <v>#N/A</v>
      </c>
      <c r="C293" s="11" t="s">
        <v>410</v>
      </c>
      <c r="D293" s="183" t="e">
        <f t="shared" si="4"/>
        <v>#N/A</v>
      </c>
      <c r="E293" s="11"/>
      <c r="F293" s="11"/>
      <c r="G293" s="9"/>
      <c r="H293" s="10"/>
      <c r="I293" s="19"/>
      <c r="J293" s="142"/>
      <c r="K293" s="142"/>
      <c r="L293" s="61"/>
      <c r="M293" s="164"/>
      <c r="N293" s="142"/>
      <c r="O293" s="61"/>
      <c r="P293" s="168"/>
      <c r="Q2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3" s="36"/>
      <c r="S293" s="90"/>
    </row>
    <row r="294" spans="1:19" ht="30" hidden="1" customHeight="1">
      <c r="A294" s="9"/>
      <c r="B294" s="13" t="e">
        <f>VLOOKUP(Table2[[#This Row],[Location 
(drop-down)]],'List source'!D$2:E$71,2,FALSE)</f>
        <v>#N/A</v>
      </c>
      <c r="C294" s="11" t="s">
        <v>411</v>
      </c>
      <c r="D294" s="183" t="e">
        <f t="shared" si="4"/>
        <v>#N/A</v>
      </c>
      <c r="E294" s="11"/>
      <c r="F294" s="11"/>
      <c r="G294" s="9"/>
      <c r="H294" s="10"/>
      <c r="I294" s="19"/>
      <c r="J294" s="142"/>
      <c r="K294" s="142"/>
      <c r="L294" s="61"/>
      <c r="M294" s="164"/>
      <c r="N294" s="142"/>
      <c r="O294" s="61"/>
      <c r="P294" s="168"/>
      <c r="Q2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4" s="36"/>
      <c r="S294" s="90"/>
    </row>
    <row r="295" spans="1:19" ht="30" hidden="1" customHeight="1">
      <c r="A295" s="9"/>
      <c r="B295" s="13" t="e">
        <f>VLOOKUP(Table2[[#This Row],[Location 
(drop-down)]],'List source'!D$2:E$71,2,FALSE)</f>
        <v>#N/A</v>
      </c>
      <c r="C295" s="11" t="s">
        <v>412</v>
      </c>
      <c r="D295" s="183" t="e">
        <f t="shared" si="4"/>
        <v>#N/A</v>
      </c>
      <c r="E295" s="11"/>
      <c r="F295" s="11"/>
      <c r="G295" s="9"/>
      <c r="H295" s="10"/>
      <c r="I295" s="19"/>
      <c r="J295" s="142"/>
      <c r="K295" s="142"/>
      <c r="L295" s="61"/>
      <c r="M295" s="164"/>
      <c r="N295" s="142"/>
      <c r="O295" s="61"/>
      <c r="P295" s="168"/>
      <c r="Q2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5" s="36"/>
      <c r="S295" s="90"/>
    </row>
    <row r="296" spans="1:19" ht="30" hidden="1" customHeight="1">
      <c r="A296" s="9"/>
      <c r="B296" s="13" t="e">
        <f>VLOOKUP(Table2[[#This Row],[Location 
(drop-down)]],'List source'!D$2:E$71,2,FALSE)</f>
        <v>#N/A</v>
      </c>
      <c r="C296" s="11" t="s">
        <v>413</v>
      </c>
      <c r="D296" s="183" t="e">
        <f t="shared" si="4"/>
        <v>#N/A</v>
      </c>
      <c r="E296" s="11"/>
      <c r="F296" s="11"/>
      <c r="G296" s="9"/>
      <c r="H296" s="10"/>
      <c r="I296" s="19"/>
      <c r="J296" s="142"/>
      <c r="K296" s="142"/>
      <c r="L296" s="61"/>
      <c r="M296" s="164"/>
      <c r="N296" s="142"/>
      <c r="O296" s="61"/>
      <c r="P296" s="168"/>
      <c r="Q2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6" s="36"/>
      <c r="S296" s="90"/>
    </row>
    <row r="297" spans="1:19" ht="30" hidden="1" customHeight="1">
      <c r="A297" s="9"/>
      <c r="B297" s="13" t="e">
        <f>VLOOKUP(Table2[[#This Row],[Location 
(drop-down)]],'List source'!D$2:E$71,2,FALSE)</f>
        <v>#N/A</v>
      </c>
      <c r="C297" s="11" t="s">
        <v>414</v>
      </c>
      <c r="D297" s="183" t="e">
        <f t="shared" si="4"/>
        <v>#N/A</v>
      </c>
      <c r="E297" s="11"/>
      <c r="F297" s="11"/>
      <c r="G297" s="9"/>
      <c r="H297" s="10"/>
      <c r="I297" s="19"/>
      <c r="J297" s="142"/>
      <c r="K297" s="142"/>
      <c r="L297" s="61"/>
      <c r="M297" s="164"/>
      <c r="N297" s="142"/>
      <c r="O297" s="61"/>
      <c r="P297" s="168"/>
      <c r="Q2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7" s="36"/>
      <c r="S297" s="90"/>
    </row>
    <row r="298" spans="1:19" ht="30" hidden="1" customHeight="1">
      <c r="A298" s="9"/>
      <c r="B298" s="13" t="e">
        <f>VLOOKUP(Table2[[#This Row],[Location 
(drop-down)]],'List source'!D$2:E$71,2,FALSE)</f>
        <v>#N/A</v>
      </c>
      <c r="C298" s="11" t="s">
        <v>415</v>
      </c>
      <c r="D298" s="183" t="e">
        <f t="shared" si="4"/>
        <v>#N/A</v>
      </c>
      <c r="E298" s="11"/>
      <c r="F298" s="11"/>
      <c r="G298" s="9"/>
      <c r="H298" s="10"/>
      <c r="I298" s="19"/>
      <c r="J298" s="142"/>
      <c r="K298" s="142"/>
      <c r="L298" s="61"/>
      <c r="M298" s="164"/>
      <c r="N298" s="142"/>
      <c r="O298" s="61"/>
      <c r="P298" s="168"/>
      <c r="Q2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8" s="36"/>
      <c r="S298" s="90"/>
    </row>
    <row r="299" spans="1:19" ht="30" hidden="1" customHeight="1">
      <c r="A299" s="9"/>
      <c r="B299" s="13" t="e">
        <f>VLOOKUP(Table2[[#This Row],[Location 
(drop-down)]],'List source'!D$2:E$71,2,FALSE)</f>
        <v>#N/A</v>
      </c>
      <c r="C299" s="11" t="s">
        <v>416</v>
      </c>
      <c r="D299" s="183" t="e">
        <f t="shared" si="4"/>
        <v>#N/A</v>
      </c>
      <c r="E299" s="11"/>
      <c r="F299" s="11"/>
      <c r="G299" s="9"/>
      <c r="H299" s="10"/>
      <c r="I299" s="19"/>
      <c r="J299" s="142"/>
      <c r="K299" s="142"/>
      <c r="L299" s="61"/>
      <c r="M299" s="164"/>
      <c r="N299" s="142"/>
      <c r="O299" s="61"/>
      <c r="P299" s="168"/>
      <c r="Q2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299" s="36"/>
      <c r="S299" s="90"/>
    </row>
    <row r="300" spans="1:19" ht="30" hidden="1" customHeight="1">
      <c r="A300" s="9"/>
      <c r="B300" s="13" t="e">
        <f>VLOOKUP(Table2[[#This Row],[Location 
(drop-down)]],'List source'!D$2:E$71,2,FALSE)</f>
        <v>#N/A</v>
      </c>
      <c r="C300" s="11" t="s">
        <v>417</v>
      </c>
      <c r="D300" s="183" t="e">
        <f t="shared" si="4"/>
        <v>#N/A</v>
      </c>
      <c r="E300" s="11"/>
      <c r="F300" s="11"/>
      <c r="G300" s="9"/>
      <c r="H300" s="10"/>
      <c r="I300" s="19"/>
      <c r="J300" s="142"/>
      <c r="K300" s="142"/>
      <c r="L300" s="61"/>
      <c r="M300" s="164"/>
      <c r="N300" s="142"/>
      <c r="O300" s="61"/>
      <c r="P300" s="168"/>
      <c r="Q3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0" s="36"/>
      <c r="S300" s="90"/>
    </row>
    <row r="301" spans="1:19" ht="30" hidden="1" customHeight="1">
      <c r="A301" s="9"/>
      <c r="B301" s="13" t="e">
        <f>VLOOKUP(Table2[[#This Row],[Location 
(drop-down)]],'List source'!D$2:E$71,2,FALSE)</f>
        <v>#N/A</v>
      </c>
      <c r="C301" s="11" t="s">
        <v>418</v>
      </c>
      <c r="D301" s="183" t="e">
        <f t="shared" si="4"/>
        <v>#N/A</v>
      </c>
      <c r="E301" s="11"/>
      <c r="F301" s="11"/>
      <c r="G301" s="9"/>
      <c r="H301" s="10"/>
      <c r="I301" s="19"/>
      <c r="J301" s="142"/>
      <c r="K301" s="142"/>
      <c r="L301" s="61"/>
      <c r="M301" s="164"/>
      <c r="N301" s="142"/>
      <c r="O301" s="61"/>
      <c r="P301" s="168"/>
      <c r="Q3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1" s="36"/>
      <c r="S301" s="90"/>
    </row>
    <row r="302" spans="1:19" ht="30" hidden="1" customHeight="1">
      <c r="A302" s="9"/>
      <c r="B302" s="13" t="e">
        <f>VLOOKUP(Table2[[#This Row],[Location 
(drop-down)]],'List source'!D$2:E$71,2,FALSE)</f>
        <v>#N/A</v>
      </c>
      <c r="C302" s="11" t="s">
        <v>419</v>
      </c>
      <c r="D302" s="183" t="e">
        <f t="shared" si="4"/>
        <v>#N/A</v>
      </c>
      <c r="E302" s="11"/>
      <c r="F302" s="11"/>
      <c r="G302" s="9"/>
      <c r="H302" s="10"/>
      <c r="I302" s="19"/>
      <c r="J302" s="142"/>
      <c r="K302" s="142"/>
      <c r="L302" s="61"/>
      <c r="M302" s="164"/>
      <c r="N302" s="142"/>
      <c r="O302" s="61"/>
      <c r="P302" s="168"/>
      <c r="Q3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2" s="36"/>
      <c r="S302" s="90"/>
    </row>
    <row r="303" spans="1:19" ht="30" hidden="1" customHeight="1">
      <c r="A303" s="9"/>
      <c r="B303" s="13" t="e">
        <f>VLOOKUP(Table2[[#This Row],[Location 
(drop-down)]],'List source'!D$2:E$71,2,FALSE)</f>
        <v>#N/A</v>
      </c>
      <c r="C303" s="11" t="s">
        <v>420</v>
      </c>
      <c r="D303" s="183" t="e">
        <f t="shared" si="4"/>
        <v>#N/A</v>
      </c>
      <c r="E303" s="11"/>
      <c r="F303" s="11"/>
      <c r="G303" s="9"/>
      <c r="H303" s="10"/>
      <c r="I303" s="19"/>
      <c r="J303" s="142"/>
      <c r="K303" s="142"/>
      <c r="L303" s="61"/>
      <c r="M303" s="164"/>
      <c r="N303" s="142"/>
      <c r="O303" s="61"/>
      <c r="P303" s="168"/>
      <c r="Q3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3" s="36"/>
      <c r="S303" s="90"/>
    </row>
    <row r="304" spans="1:19" ht="30" hidden="1" customHeight="1">
      <c r="A304" s="9"/>
      <c r="B304" s="13" t="e">
        <f>VLOOKUP(Table2[[#This Row],[Location 
(drop-down)]],'List source'!D$2:E$71,2,FALSE)</f>
        <v>#N/A</v>
      </c>
      <c r="C304" s="11" t="s">
        <v>421</v>
      </c>
      <c r="D304" s="183" t="e">
        <f t="shared" si="4"/>
        <v>#N/A</v>
      </c>
      <c r="E304" s="11"/>
      <c r="F304" s="11"/>
      <c r="G304" s="9"/>
      <c r="H304" s="10"/>
      <c r="I304" s="19"/>
      <c r="J304" s="142"/>
      <c r="K304" s="142"/>
      <c r="L304" s="61"/>
      <c r="M304" s="164"/>
      <c r="N304" s="142"/>
      <c r="O304" s="61"/>
      <c r="P304" s="168"/>
      <c r="Q3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4" s="36"/>
      <c r="S304" s="90"/>
    </row>
    <row r="305" spans="1:19" ht="30" hidden="1" customHeight="1">
      <c r="A305" s="9"/>
      <c r="B305" s="13" t="e">
        <f>VLOOKUP(Table2[[#This Row],[Location 
(drop-down)]],'List source'!D$2:E$71,2,FALSE)</f>
        <v>#N/A</v>
      </c>
      <c r="C305" s="11" t="s">
        <v>422</v>
      </c>
      <c r="D305" s="183" t="e">
        <f t="shared" si="4"/>
        <v>#N/A</v>
      </c>
      <c r="E305" s="11"/>
      <c r="F305" s="11"/>
      <c r="G305" s="9"/>
      <c r="H305" s="10"/>
      <c r="I305" s="19"/>
      <c r="J305" s="142"/>
      <c r="K305" s="142"/>
      <c r="L305" s="61"/>
      <c r="M305" s="164"/>
      <c r="N305" s="142"/>
      <c r="O305" s="61"/>
      <c r="P305" s="168"/>
      <c r="Q3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5" s="36"/>
      <c r="S305" s="90"/>
    </row>
    <row r="306" spans="1:19" ht="30" hidden="1" customHeight="1">
      <c r="A306" s="9"/>
      <c r="B306" s="13" t="e">
        <f>VLOOKUP(Table2[[#This Row],[Location 
(drop-down)]],'List source'!D$2:E$71,2,FALSE)</f>
        <v>#N/A</v>
      </c>
      <c r="C306" s="11" t="s">
        <v>423</v>
      </c>
      <c r="D306" s="183" t="e">
        <f t="shared" si="4"/>
        <v>#N/A</v>
      </c>
      <c r="E306" s="11"/>
      <c r="F306" s="11"/>
      <c r="G306" s="9"/>
      <c r="H306" s="10"/>
      <c r="I306" s="19"/>
      <c r="J306" s="142"/>
      <c r="K306" s="142"/>
      <c r="L306" s="61"/>
      <c r="M306" s="164"/>
      <c r="N306" s="142"/>
      <c r="O306" s="61"/>
      <c r="P306" s="168"/>
      <c r="Q3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6" s="36"/>
      <c r="S306" s="90"/>
    </row>
    <row r="307" spans="1:19" ht="30" hidden="1" customHeight="1">
      <c r="A307" s="9"/>
      <c r="B307" s="13" t="e">
        <f>VLOOKUP(Table2[[#This Row],[Location 
(drop-down)]],'List source'!D$2:E$71,2,FALSE)</f>
        <v>#N/A</v>
      </c>
      <c r="C307" s="11" t="s">
        <v>424</v>
      </c>
      <c r="D307" s="183" t="e">
        <f t="shared" si="4"/>
        <v>#N/A</v>
      </c>
      <c r="E307" s="11"/>
      <c r="F307" s="11"/>
      <c r="G307" s="9"/>
      <c r="H307" s="10"/>
      <c r="I307" s="19"/>
      <c r="J307" s="142"/>
      <c r="K307" s="142"/>
      <c r="L307" s="61"/>
      <c r="M307" s="164"/>
      <c r="N307" s="142"/>
      <c r="O307" s="61"/>
      <c r="P307" s="168"/>
      <c r="Q3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7" s="36"/>
      <c r="S307" s="90"/>
    </row>
    <row r="308" spans="1:19" ht="30" hidden="1" customHeight="1">
      <c r="A308" s="9"/>
      <c r="B308" s="13" t="e">
        <f>VLOOKUP(Table2[[#This Row],[Location 
(drop-down)]],'List source'!D$2:E$71,2,FALSE)</f>
        <v>#N/A</v>
      </c>
      <c r="C308" s="11" t="s">
        <v>425</v>
      </c>
      <c r="D308" s="183" t="e">
        <f t="shared" si="4"/>
        <v>#N/A</v>
      </c>
      <c r="E308" s="11"/>
      <c r="F308" s="11"/>
      <c r="G308" s="9"/>
      <c r="H308" s="10"/>
      <c r="I308" s="19"/>
      <c r="J308" s="142"/>
      <c r="K308" s="142"/>
      <c r="L308" s="61"/>
      <c r="M308" s="164"/>
      <c r="N308" s="142"/>
      <c r="O308" s="61"/>
      <c r="P308" s="168"/>
      <c r="Q3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8" s="36"/>
      <c r="S308" s="90"/>
    </row>
    <row r="309" spans="1:19" ht="30" hidden="1" customHeight="1">
      <c r="A309" s="9"/>
      <c r="B309" s="13" t="e">
        <f>VLOOKUP(Table2[[#This Row],[Location 
(drop-down)]],'List source'!D$2:E$71,2,FALSE)</f>
        <v>#N/A</v>
      </c>
      <c r="C309" s="11" t="s">
        <v>426</v>
      </c>
      <c r="D309" s="183" t="e">
        <f t="shared" si="4"/>
        <v>#N/A</v>
      </c>
      <c r="E309" s="11"/>
      <c r="F309" s="11"/>
      <c r="G309" s="9"/>
      <c r="H309" s="10"/>
      <c r="I309" s="19"/>
      <c r="J309" s="142"/>
      <c r="K309" s="142"/>
      <c r="L309" s="61"/>
      <c r="M309" s="164"/>
      <c r="N309" s="142"/>
      <c r="O309" s="61"/>
      <c r="P309" s="168"/>
      <c r="Q3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09" s="36"/>
      <c r="S309" s="90"/>
    </row>
    <row r="310" spans="1:19" ht="30" hidden="1" customHeight="1">
      <c r="A310" s="9"/>
      <c r="B310" s="13" t="e">
        <f>VLOOKUP(Table2[[#This Row],[Location 
(drop-down)]],'List source'!D$2:E$71,2,FALSE)</f>
        <v>#N/A</v>
      </c>
      <c r="C310" s="11" t="s">
        <v>427</v>
      </c>
      <c r="D310" s="183" t="e">
        <f t="shared" si="4"/>
        <v>#N/A</v>
      </c>
      <c r="E310" s="11"/>
      <c r="F310" s="11"/>
      <c r="G310" s="9"/>
      <c r="H310" s="10"/>
      <c r="I310" s="19"/>
      <c r="J310" s="142"/>
      <c r="K310" s="142"/>
      <c r="L310" s="61"/>
      <c r="M310" s="164"/>
      <c r="N310" s="142"/>
      <c r="O310" s="61"/>
      <c r="P310" s="168"/>
      <c r="Q3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0" s="212"/>
      <c r="S310" s="90"/>
    </row>
    <row r="311" spans="1:19" ht="30" hidden="1" customHeight="1">
      <c r="A311" s="9"/>
      <c r="B311" s="13" t="e">
        <f>VLOOKUP(Table2[[#This Row],[Location 
(drop-down)]],'List source'!D$2:E$71,2,FALSE)</f>
        <v>#N/A</v>
      </c>
      <c r="C311" s="11" t="s">
        <v>428</v>
      </c>
      <c r="D311" s="183" t="e">
        <f t="shared" si="4"/>
        <v>#N/A</v>
      </c>
      <c r="E311" s="11"/>
      <c r="F311" s="11"/>
      <c r="G311" s="9"/>
      <c r="H311" s="10"/>
      <c r="I311" s="19"/>
      <c r="J311" s="142"/>
      <c r="K311" s="142"/>
      <c r="L311" s="61"/>
      <c r="M311" s="164"/>
      <c r="N311" s="142"/>
      <c r="O311" s="61"/>
      <c r="P311" s="168"/>
      <c r="Q3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1" s="36"/>
      <c r="S311" s="90"/>
    </row>
    <row r="312" spans="1:19" ht="30" hidden="1" customHeight="1">
      <c r="A312" s="9"/>
      <c r="B312" s="13" t="e">
        <f>VLOOKUP(Table2[[#This Row],[Location 
(drop-down)]],'List source'!D$2:E$71,2,FALSE)</f>
        <v>#N/A</v>
      </c>
      <c r="C312" s="11" t="s">
        <v>429</v>
      </c>
      <c r="D312" s="183" t="e">
        <f t="shared" si="4"/>
        <v>#N/A</v>
      </c>
      <c r="E312" s="11"/>
      <c r="F312" s="11"/>
      <c r="G312" s="9"/>
      <c r="H312" s="10"/>
      <c r="I312" s="19"/>
      <c r="J312" s="142"/>
      <c r="K312" s="142"/>
      <c r="L312" s="61"/>
      <c r="M312" s="164"/>
      <c r="N312" s="142"/>
      <c r="O312" s="61"/>
      <c r="P312" s="168"/>
      <c r="Q3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2" s="36"/>
      <c r="S312" s="90"/>
    </row>
    <row r="313" spans="1:19" ht="30" hidden="1" customHeight="1">
      <c r="A313" s="9"/>
      <c r="B313" s="13" t="e">
        <f>VLOOKUP(Table2[[#This Row],[Location 
(drop-down)]],'List source'!D$2:E$71,2,FALSE)</f>
        <v>#N/A</v>
      </c>
      <c r="C313" s="11" t="s">
        <v>430</v>
      </c>
      <c r="D313" s="183" t="e">
        <f t="shared" si="4"/>
        <v>#N/A</v>
      </c>
      <c r="E313" s="11"/>
      <c r="F313" s="11"/>
      <c r="G313" s="9"/>
      <c r="H313" s="10"/>
      <c r="I313" s="19"/>
      <c r="J313" s="142"/>
      <c r="K313" s="142"/>
      <c r="L313" s="61"/>
      <c r="M313" s="164"/>
      <c r="N313" s="142"/>
      <c r="O313" s="61"/>
      <c r="P313" s="168"/>
      <c r="Q3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3" s="36"/>
      <c r="S313" s="90"/>
    </row>
    <row r="314" spans="1:19" ht="30" hidden="1" customHeight="1">
      <c r="A314" s="9"/>
      <c r="B314" s="13" t="e">
        <f>VLOOKUP(Table2[[#This Row],[Location 
(drop-down)]],'List source'!D$2:E$71,2,FALSE)</f>
        <v>#N/A</v>
      </c>
      <c r="C314" s="11" t="s">
        <v>431</v>
      </c>
      <c r="D314" s="183" t="e">
        <f t="shared" si="4"/>
        <v>#N/A</v>
      </c>
      <c r="E314" s="11"/>
      <c r="F314" s="11"/>
      <c r="G314" s="9"/>
      <c r="H314" s="10"/>
      <c r="I314" s="19"/>
      <c r="J314" s="142"/>
      <c r="K314" s="142"/>
      <c r="L314" s="61"/>
      <c r="M314" s="164"/>
      <c r="N314" s="142"/>
      <c r="O314" s="61"/>
      <c r="P314" s="168"/>
      <c r="Q3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4" s="36"/>
      <c r="S314" s="90"/>
    </row>
    <row r="315" spans="1:19" ht="30" hidden="1" customHeight="1">
      <c r="A315" s="9"/>
      <c r="B315" s="13" t="e">
        <f>VLOOKUP(Table2[[#This Row],[Location 
(drop-down)]],'List source'!D$2:E$71,2,FALSE)</f>
        <v>#N/A</v>
      </c>
      <c r="C315" s="11" t="s">
        <v>432</v>
      </c>
      <c r="D315" s="183" t="e">
        <f t="shared" si="4"/>
        <v>#N/A</v>
      </c>
      <c r="E315" s="11"/>
      <c r="F315" s="11"/>
      <c r="G315" s="149"/>
      <c r="H315" s="10"/>
      <c r="I315" s="19"/>
      <c r="J315" s="142"/>
      <c r="K315" s="142"/>
      <c r="L315" s="61"/>
      <c r="M315" s="164"/>
      <c r="N315" s="142"/>
      <c r="O315" s="61"/>
      <c r="P315" s="168"/>
      <c r="Q3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5" s="36"/>
      <c r="S315" s="90"/>
    </row>
    <row r="316" spans="1:19" ht="30" hidden="1" customHeight="1">
      <c r="A316" s="9"/>
      <c r="B316" s="13" t="e">
        <f>VLOOKUP(Table2[[#This Row],[Location 
(drop-down)]],'List source'!D$2:E$71,2,FALSE)</f>
        <v>#N/A</v>
      </c>
      <c r="C316" s="11" t="s">
        <v>433</v>
      </c>
      <c r="D316" s="183" t="e">
        <f t="shared" si="4"/>
        <v>#N/A</v>
      </c>
      <c r="E316" s="11"/>
      <c r="F316" s="11"/>
      <c r="G316" s="9"/>
      <c r="H316" s="10"/>
      <c r="I316" s="19"/>
      <c r="J316" s="142"/>
      <c r="K316" s="142"/>
      <c r="L316" s="61"/>
      <c r="M316" s="164"/>
      <c r="N316" s="142"/>
      <c r="O316" s="61"/>
      <c r="P316" s="168"/>
      <c r="Q3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6" s="36"/>
      <c r="S316" s="90"/>
    </row>
    <row r="317" spans="1:19" ht="30" hidden="1" customHeight="1">
      <c r="A317" s="9"/>
      <c r="B317" s="13" t="e">
        <f>VLOOKUP(Table2[[#This Row],[Location 
(drop-down)]],'List source'!D$2:E$71,2,FALSE)</f>
        <v>#N/A</v>
      </c>
      <c r="C317" s="11" t="s">
        <v>434</v>
      </c>
      <c r="D317" s="183" t="e">
        <f t="shared" si="4"/>
        <v>#N/A</v>
      </c>
      <c r="E317" s="11"/>
      <c r="F317" s="11"/>
      <c r="G317" s="9"/>
      <c r="H317" s="10"/>
      <c r="I317" s="19"/>
      <c r="J317" s="142"/>
      <c r="K317" s="142"/>
      <c r="L317" s="61"/>
      <c r="M317" s="164"/>
      <c r="N317" s="142"/>
      <c r="O317" s="61"/>
      <c r="P317" s="168"/>
      <c r="Q3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7" s="36"/>
      <c r="S317" s="90"/>
    </row>
    <row r="318" spans="1:19" ht="30" hidden="1" customHeight="1">
      <c r="A318" s="9"/>
      <c r="B318" s="13" t="e">
        <f>VLOOKUP(Table2[[#This Row],[Location 
(drop-down)]],'List source'!D$2:E$71,2,FALSE)</f>
        <v>#N/A</v>
      </c>
      <c r="C318" s="11" t="s">
        <v>435</v>
      </c>
      <c r="D318" s="183" t="e">
        <f t="shared" si="4"/>
        <v>#N/A</v>
      </c>
      <c r="E318" s="11"/>
      <c r="F318" s="11"/>
      <c r="G318" s="9"/>
      <c r="H318" s="10"/>
      <c r="I318" s="19"/>
      <c r="J318" s="142"/>
      <c r="K318" s="142"/>
      <c r="L318" s="61"/>
      <c r="M318" s="164"/>
      <c r="N318" s="142"/>
      <c r="O318" s="61"/>
      <c r="P318" s="168"/>
      <c r="Q3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8" s="36"/>
      <c r="S318" s="90"/>
    </row>
    <row r="319" spans="1:19" ht="30" hidden="1" customHeight="1">
      <c r="A319" s="9"/>
      <c r="B319" s="13" t="e">
        <f>VLOOKUP(Table2[[#This Row],[Location 
(drop-down)]],'List source'!D$2:E$71,2,FALSE)</f>
        <v>#N/A</v>
      </c>
      <c r="C319" s="11" t="s">
        <v>436</v>
      </c>
      <c r="D319" s="183" t="e">
        <f t="shared" si="4"/>
        <v>#N/A</v>
      </c>
      <c r="E319" s="11"/>
      <c r="F319" s="11"/>
      <c r="G319" s="9"/>
      <c r="H319" s="10"/>
      <c r="I319" s="19"/>
      <c r="J319" s="142"/>
      <c r="K319" s="142"/>
      <c r="L319" s="61"/>
      <c r="M319" s="164"/>
      <c r="N319" s="142"/>
      <c r="O319" s="61"/>
      <c r="P319" s="168"/>
      <c r="Q3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19" s="36"/>
      <c r="S319" s="90"/>
    </row>
    <row r="320" spans="1:19" ht="30" hidden="1" customHeight="1">
      <c r="A320" s="9"/>
      <c r="B320" s="13" t="e">
        <f>VLOOKUP(Table2[[#This Row],[Location 
(drop-down)]],'List source'!D$2:E$71,2,FALSE)</f>
        <v>#N/A</v>
      </c>
      <c r="C320" s="11" t="s">
        <v>437</v>
      </c>
      <c r="D320" s="183" t="e">
        <f t="shared" si="4"/>
        <v>#N/A</v>
      </c>
      <c r="E320" s="11"/>
      <c r="F320" s="11"/>
      <c r="G320" s="67"/>
      <c r="H320" s="10"/>
      <c r="I320" s="19"/>
      <c r="J320" s="142"/>
      <c r="K320" s="142"/>
      <c r="L320" s="61"/>
      <c r="M320" s="164"/>
      <c r="N320" s="142"/>
      <c r="O320" s="61"/>
      <c r="P320" s="168"/>
      <c r="Q3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0" s="36"/>
      <c r="S320" s="90"/>
    </row>
    <row r="321" spans="1:19" ht="30" hidden="1" customHeight="1">
      <c r="A321" s="9"/>
      <c r="B321" s="13" t="e">
        <f>VLOOKUP(Table2[[#This Row],[Location 
(drop-down)]],'List source'!D$2:E$71,2,FALSE)</f>
        <v>#N/A</v>
      </c>
      <c r="C321" s="11" t="s">
        <v>438</v>
      </c>
      <c r="D321" s="183" t="e">
        <f t="shared" si="4"/>
        <v>#N/A</v>
      </c>
      <c r="E321" s="11"/>
      <c r="F321" s="11"/>
      <c r="G321" s="243"/>
      <c r="H321" s="10"/>
      <c r="I321" s="19"/>
      <c r="J321" s="142"/>
      <c r="K321" s="142"/>
      <c r="L321" s="61"/>
      <c r="M321" s="164"/>
      <c r="N321" s="142"/>
      <c r="O321" s="61"/>
      <c r="P321" s="168"/>
      <c r="Q3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1" s="36"/>
      <c r="S321" s="90"/>
    </row>
    <row r="322" spans="1:19" ht="30" hidden="1" customHeight="1">
      <c r="A322" s="9"/>
      <c r="B322" s="13" t="e">
        <f>VLOOKUP(Table2[[#This Row],[Location 
(drop-down)]],'List source'!D$2:E$71,2,FALSE)</f>
        <v>#N/A</v>
      </c>
      <c r="C322" s="11" t="s">
        <v>439</v>
      </c>
      <c r="D322" s="183" t="e">
        <f t="shared" ref="D322:D385" si="5">"C" &amp; C322 &amp;"-" &amp; B322 &amp; "-" &amp; "26"</f>
        <v>#N/A</v>
      </c>
      <c r="E322" s="11"/>
      <c r="F322" s="11"/>
      <c r="G322" s="9"/>
      <c r="H322" s="10"/>
      <c r="I322" s="19"/>
      <c r="J322" s="142"/>
      <c r="K322" s="142"/>
      <c r="L322" s="61"/>
      <c r="M322" s="164"/>
      <c r="N322" s="142"/>
      <c r="O322" s="61"/>
      <c r="P322" s="168"/>
      <c r="Q3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2" s="36"/>
      <c r="S322" s="90"/>
    </row>
    <row r="323" spans="1:19" ht="30" hidden="1" customHeight="1">
      <c r="A323" s="9"/>
      <c r="B323" s="13" t="e">
        <f>VLOOKUP(Table2[[#This Row],[Location 
(drop-down)]],'List source'!D$2:E$71,2,FALSE)</f>
        <v>#N/A</v>
      </c>
      <c r="C323" s="11" t="s">
        <v>440</v>
      </c>
      <c r="D323" s="183" t="e">
        <f t="shared" si="5"/>
        <v>#N/A</v>
      </c>
      <c r="E323" s="11"/>
      <c r="F323" s="11"/>
      <c r="G323" s="9"/>
      <c r="H323" s="10"/>
      <c r="I323" s="19"/>
      <c r="J323" s="142"/>
      <c r="K323" s="142"/>
      <c r="L323" s="61"/>
      <c r="M323" s="164"/>
      <c r="N323" s="142"/>
      <c r="O323" s="61"/>
      <c r="P323" s="168"/>
      <c r="Q3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3" s="36"/>
      <c r="S323" s="90"/>
    </row>
    <row r="324" spans="1:19" ht="30" hidden="1" customHeight="1">
      <c r="A324" s="9"/>
      <c r="B324" s="13" t="e">
        <f>VLOOKUP(Table2[[#This Row],[Location 
(drop-down)]],'List source'!D$2:E$71,2,FALSE)</f>
        <v>#N/A</v>
      </c>
      <c r="C324" s="11" t="s">
        <v>441</v>
      </c>
      <c r="D324" s="183" t="e">
        <f t="shared" si="5"/>
        <v>#N/A</v>
      </c>
      <c r="E324" s="11"/>
      <c r="F324" s="11"/>
      <c r="G324" s="9"/>
      <c r="H324" s="10"/>
      <c r="I324" s="19"/>
      <c r="J324" s="142"/>
      <c r="K324" s="142"/>
      <c r="L324" s="61"/>
      <c r="M324" s="164"/>
      <c r="N324" s="142"/>
      <c r="O324" s="61"/>
      <c r="P324" s="168"/>
      <c r="Q3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4" s="36"/>
      <c r="S324" s="90"/>
    </row>
    <row r="325" spans="1:19" ht="30" hidden="1" customHeight="1">
      <c r="A325" s="9"/>
      <c r="B325" s="13" t="e">
        <f>VLOOKUP(Table2[[#This Row],[Location 
(drop-down)]],'List source'!D$2:E$71,2,FALSE)</f>
        <v>#N/A</v>
      </c>
      <c r="C325" s="11" t="s">
        <v>442</v>
      </c>
      <c r="D325" s="183" t="e">
        <f t="shared" si="5"/>
        <v>#N/A</v>
      </c>
      <c r="E325" s="11"/>
      <c r="F325" s="11"/>
      <c r="G325" s="9"/>
      <c r="H325" s="10"/>
      <c r="I325" s="19"/>
      <c r="J325" s="142"/>
      <c r="K325" s="142"/>
      <c r="L325" s="61"/>
      <c r="M325" s="164"/>
      <c r="N325" s="142"/>
      <c r="O325" s="61"/>
      <c r="P325" s="168"/>
      <c r="Q3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5" s="36"/>
      <c r="S325" s="90"/>
    </row>
    <row r="326" spans="1:19" ht="30" hidden="1" customHeight="1">
      <c r="A326" s="9"/>
      <c r="B326" s="13" t="e">
        <f>VLOOKUP(Table2[[#This Row],[Location 
(drop-down)]],'List source'!D$2:E$71,2,FALSE)</f>
        <v>#N/A</v>
      </c>
      <c r="C326" s="11" t="s">
        <v>443</v>
      </c>
      <c r="D326" s="183" t="e">
        <f t="shared" si="5"/>
        <v>#N/A</v>
      </c>
      <c r="E326" s="11"/>
      <c r="F326" s="11"/>
      <c r="G326" s="9"/>
      <c r="H326" s="10"/>
      <c r="I326" s="19"/>
      <c r="J326" s="142"/>
      <c r="K326" s="142"/>
      <c r="L326" s="61"/>
      <c r="M326" s="164"/>
      <c r="N326" s="142"/>
      <c r="O326" s="61"/>
      <c r="P326" s="168"/>
      <c r="Q3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6" s="36"/>
      <c r="S326" s="90"/>
    </row>
    <row r="327" spans="1:19" ht="30" hidden="1" customHeight="1">
      <c r="A327" s="9"/>
      <c r="B327" s="13" t="e">
        <f>VLOOKUP(Table2[[#This Row],[Location 
(drop-down)]],'List source'!D$2:E$71,2,FALSE)</f>
        <v>#N/A</v>
      </c>
      <c r="C327" s="11" t="s">
        <v>444</v>
      </c>
      <c r="D327" s="183" t="e">
        <f t="shared" si="5"/>
        <v>#N/A</v>
      </c>
      <c r="E327" s="11"/>
      <c r="F327" s="11"/>
      <c r="G327" s="244"/>
      <c r="H327" s="10"/>
      <c r="I327" s="19"/>
      <c r="J327" s="142"/>
      <c r="K327" s="142"/>
      <c r="L327" s="61"/>
      <c r="M327" s="164"/>
      <c r="N327" s="142"/>
      <c r="O327" s="61"/>
      <c r="P327" s="168"/>
      <c r="Q3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7" s="36"/>
      <c r="S327" s="90"/>
    </row>
    <row r="328" spans="1:19" ht="30" hidden="1" customHeight="1">
      <c r="A328" s="9"/>
      <c r="B328" s="13" t="e">
        <f>VLOOKUP(Table2[[#This Row],[Location 
(drop-down)]],'List source'!D$2:E$71,2,FALSE)</f>
        <v>#N/A</v>
      </c>
      <c r="C328" s="11" t="s">
        <v>445</v>
      </c>
      <c r="D328" s="183" t="e">
        <f t="shared" si="5"/>
        <v>#N/A</v>
      </c>
      <c r="E328" s="11"/>
      <c r="F328" s="11"/>
      <c r="G328" s="9"/>
      <c r="H328" s="10"/>
      <c r="I328" s="19"/>
      <c r="J328" s="142"/>
      <c r="K328" s="142"/>
      <c r="L328" s="142"/>
      <c r="M328" s="142"/>
      <c r="N328" s="142"/>
      <c r="O328" s="61"/>
      <c r="P328" s="168"/>
      <c r="Q3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8" s="36"/>
      <c r="S328" s="90"/>
    </row>
    <row r="329" spans="1:19" ht="30" hidden="1" customHeight="1">
      <c r="A329" s="9"/>
      <c r="B329" s="13" t="e">
        <f>VLOOKUP(Table2[[#This Row],[Location 
(drop-down)]],'List source'!D$2:E$71,2,FALSE)</f>
        <v>#N/A</v>
      </c>
      <c r="C329" s="11" t="s">
        <v>446</v>
      </c>
      <c r="D329" s="183" t="e">
        <f t="shared" si="5"/>
        <v>#N/A</v>
      </c>
      <c r="E329" s="11"/>
      <c r="F329" s="11"/>
      <c r="G329" s="9"/>
      <c r="H329" s="10"/>
      <c r="I329" s="19"/>
      <c r="J329" s="142"/>
      <c r="K329" s="142"/>
      <c r="L329" s="142"/>
      <c r="M329" s="142"/>
      <c r="N329" s="142"/>
      <c r="O329" s="61"/>
      <c r="P329" s="168"/>
      <c r="Q3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29" s="36"/>
      <c r="S329" s="90"/>
    </row>
    <row r="330" spans="1:19" ht="30" hidden="1" customHeight="1">
      <c r="A330" s="9"/>
      <c r="B330" s="13" t="e">
        <f>VLOOKUP(Table2[[#This Row],[Location 
(drop-down)]],'List source'!D$2:E$71,2,FALSE)</f>
        <v>#N/A</v>
      </c>
      <c r="C330" s="11" t="s">
        <v>447</v>
      </c>
      <c r="D330" s="183" t="e">
        <f t="shared" si="5"/>
        <v>#N/A</v>
      </c>
      <c r="E330" s="11"/>
      <c r="F330" s="11"/>
      <c r="G330" s="9"/>
      <c r="H330" s="10"/>
      <c r="I330" s="19"/>
      <c r="J330" s="142"/>
      <c r="K330" s="142"/>
      <c r="L330" s="142"/>
      <c r="M330" s="142"/>
      <c r="N330" s="142"/>
      <c r="O330" s="61"/>
      <c r="P330" s="168"/>
      <c r="Q3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0" s="36"/>
      <c r="S330" s="90"/>
    </row>
    <row r="331" spans="1:19" ht="30" hidden="1" customHeight="1">
      <c r="A331" s="9"/>
      <c r="B331" s="13" t="e">
        <f>VLOOKUP(Table2[[#This Row],[Location 
(drop-down)]],'List source'!D$2:E$71,2,FALSE)</f>
        <v>#N/A</v>
      </c>
      <c r="C331" s="11" t="s">
        <v>448</v>
      </c>
      <c r="D331" s="183" t="e">
        <f t="shared" si="5"/>
        <v>#N/A</v>
      </c>
      <c r="E331" s="11"/>
      <c r="F331" s="11"/>
      <c r="G331" s="9"/>
      <c r="H331" s="10"/>
      <c r="I331" s="19"/>
      <c r="J331" s="142"/>
      <c r="K331" s="142"/>
      <c r="L331" s="142"/>
      <c r="M331" s="142"/>
      <c r="N331" s="142"/>
      <c r="O331" s="61"/>
      <c r="P331" s="168"/>
      <c r="Q3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1" s="36"/>
      <c r="S331" s="90"/>
    </row>
    <row r="332" spans="1:19" ht="30" hidden="1" customHeight="1">
      <c r="A332" s="9"/>
      <c r="B332" s="13" t="e">
        <f>VLOOKUP(Table2[[#This Row],[Location 
(drop-down)]],'List source'!D$2:E$71,2,FALSE)</f>
        <v>#N/A</v>
      </c>
      <c r="C332" s="11" t="s">
        <v>449</v>
      </c>
      <c r="D332" s="183" t="e">
        <f t="shared" si="5"/>
        <v>#N/A</v>
      </c>
      <c r="E332" s="11"/>
      <c r="F332" s="11"/>
      <c r="G332" s="9"/>
      <c r="H332" s="10"/>
      <c r="I332" s="19"/>
      <c r="J332" s="142"/>
      <c r="K332" s="142"/>
      <c r="L332" s="142"/>
      <c r="M332" s="142"/>
      <c r="N332" s="142"/>
      <c r="O332" s="61"/>
      <c r="P332" s="168"/>
      <c r="Q3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2" s="36"/>
      <c r="S332" s="90"/>
    </row>
    <row r="333" spans="1:19" ht="30" hidden="1" customHeight="1">
      <c r="A333" s="9"/>
      <c r="B333" s="13" t="e">
        <f>VLOOKUP(Table2[[#This Row],[Location 
(drop-down)]],'List source'!D$2:E$71,2,FALSE)</f>
        <v>#N/A</v>
      </c>
      <c r="C333" s="11" t="s">
        <v>450</v>
      </c>
      <c r="D333" s="183" t="e">
        <f t="shared" si="5"/>
        <v>#N/A</v>
      </c>
      <c r="E333" s="11"/>
      <c r="F333" s="11"/>
      <c r="G333" s="9"/>
      <c r="H333" s="10"/>
      <c r="I333" s="19"/>
      <c r="J333" s="142"/>
      <c r="K333" s="142"/>
      <c r="L333" s="142"/>
      <c r="M333" s="142"/>
      <c r="N333" s="142"/>
      <c r="O333" s="61"/>
      <c r="P333" s="168"/>
      <c r="Q3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3" s="36"/>
      <c r="S333" s="90"/>
    </row>
    <row r="334" spans="1:19" ht="30" hidden="1" customHeight="1">
      <c r="A334" s="9"/>
      <c r="B334" s="13" t="e">
        <f>VLOOKUP(Table2[[#This Row],[Location 
(drop-down)]],'List source'!D$2:E$71,2,FALSE)</f>
        <v>#N/A</v>
      </c>
      <c r="C334" s="11" t="s">
        <v>451</v>
      </c>
      <c r="D334" s="183" t="e">
        <f t="shared" si="5"/>
        <v>#N/A</v>
      </c>
      <c r="E334" s="11"/>
      <c r="F334" s="11"/>
      <c r="G334" s="9"/>
      <c r="H334" s="10"/>
      <c r="I334" s="19"/>
      <c r="J334" s="142"/>
      <c r="K334" s="142"/>
      <c r="L334" s="142"/>
      <c r="M334" s="142"/>
      <c r="N334" s="142"/>
      <c r="O334" s="61"/>
      <c r="P334" s="168"/>
      <c r="Q3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4" s="36"/>
      <c r="S334" s="90"/>
    </row>
    <row r="335" spans="1:19" ht="30" hidden="1" customHeight="1">
      <c r="A335" s="9"/>
      <c r="B335" s="13" t="e">
        <f>VLOOKUP(Table2[[#This Row],[Location 
(drop-down)]],'List source'!D$2:E$71,2,FALSE)</f>
        <v>#N/A</v>
      </c>
      <c r="C335" s="11" t="s">
        <v>452</v>
      </c>
      <c r="D335" s="183" t="e">
        <f t="shared" si="5"/>
        <v>#N/A</v>
      </c>
      <c r="E335" s="11"/>
      <c r="F335" s="11"/>
      <c r="G335" s="9"/>
      <c r="H335" s="10"/>
      <c r="I335" s="19"/>
      <c r="J335" s="142"/>
      <c r="K335" s="142"/>
      <c r="L335" s="142"/>
      <c r="M335" s="142"/>
      <c r="N335" s="142"/>
      <c r="O335" s="61"/>
      <c r="P335" s="168"/>
      <c r="Q3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5" s="36"/>
      <c r="S335" s="90"/>
    </row>
    <row r="336" spans="1:19" ht="30" hidden="1" customHeight="1">
      <c r="A336" s="9"/>
      <c r="B336" s="13" t="e">
        <f>VLOOKUP(Table2[[#This Row],[Location 
(drop-down)]],'List source'!D$2:E$71,2,FALSE)</f>
        <v>#N/A</v>
      </c>
      <c r="C336" s="11" t="s">
        <v>453</v>
      </c>
      <c r="D336" s="183" t="e">
        <f t="shared" si="5"/>
        <v>#N/A</v>
      </c>
      <c r="E336" s="11"/>
      <c r="F336" s="11"/>
      <c r="G336" s="9"/>
      <c r="H336" s="10"/>
      <c r="I336" s="19"/>
      <c r="J336" s="142"/>
      <c r="K336" s="142"/>
      <c r="L336" s="61"/>
      <c r="M336" s="164"/>
      <c r="N336" s="142"/>
      <c r="O336" s="61"/>
      <c r="P336" s="168"/>
      <c r="Q3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6" s="36"/>
      <c r="S336" s="90"/>
    </row>
    <row r="337" spans="1:19" ht="30" hidden="1" customHeight="1">
      <c r="A337" s="9"/>
      <c r="B337" s="13" t="e">
        <f>VLOOKUP(Table2[[#This Row],[Location 
(drop-down)]],'List source'!D$2:E$71,2,FALSE)</f>
        <v>#N/A</v>
      </c>
      <c r="C337" s="11" t="s">
        <v>454</v>
      </c>
      <c r="D337" s="183" t="e">
        <f t="shared" si="5"/>
        <v>#N/A</v>
      </c>
      <c r="E337" s="11"/>
      <c r="F337" s="11"/>
      <c r="G337" s="9"/>
      <c r="H337" s="10"/>
      <c r="I337" s="19"/>
      <c r="J337" s="142"/>
      <c r="K337" s="142"/>
      <c r="L337" s="61"/>
      <c r="M337" s="164"/>
      <c r="N337" s="142"/>
      <c r="O337" s="61"/>
      <c r="P337" s="168"/>
      <c r="Q3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7" s="36"/>
      <c r="S337" s="90"/>
    </row>
    <row r="338" spans="1:19" ht="30" hidden="1" customHeight="1">
      <c r="A338" s="9"/>
      <c r="B338" s="13" t="e">
        <f>VLOOKUP(Table2[[#This Row],[Location 
(drop-down)]],'List source'!D$2:E$71,2,FALSE)</f>
        <v>#N/A</v>
      </c>
      <c r="C338" s="11" t="s">
        <v>455</v>
      </c>
      <c r="D338" s="183" t="e">
        <f t="shared" si="5"/>
        <v>#N/A</v>
      </c>
      <c r="E338" s="11"/>
      <c r="F338" s="11"/>
      <c r="G338" s="9"/>
      <c r="H338" s="10"/>
      <c r="I338" s="19"/>
      <c r="J338" s="142"/>
      <c r="K338" s="142"/>
      <c r="L338" s="61"/>
      <c r="M338" s="164"/>
      <c r="N338" s="142"/>
      <c r="O338" s="61"/>
      <c r="P338" s="168"/>
      <c r="Q3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8" s="36"/>
      <c r="S338" s="90"/>
    </row>
    <row r="339" spans="1:19" ht="30" hidden="1" customHeight="1">
      <c r="A339" s="9"/>
      <c r="B339" s="13" t="e">
        <f>VLOOKUP(Table2[[#This Row],[Location 
(drop-down)]],'List source'!D$2:E$71,2,FALSE)</f>
        <v>#N/A</v>
      </c>
      <c r="C339" s="11" t="s">
        <v>456</v>
      </c>
      <c r="D339" s="183" t="e">
        <f t="shared" si="5"/>
        <v>#N/A</v>
      </c>
      <c r="E339" s="11"/>
      <c r="F339" s="11"/>
      <c r="G339" s="9"/>
      <c r="H339" s="10"/>
      <c r="I339" s="19"/>
      <c r="J339" s="142"/>
      <c r="K339" s="142"/>
      <c r="L339" s="61"/>
      <c r="M339" s="164"/>
      <c r="N339" s="142"/>
      <c r="O339" s="61"/>
      <c r="P339" s="168"/>
      <c r="Q3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39" s="36"/>
      <c r="S339" s="90"/>
    </row>
    <row r="340" spans="1:19" ht="30" hidden="1" customHeight="1">
      <c r="A340" s="9"/>
      <c r="B340" s="13" t="e">
        <f>VLOOKUP(Table2[[#This Row],[Location 
(drop-down)]],'List source'!D$2:E$71,2,FALSE)</f>
        <v>#N/A</v>
      </c>
      <c r="C340" s="11" t="s">
        <v>457</v>
      </c>
      <c r="D340" s="183" t="e">
        <f t="shared" si="5"/>
        <v>#N/A</v>
      </c>
      <c r="E340" s="11"/>
      <c r="F340" s="11"/>
      <c r="G340" s="9"/>
      <c r="H340" s="10"/>
      <c r="I340" s="19"/>
      <c r="J340" s="142"/>
      <c r="K340" s="142"/>
      <c r="L340" s="61"/>
      <c r="M340" s="164"/>
      <c r="N340" s="142"/>
      <c r="O340" s="61"/>
      <c r="P340" s="168"/>
      <c r="Q3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0" s="36"/>
      <c r="S340" s="90"/>
    </row>
    <row r="341" spans="1:19" ht="30" hidden="1" customHeight="1">
      <c r="A341" s="9"/>
      <c r="B341" s="13" t="e">
        <f>VLOOKUP(Table2[[#This Row],[Location 
(drop-down)]],'List source'!D$2:E$71,2,FALSE)</f>
        <v>#N/A</v>
      </c>
      <c r="C341" s="11" t="s">
        <v>458</v>
      </c>
      <c r="D341" s="183" t="e">
        <f t="shared" si="5"/>
        <v>#N/A</v>
      </c>
      <c r="E341" s="11"/>
      <c r="F341" s="11"/>
      <c r="G341" s="9"/>
      <c r="H341" s="10"/>
      <c r="I341" s="19"/>
      <c r="J341" s="142"/>
      <c r="K341" s="142"/>
      <c r="L341" s="142"/>
      <c r="M341" s="142"/>
      <c r="N341" s="142"/>
      <c r="O341" s="61"/>
      <c r="P341" s="168"/>
      <c r="Q3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1" s="36"/>
      <c r="S341" s="90"/>
    </row>
    <row r="342" spans="1:19" ht="30" hidden="1" customHeight="1">
      <c r="A342" s="9"/>
      <c r="B342" s="13" t="e">
        <f>VLOOKUP(Table2[[#This Row],[Location 
(drop-down)]],'List source'!D$2:E$71,2,FALSE)</f>
        <v>#N/A</v>
      </c>
      <c r="C342" s="11" t="s">
        <v>459</v>
      </c>
      <c r="D342" s="183" t="e">
        <f t="shared" si="5"/>
        <v>#N/A</v>
      </c>
      <c r="E342" s="11"/>
      <c r="F342" s="11"/>
      <c r="G342" s="9"/>
      <c r="H342" s="10"/>
      <c r="I342" s="19"/>
      <c r="J342" s="142"/>
      <c r="K342" s="142"/>
      <c r="L342" s="142"/>
      <c r="M342" s="142"/>
      <c r="N342" s="142"/>
      <c r="O342" s="61"/>
      <c r="P342" s="168"/>
      <c r="Q3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2" s="36"/>
      <c r="S342" s="90"/>
    </row>
    <row r="343" spans="1:19" ht="30" hidden="1" customHeight="1">
      <c r="A343" s="9"/>
      <c r="B343" s="13" t="e">
        <f>VLOOKUP(Table2[[#This Row],[Location 
(drop-down)]],'List source'!D$2:E$71,2,FALSE)</f>
        <v>#N/A</v>
      </c>
      <c r="C343" s="11" t="s">
        <v>460</v>
      </c>
      <c r="D343" s="183" t="e">
        <f t="shared" si="5"/>
        <v>#N/A</v>
      </c>
      <c r="E343" s="11"/>
      <c r="F343" s="11"/>
      <c r="G343" s="9"/>
      <c r="H343" s="10"/>
      <c r="I343" s="19"/>
      <c r="J343" s="142"/>
      <c r="K343" s="142"/>
      <c r="L343" s="142"/>
      <c r="M343" s="142"/>
      <c r="N343" s="142"/>
      <c r="O343" s="61"/>
      <c r="P343" s="168"/>
      <c r="Q3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3" s="36"/>
      <c r="S343" s="90"/>
    </row>
    <row r="344" spans="1:19" ht="30" hidden="1" customHeight="1">
      <c r="A344" s="9"/>
      <c r="B344" s="13" t="e">
        <f>VLOOKUP(Table2[[#This Row],[Location 
(drop-down)]],'List source'!D$2:E$71,2,FALSE)</f>
        <v>#N/A</v>
      </c>
      <c r="C344" s="11" t="s">
        <v>461</v>
      </c>
      <c r="D344" s="183" t="e">
        <f t="shared" si="5"/>
        <v>#N/A</v>
      </c>
      <c r="E344" s="11"/>
      <c r="F344" s="11"/>
      <c r="G344" s="9"/>
      <c r="H344" s="10"/>
      <c r="I344" s="19"/>
      <c r="J344" s="142"/>
      <c r="K344" s="142"/>
      <c r="L344" s="61"/>
      <c r="M344" s="164"/>
      <c r="N344" s="142"/>
      <c r="O344" s="61"/>
      <c r="P344" s="168"/>
      <c r="Q3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4" s="217"/>
      <c r="S344" s="90"/>
    </row>
    <row r="345" spans="1:19" ht="30" hidden="1" customHeight="1">
      <c r="A345" s="9"/>
      <c r="B345" s="13" t="e">
        <f>VLOOKUP(Table2[[#This Row],[Location 
(drop-down)]],'List source'!D$2:E$71,2,FALSE)</f>
        <v>#N/A</v>
      </c>
      <c r="C345" s="11" t="s">
        <v>462</v>
      </c>
      <c r="D345" s="183" t="e">
        <f t="shared" si="5"/>
        <v>#N/A</v>
      </c>
      <c r="E345" s="11"/>
      <c r="F345" s="11"/>
      <c r="G345" s="9"/>
      <c r="H345" s="10"/>
      <c r="I345" s="19"/>
      <c r="J345" s="142"/>
      <c r="K345" s="142"/>
      <c r="L345" s="61"/>
      <c r="M345" s="164"/>
      <c r="N345" s="142"/>
      <c r="O345" s="61"/>
      <c r="P345" s="168"/>
      <c r="Q3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5" s="217"/>
      <c r="S345" s="90"/>
    </row>
    <row r="346" spans="1:19" ht="30" hidden="1" customHeight="1">
      <c r="A346" s="9"/>
      <c r="B346" s="13" t="e">
        <f>VLOOKUP(Table2[[#This Row],[Location 
(drop-down)]],'List source'!D$2:E$71,2,FALSE)</f>
        <v>#N/A</v>
      </c>
      <c r="C346" s="11" t="s">
        <v>463</v>
      </c>
      <c r="D346" s="183" t="e">
        <f t="shared" si="5"/>
        <v>#N/A</v>
      </c>
      <c r="E346" s="11"/>
      <c r="F346" s="11"/>
      <c r="G346" s="9"/>
      <c r="H346" s="10"/>
      <c r="I346" s="19"/>
      <c r="J346" s="142"/>
      <c r="K346" s="142"/>
      <c r="L346" s="61"/>
      <c r="M346" s="164"/>
      <c r="N346" s="142"/>
      <c r="O346" s="61"/>
      <c r="P346" s="168"/>
      <c r="Q3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6" s="217"/>
      <c r="S346" s="90"/>
    </row>
    <row r="347" spans="1:19" ht="30" hidden="1" customHeight="1">
      <c r="A347" s="9"/>
      <c r="B347" s="13" t="e">
        <f>VLOOKUP(Table2[[#This Row],[Location 
(drop-down)]],'List source'!D$2:E$71,2,FALSE)</f>
        <v>#N/A</v>
      </c>
      <c r="C347" s="11" t="s">
        <v>464</v>
      </c>
      <c r="D347" s="183" t="e">
        <f t="shared" si="5"/>
        <v>#N/A</v>
      </c>
      <c r="E347" s="11"/>
      <c r="F347" s="11"/>
      <c r="G347" s="9"/>
      <c r="H347" s="10"/>
      <c r="I347" s="19"/>
      <c r="J347" s="142"/>
      <c r="K347" s="142"/>
      <c r="L347" s="61"/>
      <c r="M347" s="164"/>
      <c r="N347" s="142"/>
      <c r="O347" s="61"/>
      <c r="P347" s="168"/>
      <c r="Q3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7" s="217"/>
      <c r="S347" s="90"/>
    </row>
    <row r="348" spans="1:19" ht="30" hidden="1" customHeight="1">
      <c r="A348" s="9"/>
      <c r="B348" s="13" t="e">
        <f>VLOOKUP(Table2[[#This Row],[Location 
(drop-down)]],'List source'!D$2:E$71,2,FALSE)</f>
        <v>#N/A</v>
      </c>
      <c r="C348" s="11" t="s">
        <v>465</v>
      </c>
      <c r="D348" s="183" t="e">
        <f t="shared" si="5"/>
        <v>#N/A</v>
      </c>
      <c r="E348" s="11"/>
      <c r="F348" s="11"/>
      <c r="G348" s="9"/>
      <c r="H348" s="10"/>
      <c r="I348" s="19"/>
      <c r="J348" s="142"/>
      <c r="K348" s="142"/>
      <c r="L348" s="61"/>
      <c r="M348" s="164"/>
      <c r="N348" s="142"/>
      <c r="O348" s="61"/>
      <c r="P348" s="168"/>
      <c r="Q3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8" s="36"/>
      <c r="S348" s="90"/>
    </row>
    <row r="349" spans="1:19" ht="30" hidden="1" customHeight="1">
      <c r="A349" s="9"/>
      <c r="B349" s="13" t="e">
        <f>VLOOKUP(Table2[[#This Row],[Location 
(drop-down)]],'List source'!D$2:E$71,2,FALSE)</f>
        <v>#N/A</v>
      </c>
      <c r="C349" s="11" t="s">
        <v>466</v>
      </c>
      <c r="D349" s="183" t="e">
        <f t="shared" si="5"/>
        <v>#N/A</v>
      </c>
      <c r="E349" s="11"/>
      <c r="F349" s="11"/>
      <c r="G349" s="9"/>
      <c r="H349" s="10"/>
      <c r="I349" s="19"/>
      <c r="J349" s="142"/>
      <c r="K349" s="142"/>
      <c r="L349" s="61"/>
      <c r="M349" s="164"/>
      <c r="N349" s="142"/>
      <c r="O349" s="61"/>
      <c r="P349" s="168"/>
      <c r="Q3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49" s="36"/>
      <c r="S349" s="90"/>
    </row>
    <row r="350" spans="1:19" ht="30" hidden="1" customHeight="1">
      <c r="A350" s="9"/>
      <c r="B350" s="13" t="e">
        <f>VLOOKUP(Table2[[#This Row],[Location 
(drop-down)]],'List source'!D$2:E$71,2,FALSE)</f>
        <v>#N/A</v>
      </c>
      <c r="C350" s="11" t="s">
        <v>467</v>
      </c>
      <c r="D350" s="183" t="e">
        <f t="shared" si="5"/>
        <v>#N/A</v>
      </c>
      <c r="E350" s="11"/>
      <c r="F350" s="11"/>
      <c r="G350" s="9"/>
      <c r="H350" s="10"/>
      <c r="I350" s="19"/>
      <c r="J350" s="142"/>
      <c r="K350" s="142"/>
      <c r="L350" s="61"/>
      <c r="M350" s="164"/>
      <c r="N350" s="142"/>
      <c r="O350" s="61"/>
      <c r="P350" s="168"/>
      <c r="Q3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0" s="36"/>
      <c r="S350" s="90"/>
    </row>
    <row r="351" spans="1:19" ht="30" hidden="1" customHeight="1">
      <c r="A351" s="9"/>
      <c r="B351" s="13" t="e">
        <f>VLOOKUP(Table2[[#This Row],[Location 
(drop-down)]],'List source'!D$2:E$71,2,FALSE)</f>
        <v>#N/A</v>
      </c>
      <c r="C351" s="11" t="s">
        <v>468</v>
      </c>
      <c r="D351" s="183" t="e">
        <f t="shared" si="5"/>
        <v>#N/A</v>
      </c>
      <c r="E351" s="11"/>
      <c r="F351" s="11"/>
      <c r="G351" s="73"/>
      <c r="H351" s="10"/>
      <c r="I351" s="19"/>
      <c r="J351" s="142"/>
      <c r="K351" s="142"/>
      <c r="L351" s="61"/>
      <c r="M351" s="164"/>
      <c r="N351" s="142"/>
      <c r="O351" s="61"/>
      <c r="P351" s="168"/>
      <c r="Q3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1" s="36"/>
      <c r="S351" s="90"/>
    </row>
    <row r="352" spans="1:19" ht="30" hidden="1" customHeight="1">
      <c r="A352" s="9"/>
      <c r="B352" s="13" t="e">
        <f>VLOOKUP(Table2[[#This Row],[Location 
(drop-down)]],'List source'!D$2:E$71,2,FALSE)</f>
        <v>#N/A</v>
      </c>
      <c r="C352" s="11" t="s">
        <v>469</v>
      </c>
      <c r="D352" s="183" t="e">
        <f t="shared" si="5"/>
        <v>#N/A</v>
      </c>
      <c r="E352" s="11"/>
      <c r="F352" s="11"/>
      <c r="G352" s="73"/>
      <c r="H352" s="10"/>
      <c r="I352" s="19"/>
      <c r="J352" s="142"/>
      <c r="K352" s="142"/>
      <c r="L352" s="61"/>
      <c r="M352" s="164"/>
      <c r="N352" s="142"/>
      <c r="O352" s="61"/>
      <c r="P352" s="168"/>
      <c r="Q3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2" s="36"/>
      <c r="S352" s="90"/>
    </row>
    <row r="353" spans="1:19" ht="30" hidden="1" customHeight="1">
      <c r="A353" s="9"/>
      <c r="B353" s="13" t="e">
        <f>VLOOKUP(Table2[[#This Row],[Location 
(drop-down)]],'List source'!D$2:E$71,2,FALSE)</f>
        <v>#N/A</v>
      </c>
      <c r="C353" s="11" t="s">
        <v>470</v>
      </c>
      <c r="D353" s="183" t="e">
        <f t="shared" si="5"/>
        <v>#N/A</v>
      </c>
      <c r="E353" s="11"/>
      <c r="F353" s="11"/>
      <c r="G353" s="73"/>
      <c r="H353" s="10"/>
      <c r="I353" s="19"/>
      <c r="J353" s="142"/>
      <c r="K353" s="142"/>
      <c r="L353" s="61"/>
      <c r="M353" s="164"/>
      <c r="N353" s="142"/>
      <c r="O353" s="61"/>
      <c r="P353" s="168"/>
      <c r="Q3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3" s="36"/>
      <c r="S353" s="90"/>
    </row>
    <row r="354" spans="1:19" ht="30" hidden="1" customHeight="1">
      <c r="A354" s="9"/>
      <c r="B354" s="13" t="e">
        <f>VLOOKUP(Table2[[#This Row],[Location 
(drop-down)]],'List source'!D$2:E$71,2,FALSE)</f>
        <v>#N/A</v>
      </c>
      <c r="C354" s="11" t="s">
        <v>471</v>
      </c>
      <c r="D354" s="183" t="e">
        <f t="shared" si="5"/>
        <v>#N/A</v>
      </c>
      <c r="E354" s="11"/>
      <c r="F354" s="11"/>
      <c r="G354" s="73"/>
      <c r="H354" s="10"/>
      <c r="I354" s="19"/>
      <c r="J354" s="142"/>
      <c r="K354" s="142"/>
      <c r="L354" s="61"/>
      <c r="M354" s="164"/>
      <c r="N354" s="142"/>
      <c r="O354" s="61"/>
      <c r="P354" s="168"/>
      <c r="Q3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4" s="36"/>
      <c r="S354" s="90"/>
    </row>
    <row r="355" spans="1:19" ht="30" hidden="1" customHeight="1">
      <c r="A355" s="9"/>
      <c r="B355" s="13" t="e">
        <f>VLOOKUP(Table2[[#This Row],[Location 
(drop-down)]],'List source'!D$2:E$71,2,FALSE)</f>
        <v>#N/A</v>
      </c>
      <c r="C355" s="11" t="s">
        <v>472</v>
      </c>
      <c r="D355" s="183" t="e">
        <f t="shared" si="5"/>
        <v>#N/A</v>
      </c>
      <c r="E355" s="11"/>
      <c r="F355" s="11"/>
      <c r="G355" s="73"/>
      <c r="H355" s="10"/>
      <c r="I355" s="19"/>
      <c r="J355" s="142"/>
      <c r="K355" s="142"/>
      <c r="L355" s="61"/>
      <c r="M355" s="164"/>
      <c r="N355" s="142"/>
      <c r="O355" s="61"/>
      <c r="P355" s="168"/>
      <c r="Q3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5" s="36"/>
      <c r="S355" s="90"/>
    </row>
    <row r="356" spans="1:19" ht="30" hidden="1" customHeight="1">
      <c r="A356" s="9"/>
      <c r="B356" s="13" t="e">
        <f>VLOOKUP(Table2[[#This Row],[Location 
(drop-down)]],'List source'!D$2:E$71,2,FALSE)</f>
        <v>#N/A</v>
      </c>
      <c r="C356" s="11" t="s">
        <v>473</v>
      </c>
      <c r="D356" s="183" t="e">
        <f t="shared" si="5"/>
        <v>#N/A</v>
      </c>
      <c r="E356" s="11"/>
      <c r="F356" s="11"/>
      <c r="G356" s="9"/>
      <c r="H356" s="10"/>
      <c r="I356" s="19"/>
      <c r="J356" s="142"/>
      <c r="K356" s="142"/>
      <c r="L356" s="61"/>
      <c r="M356" s="164"/>
      <c r="N356" s="142"/>
      <c r="O356" s="61"/>
      <c r="P356" s="168"/>
      <c r="Q3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6" s="36"/>
      <c r="S356" s="90"/>
    </row>
    <row r="357" spans="1:19" ht="30" hidden="1" customHeight="1">
      <c r="A357" s="9"/>
      <c r="B357" s="13" t="e">
        <f>VLOOKUP(Table2[[#This Row],[Location 
(drop-down)]],'List source'!D$2:E$71,2,FALSE)</f>
        <v>#N/A</v>
      </c>
      <c r="C357" s="11" t="s">
        <v>474</v>
      </c>
      <c r="D357" s="183" t="e">
        <f t="shared" si="5"/>
        <v>#N/A</v>
      </c>
      <c r="E357" s="11"/>
      <c r="F357" s="11"/>
      <c r="G357" s="9"/>
      <c r="H357" s="10"/>
      <c r="I357" s="19"/>
      <c r="J357" s="142"/>
      <c r="K357" s="142"/>
      <c r="L357" s="61"/>
      <c r="M357" s="164"/>
      <c r="N357" s="142"/>
      <c r="O357" s="61"/>
      <c r="P357" s="168"/>
      <c r="Q3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7" s="36"/>
      <c r="S357" s="90"/>
    </row>
    <row r="358" spans="1:19" ht="30" hidden="1" customHeight="1">
      <c r="A358" s="9"/>
      <c r="B358" s="13" t="e">
        <f>VLOOKUP(Table2[[#This Row],[Location 
(drop-down)]],'List source'!D$2:E$71,2,FALSE)</f>
        <v>#N/A</v>
      </c>
      <c r="C358" s="11" t="s">
        <v>475</v>
      </c>
      <c r="D358" s="183" t="e">
        <f t="shared" si="5"/>
        <v>#N/A</v>
      </c>
      <c r="E358" s="11"/>
      <c r="F358" s="11"/>
      <c r="G358" s="9"/>
      <c r="H358" s="10"/>
      <c r="I358" s="19"/>
      <c r="J358" s="142"/>
      <c r="K358" s="142"/>
      <c r="L358" s="61"/>
      <c r="M358" s="164"/>
      <c r="N358" s="142"/>
      <c r="O358" s="61"/>
      <c r="P358" s="168"/>
      <c r="Q3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8" s="36"/>
      <c r="S358" s="90"/>
    </row>
    <row r="359" spans="1:19" ht="30" hidden="1" customHeight="1">
      <c r="A359" s="9"/>
      <c r="B359" s="13" t="e">
        <f>VLOOKUP(Table2[[#This Row],[Location 
(drop-down)]],'List source'!D$2:E$71,2,FALSE)</f>
        <v>#N/A</v>
      </c>
      <c r="C359" s="11" t="s">
        <v>476</v>
      </c>
      <c r="D359" s="183" t="e">
        <f t="shared" si="5"/>
        <v>#N/A</v>
      </c>
      <c r="E359" s="11"/>
      <c r="F359" s="11"/>
      <c r="G359" s="9"/>
      <c r="H359" s="10"/>
      <c r="I359" s="19"/>
      <c r="J359" s="142"/>
      <c r="K359" s="142"/>
      <c r="L359" s="61"/>
      <c r="M359" s="164"/>
      <c r="N359" s="142"/>
      <c r="O359" s="61"/>
      <c r="P359" s="168"/>
      <c r="Q3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59" s="36"/>
      <c r="S359" s="90"/>
    </row>
    <row r="360" spans="1:19" ht="30" hidden="1" customHeight="1">
      <c r="A360" s="9"/>
      <c r="B360" s="13" t="e">
        <f>VLOOKUP(Table2[[#This Row],[Location 
(drop-down)]],'List source'!D$2:E$71,2,FALSE)</f>
        <v>#N/A</v>
      </c>
      <c r="C360" s="11" t="s">
        <v>477</v>
      </c>
      <c r="D360" s="183" t="e">
        <f t="shared" si="5"/>
        <v>#N/A</v>
      </c>
      <c r="E360" s="11"/>
      <c r="F360" s="11"/>
      <c r="G360" s="73"/>
      <c r="H360" s="10"/>
      <c r="I360" s="19"/>
      <c r="J360" s="142"/>
      <c r="K360" s="142"/>
      <c r="L360" s="61"/>
      <c r="M360" s="164"/>
      <c r="N360" s="142"/>
      <c r="O360" s="61"/>
      <c r="P360" s="168"/>
      <c r="Q3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0" s="36"/>
      <c r="S360" s="90"/>
    </row>
    <row r="361" spans="1:19" ht="30" hidden="1" customHeight="1">
      <c r="A361" s="9"/>
      <c r="B361" s="13" t="e">
        <f>VLOOKUP(Table2[[#This Row],[Location 
(drop-down)]],'List source'!D$2:E$71,2,FALSE)</f>
        <v>#N/A</v>
      </c>
      <c r="C361" s="11" t="s">
        <v>478</v>
      </c>
      <c r="D361" s="183" t="e">
        <f t="shared" si="5"/>
        <v>#N/A</v>
      </c>
      <c r="E361" s="11"/>
      <c r="F361" s="11"/>
      <c r="G361" s="73"/>
      <c r="H361" s="10"/>
      <c r="I361" s="19"/>
      <c r="J361" s="142"/>
      <c r="K361" s="142"/>
      <c r="L361" s="61"/>
      <c r="M361" s="164"/>
      <c r="N361" s="142"/>
      <c r="O361" s="61"/>
      <c r="P361" s="168"/>
      <c r="Q3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1" s="36"/>
      <c r="S361" s="90"/>
    </row>
    <row r="362" spans="1:19" ht="30" hidden="1" customHeight="1">
      <c r="A362" s="9"/>
      <c r="B362" s="13" t="e">
        <f>VLOOKUP(Table2[[#This Row],[Location 
(drop-down)]],'List source'!D$2:E$71,2,FALSE)</f>
        <v>#N/A</v>
      </c>
      <c r="C362" s="11" t="s">
        <v>479</v>
      </c>
      <c r="D362" s="183" t="e">
        <f t="shared" si="5"/>
        <v>#N/A</v>
      </c>
      <c r="E362" s="11"/>
      <c r="F362" s="11"/>
      <c r="G362" s="9"/>
      <c r="H362" s="10"/>
      <c r="I362" s="19"/>
      <c r="J362" s="142"/>
      <c r="K362" s="142"/>
      <c r="L362" s="61"/>
      <c r="M362" s="164"/>
      <c r="N362" s="142"/>
      <c r="O362" s="61"/>
      <c r="P362" s="168"/>
      <c r="Q3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2" s="36"/>
      <c r="S362" s="90"/>
    </row>
    <row r="363" spans="1:19" ht="30" hidden="1" customHeight="1">
      <c r="A363" s="9"/>
      <c r="B363" s="13" t="e">
        <f>VLOOKUP(Table2[[#This Row],[Location 
(drop-down)]],'List source'!D$2:E$71,2,FALSE)</f>
        <v>#N/A</v>
      </c>
      <c r="C363" s="11" t="s">
        <v>480</v>
      </c>
      <c r="D363" s="183" t="e">
        <f t="shared" si="5"/>
        <v>#N/A</v>
      </c>
      <c r="E363" s="11"/>
      <c r="F363" s="11"/>
      <c r="G363" s="9"/>
      <c r="H363" s="10"/>
      <c r="I363" s="19"/>
      <c r="J363" s="142"/>
      <c r="K363" s="142"/>
      <c r="L363" s="61"/>
      <c r="M363" s="164"/>
      <c r="N363" s="142"/>
      <c r="O363" s="61"/>
      <c r="P363" s="168"/>
      <c r="Q3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3" s="36"/>
      <c r="S363" s="90"/>
    </row>
    <row r="364" spans="1:19" ht="30" hidden="1" customHeight="1">
      <c r="A364" s="9"/>
      <c r="B364" s="13" t="e">
        <f>VLOOKUP(Table2[[#This Row],[Location 
(drop-down)]],'List source'!D$2:E$71,2,FALSE)</f>
        <v>#N/A</v>
      </c>
      <c r="C364" s="11" t="s">
        <v>481</v>
      </c>
      <c r="D364" s="183" t="e">
        <f t="shared" si="5"/>
        <v>#N/A</v>
      </c>
      <c r="E364" s="11"/>
      <c r="F364" s="11"/>
      <c r="G364" s="9"/>
      <c r="H364" s="10"/>
      <c r="I364" s="19"/>
      <c r="J364" s="142"/>
      <c r="K364" s="142"/>
      <c r="L364" s="61"/>
      <c r="M364" s="164"/>
      <c r="N364" s="142"/>
      <c r="O364" s="61"/>
      <c r="P364" s="168"/>
      <c r="Q3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4" s="36"/>
      <c r="S364" s="90"/>
    </row>
    <row r="365" spans="1:19" ht="30" hidden="1" customHeight="1">
      <c r="A365" s="9"/>
      <c r="B365" s="13" t="e">
        <f>VLOOKUP(Table2[[#This Row],[Location 
(drop-down)]],'List source'!D$2:E$71,2,FALSE)</f>
        <v>#N/A</v>
      </c>
      <c r="C365" s="11" t="s">
        <v>482</v>
      </c>
      <c r="D365" s="183" t="e">
        <f t="shared" si="5"/>
        <v>#N/A</v>
      </c>
      <c r="E365" s="11"/>
      <c r="F365" s="11"/>
      <c r="G365" s="9"/>
      <c r="H365" s="10"/>
      <c r="I365" s="19"/>
      <c r="J365" s="142"/>
      <c r="K365" s="142"/>
      <c r="L365" s="61"/>
      <c r="M365" s="164"/>
      <c r="N365" s="142"/>
      <c r="O365" s="61"/>
      <c r="P365" s="168"/>
      <c r="Q3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5" s="36"/>
      <c r="S365" s="90"/>
    </row>
    <row r="366" spans="1:19" ht="30" hidden="1" customHeight="1">
      <c r="A366" s="9"/>
      <c r="B366" s="13" t="e">
        <f>VLOOKUP(Table2[[#This Row],[Location 
(drop-down)]],'List source'!D$2:E$71,2,FALSE)</f>
        <v>#N/A</v>
      </c>
      <c r="C366" s="11" t="s">
        <v>483</v>
      </c>
      <c r="D366" s="183" t="e">
        <f t="shared" si="5"/>
        <v>#N/A</v>
      </c>
      <c r="E366" s="11"/>
      <c r="F366" s="11"/>
      <c r="G366" s="9"/>
      <c r="H366" s="10"/>
      <c r="I366" s="19"/>
      <c r="J366" s="142"/>
      <c r="K366" s="142"/>
      <c r="L366" s="61"/>
      <c r="M366" s="164"/>
      <c r="N366" s="142"/>
      <c r="O366" s="61"/>
      <c r="P366" s="168"/>
      <c r="Q3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6" s="36"/>
      <c r="S366" s="90"/>
    </row>
    <row r="367" spans="1:19" ht="30" hidden="1" customHeight="1">
      <c r="A367" s="9"/>
      <c r="B367" s="13" t="e">
        <f>VLOOKUP(Table2[[#This Row],[Location 
(drop-down)]],'List source'!D$2:E$71,2,FALSE)</f>
        <v>#N/A</v>
      </c>
      <c r="C367" s="11" t="s">
        <v>484</v>
      </c>
      <c r="D367" s="183" t="e">
        <f t="shared" si="5"/>
        <v>#N/A</v>
      </c>
      <c r="E367" s="11"/>
      <c r="F367" s="11"/>
      <c r="G367" s="9"/>
      <c r="H367" s="10"/>
      <c r="I367" s="19"/>
      <c r="J367" s="142"/>
      <c r="K367" s="142"/>
      <c r="L367" s="61"/>
      <c r="M367" s="164"/>
      <c r="N367" s="142"/>
      <c r="O367" s="61"/>
      <c r="P367" s="168"/>
      <c r="Q3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7" s="36"/>
      <c r="S367" s="90"/>
    </row>
    <row r="368" spans="1:19" ht="30" hidden="1" customHeight="1">
      <c r="A368" s="9"/>
      <c r="B368" s="13" t="e">
        <f>VLOOKUP(Table2[[#This Row],[Location 
(drop-down)]],'List source'!D$2:E$71,2,FALSE)</f>
        <v>#N/A</v>
      </c>
      <c r="C368" s="11" t="s">
        <v>485</v>
      </c>
      <c r="D368" s="183" t="e">
        <f t="shared" si="5"/>
        <v>#N/A</v>
      </c>
      <c r="E368" s="11"/>
      <c r="F368" s="11"/>
      <c r="G368" s="9"/>
      <c r="H368" s="10"/>
      <c r="I368" s="19"/>
      <c r="J368" s="142"/>
      <c r="K368" s="142"/>
      <c r="L368" s="61"/>
      <c r="M368" s="164"/>
      <c r="N368" s="142"/>
      <c r="O368" s="61"/>
      <c r="P368" s="168"/>
      <c r="Q3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8" s="36"/>
      <c r="S368" s="90"/>
    </row>
    <row r="369" spans="1:19" ht="30" hidden="1" customHeight="1">
      <c r="A369" s="9"/>
      <c r="B369" s="13" t="e">
        <f>VLOOKUP(Table2[[#This Row],[Location 
(drop-down)]],'List source'!D$2:E$71,2,FALSE)</f>
        <v>#N/A</v>
      </c>
      <c r="C369" s="11" t="s">
        <v>486</v>
      </c>
      <c r="D369" s="183" t="e">
        <f t="shared" si="5"/>
        <v>#N/A</v>
      </c>
      <c r="E369" s="11"/>
      <c r="F369" s="11"/>
      <c r="G369" s="9"/>
      <c r="H369" s="10"/>
      <c r="I369" s="19"/>
      <c r="J369" s="142"/>
      <c r="K369" s="142"/>
      <c r="L369" s="61"/>
      <c r="M369" s="164"/>
      <c r="N369" s="142"/>
      <c r="O369" s="61"/>
      <c r="P369" s="168"/>
      <c r="Q3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69" s="36"/>
      <c r="S369" s="90"/>
    </row>
    <row r="370" spans="1:19" ht="30" hidden="1" customHeight="1">
      <c r="A370" s="9"/>
      <c r="B370" s="13" t="e">
        <f>VLOOKUP(Table2[[#This Row],[Location 
(drop-down)]],'List source'!D$2:E$71,2,FALSE)</f>
        <v>#N/A</v>
      </c>
      <c r="C370" s="11" t="s">
        <v>487</v>
      </c>
      <c r="D370" s="183" t="e">
        <f t="shared" si="5"/>
        <v>#N/A</v>
      </c>
      <c r="E370" s="11"/>
      <c r="F370" s="11"/>
      <c r="G370" s="9"/>
      <c r="H370" s="10"/>
      <c r="I370" s="19"/>
      <c r="J370" s="142"/>
      <c r="K370" s="142"/>
      <c r="L370" s="61"/>
      <c r="M370" s="164"/>
      <c r="N370" s="142"/>
      <c r="O370" s="61"/>
      <c r="P370" s="168"/>
      <c r="Q3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0" s="36"/>
      <c r="S370" s="90"/>
    </row>
    <row r="371" spans="1:19" ht="30" hidden="1" customHeight="1">
      <c r="A371" s="9"/>
      <c r="B371" s="13" t="e">
        <f>VLOOKUP(Table2[[#This Row],[Location 
(drop-down)]],'List source'!D$2:E$71,2,FALSE)</f>
        <v>#N/A</v>
      </c>
      <c r="C371" s="11" t="s">
        <v>488</v>
      </c>
      <c r="D371" s="183" t="e">
        <f t="shared" si="5"/>
        <v>#N/A</v>
      </c>
      <c r="E371" s="11"/>
      <c r="F371" s="11"/>
      <c r="G371" s="9"/>
      <c r="H371" s="10"/>
      <c r="I371" s="19"/>
      <c r="J371" s="142"/>
      <c r="K371" s="142"/>
      <c r="L371" s="61"/>
      <c r="M371" s="164"/>
      <c r="N371" s="142"/>
      <c r="O371" s="61"/>
      <c r="P371" s="168"/>
      <c r="Q3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1" s="36"/>
      <c r="S371" s="90"/>
    </row>
    <row r="372" spans="1:19" ht="30" hidden="1" customHeight="1">
      <c r="A372" s="9"/>
      <c r="B372" s="13" t="e">
        <f>VLOOKUP(Table2[[#This Row],[Location 
(drop-down)]],'List source'!D$2:E$71,2,FALSE)</f>
        <v>#N/A</v>
      </c>
      <c r="C372" s="11" t="s">
        <v>489</v>
      </c>
      <c r="D372" s="183" t="e">
        <f t="shared" si="5"/>
        <v>#N/A</v>
      </c>
      <c r="E372" s="11"/>
      <c r="F372" s="11"/>
      <c r="G372" s="147"/>
      <c r="H372" s="10"/>
      <c r="I372" s="19"/>
      <c r="J372" s="142"/>
      <c r="K372" s="142"/>
      <c r="L372" s="61"/>
      <c r="M372" s="164"/>
      <c r="N372" s="142"/>
      <c r="O372" s="61"/>
      <c r="P372" s="168"/>
      <c r="Q3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2" s="36"/>
      <c r="S372" s="90"/>
    </row>
    <row r="373" spans="1:19" ht="30" hidden="1" customHeight="1">
      <c r="A373" s="9"/>
      <c r="B373" s="13" t="e">
        <f>VLOOKUP(Table2[[#This Row],[Location 
(drop-down)]],'List source'!D$2:E$71,2,FALSE)</f>
        <v>#N/A</v>
      </c>
      <c r="C373" s="11" t="s">
        <v>490</v>
      </c>
      <c r="D373" s="183" t="e">
        <f t="shared" si="5"/>
        <v>#N/A</v>
      </c>
      <c r="E373" s="11"/>
      <c r="F373" s="11"/>
      <c r="G373" s="9"/>
      <c r="H373" s="10"/>
      <c r="I373" s="19"/>
      <c r="J373" s="142"/>
      <c r="K373" s="142"/>
      <c r="L373" s="61"/>
      <c r="M373" s="164"/>
      <c r="N373" s="142"/>
      <c r="O373" s="61"/>
      <c r="P373" s="168"/>
      <c r="Q3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3" s="36"/>
      <c r="S373" s="90"/>
    </row>
    <row r="374" spans="1:19" ht="30" hidden="1" customHeight="1">
      <c r="A374" s="9"/>
      <c r="B374" s="13" t="e">
        <f>VLOOKUP(Table2[[#This Row],[Location 
(drop-down)]],'List source'!D$2:E$71,2,FALSE)</f>
        <v>#N/A</v>
      </c>
      <c r="C374" s="11" t="s">
        <v>491</v>
      </c>
      <c r="D374" s="183" t="e">
        <f t="shared" si="5"/>
        <v>#N/A</v>
      </c>
      <c r="E374" s="11"/>
      <c r="F374" s="11"/>
      <c r="G374" s="9"/>
      <c r="H374" s="10"/>
      <c r="I374" s="19"/>
      <c r="J374" s="142"/>
      <c r="K374" s="142"/>
      <c r="L374" s="61"/>
      <c r="M374" s="164"/>
      <c r="N374" s="142"/>
      <c r="O374" s="61"/>
      <c r="P374" s="168"/>
      <c r="Q3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4" s="36"/>
      <c r="S374" s="90"/>
    </row>
    <row r="375" spans="1:19" ht="30" hidden="1" customHeight="1">
      <c r="A375" s="9"/>
      <c r="B375" s="13" t="e">
        <f>VLOOKUP(Table2[[#This Row],[Location 
(drop-down)]],'List source'!D$2:E$71,2,FALSE)</f>
        <v>#N/A</v>
      </c>
      <c r="C375" s="11" t="s">
        <v>492</v>
      </c>
      <c r="D375" s="183" t="e">
        <f t="shared" si="5"/>
        <v>#N/A</v>
      </c>
      <c r="E375" s="11"/>
      <c r="F375" s="11"/>
      <c r="G375" s="9"/>
      <c r="H375" s="10"/>
      <c r="I375" s="19"/>
      <c r="J375" s="142"/>
      <c r="K375" s="142"/>
      <c r="L375" s="61"/>
      <c r="M375" s="164"/>
      <c r="N375" s="142"/>
      <c r="O375" s="61"/>
      <c r="P375" s="168"/>
      <c r="Q3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5" s="36"/>
      <c r="S375" s="90"/>
    </row>
    <row r="376" spans="1:19" ht="30" hidden="1" customHeight="1">
      <c r="A376" s="9"/>
      <c r="B376" s="13" t="e">
        <f>VLOOKUP(Table2[[#This Row],[Location 
(drop-down)]],'List source'!D$2:E$71,2,FALSE)</f>
        <v>#N/A</v>
      </c>
      <c r="C376" s="11" t="s">
        <v>493</v>
      </c>
      <c r="D376" s="183" t="e">
        <f t="shared" si="5"/>
        <v>#N/A</v>
      </c>
      <c r="E376" s="11"/>
      <c r="F376" s="11"/>
      <c r="G376" s="9"/>
      <c r="H376" s="10"/>
      <c r="I376" s="19"/>
      <c r="J376" s="142"/>
      <c r="K376" s="142"/>
      <c r="L376" s="61"/>
      <c r="M376" s="164"/>
      <c r="N376" s="142"/>
      <c r="O376" s="61"/>
      <c r="P376" s="168"/>
      <c r="Q3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6" s="36"/>
      <c r="S376" s="90"/>
    </row>
    <row r="377" spans="1:19" ht="30" hidden="1" customHeight="1">
      <c r="A377" s="9"/>
      <c r="B377" s="13" t="e">
        <f>VLOOKUP(Table2[[#This Row],[Location 
(drop-down)]],'List source'!D$2:E$71,2,FALSE)</f>
        <v>#N/A</v>
      </c>
      <c r="C377" s="11" t="s">
        <v>494</v>
      </c>
      <c r="D377" s="183" t="e">
        <f t="shared" si="5"/>
        <v>#N/A</v>
      </c>
      <c r="E377" s="11"/>
      <c r="F377" s="11"/>
      <c r="G377" s="9"/>
      <c r="H377" s="10"/>
      <c r="I377" s="19"/>
      <c r="J377" s="142"/>
      <c r="K377" s="142"/>
      <c r="L377" s="61"/>
      <c r="M377" s="164"/>
      <c r="N377" s="142"/>
      <c r="O377" s="61"/>
      <c r="P377" s="168"/>
      <c r="Q3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7" s="36"/>
      <c r="S377" s="90"/>
    </row>
    <row r="378" spans="1:19" ht="30" hidden="1" customHeight="1">
      <c r="A378" s="9"/>
      <c r="B378" s="13" t="e">
        <f>VLOOKUP(Table2[[#This Row],[Location 
(drop-down)]],'List source'!D$2:E$71,2,FALSE)</f>
        <v>#N/A</v>
      </c>
      <c r="C378" s="11" t="s">
        <v>495</v>
      </c>
      <c r="D378" s="183" t="e">
        <f t="shared" si="5"/>
        <v>#N/A</v>
      </c>
      <c r="E378" s="11"/>
      <c r="F378" s="11"/>
      <c r="G378" s="75"/>
      <c r="H378" s="10"/>
      <c r="I378" s="19"/>
      <c r="J378" s="142"/>
      <c r="K378" s="142"/>
      <c r="L378" s="61"/>
      <c r="M378" s="164"/>
      <c r="N378" s="142"/>
      <c r="O378" s="61"/>
      <c r="P378" s="168"/>
      <c r="Q3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8" s="36"/>
      <c r="S378" s="90"/>
    </row>
    <row r="379" spans="1:19" ht="30" hidden="1" customHeight="1">
      <c r="A379" s="9"/>
      <c r="B379" s="13" t="e">
        <f>VLOOKUP(Table2[[#This Row],[Location 
(drop-down)]],'List source'!D$2:E$71,2,FALSE)</f>
        <v>#N/A</v>
      </c>
      <c r="C379" s="11" t="s">
        <v>496</v>
      </c>
      <c r="D379" s="183" t="e">
        <f t="shared" si="5"/>
        <v>#N/A</v>
      </c>
      <c r="E379" s="11"/>
      <c r="F379" s="11"/>
      <c r="G379" s="9"/>
      <c r="H379" s="10"/>
      <c r="I379" s="19"/>
      <c r="J379" s="142"/>
      <c r="K379" s="142"/>
      <c r="L379" s="61"/>
      <c r="M379" s="164"/>
      <c r="N379" s="142"/>
      <c r="O379" s="61"/>
      <c r="P379" s="168"/>
      <c r="Q3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79" s="36"/>
      <c r="S379" s="90"/>
    </row>
    <row r="380" spans="1:19" ht="30" hidden="1" customHeight="1">
      <c r="A380" s="9"/>
      <c r="B380" s="13" t="e">
        <f>VLOOKUP(Table2[[#This Row],[Location 
(drop-down)]],'List source'!D$2:E$71,2,FALSE)</f>
        <v>#N/A</v>
      </c>
      <c r="C380" s="11" t="s">
        <v>497</v>
      </c>
      <c r="D380" s="183" t="e">
        <f t="shared" si="5"/>
        <v>#N/A</v>
      </c>
      <c r="E380" s="11"/>
      <c r="F380" s="11"/>
      <c r="G380" s="132"/>
      <c r="H380" s="10"/>
      <c r="I380" s="19"/>
      <c r="J380" s="142"/>
      <c r="K380" s="142"/>
      <c r="L380" s="61"/>
      <c r="M380" s="164"/>
      <c r="N380" s="142"/>
      <c r="O380" s="61"/>
      <c r="P380" s="168"/>
      <c r="Q3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0" s="36"/>
      <c r="S380" s="90"/>
    </row>
    <row r="381" spans="1:19" ht="30" hidden="1" customHeight="1">
      <c r="A381" s="9"/>
      <c r="B381" s="13" t="e">
        <f>VLOOKUP(Table2[[#This Row],[Location 
(drop-down)]],'List source'!D$2:E$71,2,FALSE)</f>
        <v>#N/A</v>
      </c>
      <c r="C381" s="11" t="s">
        <v>498</v>
      </c>
      <c r="D381" s="183" t="e">
        <f t="shared" si="5"/>
        <v>#N/A</v>
      </c>
      <c r="E381" s="11"/>
      <c r="F381" s="11"/>
      <c r="G381" s="9"/>
      <c r="H381" s="10"/>
      <c r="I381" s="19"/>
      <c r="J381" s="142"/>
      <c r="K381" s="142"/>
      <c r="L381" s="61"/>
      <c r="M381" s="164"/>
      <c r="N381" s="142"/>
      <c r="O381" s="61"/>
      <c r="P381" s="168"/>
      <c r="Q3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1" s="36"/>
      <c r="S381" s="90"/>
    </row>
    <row r="382" spans="1:19" ht="30" hidden="1" customHeight="1">
      <c r="A382" s="9"/>
      <c r="B382" s="13" t="e">
        <f>VLOOKUP(Table2[[#This Row],[Location 
(drop-down)]],'List source'!D$2:E$71,2,FALSE)</f>
        <v>#N/A</v>
      </c>
      <c r="C382" s="11" t="s">
        <v>499</v>
      </c>
      <c r="D382" s="183" t="e">
        <f t="shared" si="5"/>
        <v>#N/A</v>
      </c>
      <c r="E382" s="11"/>
      <c r="F382" s="11"/>
      <c r="G382" s="9"/>
      <c r="H382" s="10"/>
      <c r="I382" s="19"/>
      <c r="J382" s="142"/>
      <c r="K382" s="142"/>
      <c r="L382" s="61"/>
      <c r="M382" s="164"/>
      <c r="N382" s="142"/>
      <c r="O382" s="61"/>
      <c r="P382" s="168"/>
      <c r="Q3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2" s="36"/>
      <c r="S382" s="90"/>
    </row>
    <row r="383" spans="1:19" ht="30" hidden="1" customHeight="1">
      <c r="A383" s="9"/>
      <c r="B383" s="13" t="e">
        <f>VLOOKUP(Table2[[#This Row],[Location 
(drop-down)]],'List source'!D$2:E$71,2,FALSE)</f>
        <v>#N/A</v>
      </c>
      <c r="C383" s="11" t="s">
        <v>500</v>
      </c>
      <c r="D383" s="183" t="e">
        <f t="shared" si="5"/>
        <v>#N/A</v>
      </c>
      <c r="E383" s="11"/>
      <c r="F383" s="11"/>
      <c r="G383" s="9"/>
      <c r="H383" s="10"/>
      <c r="I383" s="19"/>
      <c r="J383" s="142"/>
      <c r="K383" s="142"/>
      <c r="L383" s="61"/>
      <c r="M383" s="164"/>
      <c r="N383" s="142"/>
      <c r="O383" s="61"/>
      <c r="P383" s="168"/>
      <c r="Q3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3" s="36"/>
      <c r="S383" s="90"/>
    </row>
    <row r="384" spans="1:19" ht="30" hidden="1" customHeight="1">
      <c r="A384" s="9"/>
      <c r="B384" s="13" t="e">
        <f>VLOOKUP(Table2[[#This Row],[Location 
(drop-down)]],'List source'!D$2:E$71,2,FALSE)</f>
        <v>#N/A</v>
      </c>
      <c r="C384" s="11" t="s">
        <v>501</v>
      </c>
      <c r="D384" s="183" t="e">
        <f t="shared" si="5"/>
        <v>#N/A</v>
      </c>
      <c r="E384" s="11"/>
      <c r="F384" s="11"/>
      <c r="G384" s="9"/>
      <c r="H384" s="10"/>
      <c r="I384" s="19"/>
      <c r="J384" s="142"/>
      <c r="K384" s="142"/>
      <c r="L384" s="61"/>
      <c r="M384" s="164"/>
      <c r="N384" s="142"/>
      <c r="O384" s="61"/>
      <c r="P384" s="168"/>
      <c r="Q3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4" s="36"/>
      <c r="S384" s="90"/>
    </row>
    <row r="385" spans="1:19" ht="30" hidden="1" customHeight="1">
      <c r="A385" s="9"/>
      <c r="B385" s="13" t="e">
        <f>VLOOKUP(Table2[[#This Row],[Location 
(drop-down)]],'List source'!D$2:E$71,2,FALSE)</f>
        <v>#N/A</v>
      </c>
      <c r="C385" s="11" t="s">
        <v>502</v>
      </c>
      <c r="D385" s="183" t="e">
        <f t="shared" si="5"/>
        <v>#N/A</v>
      </c>
      <c r="E385" s="11"/>
      <c r="F385" s="11"/>
      <c r="G385" s="9"/>
      <c r="H385" s="10"/>
      <c r="I385" s="19"/>
      <c r="J385" s="142"/>
      <c r="K385" s="142"/>
      <c r="L385" s="61"/>
      <c r="M385" s="164"/>
      <c r="N385" s="142"/>
      <c r="O385" s="61"/>
      <c r="P385" s="168"/>
      <c r="Q3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5" s="36"/>
      <c r="S385" s="90"/>
    </row>
    <row r="386" spans="1:19" ht="30" hidden="1" customHeight="1">
      <c r="A386" s="9"/>
      <c r="B386" s="13" t="e">
        <f>VLOOKUP(Table2[[#This Row],[Location 
(drop-down)]],'List source'!D$2:E$71,2,FALSE)</f>
        <v>#N/A</v>
      </c>
      <c r="C386" s="11" t="s">
        <v>503</v>
      </c>
      <c r="D386" s="183" t="e">
        <f t="shared" ref="D386:D449" si="6">"C" &amp; C386 &amp;"-" &amp; B386 &amp; "-" &amp; "26"</f>
        <v>#N/A</v>
      </c>
      <c r="E386" s="11"/>
      <c r="F386" s="11"/>
      <c r="G386" s="9"/>
      <c r="H386" s="10"/>
      <c r="I386" s="19"/>
      <c r="J386" s="142"/>
      <c r="K386" s="142"/>
      <c r="L386" s="61"/>
      <c r="M386" s="164"/>
      <c r="N386" s="142"/>
      <c r="O386" s="61"/>
      <c r="P386" s="168"/>
      <c r="Q3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6" s="36"/>
      <c r="S386" s="90"/>
    </row>
    <row r="387" spans="1:19" ht="30" hidden="1" customHeight="1">
      <c r="A387" s="9"/>
      <c r="B387" s="13" t="e">
        <f>VLOOKUP(Table2[[#This Row],[Location 
(drop-down)]],'List source'!D$2:E$71,2,FALSE)</f>
        <v>#N/A</v>
      </c>
      <c r="C387" s="11" t="s">
        <v>504</v>
      </c>
      <c r="D387" s="183" t="e">
        <f t="shared" si="6"/>
        <v>#N/A</v>
      </c>
      <c r="E387" s="11"/>
      <c r="F387" s="11"/>
      <c r="G387" s="9"/>
      <c r="H387" s="10"/>
      <c r="I387" s="19"/>
      <c r="J387" s="142"/>
      <c r="K387" s="142"/>
      <c r="L387" s="61"/>
      <c r="M387" s="164"/>
      <c r="N387" s="142"/>
      <c r="O387" s="61"/>
      <c r="P387" s="168"/>
      <c r="Q3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7" s="36"/>
      <c r="S387" s="90"/>
    </row>
    <row r="388" spans="1:19" ht="30" hidden="1" customHeight="1">
      <c r="A388" s="9"/>
      <c r="B388" s="13" t="e">
        <f>VLOOKUP(Table2[[#This Row],[Location 
(drop-down)]],'List source'!D$2:E$71,2,FALSE)</f>
        <v>#N/A</v>
      </c>
      <c r="C388" s="11" t="s">
        <v>505</v>
      </c>
      <c r="D388" s="183" t="e">
        <f t="shared" si="6"/>
        <v>#N/A</v>
      </c>
      <c r="E388" s="11"/>
      <c r="F388" s="11"/>
      <c r="G388" s="9"/>
      <c r="H388" s="10"/>
      <c r="I388" s="19"/>
      <c r="J388" s="142"/>
      <c r="K388" s="142"/>
      <c r="L388" s="61"/>
      <c r="M388" s="164"/>
      <c r="N388" s="142"/>
      <c r="O388" s="61"/>
      <c r="P388" s="168"/>
      <c r="Q3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8" s="36"/>
      <c r="S388" s="90"/>
    </row>
    <row r="389" spans="1:19" ht="30" hidden="1" customHeight="1">
      <c r="A389" s="9"/>
      <c r="B389" s="13" t="e">
        <f>VLOOKUP(Table2[[#This Row],[Location 
(drop-down)]],'List source'!D$2:E$71,2,FALSE)</f>
        <v>#N/A</v>
      </c>
      <c r="C389" s="11" t="s">
        <v>506</v>
      </c>
      <c r="D389" s="183" t="e">
        <f t="shared" si="6"/>
        <v>#N/A</v>
      </c>
      <c r="E389" s="11"/>
      <c r="F389" s="11"/>
      <c r="G389" s="9"/>
      <c r="H389" s="10"/>
      <c r="I389" s="19"/>
      <c r="J389" s="142"/>
      <c r="K389" s="142"/>
      <c r="L389" s="61"/>
      <c r="M389" s="164"/>
      <c r="N389" s="142"/>
      <c r="O389" s="61"/>
      <c r="P389" s="168"/>
      <c r="Q3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89" s="36"/>
      <c r="S389" s="90"/>
    </row>
    <row r="390" spans="1:19" ht="30" hidden="1" customHeight="1">
      <c r="A390" s="9"/>
      <c r="B390" s="13" t="e">
        <f>VLOOKUP(Table2[[#This Row],[Location 
(drop-down)]],'List source'!D$2:E$71,2,FALSE)</f>
        <v>#N/A</v>
      </c>
      <c r="C390" s="11" t="s">
        <v>507</v>
      </c>
      <c r="D390" s="183" t="e">
        <f t="shared" si="6"/>
        <v>#N/A</v>
      </c>
      <c r="E390" s="11"/>
      <c r="F390" s="11"/>
      <c r="G390" s="9"/>
      <c r="H390" s="10"/>
      <c r="I390" s="19"/>
      <c r="J390" s="142"/>
      <c r="K390" s="142"/>
      <c r="L390" s="61"/>
      <c r="M390" s="164"/>
      <c r="N390" s="142"/>
      <c r="O390" s="61"/>
      <c r="P390" s="168"/>
      <c r="Q3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0" s="36"/>
      <c r="S390" s="90"/>
    </row>
    <row r="391" spans="1:19" ht="30" hidden="1" customHeight="1">
      <c r="A391" s="9"/>
      <c r="B391" s="13" t="e">
        <f>VLOOKUP(Table2[[#This Row],[Location 
(drop-down)]],'List source'!D$2:E$71,2,FALSE)</f>
        <v>#N/A</v>
      </c>
      <c r="C391" s="11" t="s">
        <v>508</v>
      </c>
      <c r="D391" s="183" t="e">
        <f t="shared" si="6"/>
        <v>#N/A</v>
      </c>
      <c r="E391" s="11"/>
      <c r="F391" s="11"/>
      <c r="G391" s="9"/>
      <c r="H391" s="10"/>
      <c r="I391" s="19"/>
      <c r="J391" s="142"/>
      <c r="K391" s="142"/>
      <c r="L391" s="61"/>
      <c r="M391" s="164"/>
      <c r="N391" s="142"/>
      <c r="O391" s="61"/>
      <c r="P391" s="168"/>
      <c r="Q3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1" s="36"/>
      <c r="S391" s="90"/>
    </row>
    <row r="392" spans="1:19" ht="30" hidden="1" customHeight="1">
      <c r="A392" s="9"/>
      <c r="B392" s="13" t="e">
        <f>VLOOKUP(Table2[[#This Row],[Location 
(drop-down)]],'List source'!D$2:E$71,2,FALSE)</f>
        <v>#N/A</v>
      </c>
      <c r="C392" s="11" t="s">
        <v>509</v>
      </c>
      <c r="D392" s="183" t="e">
        <f t="shared" si="6"/>
        <v>#N/A</v>
      </c>
      <c r="E392" s="11"/>
      <c r="F392" s="11"/>
      <c r="G392" s="9"/>
      <c r="H392" s="10"/>
      <c r="I392" s="19"/>
      <c r="J392" s="142"/>
      <c r="K392" s="142"/>
      <c r="L392" s="61"/>
      <c r="M392" s="164"/>
      <c r="N392" s="142"/>
      <c r="O392" s="61"/>
      <c r="P392" s="168"/>
      <c r="Q3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2" s="36"/>
      <c r="S392" s="90"/>
    </row>
    <row r="393" spans="1:19" ht="30" hidden="1" customHeight="1">
      <c r="A393" s="9"/>
      <c r="B393" s="13" t="e">
        <f>VLOOKUP(Table2[[#This Row],[Location 
(drop-down)]],'List source'!D$2:E$71,2,FALSE)</f>
        <v>#N/A</v>
      </c>
      <c r="C393" s="11" t="s">
        <v>510</v>
      </c>
      <c r="D393" s="183" t="e">
        <f t="shared" si="6"/>
        <v>#N/A</v>
      </c>
      <c r="E393" s="11"/>
      <c r="F393" s="11"/>
      <c r="G393" s="9"/>
      <c r="H393" s="10"/>
      <c r="I393" s="19"/>
      <c r="J393" s="142"/>
      <c r="K393" s="142"/>
      <c r="L393" s="61"/>
      <c r="M393" s="164"/>
      <c r="N393" s="142"/>
      <c r="O393" s="61"/>
      <c r="P393" s="168"/>
      <c r="Q3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3" s="36"/>
      <c r="S393" s="90"/>
    </row>
    <row r="394" spans="1:19" ht="30" hidden="1" customHeight="1">
      <c r="A394" s="9"/>
      <c r="B394" s="13" t="e">
        <f>VLOOKUP(Table2[[#This Row],[Location 
(drop-down)]],'List source'!D$2:E$71,2,FALSE)</f>
        <v>#N/A</v>
      </c>
      <c r="C394" s="11" t="s">
        <v>511</v>
      </c>
      <c r="D394" s="183" t="e">
        <f t="shared" si="6"/>
        <v>#N/A</v>
      </c>
      <c r="E394" s="11"/>
      <c r="F394" s="11"/>
      <c r="G394" s="9"/>
      <c r="H394" s="10"/>
      <c r="I394" s="19"/>
      <c r="J394" s="142"/>
      <c r="K394" s="142"/>
      <c r="L394" s="61"/>
      <c r="M394" s="164"/>
      <c r="N394" s="142"/>
      <c r="O394" s="61"/>
      <c r="P394" s="168"/>
      <c r="Q3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4" s="36"/>
      <c r="S394" s="90"/>
    </row>
    <row r="395" spans="1:19" ht="30" hidden="1" customHeight="1">
      <c r="A395" s="9"/>
      <c r="B395" s="13" t="e">
        <f>VLOOKUP(Table2[[#This Row],[Location 
(drop-down)]],'List source'!D$2:E$71,2,FALSE)</f>
        <v>#N/A</v>
      </c>
      <c r="C395" s="11" t="s">
        <v>512</v>
      </c>
      <c r="D395" s="183" t="e">
        <f t="shared" si="6"/>
        <v>#N/A</v>
      </c>
      <c r="E395" s="11"/>
      <c r="F395" s="11"/>
      <c r="G395" s="9"/>
      <c r="H395" s="10"/>
      <c r="I395" s="19"/>
      <c r="J395" s="142"/>
      <c r="K395" s="142"/>
      <c r="L395" s="61"/>
      <c r="M395" s="164"/>
      <c r="N395" s="142"/>
      <c r="O395" s="61"/>
      <c r="P395" s="168"/>
      <c r="Q3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5" s="36"/>
      <c r="S395" s="90"/>
    </row>
    <row r="396" spans="1:19" ht="30" hidden="1" customHeight="1">
      <c r="A396" s="9"/>
      <c r="B396" s="13" t="e">
        <f>VLOOKUP(Table2[[#This Row],[Location 
(drop-down)]],'List source'!D$2:E$71,2,FALSE)</f>
        <v>#N/A</v>
      </c>
      <c r="C396" s="11" t="s">
        <v>513</v>
      </c>
      <c r="D396" s="183" t="e">
        <f t="shared" si="6"/>
        <v>#N/A</v>
      </c>
      <c r="E396" s="11"/>
      <c r="F396" s="11"/>
      <c r="G396" s="9"/>
      <c r="H396" s="10"/>
      <c r="I396" s="19"/>
      <c r="J396" s="142"/>
      <c r="K396" s="142"/>
      <c r="L396" s="61"/>
      <c r="M396" s="164"/>
      <c r="N396" s="142"/>
      <c r="O396" s="61"/>
      <c r="P396" s="168"/>
      <c r="Q3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6" s="36"/>
      <c r="S396" s="90"/>
    </row>
    <row r="397" spans="1:19" ht="30" hidden="1" customHeight="1">
      <c r="A397" s="9"/>
      <c r="B397" s="13" t="e">
        <f>VLOOKUP(Table2[[#This Row],[Location 
(drop-down)]],'List source'!D$2:E$71,2,FALSE)</f>
        <v>#N/A</v>
      </c>
      <c r="C397" s="11" t="s">
        <v>514</v>
      </c>
      <c r="D397" s="183" t="e">
        <f t="shared" si="6"/>
        <v>#N/A</v>
      </c>
      <c r="E397" s="11"/>
      <c r="F397" s="11"/>
      <c r="G397" s="9"/>
      <c r="H397" s="10"/>
      <c r="I397" s="19"/>
      <c r="J397" s="142"/>
      <c r="K397" s="142"/>
      <c r="L397" s="61"/>
      <c r="M397" s="164"/>
      <c r="N397" s="142"/>
      <c r="O397" s="61"/>
      <c r="P397" s="168"/>
      <c r="Q3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7" s="36"/>
      <c r="S397" s="90"/>
    </row>
    <row r="398" spans="1:19" ht="30" hidden="1" customHeight="1">
      <c r="A398" s="9"/>
      <c r="B398" s="13" t="e">
        <f>VLOOKUP(Table2[[#This Row],[Location 
(drop-down)]],'List source'!D$2:E$71,2,FALSE)</f>
        <v>#N/A</v>
      </c>
      <c r="C398" s="11" t="s">
        <v>515</v>
      </c>
      <c r="D398" s="183" t="e">
        <f t="shared" si="6"/>
        <v>#N/A</v>
      </c>
      <c r="E398" s="11"/>
      <c r="F398" s="11"/>
      <c r="G398" s="9"/>
      <c r="H398" s="10"/>
      <c r="I398" s="19"/>
      <c r="J398" s="142"/>
      <c r="K398" s="142"/>
      <c r="L398" s="61"/>
      <c r="M398" s="164"/>
      <c r="N398" s="142"/>
      <c r="O398" s="61"/>
      <c r="P398" s="168"/>
      <c r="Q3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8" s="36"/>
      <c r="S398" s="90"/>
    </row>
    <row r="399" spans="1:19" ht="30" hidden="1" customHeight="1">
      <c r="A399" s="9"/>
      <c r="B399" s="13" t="e">
        <f>VLOOKUP(Table2[[#This Row],[Location 
(drop-down)]],'List source'!D$2:E$71,2,FALSE)</f>
        <v>#N/A</v>
      </c>
      <c r="C399" s="11" t="s">
        <v>516</v>
      </c>
      <c r="D399" s="183" t="e">
        <f t="shared" si="6"/>
        <v>#N/A</v>
      </c>
      <c r="E399" s="11"/>
      <c r="F399" s="11"/>
      <c r="G399" s="242"/>
      <c r="H399" s="10"/>
      <c r="I399" s="19"/>
      <c r="J399" s="142"/>
      <c r="K399" s="142"/>
      <c r="L399" s="61"/>
      <c r="M399" s="164"/>
      <c r="N399" s="142"/>
      <c r="O399" s="61"/>
      <c r="P399" s="168"/>
      <c r="Q3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399" s="36"/>
      <c r="S399" s="90"/>
    </row>
    <row r="400" spans="1:19" ht="30" hidden="1" customHeight="1">
      <c r="A400" s="9"/>
      <c r="B400" s="13" t="e">
        <f>VLOOKUP(Table2[[#This Row],[Location 
(drop-down)]],'List source'!D$2:E$71,2,FALSE)</f>
        <v>#N/A</v>
      </c>
      <c r="C400" s="11" t="s">
        <v>517</v>
      </c>
      <c r="D400" s="183" t="e">
        <f t="shared" si="6"/>
        <v>#N/A</v>
      </c>
      <c r="E400" s="11"/>
      <c r="F400" s="140"/>
      <c r="G400" s="9"/>
      <c r="H400" s="161"/>
      <c r="I400" s="19"/>
      <c r="J400" s="142"/>
      <c r="K400" s="142"/>
      <c r="L400" s="61"/>
      <c r="M400" s="164"/>
      <c r="N400" s="142"/>
      <c r="O400" s="61"/>
      <c r="P400" s="168"/>
      <c r="Q4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0" s="36"/>
      <c r="S400" s="90"/>
    </row>
    <row r="401" spans="1:19" ht="30" hidden="1" customHeight="1">
      <c r="A401" s="9"/>
      <c r="B401" s="13" t="e">
        <f>VLOOKUP(Table2[[#This Row],[Location 
(drop-down)]],'List source'!D$2:E$71,2,FALSE)</f>
        <v>#N/A</v>
      </c>
      <c r="C401" s="11" t="s">
        <v>518</v>
      </c>
      <c r="D401" s="183" t="e">
        <f t="shared" si="6"/>
        <v>#N/A</v>
      </c>
      <c r="E401" s="11"/>
      <c r="F401" s="140"/>
      <c r="G401" s="75"/>
      <c r="H401" s="161"/>
      <c r="I401" s="19"/>
      <c r="J401" s="142"/>
      <c r="K401" s="142"/>
      <c r="L401" s="61"/>
      <c r="M401" s="164"/>
      <c r="N401" s="142"/>
      <c r="O401" s="61"/>
      <c r="P401" s="168"/>
      <c r="Q4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1" s="36"/>
      <c r="S401" s="90"/>
    </row>
    <row r="402" spans="1:19" ht="30" hidden="1" customHeight="1">
      <c r="A402" s="9"/>
      <c r="B402" s="13" t="e">
        <f>VLOOKUP(Table2[[#This Row],[Location 
(drop-down)]],'List source'!D$2:E$71,2,FALSE)</f>
        <v>#N/A</v>
      </c>
      <c r="C402" s="11" t="s">
        <v>519</v>
      </c>
      <c r="D402" s="183" t="e">
        <f t="shared" si="6"/>
        <v>#N/A</v>
      </c>
      <c r="E402" s="11"/>
      <c r="F402" s="140"/>
      <c r="G402" s="75"/>
      <c r="H402" s="161"/>
      <c r="I402" s="19"/>
      <c r="J402" s="142"/>
      <c r="K402" s="142"/>
      <c r="L402" s="61"/>
      <c r="M402" s="164"/>
      <c r="N402" s="142"/>
      <c r="O402" s="61"/>
      <c r="P402" s="168"/>
      <c r="Q4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2" s="36"/>
      <c r="S402" s="90"/>
    </row>
    <row r="403" spans="1:19" ht="30" hidden="1" customHeight="1">
      <c r="A403" s="9"/>
      <c r="B403" s="13" t="e">
        <f>VLOOKUP(Table2[[#This Row],[Location 
(drop-down)]],'List source'!D$2:E$71,2,FALSE)</f>
        <v>#N/A</v>
      </c>
      <c r="C403" s="11" t="s">
        <v>520</v>
      </c>
      <c r="D403" s="183" t="e">
        <f t="shared" si="6"/>
        <v>#N/A</v>
      </c>
      <c r="E403" s="11"/>
      <c r="F403" s="140"/>
      <c r="G403" s="75"/>
      <c r="H403" s="161"/>
      <c r="I403" s="19"/>
      <c r="J403" s="142"/>
      <c r="K403" s="142"/>
      <c r="L403" s="61"/>
      <c r="M403" s="164"/>
      <c r="N403" s="142"/>
      <c r="O403" s="61"/>
      <c r="P403" s="168"/>
      <c r="Q4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3" s="36"/>
      <c r="S403" s="90"/>
    </row>
    <row r="404" spans="1:19" ht="30" hidden="1" customHeight="1">
      <c r="A404" s="9"/>
      <c r="B404" s="13" t="e">
        <f>VLOOKUP(Table2[[#This Row],[Location 
(drop-down)]],'List source'!D$2:E$71,2,FALSE)</f>
        <v>#N/A</v>
      </c>
      <c r="C404" s="11" t="s">
        <v>521</v>
      </c>
      <c r="D404" s="183" t="e">
        <f t="shared" si="6"/>
        <v>#N/A</v>
      </c>
      <c r="E404" s="11"/>
      <c r="F404" s="11"/>
      <c r="G404" s="9"/>
      <c r="H404" s="10"/>
      <c r="I404" s="19"/>
      <c r="J404" s="142"/>
      <c r="K404" s="142"/>
      <c r="L404" s="61"/>
      <c r="M404" s="164"/>
      <c r="N404" s="142"/>
      <c r="O404" s="61"/>
      <c r="P404" s="168"/>
      <c r="Q4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4" s="36"/>
      <c r="S404" s="90"/>
    </row>
    <row r="405" spans="1:19" ht="30" hidden="1" customHeight="1">
      <c r="A405" s="9"/>
      <c r="B405" s="13" t="e">
        <f>VLOOKUP(Table2[[#This Row],[Location 
(drop-down)]],'List source'!D$2:E$71,2,FALSE)</f>
        <v>#N/A</v>
      </c>
      <c r="C405" s="11" t="s">
        <v>522</v>
      </c>
      <c r="D405" s="183" t="e">
        <f t="shared" si="6"/>
        <v>#N/A</v>
      </c>
      <c r="E405" s="11"/>
      <c r="F405" s="11"/>
      <c r="G405" s="77"/>
      <c r="H405" s="10"/>
      <c r="I405" s="19"/>
      <c r="J405" s="142"/>
      <c r="K405" s="142"/>
      <c r="L405" s="61"/>
      <c r="M405" s="164"/>
      <c r="N405" s="142"/>
      <c r="O405" s="61"/>
      <c r="P405" s="168"/>
      <c r="Q4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5" s="36"/>
      <c r="S405" s="90"/>
    </row>
    <row r="406" spans="1:19" ht="30" hidden="1" customHeight="1">
      <c r="A406" s="9"/>
      <c r="B406" s="13" t="e">
        <f>VLOOKUP(Table2[[#This Row],[Location 
(drop-down)]],'List source'!D$2:E$71,2,FALSE)</f>
        <v>#N/A</v>
      </c>
      <c r="C406" s="11" t="s">
        <v>523</v>
      </c>
      <c r="D406" s="183" t="e">
        <f t="shared" si="6"/>
        <v>#N/A</v>
      </c>
      <c r="E406" s="11"/>
      <c r="F406" s="11"/>
      <c r="G406" s="9"/>
      <c r="H406" s="12"/>
      <c r="I406" s="19"/>
      <c r="J406" s="142"/>
      <c r="K406" s="142"/>
      <c r="L406" s="61"/>
      <c r="M406" s="164"/>
      <c r="N406" s="142"/>
      <c r="O406" s="61"/>
      <c r="P406" s="168"/>
      <c r="Q4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6" s="229"/>
      <c r="S406" s="90"/>
    </row>
    <row r="407" spans="1:19" ht="30" hidden="1" customHeight="1">
      <c r="A407" s="9"/>
      <c r="B407" s="13" t="e">
        <f>VLOOKUP(Table2[[#This Row],[Location 
(drop-down)]],'List source'!D$2:E$71,2,FALSE)</f>
        <v>#N/A</v>
      </c>
      <c r="C407" s="11" t="s">
        <v>524</v>
      </c>
      <c r="D407" s="183" t="e">
        <f t="shared" si="6"/>
        <v>#N/A</v>
      </c>
      <c r="E407" s="11"/>
      <c r="F407" s="11"/>
      <c r="G407" s="9"/>
      <c r="H407" s="10"/>
      <c r="I407" s="19"/>
      <c r="J407" s="142"/>
      <c r="K407" s="142"/>
      <c r="L407" s="61"/>
      <c r="M407" s="164"/>
      <c r="N407" s="142"/>
      <c r="O407" s="61"/>
      <c r="P407" s="168"/>
      <c r="Q4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7" s="36"/>
      <c r="S407" s="90"/>
    </row>
    <row r="408" spans="1:19" ht="30" hidden="1" customHeight="1">
      <c r="A408" s="9"/>
      <c r="B408" s="13" t="e">
        <f>VLOOKUP(Table2[[#This Row],[Location 
(drop-down)]],'List source'!D$2:E$71,2,FALSE)</f>
        <v>#N/A</v>
      </c>
      <c r="C408" s="11" t="s">
        <v>525</v>
      </c>
      <c r="D408" s="183" t="e">
        <f t="shared" si="6"/>
        <v>#N/A</v>
      </c>
      <c r="E408" s="11"/>
      <c r="F408" s="11"/>
      <c r="G408" s="9"/>
      <c r="H408" s="10"/>
      <c r="I408" s="19"/>
      <c r="J408" s="142"/>
      <c r="K408" s="142"/>
      <c r="L408" s="61"/>
      <c r="M408" s="164"/>
      <c r="N408" s="142"/>
      <c r="O408" s="61"/>
      <c r="P408" s="168"/>
      <c r="Q4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8" s="36"/>
      <c r="S408" s="90"/>
    </row>
    <row r="409" spans="1:19" ht="30" hidden="1" customHeight="1">
      <c r="A409" s="9"/>
      <c r="B409" s="13" t="e">
        <f>VLOOKUP(Table2[[#This Row],[Location 
(drop-down)]],'List source'!D$2:E$71,2,FALSE)</f>
        <v>#N/A</v>
      </c>
      <c r="C409" s="11" t="s">
        <v>526</v>
      </c>
      <c r="D409" s="183" t="e">
        <f t="shared" si="6"/>
        <v>#N/A</v>
      </c>
      <c r="E409" s="11"/>
      <c r="F409" s="11"/>
      <c r="G409" s="9"/>
      <c r="H409" s="10"/>
      <c r="I409" s="19"/>
      <c r="J409" s="142"/>
      <c r="K409" s="142"/>
      <c r="L409" s="61"/>
      <c r="M409" s="164"/>
      <c r="N409" s="142"/>
      <c r="O409" s="61"/>
      <c r="P409" s="168"/>
      <c r="Q4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09" s="36"/>
      <c r="S409" s="90"/>
    </row>
    <row r="410" spans="1:19" ht="30" hidden="1" customHeight="1">
      <c r="A410" s="9"/>
      <c r="B410" s="13" t="e">
        <f>VLOOKUP(Table2[[#This Row],[Location 
(drop-down)]],'List source'!D$2:E$71,2,FALSE)</f>
        <v>#N/A</v>
      </c>
      <c r="C410" s="11" t="s">
        <v>527</v>
      </c>
      <c r="D410" s="183" t="e">
        <f t="shared" si="6"/>
        <v>#N/A</v>
      </c>
      <c r="E410" s="11"/>
      <c r="F410" s="11"/>
      <c r="G410" s="9"/>
      <c r="H410" s="10"/>
      <c r="I410" s="19"/>
      <c r="J410" s="142"/>
      <c r="K410" s="142"/>
      <c r="L410" s="61"/>
      <c r="M410" s="164"/>
      <c r="N410" s="142"/>
      <c r="O410" s="61"/>
      <c r="P410" s="168"/>
      <c r="Q4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0" s="36"/>
      <c r="S410" s="90"/>
    </row>
    <row r="411" spans="1:19" ht="30" hidden="1" customHeight="1">
      <c r="A411" s="9"/>
      <c r="B411" s="13" t="e">
        <f>VLOOKUP(Table2[[#This Row],[Location 
(drop-down)]],'List source'!D$2:E$71,2,FALSE)</f>
        <v>#N/A</v>
      </c>
      <c r="C411" s="11" t="s">
        <v>528</v>
      </c>
      <c r="D411" s="183" t="e">
        <f t="shared" si="6"/>
        <v>#N/A</v>
      </c>
      <c r="E411" s="11"/>
      <c r="F411" s="11"/>
      <c r="G411" s="9"/>
      <c r="H411" s="10"/>
      <c r="I411" s="19"/>
      <c r="J411" s="142"/>
      <c r="K411" s="142"/>
      <c r="L411" s="61"/>
      <c r="M411" s="164"/>
      <c r="N411" s="142"/>
      <c r="O411" s="61"/>
      <c r="P411" s="168"/>
      <c r="Q4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1" s="36"/>
      <c r="S411" s="90"/>
    </row>
    <row r="412" spans="1:19" ht="30" hidden="1" customHeight="1">
      <c r="A412" s="9"/>
      <c r="B412" s="13" t="e">
        <f>VLOOKUP(Table2[[#This Row],[Location 
(drop-down)]],'List source'!D$2:E$71,2,FALSE)</f>
        <v>#N/A</v>
      </c>
      <c r="C412" s="11" t="s">
        <v>529</v>
      </c>
      <c r="D412" s="183" t="e">
        <f t="shared" si="6"/>
        <v>#N/A</v>
      </c>
      <c r="E412" s="11"/>
      <c r="F412" s="11"/>
      <c r="G412" s="9"/>
      <c r="H412" s="10"/>
      <c r="I412" s="19"/>
      <c r="J412" s="142"/>
      <c r="K412" s="142"/>
      <c r="L412" s="61"/>
      <c r="M412" s="164"/>
      <c r="N412" s="142"/>
      <c r="O412" s="61"/>
      <c r="P412" s="168"/>
      <c r="Q4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2" s="36"/>
      <c r="S412" s="90"/>
    </row>
    <row r="413" spans="1:19" ht="30" hidden="1" customHeight="1">
      <c r="A413" s="9"/>
      <c r="B413" s="13" t="e">
        <f>VLOOKUP(Table2[[#This Row],[Location 
(drop-down)]],'List source'!D$2:E$71,2,FALSE)</f>
        <v>#N/A</v>
      </c>
      <c r="C413" s="11" t="s">
        <v>530</v>
      </c>
      <c r="D413" s="183" t="e">
        <f t="shared" si="6"/>
        <v>#N/A</v>
      </c>
      <c r="E413" s="11"/>
      <c r="F413" s="11"/>
      <c r="G413" s="9"/>
      <c r="H413" s="10"/>
      <c r="I413" s="19"/>
      <c r="J413" s="142"/>
      <c r="K413" s="142"/>
      <c r="L413" s="61"/>
      <c r="M413" s="164"/>
      <c r="N413" s="142"/>
      <c r="O413" s="61"/>
      <c r="P413" s="168"/>
      <c r="Q4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3" s="36"/>
      <c r="S413" s="90"/>
    </row>
    <row r="414" spans="1:19" ht="30" hidden="1" customHeight="1">
      <c r="A414" s="9"/>
      <c r="B414" s="13" t="e">
        <f>VLOOKUP(Table2[[#This Row],[Location 
(drop-down)]],'List source'!D$2:E$71,2,FALSE)</f>
        <v>#N/A</v>
      </c>
      <c r="C414" s="11" t="s">
        <v>531</v>
      </c>
      <c r="D414" s="183" t="e">
        <f t="shared" si="6"/>
        <v>#N/A</v>
      </c>
      <c r="E414" s="11"/>
      <c r="F414" s="11"/>
      <c r="G414" s="9"/>
      <c r="H414" s="10"/>
      <c r="I414" s="19"/>
      <c r="J414" s="142"/>
      <c r="K414" s="142"/>
      <c r="L414" s="61"/>
      <c r="M414" s="164"/>
      <c r="N414" s="142"/>
      <c r="O414" s="61"/>
      <c r="P414" s="168"/>
      <c r="Q4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4" s="36"/>
      <c r="S414" s="90"/>
    </row>
    <row r="415" spans="1:19" ht="30" hidden="1" customHeight="1">
      <c r="A415" s="9"/>
      <c r="B415" s="13" t="e">
        <f>VLOOKUP(Table2[[#This Row],[Location 
(drop-down)]],'List source'!D$2:E$71,2,FALSE)</f>
        <v>#N/A</v>
      </c>
      <c r="C415" s="11" t="s">
        <v>532</v>
      </c>
      <c r="D415" s="183" t="e">
        <f t="shared" si="6"/>
        <v>#N/A</v>
      </c>
      <c r="E415" s="11"/>
      <c r="F415" s="11"/>
      <c r="G415" s="9"/>
      <c r="H415" s="10"/>
      <c r="I415" s="19"/>
      <c r="J415" s="142"/>
      <c r="K415" s="142"/>
      <c r="L415" s="61"/>
      <c r="M415" s="164"/>
      <c r="N415" s="142"/>
      <c r="O415" s="61"/>
      <c r="P415" s="168"/>
      <c r="Q4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5" s="36"/>
      <c r="S415" s="90"/>
    </row>
    <row r="416" spans="1:19" ht="30" hidden="1" customHeight="1">
      <c r="A416" s="9"/>
      <c r="B416" s="13" t="e">
        <f>VLOOKUP(Table2[[#This Row],[Location 
(drop-down)]],'List source'!D$2:E$71,2,FALSE)</f>
        <v>#N/A</v>
      </c>
      <c r="C416" s="11" t="s">
        <v>533</v>
      </c>
      <c r="D416" s="183" t="e">
        <f t="shared" si="6"/>
        <v>#N/A</v>
      </c>
      <c r="E416" s="11"/>
      <c r="F416" s="11"/>
      <c r="G416" s="9"/>
      <c r="H416" s="10"/>
      <c r="I416" s="19"/>
      <c r="J416" s="142"/>
      <c r="K416" s="142"/>
      <c r="L416" s="61"/>
      <c r="M416" s="164"/>
      <c r="N416" s="142"/>
      <c r="O416" s="61"/>
      <c r="P416" s="168"/>
      <c r="Q4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6" s="36"/>
      <c r="S416" s="90"/>
    </row>
    <row r="417" spans="1:19" ht="30" hidden="1" customHeight="1">
      <c r="A417" s="9"/>
      <c r="B417" s="13" t="e">
        <f>VLOOKUP(Table2[[#This Row],[Location 
(drop-down)]],'List source'!D$2:E$71,2,FALSE)</f>
        <v>#N/A</v>
      </c>
      <c r="C417" s="11" t="s">
        <v>534</v>
      </c>
      <c r="D417" s="183" t="e">
        <f t="shared" si="6"/>
        <v>#N/A</v>
      </c>
      <c r="E417" s="11"/>
      <c r="F417" s="11"/>
      <c r="G417" s="9"/>
      <c r="H417" s="10"/>
      <c r="I417" s="19"/>
      <c r="J417" s="142"/>
      <c r="K417" s="142"/>
      <c r="L417" s="61"/>
      <c r="M417" s="164"/>
      <c r="N417" s="142"/>
      <c r="O417" s="61"/>
      <c r="P417" s="168"/>
      <c r="Q4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7" s="36"/>
      <c r="S417" s="90"/>
    </row>
    <row r="418" spans="1:19" ht="30" hidden="1" customHeight="1">
      <c r="A418" s="9"/>
      <c r="B418" s="13" t="e">
        <f>VLOOKUP(Table2[[#This Row],[Location 
(drop-down)]],'List source'!D$2:E$71,2,FALSE)</f>
        <v>#N/A</v>
      </c>
      <c r="C418" s="11" t="s">
        <v>535</v>
      </c>
      <c r="D418" s="183" t="e">
        <f t="shared" si="6"/>
        <v>#N/A</v>
      </c>
      <c r="E418" s="11"/>
      <c r="F418" s="11"/>
      <c r="G418" s="9"/>
      <c r="H418" s="10"/>
      <c r="I418" s="19"/>
      <c r="J418" s="142"/>
      <c r="K418" s="142"/>
      <c r="L418" s="61"/>
      <c r="M418" s="164"/>
      <c r="N418" s="142"/>
      <c r="O418" s="61"/>
      <c r="P418" s="168"/>
      <c r="Q4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8" s="36"/>
      <c r="S418" s="90"/>
    </row>
    <row r="419" spans="1:19" ht="30" hidden="1" customHeight="1">
      <c r="A419" s="9"/>
      <c r="B419" s="13" t="e">
        <f>VLOOKUP(Table2[[#This Row],[Location 
(drop-down)]],'List source'!D$2:E$71,2,FALSE)</f>
        <v>#N/A</v>
      </c>
      <c r="C419" s="11" t="s">
        <v>536</v>
      </c>
      <c r="D419" s="183" t="e">
        <f t="shared" si="6"/>
        <v>#N/A</v>
      </c>
      <c r="E419" s="11"/>
      <c r="F419" s="11"/>
      <c r="G419" s="9"/>
      <c r="H419" s="10"/>
      <c r="I419" s="19"/>
      <c r="J419" s="142"/>
      <c r="K419" s="142"/>
      <c r="L419" s="61"/>
      <c r="M419" s="164"/>
      <c r="N419" s="142"/>
      <c r="O419" s="61"/>
      <c r="P419" s="168"/>
      <c r="Q4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19" s="36"/>
      <c r="S419" s="90"/>
    </row>
    <row r="420" spans="1:19" ht="30" hidden="1" customHeight="1">
      <c r="A420" s="9"/>
      <c r="B420" s="13" t="e">
        <f>VLOOKUP(Table2[[#This Row],[Location 
(drop-down)]],'List source'!D$2:E$71,2,FALSE)</f>
        <v>#N/A</v>
      </c>
      <c r="C420" s="11" t="s">
        <v>537</v>
      </c>
      <c r="D420" s="183" t="e">
        <f t="shared" si="6"/>
        <v>#N/A</v>
      </c>
      <c r="E420" s="11"/>
      <c r="F420" s="11"/>
      <c r="G420" s="9"/>
      <c r="H420" s="10"/>
      <c r="I420" s="19"/>
      <c r="J420" s="142"/>
      <c r="K420" s="142"/>
      <c r="L420" s="61"/>
      <c r="M420" s="164"/>
      <c r="N420" s="142"/>
      <c r="O420" s="61"/>
      <c r="P420" s="168"/>
      <c r="Q4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0" s="36"/>
      <c r="S420" s="90"/>
    </row>
    <row r="421" spans="1:19" ht="30" hidden="1" customHeight="1">
      <c r="A421" s="9"/>
      <c r="B421" s="13" t="e">
        <f>VLOOKUP(Table2[[#This Row],[Location 
(drop-down)]],'List source'!D$2:E$71,2,FALSE)</f>
        <v>#N/A</v>
      </c>
      <c r="C421" s="11" t="s">
        <v>538</v>
      </c>
      <c r="D421" s="183" t="e">
        <f t="shared" si="6"/>
        <v>#N/A</v>
      </c>
      <c r="E421" s="11"/>
      <c r="F421" s="11"/>
      <c r="G421" s="9"/>
      <c r="H421" s="10"/>
      <c r="I421" s="19"/>
      <c r="J421" s="142"/>
      <c r="K421" s="142"/>
      <c r="L421" s="61"/>
      <c r="M421" s="164"/>
      <c r="N421" s="142"/>
      <c r="O421" s="61"/>
      <c r="P421" s="168"/>
      <c r="Q4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1" s="36"/>
      <c r="S421" s="90"/>
    </row>
    <row r="422" spans="1:19" ht="30" hidden="1" customHeight="1">
      <c r="A422" s="9"/>
      <c r="B422" s="13" t="e">
        <f>VLOOKUP(Table2[[#This Row],[Location 
(drop-down)]],'List source'!D$2:E$71,2,FALSE)</f>
        <v>#N/A</v>
      </c>
      <c r="C422" s="11" t="s">
        <v>539</v>
      </c>
      <c r="D422" s="183" t="e">
        <f t="shared" si="6"/>
        <v>#N/A</v>
      </c>
      <c r="E422" s="11"/>
      <c r="F422" s="11"/>
      <c r="G422" s="9"/>
      <c r="H422" s="10"/>
      <c r="I422" s="19"/>
      <c r="J422" s="142"/>
      <c r="K422" s="142"/>
      <c r="L422" s="61"/>
      <c r="M422" s="164"/>
      <c r="N422" s="142"/>
      <c r="O422" s="61"/>
      <c r="P422" s="168"/>
      <c r="Q4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2" s="36"/>
      <c r="S422" s="90"/>
    </row>
    <row r="423" spans="1:19" ht="30" hidden="1" customHeight="1">
      <c r="A423" s="9"/>
      <c r="B423" s="13" t="e">
        <f>VLOOKUP(Table2[[#This Row],[Location 
(drop-down)]],'List source'!D$2:E$71,2,FALSE)</f>
        <v>#N/A</v>
      </c>
      <c r="C423" s="11" t="s">
        <v>540</v>
      </c>
      <c r="D423" s="183" t="e">
        <f t="shared" si="6"/>
        <v>#N/A</v>
      </c>
      <c r="E423" s="150"/>
      <c r="F423" s="11"/>
      <c r="G423" s="9"/>
      <c r="H423" s="10"/>
      <c r="I423" s="19"/>
      <c r="J423" s="142"/>
      <c r="K423" s="142"/>
      <c r="L423" s="61"/>
      <c r="M423" s="164"/>
      <c r="N423" s="142"/>
      <c r="O423" s="61"/>
      <c r="P423" s="168"/>
      <c r="Q4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3" s="36"/>
      <c r="S423" s="90"/>
    </row>
    <row r="424" spans="1:19" ht="30" hidden="1" customHeight="1">
      <c r="A424" s="9"/>
      <c r="B424" s="13" t="e">
        <f>VLOOKUP(Table2[[#This Row],[Location 
(drop-down)]],'List source'!D$2:E$71,2,FALSE)</f>
        <v>#N/A</v>
      </c>
      <c r="C424" s="11" t="s">
        <v>541</v>
      </c>
      <c r="D424" s="183" t="e">
        <f t="shared" si="6"/>
        <v>#N/A</v>
      </c>
      <c r="E424" s="150"/>
      <c r="F424" s="11"/>
      <c r="G424" s="9"/>
      <c r="H424" s="10"/>
      <c r="I424" s="19"/>
      <c r="J424" s="142"/>
      <c r="K424" s="142"/>
      <c r="L424" s="61"/>
      <c r="M424" s="164"/>
      <c r="N424" s="142"/>
      <c r="O424" s="61"/>
      <c r="P424" s="168"/>
      <c r="Q4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4" s="36"/>
      <c r="S424" s="90"/>
    </row>
    <row r="425" spans="1:19" ht="30" hidden="1" customHeight="1">
      <c r="A425" s="9"/>
      <c r="B425" s="13" t="e">
        <f>VLOOKUP(Table2[[#This Row],[Location 
(drop-down)]],'List source'!D$2:E$71,2,FALSE)</f>
        <v>#N/A</v>
      </c>
      <c r="C425" s="11" t="s">
        <v>542</v>
      </c>
      <c r="D425" s="183" t="e">
        <f t="shared" si="6"/>
        <v>#N/A</v>
      </c>
      <c r="E425" s="150"/>
      <c r="F425" s="11"/>
      <c r="G425" s="9"/>
      <c r="H425" s="10"/>
      <c r="I425" s="19"/>
      <c r="J425" s="142"/>
      <c r="K425" s="142"/>
      <c r="L425" s="61"/>
      <c r="M425" s="164"/>
      <c r="N425" s="142"/>
      <c r="O425" s="61"/>
      <c r="P425" s="168"/>
      <c r="Q4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5" s="36"/>
      <c r="S425" s="90"/>
    </row>
    <row r="426" spans="1:19" ht="30" hidden="1" customHeight="1">
      <c r="A426" s="9"/>
      <c r="B426" s="13" t="e">
        <f>VLOOKUP(Table2[[#This Row],[Location 
(drop-down)]],'List source'!D$2:E$71,2,FALSE)</f>
        <v>#N/A</v>
      </c>
      <c r="C426" s="11" t="s">
        <v>543</v>
      </c>
      <c r="D426" s="183" t="e">
        <f t="shared" si="6"/>
        <v>#N/A</v>
      </c>
      <c r="E426" s="150"/>
      <c r="F426" s="11"/>
      <c r="G426" s="9"/>
      <c r="H426" s="10"/>
      <c r="I426" s="19"/>
      <c r="J426" s="142"/>
      <c r="K426" s="142"/>
      <c r="L426" s="61"/>
      <c r="M426" s="164"/>
      <c r="N426" s="142"/>
      <c r="O426" s="61"/>
      <c r="P426" s="168"/>
      <c r="Q4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6" s="36"/>
      <c r="S426" s="90"/>
    </row>
    <row r="427" spans="1:19" ht="30" hidden="1" customHeight="1">
      <c r="A427" s="9"/>
      <c r="B427" s="13" t="e">
        <f>VLOOKUP(Table2[[#This Row],[Location 
(drop-down)]],'List source'!D$2:E$71,2,FALSE)</f>
        <v>#N/A</v>
      </c>
      <c r="C427" s="11" t="s">
        <v>544</v>
      </c>
      <c r="D427" s="183" t="e">
        <f t="shared" si="6"/>
        <v>#N/A</v>
      </c>
      <c r="E427" s="150"/>
      <c r="F427" s="11"/>
      <c r="G427" s="9"/>
      <c r="H427" s="10"/>
      <c r="I427" s="19"/>
      <c r="J427" s="142"/>
      <c r="K427" s="142"/>
      <c r="L427" s="61"/>
      <c r="M427" s="164"/>
      <c r="N427" s="142"/>
      <c r="O427" s="61"/>
      <c r="P427" s="168"/>
      <c r="Q4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7" s="36"/>
      <c r="S427" s="90"/>
    </row>
    <row r="428" spans="1:19" ht="30" hidden="1" customHeight="1">
      <c r="A428" s="9"/>
      <c r="B428" s="13" t="e">
        <f>VLOOKUP(Table2[[#This Row],[Location 
(drop-down)]],'List source'!D$2:E$71,2,FALSE)</f>
        <v>#N/A</v>
      </c>
      <c r="C428" s="11" t="s">
        <v>545</v>
      </c>
      <c r="D428" s="183" t="e">
        <f t="shared" si="6"/>
        <v>#N/A</v>
      </c>
      <c r="E428" s="150"/>
      <c r="F428" s="11"/>
      <c r="G428" s="9"/>
      <c r="H428" s="10"/>
      <c r="I428" s="19"/>
      <c r="J428" s="142"/>
      <c r="K428" s="142"/>
      <c r="L428" s="61"/>
      <c r="M428" s="164"/>
      <c r="N428" s="142"/>
      <c r="O428" s="61"/>
      <c r="P428" s="168"/>
      <c r="Q4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8" s="36"/>
      <c r="S428" s="90"/>
    </row>
    <row r="429" spans="1:19" ht="30" hidden="1" customHeight="1">
      <c r="A429" s="9"/>
      <c r="B429" s="13" t="e">
        <f>VLOOKUP(Table2[[#This Row],[Location 
(drop-down)]],'List source'!D$2:E$71,2,FALSE)</f>
        <v>#N/A</v>
      </c>
      <c r="C429" s="11" t="s">
        <v>546</v>
      </c>
      <c r="D429" s="183" t="e">
        <f t="shared" si="6"/>
        <v>#N/A</v>
      </c>
      <c r="E429" s="150"/>
      <c r="F429" s="11"/>
      <c r="G429" s="9"/>
      <c r="H429" s="10"/>
      <c r="I429" s="19"/>
      <c r="J429" s="142"/>
      <c r="K429" s="142"/>
      <c r="L429" s="61"/>
      <c r="M429" s="164"/>
      <c r="N429" s="142"/>
      <c r="O429" s="61"/>
      <c r="P429" s="168"/>
      <c r="Q4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29" s="36"/>
      <c r="S429" s="90"/>
    </row>
    <row r="430" spans="1:19" ht="30" hidden="1" customHeight="1">
      <c r="A430" s="9"/>
      <c r="B430" s="13" t="e">
        <f>VLOOKUP(Table2[[#This Row],[Location 
(drop-down)]],'List source'!D$2:E$71,2,FALSE)</f>
        <v>#N/A</v>
      </c>
      <c r="C430" s="11" t="s">
        <v>547</v>
      </c>
      <c r="D430" s="183" t="e">
        <f t="shared" si="6"/>
        <v>#N/A</v>
      </c>
      <c r="E430" s="11"/>
      <c r="F430" s="11"/>
      <c r="G430" s="9"/>
      <c r="H430" s="10"/>
      <c r="I430" s="19"/>
      <c r="J430" s="142"/>
      <c r="K430" s="142"/>
      <c r="L430" s="61"/>
      <c r="M430" s="164"/>
      <c r="N430" s="142"/>
      <c r="O430" s="61"/>
      <c r="P430" s="168"/>
      <c r="Q4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0" s="36"/>
      <c r="S430" s="90"/>
    </row>
    <row r="431" spans="1:19" ht="30" hidden="1" customHeight="1">
      <c r="A431" s="9"/>
      <c r="B431" s="13" t="e">
        <f>VLOOKUP(Table2[[#This Row],[Location 
(drop-down)]],'List source'!D$2:E$71,2,FALSE)</f>
        <v>#N/A</v>
      </c>
      <c r="C431" s="11" t="s">
        <v>548</v>
      </c>
      <c r="D431" s="183" t="e">
        <f t="shared" si="6"/>
        <v>#N/A</v>
      </c>
      <c r="E431" s="11"/>
      <c r="F431" s="11"/>
      <c r="G431"/>
      <c r="H431" s="10"/>
      <c r="I431" s="19"/>
      <c r="J431" s="142"/>
      <c r="K431" s="142"/>
      <c r="L431" s="61"/>
      <c r="M431" s="164"/>
      <c r="N431" s="142"/>
      <c r="O431" s="61"/>
      <c r="P431" s="168"/>
      <c r="Q4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1" s="36"/>
      <c r="S431" s="90"/>
    </row>
    <row r="432" spans="1:19" ht="30" hidden="1" customHeight="1">
      <c r="A432" s="9"/>
      <c r="B432" s="13" t="e">
        <f>VLOOKUP(Table2[[#This Row],[Location 
(drop-down)]],'List source'!D$2:E$71,2,FALSE)</f>
        <v>#N/A</v>
      </c>
      <c r="C432" s="11" t="s">
        <v>549</v>
      </c>
      <c r="D432" s="183" t="e">
        <f t="shared" si="6"/>
        <v>#N/A</v>
      </c>
      <c r="E432" s="11"/>
      <c r="F432" s="11"/>
      <c r="G432"/>
      <c r="H432" s="10"/>
      <c r="I432" s="19"/>
      <c r="J432" s="142"/>
      <c r="K432" s="142"/>
      <c r="L432" s="61"/>
      <c r="M432" s="164"/>
      <c r="N432" s="142"/>
      <c r="O432" s="61"/>
      <c r="P432" s="168"/>
      <c r="Q4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2" s="36"/>
      <c r="S432" s="90"/>
    </row>
    <row r="433" spans="1:19" ht="30" hidden="1" customHeight="1">
      <c r="A433" s="9"/>
      <c r="B433" s="13" t="e">
        <f>VLOOKUP(Table2[[#This Row],[Location 
(drop-down)]],'List source'!D$2:E$71,2,FALSE)</f>
        <v>#N/A</v>
      </c>
      <c r="C433" s="11" t="s">
        <v>550</v>
      </c>
      <c r="D433" s="183" t="e">
        <f t="shared" si="6"/>
        <v>#N/A</v>
      </c>
      <c r="E433" s="11"/>
      <c r="F433" s="11"/>
      <c r="G433"/>
      <c r="H433" s="10"/>
      <c r="I433" s="19"/>
      <c r="J433" s="142"/>
      <c r="K433" s="142"/>
      <c r="L433" s="61"/>
      <c r="M433" s="164"/>
      <c r="N433" s="142"/>
      <c r="O433" s="61"/>
      <c r="P433" s="168"/>
      <c r="Q4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3" s="36"/>
      <c r="S433" s="90"/>
    </row>
    <row r="434" spans="1:19" ht="30" hidden="1" customHeight="1">
      <c r="A434" s="9"/>
      <c r="B434" s="13" t="e">
        <f>VLOOKUP(Table2[[#This Row],[Location 
(drop-down)]],'List source'!D$2:E$71,2,FALSE)</f>
        <v>#N/A</v>
      </c>
      <c r="C434" s="11" t="s">
        <v>551</v>
      </c>
      <c r="D434" s="183" t="e">
        <f t="shared" si="6"/>
        <v>#N/A</v>
      </c>
      <c r="E434" s="11"/>
      <c r="F434" s="11"/>
      <c r="G434" s="9"/>
      <c r="H434" s="10"/>
      <c r="I434" s="19"/>
      <c r="J434" s="142"/>
      <c r="K434" s="142"/>
      <c r="L434" s="61"/>
      <c r="M434" s="164"/>
      <c r="N434" s="142"/>
      <c r="O434" s="61"/>
      <c r="P434" s="168"/>
      <c r="Q4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4" s="36"/>
      <c r="S434" s="90"/>
    </row>
    <row r="435" spans="1:19" ht="30" hidden="1" customHeight="1">
      <c r="A435" s="9"/>
      <c r="B435" s="13" t="e">
        <f>VLOOKUP(Table2[[#This Row],[Location 
(drop-down)]],'List source'!D$2:E$71,2,FALSE)</f>
        <v>#N/A</v>
      </c>
      <c r="C435" s="11" t="s">
        <v>552</v>
      </c>
      <c r="D435" s="183" t="e">
        <f t="shared" si="6"/>
        <v>#N/A</v>
      </c>
      <c r="E435" s="11"/>
      <c r="F435" s="11"/>
      <c r="G435" s="9"/>
      <c r="H435" s="10"/>
      <c r="I435" s="19"/>
      <c r="J435" s="142"/>
      <c r="K435" s="142"/>
      <c r="L435" s="61"/>
      <c r="M435" s="164"/>
      <c r="N435" s="142"/>
      <c r="O435" s="61"/>
      <c r="P435" s="168"/>
      <c r="Q4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5" s="36"/>
      <c r="S435" s="90"/>
    </row>
    <row r="436" spans="1:19" ht="30" hidden="1" customHeight="1">
      <c r="A436" s="9"/>
      <c r="B436" s="13" t="e">
        <f>VLOOKUP(Table2[[#This Row],[Location 
(drop-down)]],'List source'!D$2:E$71,2,FALSE)</f>
        <v>#N/A</v>
      </c>
      <c r="C436" s="11" t="s">
        <v>553</v>
      </c>
      <c r="D436" s="183" t="e">
        <f t="shared" si="6"/>
        <v>#N/A</v>
      </c>
      <c r="E436" s="240"/>
      <c r="F436" s="11"/>
      <c r="G436" s="9"/>
      <c r="H436" s="10"/>
      <c r="I436" s="19"/>
      <c r="J436" s="142"/>
      <c r="K436" s="142"/>
      <c r="L436" s="61"/>
      <c r="M436" s="164"/>
      <c r="N436" s="142"/>
      <c r="O436" s="61"/>
      <c r="P436" s="168"/>
      <c r="Q4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6" s="36"/>
      <c r="S436" s="90"/>
    </row>
    <row r="437" spans="1:19" ht="30" hidden="1" customHeight="1">
      <c r="A437" s="9"/>
      <c r="B437" s="13" t="e">
        <f>VLOOKUP(Table2[[#This Row],[Location 
(drop-down)]],'List source'!D$2:E$71,2,FALSE)</f>
        <v>#N/A</v>
      </c>
      <c r="C437" s="11" t="s">
        <v>554</v>
      </c>
      <c r="D437" s="183" t="e">
        <f t="shared" si="6"/>
        <v>#N/A</v>
      </c>
      <c r="E437" s="18"/>
      <c r="F437" s="11"/>
      <c r="G437" s="9"/>
      <c r="H437" s="10"/>
      <c r="I437" s="19"/>
      <c r="J437" s="142"/>
      <c r="K437" s="142"/>
      <c r="L437" s="61"/>
      <c r="M437" s="164"/>
      <c r="N437" s="142"/>
      <c r="O437" s="61"/>
      <c r="P437" s="168"/>
      <c r="Q4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7" s="36"/>
      <c r="S437" s="90"/>
    </row>
    <row r="438" spans="1:19" ht="30" hidden="1" customHeight="1">
      <c r="A438" s="9"/>
      <c r="B438" s="13" t="e">
        <f>VLOOKUP(Table2[[#This Row],[Location 
(drop-down)]],'List source'!D$2:E$71,2,FALSE)</f>
        <v>#N/A</v>
      </c>
      <c r="C438" s="11" t="s">
        <v>555</v>
      </c>
      <c r="D438" s="183" t="e">
        <f t="shared" si="6"/>
        <v>#N/A</v>
      </c>
      <c r="E438" s="11"/>
      <c r="F438" s="11"/>
      <c r="G438" s="9"/>
      <c r="H438" s="10"/>
      <c r="I438" s="19"/>
      <c r="J438" s="142"/>
      <c r="K438" s="142"/>
      <c r="L438" s="61"/>
      <c r="M438" s="164"/>
      <c r="N438" s="142"/>
      <c r="O438" s="61"/>
      <c r="P438" s="168"/>
      <c r="Q4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8" s="36"/>
      <c r="S438" s="90"/>
    </row>
    <row r="439" spans="1:19" ht="30" hidden="1" customHeight="1">
      <c r="A439" s="9"/>
      <c r="B439" s="13" t="e">
        <f>VLOOKUP(Table2[[#This Row],[Location 
(drop-down)]],'List source'!D$2:E$71,2,FALSE)</f>
        <v>#N/A</v>
      </c>
      <c r="C439" s="11" t="s">
        <v>556</v>
      </c>
      <c r="D439" s="183" t="e">
        <f t="shared" si="6"/>
        <v>#N/A</v>
      </c>
      <c r="E439" s="11"/>
      <c r="F439" s="11"/>
      <c r="G439" s="9"/>
      <c r="H439" s="10"/>
      <c r="I439" s="19"/>
      <c r="J439" s="142"/>
      <c r="K439" s="142"/>
      <c r="L439" s="61"/>
      <c r="M439" s="164"/>
      <c r="N439" s="142"/>
      <c r="O439" s="61"/>
      <c r="P439" s="168"/>
      <c r="Q4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39" s="36"/>
      <c r="S439" s="90"/>
    </row>
    <row r="440" spans="1:19" ht="30" hidden="1" customHeight="1">
      <c r="A440" s="9"/>
      <c r="B440" s="13" t="e">
        <f>VLOOKUP(Table2[[#This Row],[Location 
(drop-down)]],'List source'!D$2:E$71,2,FALSE)</f>
        <v>#N/A</v>
      </c>
      <c r="C440" s="11" t="s">
        <v>557</v>
      </c>
      <c r="D440" s="183" t="e">
        <f t="shared" si="6"/>
        <v>#N/A</v>
      </c>
      <c r="E440" s="11"/>
      <c r="F440" s="11"/>
      <c r="G440" s="9"/>
      <c r="H440" s="10"/>
      <c r="I440" s="19"/>
      <c r="J440" s="142"/>
      <c r="K440" s="142"/>
      <c r="L440" s="61"/>
      <c r="M440" s="164"/>
      <c r="N440" s="142"/>
      <c r="O440" s="61"/>
      <c r="P440" s="168"/>
      <c r="Q4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0" s="36"/>
      <c r="S440" s="90"/>
    </row>
    <row r="441" spans="1:19" ht="30" hidden="1" customHeight="1">
      <c r="A441" s="9"/>
      <c r="B441" s="13" t="e">
        <f>VLOOKUP(Table2[[#This Row],[Location 
(drop-down)]],'List source'!D$2:E$71,2,FALSE)</f>
        <v>#N/A</v>
      </c>
      <c r="C441" s="11" t="s">
        <v>558</v>
      </c>
      <c r="D441" s="183" t="e">
        <f t="shared" si="6"/>
        <v>#N/A</v>
      </c>
      <c r="E441" s="11"/>
      <c r="F441" s="11"/>
      <c r="G441" s="9"/>
      <c r="H441" s="10"/>
      <c r="I441" s="19"/>
      <c r="J441" s="142"/>
      <c r="K441" s="142"/>
      <c r="L441" s="61"/>
      <c r="M441" s="164"/>
      <c r="N441" s="142"/>
      <c r="O441" s="61"/>
      <c r="P441" s="168"/>
      <c r="Q4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1" s="36"/>
      <c r="S441" s="90"/>
    </row>
    <row r="442" spans="1:19" ht="30" hidden="1" customHeight="1">
      <c r="A442" s="9"/>
      <c r="B442" s="13" t="e">
        <f>VLOOKUP(Table2[[#This Row],[Location 
(drop-down)]],'List source'!D$2:E$71,2,FALSE)</f>
        <v>#N/A</v>
      </c>
      <c r="C442" s="11" t="s">
        <v>559</v>
      </c>
      <c r="D442" s="183" t="e">
        <f t="shared" si="6"/>
        <v>#N/A</v>
      </c>
      <c r="E442" s="11"/>
      <c r="F442" s="11"/>
      <c r="G442" s="9"/>
      <c r="H442" s="10"/>
      <c r="I442" s="19"/>
      <c r="J442" s="142"/>
      <c r="K442" s="142"/>
      <c r="L442" s="61"/>
      <c r="M442" s="164"/>
      <c r="N442" s="142"/>
      <c r="O442" s="61"/>
      <c r="P442" s="168"/>
      <c r="Q4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2" s="36"/>
      <c r="S442" s="90"/>
    </row>
    <row r="443" spans="1:19" ht="30" hidden="1" customHeight="1">
      <c r="A443" s="9"/>
      <c r="B443" s="13" t="e">
        <f>VLOOKUP(Table2[[#This Row],[Location 
(drop-down)]],'List source'!D$2:E$71,2,FALSE)</f>
        <v>#N/A</v>
      </c>
      <c r="C443" s="11" t="s">
        <v>560</v>
      </c>
      <c r="D443" s="183" t="e">
        <f t="shared" si="6"/>
        <v>#N/A</v>
      </c>
      <c r="E443" s="11"/>
      <c r="F443" s="11"/>
      <c r="G443" s="9"/>
      <c r="H443" s="10"/>
      <c r="I443" s="19"/>
      <c r="J443" s="142"/>
      <c r="K443" s="142"/>
      <c r="L443" s="61"/>
      <c r="M443" s="164"/>
      <c r="N443" s="142"/>
      <c r="O443" s="61"/>
      <c r="P443" s="168"/>
      <c r="Q4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3" s="36"/>
      <c r="S443" s="90"/>
    </row>
    <row r="444" spans="1:19" ht="30" hidden="1" customHeight="1">
      <c r="A444" s="9"/>
      <c r="B444" s="13" t="e">
        <f>VLOOKUP(Table2[[#This Row],[Location 
(drop-down)]],'List source'!D$2:E$71,2,FALSE)</f>
        <v>#N/A</v>
      </c>
      <c r="C444" s="11" t="s">
        <v>561</v>
      </c>
      <c r="D444" s="183" t="e">
        <f t="shared" si="6"/>
        <v>#N/A</v>
      </c>
      <c r="E444" s="11"/>
      <c r="F444" s="11"/>
      <c r="G444" s="9"/>
      <c r="H444" s="10"/>
      <c r="I444" s="19"/>
      <c r="J444" s="142"/>
      <c r="K444" s="142"/>
      <c r="L444" s="61"/>
      <c r="M444" s="164"/>
      <c r="N444" s="142"/>
      <c r="O444" s="61"/>
      <c r="P444" s="168"/>
      <c r="Q4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4" s="36"/>
      <c r="S444" s="90"/>
    </row>
    <row r="445" spans="1:19" ht="30" hidden="1" customHeight="1">
      <c r="A445" s="9"/>
      <c r="B445" s="13" t="e">
        <f>VLOOKUP(Table2[[#This Row],[Location 
(drop-down)]],'List source'!D$2:E$71,2,FALSE)</f>
        <v>#N/A</v>
      </c>
      <c r="C445" s="11" t="s">
        <v>562</v>
      </c>
      <c r="D445" s="183" t="e">
        <f t="shared" si="6"/>
        <v>#N/A</v>
      </c>
      <c r="E445" s="11"/>
      <c r="F445" s="11"/>
      <c r="G445" s="9"/>
      <c r="H445" s="10"/>
      <c r="I445" s="19"/>
      <c r="J445" s="142"/>
      <c r="K445" s="142"/>
      <c r="L445" s="61"/>
      <c r="M445" s="164"/>
      <c r="N445" s="142"/>
      <c r="O445" s="61"/>
      <c r="P445" s="168"/>
      <c r="Q4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5" s="36"/>
      <c r="S445" s="90"/>
    </row>
    <row r="446" spans="1:19" ht="30" hidden="1" customHeight="1">
      <c r="A446" s="9"/>
      <c r="B446" s="13" t="e">
        <f>VLOOKUP(Table2[[#This Row],[Location 
(drop-down)]],'List source'!D$2:E$71,2,FALSE)</f>
        <v>#N/A</v>
      </c>
      <c r="C446" s="11" t="s">
        <v>563</v>
      </c>
      <c r="D446" s="183" t="e">
        <f t="shared" si="6"/>
        <v>#N/A</v>
      </c>
      <c r="E446" s="11"/>
      <c r="F446" s="11"/>
      <c r="G446" s="9"/>
      <c r="H446" s="10"/>
      <c r="I446" s="19"/>
      <c r="J446" s="142"/>
      <c r="K446" s="142"/>
      <c r="L446" s="61"/>
      <c r="M446" s="164"/>
      <c r="N446" s="142"/>
      <c r="O446" s="61"/>
      <c r="P446" s="168"/>
      <c r="Q4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6" s="36"/>
      <c r="S446" s="90"/>
    </row>
    <row r="447" spans="1:19" ht="30" hidden="1" customHeight="1">
      <c r="A447" s="9"/>
      <c r="B447" s="13" t="e">
        <f>VLOOKUP(Table2[[#This Row],[Location 
(drop-down)]],'List source'!D$2:E$71,2,FALSE)</f>
        <v>#N/A</v>
      </c>
      <c r="C447" s="11" t="s">
        <v>564</v>
      </c>
      <c r="D447" s="183" t="e">
        <f t="shared" si="6"/>
        <v>#N/A</v>
      </c>
      <c r="E447" s="11"/>
      <c r="F447" s="11"/>
      <c r="G447" s="9"/>
      <c r="H447" s="10"/>
      <c r="I447" s="19"/>
      <c r="J447" s="142"/>
      <c r="K447" s="142"/>
      <c r="L447" s="61"/>
      <c r="M447" s="164"/>
      <c r="N447" s="142"/>
      <c r="O447" s="61"/>
      <c r="P447" s="168"/>
      <c r="Q4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7" s="36"/>
      <c r="S447" s="90"/>
    </row>
    <row r="448" spans="1:19" ht="30" hidden="1" customHeight="1">
      <c r="A448" s="9"/>
      <c r="B448" s="13" t="e">
        <f>VLOOKUP(Table2[[#This Row],[Location 
(drop-down)]],'List source'!D$2:E$71,2,FALSE)</f>
        <v>#N/A</v>
      </c>
      <c r="C448" s="11" t="s">
        <v>565</v>
      </c>
      <c r="D448" s="183" t="e">
        <f t="shared" si="6"/>
        <v>#N/A</v>
      </c>
      <c r="E448" s="11"/>
      <c r="F448" s="11"/>
      <c r="G448" s="9"/>
      <c r="H448" s="10"/>
      <c r="I448" s="19"/>
      <c r="J448" s="142"/>
      <c r="K448" s="142"/>
      <c r="L448" s="61"/>
      <c r="M448" s="164"/>
      <c r="N448" s="142"/>
      <c r="O448" s="61"/>
      <c r="P448" s="168"/>
      <c r="Q4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8" s="36"/>
      <c r="S448" s="90"/>
    </row>
    <row r="449" spans="1:19" ht="30" hidden="1" customHeight="1">
      <c r="A449" s="9"/>
      <c r="B449" s="13" t="e">
        <f>VLOOKUP(Table2[[#This Row],[Location 
(drop-down)]],'List source'!D$2:E$71,2,FALSE)</f>
        <v>#N/A</v>
      </c>
      <c r="C449" s="11" t="s">
        <v>566</v>
      </c>
      <c r="D449" s="183" t="e">
        <f t="shared" si="6"/>
        <v>#N/A</v>
      </c>
      <c r="E449" s="11"/>
      <c r="F449" s="11"/>
      <c r="G449" s="9"/>
      <c r="H449" s="12"/>
      <c r="I449" s="19"/>
      <c r="J449" s="142"/>
      <c r="K449" s="142"/>
      <c r="L449" s="61"/>
      <c r="M449" s="164"/>
      <c r="N449" s="142"/>
      <c r="O449" s="12"/>
      <c r="P449" s="162"/>
      <c r="Q4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49" s="162"/>
      <c r="S449" s="90"/>
    </row>
    <row r="450" spans="1:19" ht="30" hidden="1" customHeight="1">
      <c r="A450" s="9"/>
      <c r="B450" s="13" t="e">
        <f>VLOOKUP(Table2[[#This Row],[Location 
(drop-down)]],'List source'!D$2:E$71,2,FALSE)</f>
        <v>#N/A</v>
      </c>
      <c r="C450" s="11" t="s">
        <v>567</v>
      </c>
      <c r="D450" s="183" t="e">
        <f t="shared" ref="D450:D513" si="7">"C" &amp; C450 &amp;"-" &amp; B450 &amp; "-" &amp; "26"</f>
        <v>#N/A</v>
      </c>
      <c r="E450" s="11"/>
      <c r="F450" s="11"/>
      <c r="G450" s="9"/>
      <c r="H450" s="10"/>
      <c r="I450" s="19"/>
      <c r="J450" s="142"/>
      <c r="K450" s="142"/>
      <c r="L450" s="61"/>
      <c r="M450" s="164"/>
      <c r="N450" s="142"/>
      <c r="O450" s="61"/>
      <c r="P450" s="168"/>
      <c r="Q4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0" s="36"/>
      <c r="S450" s="90"/>
    </row>
    <row r="451" spans="1:19" ht="30" hidden="1" customHeight="1">
      <c r="A451" s="9"/>
      <c r="B451" s="13" t="e">
        <f>VLOOKUP(Table2[[#This Row],[Location 
(drop-down)]],'List source'!D$2:E$71,2,FALSE)</f>
        <v>#N/A</v>
      </c>
      <c r="C451" s="11" t="s">
        <v>568</v>
      </c>
      <c r="D451" s="183" t="e">
        <f t="shared" si="7"/>
        <v>#N/A</v>
      </c>
      <c r="E451" s="11"/>
      <c r="F451" s="11"/>
      <c r="G451" s="9"/>
      <c r="H451" s="10"/>
      <c r="I451" s="19"/>
      <c r="J451" s="142"/>
      <c r="K451" s="142"/>
      <c r="L451" s="61"/>
      <c r="M451" s="164"/>
      <c r="N451" s="142"/>
      <c r="O451" s="61"/>
      <c r="P451" s="168"/>
      <c r="Q4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1" s="36"/>
      <c r="S451" s="90"/>
    </row>
    <row r="452" spans="1:19" ht="30" hidden="1" customHeight="1">
      <c r="A452" s="9"/>
      <c r="B452" s="13" t="e">
        <f>VLOOKUP(Table2[[#This Row],[Location 
(drop-down)]],'List source'!D$2:E$71,2,FALSE)</f>
        <v>#N/A</v>
      </c>
      <c r="C452" s="11" t="s">
        <v>569</v>
      </c>
      <c r="D452" s="183" t="e">
        <f t="shared" si="7"/>
        <v>#N/A</v>
      </c>
      <c r="E452" s="11"/>
      <c r="F452" s="11"/>
      <c r="G452" s="15"/>
      <c r="H452" s="10"/>
      <c r="I452" s="19"/>
      <c r="J452" s="142"/>
      <c r="K452" s="142"/>
      <c r="L452" s="61"/>
      <c r="M452" s="164"/>
      <c r="N452" s="142"/>
      <c r="O452" s="61"/>
      <c r="P452" s="168"/>
      <c r="Q4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2" s="36"/>
      <c r="S452" s="90"/>
    </row>
    <row r="453" spans="1:19" ht="30" hidden="1" customHeight="1">
      <c r="A453" s="9"/>
      <c r="B453" s="13" t="e">
        <f>VLOOKUP(Table2[[#This Row],[Location 
(drop-down)]],'List source'!D$2:E$71,2,FALSE)</f>
        <v>#N/A</v>
      </c>
      <c r="C453" s="11" t="s">
        <v>570</v>
      </c>
      <c r="D453" s="183" t="e">
        <f t="shared" si="7"/>
        <v>#N/A</v>
      </c>
      <c r="E453" s="11"/>
      <c r="F453" s="11"/>
      <c r="G453" s="9"/>
      <c r="H453" s="10"/>
      <c r="I453" s="19"/>
      <c r="J453" s="142"/>
      <c r="K453" s="142"/>
      <c r="L453" s="61"/>
      <c r="M453" s="164"/>
      <c r="N453" s="142"/>
      <c r="O453" s="61"/>
      <c r="P453" s="168"/>
      <c r="Q4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3" s="36"/>
      <c r="S453" s="90"/>
    </row>
    <row r="454" spans="1:19" ht="30" hidden="1" customHeight="1">
      <c r="A454" s="9"/>
      <c r="B454" s="13" t="e">
        <f>VLOOKUP(Table2[[#This Row],[Location 
(drop-down)]],'List source'!D$2:E$71,2,FALSE)</f>
        <v>#N/A</v>
      </c>
      <c r="C454" s="11" t="s">
        <v>571</v>
      </c>
      <c r="D454" s="183" t="e">
        <f t="shared" si="7"/>
        <v>#N/A</v>
      </c>
      <c r="E454" s="11"/>
      <c r="F454" s="11"/>
      <c r="G454" s="9"/>
      <c r="H454" s="10"/>
      <c r="I454" s="19"/>
      <c r="J454" s="142"/>
      <c r="K454" s="142"/>
      <c r="L454" s="61"/>
      <c r="M454" s="164"/>
      <c r="N454" s="142"/>
      <c r="O454" s="61"/>
      <c r="P454" s="168"/>
      <c r="Q4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4" s="36"/>
      <c r="S454" s="90"/>
    </row>
    <row r="455" spans="1:19" ht="30" hidden="1" customHeight="1">
      <c r="A455" s="9"/>
      <c r="B455" s="13" t="e">
        <f>VLOOKUP(Table2[[#This Row],[Location 
(drop-down)]],'List source'!D$2:E$71,2,FALSE)</f>
        <v>#N/A</v>
      </c>
      <c r="C455" s="11" t="s">
        <v>572</v>
      </c>
      <c r="D455" s="183" t="e">
        <f t="shared" si="7"/>
        <v>#N/A</v>
      </c>
      <c r="E455" s="11"/>
      <c r="F455" s="11"/>
      <c r="G455" s="9"/>
      <c r="H455" s="10"/>
      <c r="I455" s="19"/>
      <c r="J455" s="142"/>
      <c r="K455" s="142"/>
      <c r="L455" s="61"/>
      <c r="M455" s="164"/>
      <c r="N455" s="142"/>
      <c r="O455" s="61"/>
      <c r="P455" s="168"/>
      <c r="Q4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5" s="36"/>
      <c r="S455" s="90"/>
    </row>
    <row r="456" spans="1:19" ht="30" hidden="1" customHeight="1">
      <c r="A456" s="9"/>
      <c r="B456" s="13" t="e">
        <f>VLOOKUP(Table2[[#This Row],[Location 
(drop-down)]],'List source'!D$2:E$71,2,FALSE)</f>
        <v>#N/A</v>
      </c>
      <c r="C456" s="11" t="s">
        <v>573</v>
      </c>
      <c r="D456" s="183" t="e">
        <f t="shared" si="7"/>
        <v>#N/A</v>
      </c>
      <c r="E456" s="11"/>
      <c r="F456" s="11"/>
      <c r="G456" s="9"/>
      <c r="H456" s="10"/>
      <c r="I456" s="19"/>
      <c r="J456" s="142"/>
      <c r="K456" s="142"/>
      <c r="L456" s="61"/>
      <c r="M456" s="164"/>
      <c r="N456" s="142"/>
      <c r="O456" s="61"/>
      <c r="P456" s="168"/>
      <c r="Q4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6" s="36"/>
      <c r="S456" s="90"/>
    </row>
    <row r="457" spans="1:19" ht="30" hidden="1" customHeight="1">
      <c r="A457" s="9"/>
      <c r="B457" s="13" t="e">
        <f>VLOOKUP(Table2[[#This Row],[Location 
(drop-down)]],'List source'!D$2:E$71,2,FALSE)</f>
        <v>#N/A</v>
      </c>
      <c r="C457" s="11" t="s">
        <v>574</v>
      </c>
      <c r="D457" s="183" t="e">
        <f t="shared" si="7"/>
        <v>#N/A</v>
      </c>
      <c r="E457" s="11"/>
      <c r="F457" s="11"/>
      <c r="G457" s="9"/>
      <c r="H457" s="10"/>
      <c r="I457" s="19"/>
      <c r="J457" s="142"/>
      <c r="K457" s="142"/>
      <c r="L457" s="61"/>
      <c r="M457" s="164"/>
      <c r="N457" s="142"/>
      <c r="O457" s="61"/>
      <c r="P457" s="168"/>
      <c r="Q4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7" s="36"/>
      <c r="S457" s="90"/>
    </row>
    <row r="458" spans="1:19" ht="30" hidden="1" customHeight="1">
      <c r="A458" s="9"/>
      <c r="B458" s="13" t="e">
        <f>VLOOKUP(Table2[[#This Row],[Location 
(drop-down)]],'List source'!D$2:E$71,2,FALSE)</f>
        <v>#N/A</v>
      </c>
      <c r="C458" s="11" t="s">
        <v>575</v>
      </c>
      <c r="D458" s="183" t="e">
        <f t="shared" si="7"/>
        <v>#N/A</v>
      </c>
      <c r="E458" s="11"/>
      <c r="F458" s="11"/>
      <c r="G458" s="9"/>
      <c r="H458" s="10"/>
      <c r="I458" s="19"/>
      <c r="J458" s="142"/>
      <c r="K458" s="142"/>
      <c r="L458" s="61"/>
      <c r="M458" s="164"/>
      <c r="N458" s="142"/>
      <c r="O458" s="61"/>
      <c r="P458" s="168"/>
      <c r="Q4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8" s="36"/>
      <c r="S458" s="90"/>
    </row>
    <row r="459" spans="1:19" ht="30" hidden="1" customHeight="1">
      <c r="A459" s="9"/>
      <c r="B459" s="13" t="e">
        <f>VLOOKUP(Table2[[#This Row],[Location 
(drop-down)]],'List source'!D$2:E$71,2,FALSE)</f>
        <v>#N/A</v>
      </c>
      <c r="C459" s="11" t="s">
        <v>576</v>
      </c>
      <c r="D459" s="183" t="e">
        <f t="shared" si="7"/>
        <v>#N/A</v>
      </c>
      <c r="E459" s="11"/>
      <c r="F459" s="11"/>
      <c r="G459" s="9"/>
      <c r="H459" s="10"/>
      <c r="I459" s="19"/>
      <c r="J459" s="142"/>
      <c r="K459" s="142"/>
      <c r="L459" s="61"/>
      <c r="M459" s="164"/>
      <c r="N459" s="142"/>
      <c r="O459" s="61"/>
      <c r="P459" s="168"/>
      <c r="Q4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59" s="36"/>
      <c r="S459" s="90"/>
    </row>
    <row r="460" spans="1:19" ht="30" hidden="1" customHeight="1">
      <c r="A460" s="9"/>
      <c r="B460" s="13" t="e">
        <f>VLOOKUP(Table2[[#This Row],[Location 
(drop-down)]],'List source'!D$2:E$71,2,FALSE)</f>
        <v>#N/A</v>
      </c>
      <c r="C460" s="11" t="s">
        <v>577</v>
      </c>
      <c r="D460" s="183" t="e">
        <f t="shared" si="7"/>
        <v>#N/A</v>
      </c>
      <c r="E460" s="11"/>
      <c r="F460" s="11"/>
      <c r="G460" s="9"/>
      <c r="H460" s="10"/>
      <c r="I460" s="19"/>
      <c r="J460" s="142"/>
      <c r="K460" s="142"/>
      <c r="L460" s="61"/>
      <c r="M460" s="164"/>
      <c r="N460" s="142"/>
      <c r="O460" s="61"/>
      <c r="P460" s="168"/>
      <c r="Q4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0" s="36"/>
      <c r="S460" s="90"/>
    </row>
    <row r="461" spans="1:19" ht="30" hidden="1" customHeight="1">
      <c r="A461" s="9"/>
      <c r="B461" s="13" t="e">
        <f>VLOOKUP(Table2[[#This Row],[Location 
(drop-down)]],'List source'!D$2:E$71,2,FALSE)</f>
        <v>#N/A</v>
      </c>
      <c r="C461" s="11" t="s">
        <v>578</v>
      </c>
      <c r="D461" s="183" t="e">
        <f t="shared" si="7"/>
        <v>#N/A</v>
      </c>
      <c r="E461" s="11"/>
      <c r="F461" s="11"/>
      <c r="G461" s="9"/>
      <c r="H461" s="10"/>
      <c r="I461" s="19"/>
      <c r="J461" s="142"/>
      <c r="K461" s="142"/>
      <c r="L461" s="61"/>
      <c r="M461" s="164"/>
      <c r="N461" s="142"/>
      <c r="O461" s="61"/>
      <c r="P461" s="168"/>
      <c r="Q4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1" s="36"/>
      <c r="S461" s="90"/>
    </row>
    <row r="462" spans="1:19" ht="30" hidden="1" customHeight="1">
      <c r="A462" s="9"/>
      <c r="B462" s="13" t="e">
        <f>VLOOKUP(Table2[[#This Row],[Location 
(drop-down)]],'List source'!D$2:E$71,2,FALSE)</f>
        <v>#N/A</v>
      </c>
      <c r="C462" s="11" t="s">
        <v>579</v>
      </c>
      <c r="D462" s="183" t="e">
        <f t="shared" si="7"/>
        <v>#N/A</v>
      </c>
      <c r="E462" s="11"/>
      <c r="F462" s="11"/>
      <c r="G462" s="9"/>
      <c r="H462" s="10"/>
      <c r="I462" s="19"/>
      <c r="J462" s="142"/>
      <c r="K462" s="142"/>
      <c r="L462" s="61"/>
      <c r="M462" s="164"/>
      <c r="N462" s="142"/>
      <c r="O462" s="61"/>
      <c r="P462" s="168"/>
      <c r="Q4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2" s="36"/>
      <c r="S462" s="90"/>
    </row>
    <row r="463" spans="1:19" ht="30" hidden="1" customHeight="1">
      <c r="A463" s="9"/>
      <c r="B463" s="13" t="e">
        <f>VLOOKUP(Table2[[#This Row],[Location 
(drop-down)]],'List source'!D$2:E$71,2,FALSE)</f>
        <v>#N/A</v>
      </c>
      <c r="C463" s="11" t="s">
        <v>580</v>
      </c>
      <c r="D463" s="183" t="e">
        <f t="shared" si="7"/>
        <v>#N/A</v>
      </c>
      <c r="E463" s="11"/>
      <c r="F463" s="11"/>
      <c r="G463" s="9"/>
      <c r="H463" s="10"/>
      <c r="I463" s="19"/>
      <c r="J463" s="142"/>
      <c r="K463" s="142"/>
      <c r="L463" s="61"/>
      <c r="M463" s="164"/>
      <c r="N463" s="142"/>
      <c r="O463" s="61"/>
      <c r="P463" s="168"/>
      <c r="Q4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3" s="36"/>
      <c r="S463" s="90"/>
    </row>
    <row r="464" spans="1:19" ht="30" hidden="1" customHeight="1">
      <c r="A464" s="9"/>
      <c r="B464" s="13" t="e">
        <f>VLOOKUP(Table2[[#This Row],[Location 
(drop-down)]],'List source'!D$2:E$71,2,FALSE)</f>
        <v>#N/A</v>
      </c>
      <c r="C464" s="11" t="s">
        <v>581</v>
      </c>
      <c r="D464" s="183" t="e">
        <f t="shared" si="7"/>
        <v>#N/A</v>
      </c>
      <c r="E464" s="11"/>
      <c r="F464" s="11"/>
      <c r="G464" s="9"/>
      <c r="H464" s="10"/>
      <c r="I464" s="19"/>
      <c r="J464" s="142"/>
      <c r="K464" s="142"/>
      <c r="L464" s="61"/>
      <c r="M464" s="164"/>
      <c r="N464" s="142"/>
      <c r="O464" s="61"/>
      <c r="P464" s="168"/>
      <c r="Q4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4" s="36"/>
      <c r="S464" s="90"/>
    </row>
    <row r="465" spans="1:19" ht="30" hidden="1" customHeight="1">
      <c r="A465" s="9"/>
      <c r="B465" s="13" t="e">
        <f>VLOOKUP(Table2[[#This Row],[Location 
(drop-down)]],'List source'!D$2:E$71,2,FALSE)</f>
        <v>#N/A</v>
      </c>
      <c r="C465" s="11" t="s">
        <v>582</v>
      </c>
      <c r="D465" s="183" t="e">
        <f t="shared" si="7"/>
        <v>#N/A</v>
      </c>
      <c r="E465" s="11"/>
      <c r="F465" s="11"/>
      <c r="G465" s="9"/>
      <c r="H465" s="10"/>
      <c r="I465" s="19"/>
      <c r="J465" s="142"/>
      <c r="K465" s="142"/>
      <c r="L465" s="61"/>
      <c r="M465" s="164"/>
      <c r="N465" s="142"/>
      <c r="O465" s="61"/>
      <c r="P465" s="168"/>
      <c r="Q4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5" s="36"/>
      <c r="S465" s="90"/>
    </row>
    <row r="466" spans="1:19" ht="30" hidden="1" customHeight="1">
      <c r="A466" s="9"/>
      <c r="B466" s="13" t="e">
        <f>VLOOKUP(Table2[[#This Row],[Location 
(drop-down)]],'List source'!D$2:E$71,2,FALSE)</f>
        <v>#N/A</v>
      </c>
      <c r="C466" s="11" t="s">
        <v>583</v>
      </c>
      <c r="D466" s="183" t="e">
        <f t="shared" si="7"/>
        <v>#N/A</v>
      </c>
      <c r="E466" s="11"/>
      <c r="F466" s="11"/>
      <c r="G466" s="9"/>
      <c r="H466" s="10"/>
      <c r="I466" s="19"/>
      <c r="J466" s="142"/>
      <c r="K466" s="142"/>
      <c r="L466" s="61"/>
      <c r="M466" s="164"/>
      <c r="N466" s="142"/>
      <c r="O466" s="61"/>
      <c r="P466" s="168"/>
      <c r="Q4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6" s="36"/>
      <c r="S466" s="90"/>
    </row>
    <row r="467" spans="1:19" ht="30" hidden="1" customHeight="1">
      <c r="A467" s="9"/>
      <c r="B467" s="13" t="e">
        <f>VLOOKUP(Table2[[#This Row],[Location 
(drop-down)]],'List source'!D$2:E$71,2,FALSE)</f>
        <v>#N/A</v>
      </c>
      <c r="C467" s="11" t="s">
        <v>584</v>
      </c>
      <c r="D467" s="183" t="e">
        <f t="shared" si="7"/>
        <v>#N/A</v>
      </c>
      <c r="E467" s="11"/>
      <c r="F467" s="11"/>
      <c r="G467" s="9"/>
      <c r="H467" s="10"/>
      <c r="I467" s="19"/>
      <c r="J467" s="142"/>
      <c r="K467" s="142"/>
      <c r="L467" s="61"/>
      <c r="M467" s="164"/>
      <c r="N467" s="142"/>
      <c r="O467" s="61"/>
      <c r="P467" s="168"/>
      <c r="Q4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7" s="36"/>
      <c r="S467" s="90"/>
    </row>
    <row r="468" spans="1:19" ht="30" hidden="1" customHeight="1">
      <c r="A468" s="9"/>
      <c r="B468" s="13" t="e">
        <f>VLOOKUP(Table2[[#This Row],[Location 
(drop-down)]],'List source'!D$2:E$71,2,FALSE)</f>
        <v>#N/A</v>
      </c>
      <c r="C468" s="11" t="s">
        <v>585</v>
      </c>
      <c r="D468" s="183" t="e">
        <f t="shared" si="7"/>
        <v>#N/A</v>
      </c>
      <c r="E468" s="11"/>
      <c r="F468" s="11"/>
      <c r="G468" s="9"/>
      <c r="H468" s="10"/>
      <c r="I468" s="19"/>
      <c r="J468" s="142"/>
      <c r="K468" s="142"/>
      <c r="L468" s="61"/>
      <c r="M468" s="164"/>
      <c r="N468" s="142"/>
      <c r="O468" s="61"/>
      <c r="P468" s="168"/>
      <c r="Q4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8" s="36"/>
      <c r="S468" s="90"/>
    </row>
    <row r="469" spans="1:19" ht="30" hidden="1" customHeight="1">
      <c r="A469" s="9"/>
      <c r="B469" s="13" t="e">
        <f>VLOOKUP(Table2[[#This Row],[Location 
(drop-down)]],'List source'!D$2:E$71,2,FALSE)</f>
        <v>#N/A</v>
      </c>
      <c r="C469" s="11" t="s">
        <v>586</v>
      </c>
      <c r="D469" s="183" t="e">
        <f t="shared" si="7"/>
        <v>#N/A</v>
      </c>
      <c r="E469" s="11"/>
      <c r="F469" s="11"/>
      <c r="G469" s="9"/>
      <c r="H469" s="10"/>
      <c r="I469" s="19"/>
      <c r="J469" s="142"/>
      <c r="K469" s="142"/>
      <c r="L469" s="61"/>
      <c r="M469" s="164"/>
      <c r="N469" s="142"/>
      <c r="O469" s="61"/>
      <c r="P469" s="168"/>
      <c r="Q4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69" s="36"/>
      <c r="S469" s="90"/>
    </row>
    <row r="470" spans="1:19" ht="30" hidden="1" customHeight="1">
      <c r="A470" s="9"/>
      <c r="B470" s="13" t="e">
        <f>VLOOKUP(Table2[[#This Row],[Location 
(drop-down)]],'List source'!D$2:E$71,2,FALSE)</f>
        <v>#N/A</v>
      </c>
      <c r="C470" s="11" t="s">
        <v>587</v>
      </c>
      <c r="D470" s="183" t="e">
        <f t="shared" si="7"/>
        <v>#N/A</v>
      </c>
      <c r="E470" s="11"/>
      <c r="F470" s="11"/>
      <c r="G470" s="9"/>
      <c r="H470" s="10"/>
      <c r="I470" s="19"/>
      <c r="J470" s="142"/>
      <c r="K470" s="142"/>
      <c r="L470" s="61"/>
      <c r="M470" s="164"/>
      <c r="N470" s="142"/>
      <c r="O470" s="61"/>
      <c r="P470" s="168"/>
      <c r="Q4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0" s="36"/>
      <c r="S470" s="90"/>
    </row>
    <row r="471" spans="1:19" ht="30" hidden="1" customHeight="1">
      <c r="A471" s="9"/>
      <c r="B471" s="13" t="e">
        <f>VLOOKUP(Table2[[#This Row],[Location 
(drop-down)]],'List source'!D$2:E$71,2,FALSE)</f>
        <v>#N/A</v>
      </c>
      <c r="C471" s="11" t="s">
        <v>588</v>
      </c>
      <c r="D471" s="183" t="e">
        <f t="shared" si="7"/>
        <v>#N/A</v>
      </c>
      <c r="E471" s="11"/>
      <c r="F471" s="11"/>
      <c r="G471" s="9"/>
      <c r="H471" s="10"/>
      <c r="I471" s="19"/>
      <c r="J471" s="142"/>
      <c r="K471" s="142"/>
      <c r="L471" s="61"/>
      <c r="M471" s="164"/>
      <c r="N471" s="142"/>
      <c r="O471" s="61"/>
      <c r="P471" s="168"/>
      <c r="Q4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1" s="36"/>
      <c r="S471" s="90"/>
    </row>
    <row r="472" spans="1:19" ht="30" hidden="1" customHeight="1">
      <c r="A472" s="9"/>
      <c r="B472" s="13" t="e">
        <f>VLOOKUP(Table2[[#This Row],[Location 
(drop-down)]],'List source'!D$2:E$71,2,FALSE)</f>
        <v>#N/A</v>
      </c>
      <c r="C472" s="11" t="s">
        <v>589</v>
      </c>
      <c r="D472" s="183" t="e">
        <f t="shared" si="7"/>
        <v>#N/A</v>
      </c>
      <c r="E472" s="11"/>
      <c r="F472" s="11"/>
      <c r="G472" s="9"/>
      <c r="H472" s="10"/>
      <c r="I472" s="19"/>
      <c r="J472" s="142"/>
      <c r="K472" s="142"/>
      <c r="L472" s="61"/>
      <c r="M472" s="164"/>
      <c r="N472" s="142"/>
      <c r="O472" s="61"/>
      <c r="P472" s="168"/>
      <c r="Q4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2" s="36"/>
      <c r="S472" s="90"/>
    </row>
    <row r="473" spans="1:19" ht="30" hidden="1" customHeight="1">
      <c r="A473" s="9"/>
      <c r="B473" s="13" t="e">
        <f>VLOOKUP(Table2[[#This Row],[Location 
(drop-down)]],'List source'!D$2:E$71,2,FALSE)</f>
        <v>#N/A</v>
      </c>
      <c r="C473" s="11" t="s">
        <v>590</v>
      </c>
      <c r="D473" s="183" t="e">
        <f t="shared" si="7"/>
        <v>#N/A</v>
      </c>
      <c r="E473" s="11"/>
      <c r="F473" s="11"/>
      <c r="G473" s="9"/>
      <c r="H473" s="10"/>
      <c r="I473" s="19"/>
      <c r="J473" s="142"/>
      <c r="K473" s="142"/>
      <c r="L473" s="61"/>
      <c r="M473" s="164"/>
      <c r="N473" s="142"/>
      <c r="O473" s="61"/>
      <c r="P473" s="168"/>
      <c r="Q4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3" s="36"/>
      <c r="S473" s="90"/>
    </row>
    <row r="474" spans="1:19" ht="30" hidden="1" customHeight="1">
      <c r="A474" s="9"/>
      <c r="B474" s="13" t="e">
        <f>VLOOKUP(Table2[[#This Row],[Location 
(drop-down)]],'List source'!D$2:E$71,2,FALSE)</f>
        <v>#N/A</v>
      </c>
      <c r="C474" s="11" t="s">
        <v>591</v>
      </c>
      <c r="D474" s="183" t="e">
        <f t="shared" si="7"/>
        <v>#N/A</v>
      </c>
      <c r="E474" s="11"/>
      <c r="F474" s="11"/>
      <c r="G474" s="9"/>
      <c r="H474" s="10"/>
      <c r="I474" s="19"/>
      <c r="J474" s="142"/>
      <c r="K474" s="142"/>
      <c r="L474" s="61"/>
      <c r="M474" s="164"/>
      <c r="N474" s="142"/>
      <c r="O474" s="61"/>
      <c r="P474" s="168"/>
      <c r="Q4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4" s="36"/>
      <c r="S474" s="90"/>
    </row>
    <row r="475" spans="1:19" ht="30" hidden="1" customHeight="1">
      <c r="A475" s="9"/>
      <c r="B475" s="13" t="e">
        <f>VLOOKUP(Table2[[#This Row],[Location 
(drop-down)]],'List source'!D$2:E$71,2,FALSE)</f>
        <v>#N/A</v>
      </c>
      <c r="C475" s="11" t="s">
        <v>592</v>
      </c>
      <c r="D475" s="183" t="e">
        <f t="shared" si="7"/>
        <v>#N/A</v>
      </c>
      <c r="E475" s="11"/>
      <c r="F475" s="11"/>
      <c r="G475" s="9"/>
      <c r="H475" s="10"/>
      <c r="I475" s="19"/>
      <c r="J475" s="142"/>
      <c r="K475" s="142"/>
      <c r="L475" s="61"/>
      <c r="M475" s="164"/>
      <c r="N475" s="142"/>
      <c r="O475" s="61"/>
      <c r="P475" s="168"/>
      <c r="Q4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5" s="36"/>
      <c r="S475" s="90"/>
    </row>
    <row r="476" spans="1:19" ht="30" hidden="1" customHeight="1">
      <c r="A476" s="9"/>
      <c r="B476" s="13" t="e">
        <f>VLOOKUP(Table2[[#This Row],[Location 
(drop-down)]],'List source'!D$2:E$71,2,FALSE)</f>
        <v>#N/A</v>
      </c>
      <c r="C476" s="11" t="s">
        <v>593</v>
      </c>
      <c r="D476" s="183" t="e">
        <f t="shared" si="7"/>
        <v>#N/A</v>
      </c>
      <c r="E476" s="11"/>
      <c r="F476" s="11"/>
      <c r="G476" s="9"/>
      <c r="H476" s="10"/>
      <c r="I476" s="19"/>
      <c r="J476" s="142"/>
      <c r="K476" s="142"/>
      <c r="L476" s="61"/>
      <c r="M476" s="164"/>
      <c r="N476" s="142"/>
      <c r="O476" s="61"/>
      <c r="P476" s="168"/>
      <c r="Q4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6" s="36"/>
      <c r="S476" s="90"/>
    </row>
    <row r="477" spans="1:19" ht="30" hidden="1" customHeight="1">
      <c r="A477" s="9"/>
      <c r="B477" s="13" t="e">
        <f>VLOOKUP(Table2[[#This Row],[Location 
(drop-down)]],'List source'!D$2:E$71,2,FALSE)</f>
        <v>#N/A</v>
      </c>
      <c r="C477" s="11" t="s">
        <v>594</v>
      </c>
      <c r="D477" s="183" t="e">
        <f t="shared" si="7"/>
        <v>#N/A</v>
      </c>
      <c r="E477" s="11"/>
      <c r="F477" s="11"/>
      <c r="G477" s="9"/>
      <c r="H477" s="10"/>
      <c r="I477" s="19"/>
      <c r="J477" s="142"/>
      <c r="K477" s="142"/>
      <c r="L477" s="61"/>
      <c r="M477" s="164"/>
      <c r="N477" s="142"/>
      <c r="O477" s="61"/>
      <c r="P477" s="168"/>
      <c r="Q4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7" s="36"/>
      <c r="S477" s="90"/>
    </row>
    <row r="478" spans="1:19" ht="30" hidden="1" customHeight="1">
      <c r="A478" s="9"/>
      <c r="B478" s="13" t="e">
        <f>VLOOKUP(Table2[[#This Row],[Location 
(drop-down)]],'List source'!D$2:E$71,2,FALSE)</f>
        <v>#N/A</v>
      </c>
      <c r="C478" s="11" t="s">
        <v>595</v>
      </c>
      <c r="D478" s="183" t="e">
        <f t="shared" si="7"/>
        <v>#N/A</v>
      </c>
      <c r="E478" s="11"/>
      <c r="F478" s="11"/>
      <c r="G478" s="9"/>
      <c r="H478" s="10"/>
      <c r="I478" s="19"/>
      <c r="J478" s="142"/>
      <c r="K478" s="142"/>
      <c r="L478" s="61"/>
      <c r="M478" s="164"/>
      <c r="N478" s="142"/>
      <c r="O478" s="61"/>
      <c r="P478" s="168"/>
      <c r="Q4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8" s="36"/>
      <c r="S478" s="90"/>
    </row>
    <row r="479" spans="1:19" ht="30" hidden="1" customHeight="1">
      <c r="A479" s="9"/>
      <c r="B479" s="13" t="e">
        <f>VLOOKUP(Table2[[#This Row],[Location 
(drop-down)]],'List source'!D$2:E$71,2,FALSE)</f>
        <v>#N/A</v>
      </c>
      <c r="C479" s="11" t="s">
        <v>596</v>
      </c>
      <c r="D479" s="183" t="e">
        <f t="shared" si="7"/>
        <v>#N/A</v>
      </c>
      <c r="E479" s="11"/>
      <c r="F479" s="11"/>
      <c r="G479" s="9"/>
      <c r="H479" s="10"/>
      <c r="I479" s="19"/>
      <c r="J479" s="142"/>
      <c r="K479" s="142"/>
      <c r="L479" s="61"/>
      <c r="M479" s="164"/>
      <c r="N479" s="142"/>
      <c r="O479" s="61"/>
      <c r="P479" s="168"/>
      <c r="Q4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79" s="36"/>
      <c r="S479" s="90"/>
    </row>
    <row r="480" spans="1:19" ht="30" hidden="1" customHeight="1">
      <c r="A480" s="9"/>
      <c r="B480" s="13" t="e">
        <f>VLOOKUP(Table2[[#This Row],[Location 
(drop-down)]],'List source'!D$2:E$71,2,FALSE)</f>
        <v>#N/A</v>
      </c>
      <c r="C480" s="11" t="s">
        <v>597</v>
      </c>
      <c r="D480" s="183" t="e">
        <f t="shared" si="7"/>
        <v>#N/A</v>
      </c>
      <c r="E480" s="11"/>
      <c r="F480" s="11"/>
      <c r="G480" s="9"/>
      <c r="H480" s="10"/>
      <c r="I480" s="19"/>
      <c r="J480" s="142"/>
      <c r="K480" s="142"/>
      <c r="L480" s="61"/>
      <c r="M480" s="164"/>
      <c r="N480" s="142"/>
      <c r="O480" s="61"/>
      <c r="P480" s="168"/>
      <c r="Q4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0" s="36"/>
      <c r="S480" s="90"/>
    </row>
    <row r="481" spans="1:19" ht="30" hidden="1" customHeight="1">
      <c r="A481" s="9"/>
      <c r="B481" s="13" t="e">
        <f>VLOOKUP(Table2[[#This Row],[Location 
(drop-down)]],'List source'!D$2:E$71,2,FALSE)</f>
        <v>#N/A</v>
      </c>
      <c r="C481" s="11" t="s">
        <v>598</v>
      </c>
      <c r="D481" s="183" t="e">
        <f t="shared" si="7"/>
        <v>#N/A</v>
      </c>
      <c r="E481" s="11"/>
      <c r="F481" s="11"/>
      <c r="G481" s="9"/>
      <c r="H481" s="10"/>
      <c r="I481" s="19"/>
      <c r="J481" s="142"/>
      <c r="K481" s="142"/>
      <c r="L481" s="61"/>
      <c r="M481" s="164"/>
      <c r="N481" s="142"/>
      <c r="O481" s="61"/>
      <c r="P481" s="168"/>
      <c r="Q4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1" s="36"/>
      <c r="S481" s="90"/>
    </row>
    <row r="482" spans="1:19" ht="30" hidden="1" customHeight="1">
      <c r="A482" s="9"/>
      <c r="B482" s="13" t="e">
        <f>VLOOKUP(Table2[[#This Row],[Location 
(drop-down)]],'List source'!D$2:E$71,2,FALSE)</f>
        <v>#N/A</v>
      </c>
      <c r="C482" s="11" t="s">
        <v>599</v>
      </c>
      <c r="D482" s="183" t="e">
        <f t="shared" si="7"/>
        <v>#N/A</v>
      </c>
      <c r="E482" s="11"/>
      <c r="F482" s="11"/>
      <c r="G482" s="9"/>
      <c r="H482" s="10"/>
      <c r="I482" s="19"/>
      <c r="J482" s="142"/>
      <c r="K482" s="142"/>
      <c r="L482" s="61"/>
      <c r="M482" s="164"/>
      <c r="N482" s="142"/>
      <c r="O482" s="61"/>
      <c r="P482" s="168"/>
      <c r="Q4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2" s="36"/>
      <c r="S482" s="90"/>
    </row>
    <row r="483" spans="1:19" ht="30" hidden="1" customHeight="1">
      <c r="A483" s="9"/>
      <c r="B483" s="13" t="e">
        <f>VLOOKUP(Table2[[#This Row],[Location 
(drop-down)]],'List source'!D$2:E$71,2,FALSE)</f>
        <v>#N/A</v>
      </c>
      <c r="C483" s="11" t="s">
        <v>600</v>
      </c>
      <c r="D483" s="183" t="e">
        <f t="shared" si="7"/>
        <v>#N/A</v>
      </c>
      <c r="E483" s="11"/>
      <c r="F483" s="11"/>
      <c r="G483" s="9"/>
      <c r="H483" s="10"/>
      <c r="I483" s="19"/>
      <c r="J483" s="142"/>
      <c r="K483" s="142"/>
      <c r="L483" s="61"/>
      <c r="M483" s="164"/>
      <c r="N483" s="142"/>
      <c r="O483" s="61"/>
      <c r="P483" s="168"/>
      <c r="Q4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3" s="36"/>
      <c r="S483" s="90"/>
    </row>
    <row r="484" spans="1:19" ht="30" hidden="1" customHeight="1">
      <c r="A484" s="9"/>
      <c r="B484" s="13" t="e">
        <f>VLOOKUP(Table2[[#This Row],[Location 
(drop-down)]],'List source'!D$2:E$71,2,FALSE)</f>
        <v>#N/A</v>
      </c>
      <c r="C484" s="11" t="s">
        <v>601</v>
      </c>
      <c r="D484" s="183" t="e">
        <f t="shared" si="7"/>
        <v>#N/A</v>
      </c>
      <c r="E484" s="11"/>
      <c r="F484" s="11"/>
      <c r="G484" s="9"/>
      <c r="H484" s="10"/>
      <c r="I484" s="19"/>
      <c r="J484" s="142"/>
      <c r="K484" s="142"/>
      <c r="L484" s="61"/>
      <c r="M484" s="164"/>
      <c r="N484" s="142"/>
      <c r="O484" s="61"/>
      <c r="P484" s="168"/>
      <c r="Q4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4" s="36"/>
      <c r="S484" s="90"/>
    </row>
    <row r="485" spans="1:19" ht="30" hidden="1" customHeight="1">
      <c r="A485" s="9"/>
      <c r="B485" s="13" t="e">
        <f>VLOOKUP(Table2[[#This Row],[Location 
(drop-down)]],'List source'!D$2:E$71,2,FALSE)</f>
        <v>#N/A</v>
      </c>
      <c r="C485" s="11" t="s">
        <v>602</v>
      </c>
      <c r="D485" s="183" t="e">
        <f t="shared" si="7"/>
        <v>#N/A</v>
      </c>
      <c r="E485" s="11"/>
      <c r="F485" s="11"/>
      <c r="G485" s="9"/>
      <c r="H485" s="10"/>
      <c r="I485" s="19"/>
      <c r="J485" s="142"/>
      <c r="K485" s="142"/>
      <c r="L485" s="61"/>
      <c r="M485" s="164"/>
      <c r="N485" s="142"/>
      <c r="O485" s="61"/>
      <c r="P485" s="168"/>
      <c r="Q4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5" s="36"/>
      <c r="S485" s="90"/>
    </row>
    <row r="486" spans="1:19" ht="30" hidden="1" customHeight="1">
      <c r="A486" s="9"/>
      <c r="B486" s="13" t="e">
        <f>VLOOKUP(Table2[[#This Row],[Location 
(drop-down)]],'List source'!D$2:E$71,2,FALSE)</f>
        <v>#N/A</v>
      </c>
      <c r="C486" s="11" t="s">
        <v>603</v>
      </c>
      <c r="D486" s="183" t="e">
        <f t="shared" si="7"/>
        <v>#N/A</v>
      </c>
      <c r="E486" s="11"/>
      <c r="F486" s="11"/>
      <c r="G486" s="9"/>
      <c r="H486" s="10"/>
      <c r="I486" s="19"/>
      <c r="J486" s="142"/>
      <c r="K486" s="142"/>
      <c r="L486" s="61"/>
      <c r="M486" s="164"/>
      <c r="N486" s="142"/>
      <c r="O486" s="61"/>
      <c r="P486" s="168"/>
      <c r="Q4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6" s="36"/>
      <c r="S486" s="90"/>
    </row>
    <row r="487" spans="1:19" ht="30" hidden="1" customHeight="1">
      <c r="A487" s="9"/>
      <c r="B487" s="13" t="e">
        <f>VLOOKUP(Table2[[#This Row],[Location 
(drop-down)]],'List source'!D$2:E$71,2,FALSE)</f>
        <v>#N/A</v>
      </c>
      <c r="C487" s="11" t="s">
        <v>604</v>
      </c>
      <c r="D487" s="183" t="e">
        <f t="shared" si="7"/>
        <v>#N/A</v>
      </c>
      <c r="E487" s="11"/>
      <c r="F487" s="11"/>
      <c r="G487" s="9"/>
      <c r="H487" s="10"/>
      <c r="I487" s="19"/>
      <c r="J487" s="142"/>
      <c r="K487" s="142"/>
      <c r="L487" s="61"/>
      <c r="M487" s="164"/>
      <c r="N487" s="142"/>
      <c r="O487" s="61"/>
      <c r="P487" s="168"/>
      <c r="Q4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7" s="36"/>
      <c r="S487" s="90"/>
    </row>
    <row r="488" spans="1:19" ht="30" hidden="1" customHeight="1">
      <c r="A488" s="9"/>
      <c r="B488" s="13" t="e">
        <f>VLOOKUP(Table2[[#This Row],[Location 
(drop-down)]],'List source'!D$2:E$71,2,FALSE)</f>
        <v>#N/A</v>
      </c>
      <c r="C488" s="11" t="s">
        <v>605</v>
      </c>
      <c r="D488" s="183" t="e">
        <f t="shared" si="7"/>
        <v>#N/A</v>
      </c>
      <c r="E488" s="11"/>
      <c r="F488" s="11"/>
      <c r="G488" s="9"/>
      <c r="H488" s="10"/>
      <c r="I488" s="19"/>
      <c r="J488" s="142"/>
      <c r="K488" s="142"/>
      <c r="L488" s="61"/>
      <c r="M488" s="164"/>
      <c r="N488" s="142"/>
      <c r="O488" s="61"/>
      <c r="P488" s="168"/>
      <c r="Q4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8" s="36"/>
      <c r="S488" s="90"/>
    </row>
    <row r="489" spans="1:19" ht="30" hidden="1" customHeight="1">
      <c r="A489" s="9"/>
      <c r="B489" s="13" t="e">
        <f>VLOOKUP(Table2[[#This Row],[Location 
(drop-down)]],'List source'!D$2:E$71,2,FALSE)</f>
        <v>#N/A</v>
      </c>
      <c r="C489" s="11" t="s">
        <v>606</v>
      </c>
      <c r="D489" s="183" t="e">
        <f t="shared" si="7"/>
        <v>#N/A</v>
      </c>
      <c r="E489" s="11"/>
      <c r="F489" s="11"/>
      <c r="G489" s="9"/>
      <c r="H489" s="10"/>
      <c r="I489" s="19"/>
      <c r="J489" s="142"/>
      <c r="K489" s="142"/>
      <c r="L489" s="61"/>
      <c r="M489" s="164"/>
      <c r="N489" s="142"/>
      <c r="O489" s="61"/>
      <c r="P489" s="168"/>
      <c r="Q4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89" s="36"/>
      <c r="S489" s="90"/>
    </row>
    <row r="490" spans="1:19" ht="30" hidden="1" customHeight="1">
      <c r="A490" s="9"/>
      <c r="B490" s="13" t="e">
        <f>VLOOKUP(Table2[[#This Row],[Location 
(drop-down)]],'List source'!D$2:E$71,2,FALSE)</f>
        <v>#N/A</v>
      </c>
      <c r="C490" s="11" t="s">
        <v>607</v>
      </c>
      <c r="D490" s="183" t="e">
        <f t="shared" si="7"/>
        <v>#N/A</v>
      </c>
      <c r="E490" s="11"/>
      <c r="F490" s="11"/>
      <c r="G490" s="9"/>
      <c r="H490" s="10"/>
      <c r="I490" s="19"/>
      <c r="J490" s="142"/>
      <c r="K490" s="142"/>
      <c r="L490" s="61"/>
      <c r="M490" s="164"/>
      <c r="N490" s="142"/>
      <c r="O490" s="61"/>
      <c r="P490" s="168"/>
      <c r="Q4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0" s="36"/>
      <c r="S490" s="90"/>
    </row>
    <row r="491" spans="1:19" ht="30" hidden="1" customHeight="1">
      <c r="A491" s="9"/>
      <c r="B491" s="13" t="e">
        <f>VLOOKUP(Table2[[#This Row],[Location 
(drop-down)]],'List source'!D$2:E$71,2,FALSE)</f>
        <v>#N/A</v>
      </c>
      <c r="C491" s="11" t="s">
        <v>608</v>
      </c>
      <c r="D491" s="183" t="e">
        <f t="shared" si="7"/>
        <v>#N/A</v>
      </c>
      <c r="E491" s="11"/>
      <c r="F491" s="11"/>
      <c r="G491" s="9"/>
      <c r="H491" s="10"/>
      <c r="I491" s="19"/>
      <c r="J491" s="142"/>
      <c r="K491" s="142"/>
      <c r="L491" s="61"/>
      <c r="M491" s="164"/>
      <c r="N491" s="142"/>
      <c r="O491" s="61"/>
      <c r="P491" s="168"/>
      <c r="Q4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1" s="36"/>
      <c r="S491" s="90"/>
    </row>
    <row r="492" spans="1:19" ht="30" hidden="1" customHeight="1">
      <c r="A492" s="9"/>
      <c r="B492" s="13" t="e">
        <f>VLOOKUP(Table2[[#This Row],[Location 
(drop-down)]],'List source'!D$2:E$71,2,FALSE)</f>
        <v>#N/A</v>
      </c>
      <c r="C492" s="11" t="s">
        <v>609</v>
      </c>
      <c r="D492" s="183" t="e">
        <f t="shared" si="7"/>
        <v>#N/A</v>
      </c>
      <c r="E492" s="11"/>
      <c r="F492" s="11"/>
      <c r="G492" s="9"/>
      <c r="H492" s="10"/>
      <c r="I492" s="19"/>
      <c r="J492" s="142"/>
      <c r="K492" s="142"/>
      <c r="L492" s="61"/>
      <c r="M492" s="164"/>
      <c r="N492" s="142"/>
      <c r="O492" s="61"/>
      <c r="P492" s="168"/>
      <c r="Q4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2" s="36"/>
      <c r="S492" s="90"/>
    </row>
    <row r="493" spans="1:19" ht="30" hidden="1" customHeight="1">
      <c r="A493" s="9"/>
      <c r="B493" s="13" t="e">
        <f>VLOOKUP(Table2[[#This Row],[Location 
(drop-down)]],'List source'!D$2:E$71,2,FALSE)</f>
        <v>#N/A</v>
      </c>
      <c r="C493" s="11" t="s">
        <v>610</v>
      </c>
      <c r="D493" s="183" t="e">
        <f t="shared" si="7"/>
        <v>#N/A</v>
      </c>
      <c r="E493" s="11"/>
      <c r="F493" s="11"/>
      <c r="G493" s="9"/>
      <c r="H493" s="10"/>
      <c r="I493" s="19"/>
      <c r="J493" s="142"/>
      <c r="K493" s="142"/>
      <c r="L493" s="61"/>
      <c r="M493" s="164"/>
      <c r="N493" s="142"/>
      <c r="O493" s="61"/>
      <c r="P493" s="168"/>
      <c r="Q4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3" s="36"/>
      <c r="S493" s="90"/>
    </row>
    <row r="494" spans="1:19" ht="30" hidden="1" customHeight="1">
      <c r="A494" s="9"/>
      <c r="B494" s="13" t="e">
        <f>VLOOKUP(Table2[[#This Row],[Location 
(drop-down)]],'List source'!D$2:E$71,2,FALSE)</f>
        <v>#N/A</v>
      </c>
      <c r="C494" s="11" t="s">
        <v>611</v>
      </c>
      <c r="D494" s="183" t="e">
        <f t="shared" si="7"/>
        <v>#N/A</v>
      </c>
      <c r="E494" s="11"/>
      <c r="F494" s="11"/>
      <c r="G494" s="9"/>
      <c r="H494" s="10"/>
      <c r="I494" s="19"/>
      <c r="J494" s="142"/>
      <c r="K494" s="142"/>
      <c r="L494" s="61"/>
      <c r="M494" s="164"/>
      <c r="N494" s="142"/>
      <c r="O494" s="61"/>
      <c r="P494" s="168"/>
      <c r="Q4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4" s="36"/>
      <c r="S494" s="90"/>
    </row>
    <row r="495" spans="1:19" ht="30" hidden="1" customHeight="1">
      <c r="A495" s="9"/>
      <c r="B495" s="13" t="e">
        <f>VLOOKUP(Table2[[#This Row],[Location 
(drop-down)]],'List source'!D$2:E$71,2,FALSE)</f>
        <v>#N/A</v>
      </c>
      <c r="C495" s="11" t="s">
        <v>612</v>
      </c>
      <c r="D495" s="183" t="e">
        <f t="shared" si="7"/>
        <v>#N/A</v>
      </c>
      <c r="E495" s="11"/>
      <c r="F495" s="11"/>
      <c r="G495" s="152"/>
      <c r="H495" s="10"/>
      <c r="I495" s="19"/>
      <c r="J495" s="142"/>
      <c r="K495" s="142"/>
      <c r="L495" s="61"/>
      <c r="M495" s="164"/>
      <c r="N495" s="142"/>
      <c r="O495" s="61"/>
      <c r="P495" s="168"/>
      <c r="Q4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5" s="36"/>
      <c r="S495" s="90"/>
    </row>
    <row r="496" spans="1:19" ht="30" hidden="1" customHeight="1">
      <c r="A496" s="9"/>
      <c r="B496" s="13" t="e">
        <f>VLOOKUP(Table2[[#This Row],[Location 
(drop-down)]],'List source'!D$2:E$71,2,FALSE)</f>
        <v>#N/A</v>
      </c>
      <c r="C496" s="11" t="s">
        <v>613</v>
      </c>
      <c r="D496" s="183" t="e">
        <f t="shared" si="7"/>
        <v>#N/A</v>
      </c>
      <c r="E496" s="11"/>
      <c r="F496" s="11"/>
      <c r="G496" s="152"/>
      <c r="H496" s="10"/>
      <c r="I496" s="19"/>
      <c r="J496" s="142"/>
      <c r="K496" s="142"/>
      <c r="L496" s="61"/>
      <c r="M496" s="164"/>
      <c r="N496" s="142"/>
      <c r="O496" s="61"/>
      <c r="P496" s="168"/>
      <c r="Q4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6" s="36"/>
      <c r="S496" s="90"/>
    </row>
    <row r="497" spans="1:19" ht="30" hidden="1" customHeight="1">
      <c r="A497" s="9"/>
      <c r="B497" s="13" t="e">
        <f>VLOOKUP(Table2[[#This Row],[Location 
(drop-down)]],'List source'!D$2:E$71,2,FALSE)</f>
        <v>#N/A</v>
      </c>
      <c r="C497" s="11" t="s">
        <v>614</v>
      </c>
      <c r="D497" s="183" t="e">
        <f t="shared" si="7"/>
        <v>#N/A</v>
      </c>
      <c r="E497" s="11"/>
      <c r="F497" s="11"/>
      <c r="G497" s="152"/>
      <c r="H497" s="10"/>
      <c r="I497" s="19"/>
      <c r="J497" s="142"/>
      <c r="K497" s="142"/>
      <c r="L497" s="61"/>
      <c r="M497" s="164"/>
      <c r="N497" s="142"/>
      <c r="O497" s="61"/>
      <c r="P497" s="168"/>
      <c r="Q4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7" s="36"/>
      <c r="S497" s="90"/>
    </row>
    <row r="498" spans="1:19" ht="30" hidden="1" customHeight="1">
      <c r="A498" s="9"/>
      <c r="B498" s="13" t="e">
        <f>VLOOKUP(Table2[[#This Row],[Location 
(drop-down)]],'List source'!D$2:E$71,2,FALSE)</f>
        <v>#N/A</v>
      </c>
      <c r="C498" s="11" t="s">
        <v>615</v>
      </c>
      <c r="D498" s="183" t="e">
        <f t="shared" si="7"/>
        <v>#N/A</v>
      </c>
      <c r="E498" s="11"/>
      <c r="F498" s="11"/>
      <c r="G498" s="152"/>
      <c r="H498" s="10"/>
      <c r="I498" s="19"/>
      <c r="J498" s="142"/>
      <c r="K498" s="142"/>
      <c r="L498" s="61"/>
      <c r="M498" s="164"/>
      <c r="N498" s="142"/>
      <c r="O498" s="61"/>
      <c r="P498" s="168"/>
      <c r="Q4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8" s="36"/>
      <c r="S498" s="90"/>
    </row>
    <row r="499" spans="1:19" ht="30" hidden="1" customHeight="1">
      <c r="A499" s="9"/>
      <c r="B499" s="13" t="e">
        <f>VLOOKUP(Table2[[#This Row],[Location 
(drop-down)]],'List source'!D$2:E$71,2,FALSE)</f>
        <v>#N/A</v>
      </c>
      <c r="C499" s="11" t="s">
        <v>616</v>
      </c>
      <c r="D499" s="183" t="e">
        <f t="shared" si="7"/>
        <v>#N/A</v>
      </c>
      <c r="E499" s="11"/>
      <c r="F499" s="11"/>
      <c r="G499" s="9"/>
      <c r="H499" s="10"/>
      <c r="I499" s="19"/>
      <c r="J499" s="142"/>
      <c r="K499" s="142"/>
      <c r="L499" s="61"/>
      <c r="M499" s="164"/>
      <c r="N499" s="142"/>
      <c r="O499" s="61"/>
      <c r="P499" s="168"/>
      <c r="Q4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499" s="36"/>
      <c r="S499" s="90"/>
    </row>
    <row r="500" spans="1:19" ht="30" hidden="1" customHeight="1">
      <c r="A500" s="9"/>
      <c r="B500" s="13" t="e">
        <f>VLOOKUP(Table2[[#This Row],[Location 
(drop-down)]],'List source'!D$2:E$71,2,FALSE)</f>
        <v>#N/A</v>
      </c>
      <c r="C500" s="11" t="s">
        <v>617</v>
      </c>
      <c r="D500" s="183" t="e">
        <f t="shared" si="7"/>
        <v>#N/A</v>
      </c>
      <c r="E500" s="11"/>
      <c r="F500" s="11"/>
      <c r="G500" s="9"/>
      <c r="H500" s="10"/>
      <c r="I500" s="19"/>
      <c r="J500" s="142"/>
      <c r="K500" s="142"/>
      <c r="L500" s="61"/>
      <c r="M500" s="164"/>
      <c r="N500" s="142"/>
      <c r="O500" s="61"/>
      <c r="P500" s="168"/>
      <c r="Q5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0" s="36"/>
      <c r="S500" s="90"/>
    </row>
    <row r="501" spans="1:19" ht="30" hidden="1" customHeight="1">
      <c r="A501" s="9"/>
      <c r="B501" s="13" t="e">
        <f>VLOOKUP(Table2[[#This Row],[Location 
(drop-down)]],'List source'!D$2:E$71,2,FALSE)</f>
        <v>#N/A</v>
      </c>
      <c r="C501" s="11" t="s">
        <v>618</v>
      </c>
      <c r="D501" s="183" t="e">
        <f t="shared" si="7"/>
        <v>#N/A</v>
      </c>
      <c r="E501" s="11"/>
      <c r="F501" s="11"/>
      <c r="G501" s="9"/>
      <c r="H501" s="10"/>
      <c r="I501" s="19"/>
      <c r="J501" s="142"/>
      <c r="K501" s="142"/>
      <c r="L501" s="61"/>
      <c r="M501" s="164"/>
      <c r="N501" s="142"/>
      <c r="O501" s="61"/>
      <c r="P501" s="168"/>
      <c r="Q5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1" s="36"/>
      <c r="S501" s="90"/>
    </row>
    <row r="502" spans="1:19" ht="30" hidden="1" customHeight="1">
      <c r="A502" s="9"/>
      <c r="B502" s="13" t="e">
        <f>VLOOKUP(Table2[[#This Row],[Location 
(drop-down)]],'List source'!D$2:E$71,2,FALSE)</f>
        <v>#N/A</v>
      </c>
      <c r="C502" s="11" t="s">
        <v>619</v>
      </c>
      <c r="D502" s="183" t="e">
        <f t="shared" si="7"/>
        <v>#N/A</v>
      </c>
      <c r="E502" s="11"/>
      <c r="F502" s="11"/>
      <c r="G502" s="9"/>
      <c r="H502" s="10"/>
      <c r="I502" s="19"/>
      <c r="J502" s="142"/>
      <c r="K502" s="142"/>
      <c r="L502" s="61"/>
      <c r="M502" s="164"/>
      <c r="N502" s="142"/>
      <c r="O502" s="61"/>
      <c r="P502" s="168"/>
      <c r="Q5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2" s="36"/>
      <c r="S502" s="90"/>
    </row>
    <row r="503" spans="1:19" ht="30" hidden="1" customHeight="1">
      <c r="A503" s="9"/>
      <c r="B503" s="13" t="e">
        <f>VLOOKUP(Table2[[#This Row],[Location 
(drop-down)]],'List source'!D$2:E$71,2,FALSE)</f>
        <v>#N/A</v>
      </c>
      <c r="C503" s="11" t="s">
        <v>620</v>
      </c>
      <c r="D503" s="183" t="e">
        <f t="shared" si="7"/>
        <v>#N/A</v>
      </c>
      <c r="E503" s="11"/>
      <c r="F503" s="11"/>
      <c r="G503" s="9"/>
      <c r="H503" s="10"/>
      <c r="I503" s="19"/>
      <c r="J503" s="142"/>
      <c r="K503" s="142"/>
      <c r="L503" s="61"/>
      <c r="M503" s="164"/>
      <c r="N503" s="142"/>
      <c r="O503" s="61"/>
      <c r="P503" s="168"/>
      <c r="Q5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3" s="36"/>
      <c r="S503" s="90"/>
    </row>
    <row r="504" spans="1:19" ht="30" hidden="1" customHeight="1">
      <c r="A504" s="9"/>
      <c r="B504" s="13" t="e">
        <f>VLOOKUP(Table2[[#This Row],[Location 
(drop-down)]],'List source'!D$2:E$71,2,FALSE)</f>
        <v>#N/A</v>
      </c>
      <c r="C504" s="11" t="s">
        <v>621</v>
      </c>
      <c r="D504" s="183" t="e">
        <f t="shared" si="7"/>
        <v>#N/A</v>
      </c>
      <c r="E504" s="188"/>
      <c r="F504" s="188"/>
      <c r="G504" s="9"/>
      <c r="H504" s="10"/>
      <c r="I504" s="19"/>
      <c r="J504" s="142"/>
      <c r="K504" s="142"/>
      <c r="L504" s="61"/>
      <c r="M504" s="164"/>
      <c r="N504" s="142"/>
      <c r="O504" s="61"/>
      <c r="P504" s="168"/>
      <c r="Q5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4" s="36"/>
      <c r="S504" s="90"/>
    </row>
    <row r="505" spans="1:19" ht="30" hidden="1" customHeight="1">
      <c r="A505" s="9"/>
      <c r="B505" s="13" t="e">
        <f>VLOOKUP(Table2[[#This Row],[Location 
(drop-down)]],'List source'!D$2:E$71,2,FALSE)</f>
        <v>#N/A</v>
      </c>
      <c r="C505" s="11" t="s">
        <v>622</v>
      </c>
      <c r="D505" s="183" t="e">
        <f t="shared" si="7"/>
        <v>#N/A</v>
      </c>
      <c r="E505" s="188"/>
      <c r="F505" s="188"/>
      <c r="G505" s="9"/>
      <c r="H505" s="10"/>
      <c r="I505" s="19"/>
      <c r="J505" s="142"/>
      <c r="K505" s="142"/>
      <c r="L505" s="61"/>
      <c r="M505" s="164"/>
      <c r="N505" s="142"/>
      <c r="O505" s="61"/>
      <c r="P505" s="168"/>
      <c r="Q5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5" s="36"/>
      <c r="S505" s="90"/>
    </row>
    <row r="506" spans="1:19" ht="30" hidden="1" customHeight="1">
      <c r="A506" s="9"/>
      <c r="B506" s="13" t="e">
        <f>VLOOKUP(Table2[[#This Row],[Location 
(drop-down)]],'List source'!D$2:E$71,2,FALSE)</f>
        <v>#N/A</v>
      </c>
      <c r="C506" s="11" t="s">
        <v>623</v>
      </c>
      <c r="D506" s="183" t="e">
        <f t="shared" si="7"/>
        <v>#N/A</v>
      </c>
      <c r="E506" s="188"/>
      <c r="F506" s="188"/>
      <c r="G506" s="9"/>
      <c r="H506" s="10"/>
      <c r="I506" s="19"/>
      <c r="J506" s="142"/>
      <c r="K506" s="142"/>
      <c r="L506" s="61"/>
      <c r="M506" s="164"/>
      <c r="N506" s="142"/>
      <c r="O506" s="61"/>
      <c r="P506" s="168"/>
      <c r="Q5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6" s="36"/>
      <c r="S506" s="90"/>
    </row>
    <row r="507" spans="1:19" ht="30" hidden="1" customHeight="1">
      <c r="A507" s="9"/>
      <c r="B507" s="13" t="e">
        <f>VLOOKUP(Table2[[#This Row],[Location 
(drop-down)]],'List source'!D$2:E$71,2,FALSE)</f>
        <v>#N/A</v>
      </c>
      <c r="C507" s="11" t="s">
        <v>624</v>
      </c>
      <c r="D507" s="183" t="e">
        <f t="shared" si="7"/>
        <v>#N/A</v>
      </c>
      <c r="E507" s="188"/>
      <c r="F507" s="188"/>
      <c r="G507" s="9"/>
      <c r="H507" s="10"/>
      <c r="I507" s="19"/>
      <c r="J507" s="142"/>
      <c r="K507" s="142"/>
      <c r="L507" s="61"/>
      <c r="M507" s="164"/>
      <c r="N507" s="142"/>
      <c r="O507" s="61"/>
      <c r="P507" s="168"/>
      <c r="Q5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7" s="36"/>
      <c r="S507" s="90"/>
    </row>
    <row r="508" spans="1:19" ht="30" hidden="1" customHeight="1">
      <c r="A508" s="9"/>
      <c r="B508" s="13" t="e">
        <f>VLOOKUP(Table2[[#This Row],[Location 
(drop-down)]],'List source'!D$2:E$71,2,FALSE)</f>
        <v>#N/A</v>
      </c>
      <c r="C508" s="11" t="s">
        <v>625</v>
      </c>
      <c r="D508" s="183" t="e">
        <f t="shared" si="7"/>
        <v>#N/A</v>
      </c>
      <c r="E508" s="188"/>
      <c r="F508" s="188"/>
      <c r="G508" s="9"/>
      <c r="H508" s="10"/>
      <c r="I508" s="19"/>
      <c r="J508" s="142"/>
      <c r="K508" s="142"/>
      <c r="L508" s="61"/>
      <c r="M508" s="164"/>
      <c r="N508" s="142"/>
      <c r="O508" s="61"/>
      <c r="P508" s="168"/>
      <c r="Q5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8" s="36"/>
      <c r="S508" s="90"/>
    </row>
    <row r="509" spans="1:19" ht="30" hidden="1" customHeight="1">
      <c r="A509" s="9"/>
      <c r="B509" s="13" t="e">
        <f>VLOOKUP(Table2[[#This Row],[Location 
(drop-down)]],'List source'!D$2:E$71,2,FALSE)</f>
        <v>#N/A</v>
      </c>
      <c r="C509" s="11" t="s">
        <v>626</v>
      </c>
      <c r="D509" s="183" t="e">
        <f t="shared" si="7"/>
        <v>#N/A</v>
      </c>
      <c r="E509" s="188"/>
      <c r="F509" s="188"/>
      <c r="G509" s="9"/>
      <c r="H509" s="10"/>
      <c r="I509" s="19"/>
      <c r="J509" s="142"/>
      <c r="K509" s="142"/>
      <c r="L509" s="61"/>
      <c r="M509" s="164"/>
      <c r="N509" s="142"/>
      <c r="O509" s="61"/>
      <c r="P509" s="168"/>
      <c r="Q5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09" s="36"/>
      <c r="S509" s="90"/>
    </row>
    <row r="510" spans="1:19" ht="30" hidden="1" customHeight="1">
      <c r="A510" s="9"/>
      <c r="B510" s="13" t="e">
        <f>VLOOKUP(Table2[[#This Row],[Location 
(drop-down)]],'List source'!D$2:E$71,2,FALSE)</f>
        <v>#N/A</v>
      </c>
      <c r="C510" s="11" t="s">
        <v>627</v>
      </c>
      <c r="D510" s="183" t="e">
        <f t="shared" si="7"/>
        <v>#N/A</v>
      </c>
      <c r="E510" s="188"/>
      <c r="F510" s="188"/>
      <c r="G510" s="9"/>
      <c r="H510" s="10"/>
      <c r="I510" s="19"/>
      <c r="J510" s="142"/>
      <c r="K510" s="142"/>
      <c r="L510" s="61"/>
      <c r="M510" s="164"/>
      <c r="N510" s="142"/>
      <c r="O510" s="61"/>
      <c r="P510" s="168"/>
      <c r="Q5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0" s="36"/>
      <c r="S510" s="90"/>
    </row>
    <row r="511" spans="1:19" ht="30" hidden="1" customHeight="1">
      <c r="A511" s="9"/>
      <c r="B511" s="13" t="e">
        <f>VLOOKUP(Table2[[#This Row],[Location 
(drop-down)]],'List source'!D$2:E$71,2,FALSE)</f>
        <v>#N/A</v>
      </c>
      <c r="C511" s="11" t="s">
        <v>628</v>
      </c>
      <c r="D511" s="183" t="e">
        <f t="shared" si="7"/>
        <v>#N/A</v>
      </c>
      <c r="E511" s="188"/>
      <c r="F511" s="188"/>
      <c r="G511" s="9"/>
      <c r="H511" s="10"/>
      <c r="I511" s="19"/>
      <c r="J511" s="142"/>
      <c r="K511" s="142"/>
      <c r="L511" s="61"/>
      <c r="M511" s="164"/>
      <c r="N511" s="142"/>
      <c r="O511" s="61"/>
      <c r="P511" s="168"/>
      <c r="Q5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1" s="36"/>
      <c r="S511" s="90"/>
    </row>
    <row r="512" spans="1:19" ht="30" hidden="1" customHeight="1">
      <c r="A512" s="9"/>
      <c r="B512" s="13" t="e">
        <f>VLOOKUP(Table2[[#This Row],[Location 
(drop-down)]],'List source'!D$2:E$71,2,FALSE)</f>
        <v>#N/A</v>
      </c>
      <c r="C512" s="11" t="s">
        <v>629</v>
      </c>
      <c r="D512" s="183" t="e">
        <f t="shared" si="7"/>
        <v>#N/A</v>
      </c>
      <c r="E512" s="188"/>
      <c r="F512" s="188"/>
      <c r="G512" s="9"/>
      <c r="H512" s="10"/>
      <c r="I512" s="19"/>
      <c r="J512" s="142"/>
      <c r="K512" s="142"/>
      <c r="L512" s="61"/>
      <c r="M512" s="164"/>
      <c r="N512" s="142"/>
      <c r="O512" s="61"/>
      <c r="P512" s="168"/>
      <c r="Q5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2" s="36"/>
      <c r="S512" s="90"/>
    </row>
    <row r="513" spans="1:19" ht="30" hidden="1" customHeight="1">
      <c r="A513" s="9"/>
      <c r="B513" s="13" t="e">
        <f>VLOOKUP(Table2[[#This Row],[Location 
(drop-down)]],'List source'!D$2:E$71,2,FALSE)</f>
        <v>#N/A</v>
      </c>
      <c r="C513" s="11" t="s">
        <v>630</v>
      </c>
      <c r="D513" s="183" t="e">
        <f t="shared" si="7"/>
        <v>#N/A</v>
      </c>
      <c r="E513" s="188"/>
      <c r="F513" s="188"/>
      <c r="G513" s="9"/>
      <c r="H513" s="10"/>
      <c r="I513" s="19"/>
      <c r="J513" s="142"/>
      <c r="K513" s="142"/>
      <c r="L513" s="61"/>
      <c r="M513" s="164"/>
      <c r="N513" s="142"/>
      <c r="O513" s="61"/>
      <c r="P513" s="168"/>
      <c r="Q5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3" s="36"/>
      <c r="S513" s="90"/>
    </row>
    <row r="514" spans="1:19" ht="30" hidden="1" customHeight="1">
      <c r="A514" s="9"/>
      <c r="B514" s="13" t="e">
        <f>VLOOKUP(Table2[[#This Row],[Location 
(drop-down)]],'List source'!D$2:E$71,2,FALSE)</f>
        <v>#N/A</v>
      </c>
      <c r="C514" s="11" t="s">
        <v>631</v>
      </c>
      <c r="D514" s="183" t="e">
        <f t="shared" ref="D514:D577" si="8">"C" &amp; C514 &amp;"-" &amp; B514 &amp; "-" &amp; "26"</f>
        <v>#N/A</v>
      </c>
      <c r="E514" s="188"/>
      <c r="F514" s="188"/>
      <c r="G514" s="9"/>
      <c r="H514" s="10"/>
      <c r="I514" s="19"/>
      <c r="J514" s="142"/>
      <c r="K514" s="142"/>
      <c r="L514" s="61"/>
      <c r="M514" s="164"/>
      <c r="N514" s="142"/>
      <c r="O514" s="61"/>
      <c r="P514" s="168"/>
      <c r="Q5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4" s="36"/>
      <c r="S514" s="90"/>
    </row>
    <row r="515" spans="1:19" ht="30" hidden="1" customHeight="1">
      <c r="A515" s="9"/>
      <c r="B515" s="13" t="e">
        <f>VLOOKUP(Table2[[#This Row],[Location 
(drop-down)]],'List source'!D$2:E$71,2,FALSE)</f>
        <v>#N/A</v>
      </c>
      <c r="C515" s="11" t="s">
        <v>632</v>
      </c>
      <c r="D515" s="183" t="e">
        <f t="shared" si="8"/>
        <v>#N/A</v>
      </c>
      <c r="E515" s="188"/>
      <c r="F515" s="188"/>
      <c r="G515" s="9"/>
      <c r="H515" s="10"/>
      <c r="I515" s="19"/>
      <c r="J515" s="142"/>
      <c r="K515" s="142"/>
      <c r="L515" s="61"/>
      <c r="M515" s="164"/>
      <c r="N515" s="142"/>
      <c r="O515" s="61"/>
      <c r="P515" s="168"/>
      <c r="Q5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5" s="36"/>
      <c r="S515" s="90"/>
    </row>
    <row r="516" spans="1:19" ht="30" hidden="1" customHeight="1">
      <c r="A516" s="9"/>
      <c r="B516" s="13" t="e">
        <f>VLOOKUP(Table2[[#This Row],[Location 
(drop-down)]],'List source'!D$2:E$71,2,FALSE)</f>
        <v>#N/A</v>
      </c>
      <c r="C516" s="11" t="s">
        <v>633</v>
      </c>
      <c r="D516" s="183" t="e">
        <f t="shared" si="8"/>
        <v>#N/A</v>
      </c>
      <c r="E516" s="188"/>
      <c r="F516" s="188"/>
      <c r="G516" s="9"/>
      <c r="H516" s="10"/>
      <c r="I516" s="19"/>
      <c r="J516" s="142"/>
      <c r="K516" s="142"/>
      <c r="L516" s="61"/>
      <c r="M516" s="164"/>
      <c r="N516" s="142"/>
      <c r="O516" s="61"/>
      <c r="P516" s="168"/>
      <c r="Q5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6" s="36"/>
      <c r="S516" s="90"/>
    </row>
    <row r="517" spans="1:19" ht="30" hidden="1" customHeight="1">
      <c r="A517" s="9"/>
      <c r="B517" s="13" t="e">
        <f>VLOOKUP(Table2[[#This Row],[Location 
(drop-down)]],'List source'!D$2:E$71,2,FALSE)</f>
        <v>#N/A</v>
      </c>
      <c r="C517" s="11" t="s">
        <v>634</v>
      </c>
      <c r="D517" s="183" t="e">
        <f t="shared" si="8"/>
        <v>#N/A</v>
      </c>
      <c r="E517" s="188"/>
      <c r="F517" s="188"/>
      <c r="G517" s="9"/>
      <c r="H517" s="10"/>
      <c r="I517" s="19"/>
      <c r="J517" s="142"/>
      <c r="K517" s="142"/>
      <c r="L517" s="61"/>
      <c r="M517" s="164"/>
      <c r="N517" s="142"/>
      <c r="O517" s="61"/>
      <c r="P517" s="168"/>
      <c r="Q5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7" s="36"/>
      <c r="S517" s="90"/>
    </row>
    <row r="518" spans="1:19" ht="30" hidden="1" customHeight="1">
      <c r="A518" s="9"/>
      <c r="B518" s="13" t="e">
        <f>VLOOKUP(Table2[[#This Row],[Location 
(drop-down)]],'List source'!D$2:E$71,2,FALSE)</f>
        <v>#N/A</v>
      </c>
      <c r="C518" s="11" t="s">
        <v>635</v>
      </c>
      <c r="D518" s="183" t="e">
        <f t="shared" si="8"/>
        <v>#N/A</v>
      </c>
      <c r="E518" s="188"/>
      <c r="F518" s="188"/>
      <c r="G518" s="9"/>
      <c r="H518" s="10"/>
      <c r="I518" s="19"/>
      <c r="J518" s="142"/>
      <c r="K518" s="142"/>
      <c r="L518" s="61"/>
      <c r="M518" s="164"/>
      <c r="N518" s="142"/>
      <c r="O518" s="61"/>
      <c r="P518" s="168"/>
      <c r="Q5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8" s="36"/>
      <c r="S518" s="90"/>
    </row>
    <row r="519" spans="1:19" ht="30" hidden="1" customHeight="1">
      <c r="A519" s="9"/>
      <c r="B519" s="13" t="e">
        <f>VLOOKUP(Table2[[#This Row],[Location 
(drop-down)]],'List source'!D$2:E$71,2,FALSE)</f>
        <v>#N/A</v>
      </c>
      <c r="C519" s="11" t="s">
        <v>636</v>
      </c>
      <c r="D519" s="183" t="e">
        <f t="shared" si="8"/>
        <v>#N/A</v>
      </c>
      <c r="E519" s="188"/>
      <c r="F519" s="188"/>
      <c r="G519" s="9"/>
      <c r="H519" s="10"/>
      <c r="I519" s="19"/>
      <c r="J519" s="142"/>
      <c r="K519" s="142"/>
      <c r="L519" s="61"/>
      <c r="M519" s="164"/>
      <c r="N519" s="142"/>
      <c r="O519" s="61"/>
      <c r="P519" s="168"/>
      <c r="Q5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19" s="36"/>
      <c r="S519" s="90"/>
    </row>
    <row r="520" spans="1:19" ht="30" hidden="1" customHeight="1">
      <c r="A520" s="9"/>
      <c r="B520" s="13" t="e">
        <f>VLOOKUP(Table2[[#This Row],[Location 
(drop-down)]],'List source'!D$2:E$71,2,FALSE)</f>
        <v>#N/A</v>
      </c>
      <c r="C520" s="11" t="s">
        <v>637</v>
      </c>
      <c r="D520" s="183" t="e">
        <f t="shared" si="8"/>
        <v>#N/A</v>
      </c>
      <c r="E520" s="188"/>
      <c r="F520" s="188"/>
      <c r="G520" s="9"/>
      <c r="H520" s="10"/>
      <c r="I520" s="19"/>
      <c r="J520" s="142"/>
      <c r="K520" s="142"/>
      <c r="L520" s="61"/>
      <c r="M520" s="164"/>
      <c r="N520" s="142"/>
      <c r="O520" s="61"/>
      <c r="P520" s="168"/>
      <c r="Q5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0" s="36"/>
      <c r="S520" s="90"/>
    </row>
    <row r="521" spans="1:19" ht="30" hidden="1" customHeight="1">
      <c r="A521" s="9"/>
      <c r="B521" s="13" t="e">
        <f>VLOOKUP(Table2[[#This Row],[Location 
(drop-down)]],'List source'!D$2:E$71,2,FALSE)</f>
        <v>#N/A</v>
      </c>
      <c r="C521" s="11" t="s">
        <v>638</v>
      </c>
      <c r="D521" s="183" t="e">
        <f t="shared" si="8"/>
        <v>#N/A</v>
      </c>
      <c r="E521" s="188"/>
      <c r="F521" s="188"/>
      <c r="G521" s="9"/>
      <c r="H521" s="10"/>
      <c r="I521" s="19"/>
      <c r="J521" s="142"/>
      <c r="K521" s="142"/>
      <c r="L521" s="61"/>
      <c r="M521" s="164"/>
      <c r="N521" s="142"/>
      <c r="O521" s="61"/>
      <c r="P521" s="168"/>
      <c r="Q5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1" s="36"/>
      <c r="S521" s="90"/>
    </row>
    <row r="522" spans="1:19" ht="30" hidden="1" customHeight="1">
      <c r="A522" s="9"/>
      <c r="B522" s="13" t="e">
        <f>VLOOKUP(Table2[[#This Row],[Location 
(drop-down)]],'List source'!D$2:E$71,2,FALSE)</f>
        <v>#N/A</v>
      </c>
      <c r="C522" s="11" t="s">
        <v>639</v>
      </c>
      <c r="D522" s="183" t="e">
        <f t="shared" si="8"/>
        <v>#N/A</v>
      </c>
      <c r="E522" s="188"/>
      <c r="F522" s="188"/>
      <c r="G522" s="9"/>
      <c r="H522" s="10"/>
      <c r="I522" s="19"/>
      <c r="J522" s="142"/>
      <c r="K522" s="142"/>
      <c r="L522" s="61"/>
      <c r="M522" s="164"/>
      <c r="N522" s="142"/>
      <c r="O522" s="61"/>
      <c r="P522" s="168"/>
      <c r="Q5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2" s="36"/>
      <c r="S522" s="90"/>
    </row>
    <row r="523" spans="1:19" ht="30" hidden="1" customHeight="1">
      <c r="A523" s="9"/>
      <c r="B523" s="13" t="e">
        <f>VLOOKUP(Table2[[#This Row],[Location 
(drop-down)]],'List source'!D$2:E$71,2,FALSE)</f>
        <v>#N/A</v>
      </c>
      <c r="C523" s="11" t="s">
        <v>640</v>
      </c>
      <c r="D523" s="183" t="e">
        <f t="shared" si="8"/>
        <v>#N/A</v>
      </c>
      <c r="E523" s="188"/>
      <c r="F523" s="188"/>
      <c r="G523" s="9"/>
      <c r="H523" s="10"/>
      <c r="I523" s="19"/>
      <c r="J523" s="142"/>
      <c r="K523" s="142"/>
      <c r="L523" s="61"/>
      <c r="M523" s="164"/>
      <c r="N523" s="142"/>
      <c r="O523" s="61"/>
      <c r="P523" s="168"/>
      <c r="Q5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3" s="36"/>
      <c r="S523" s="90"/>
    </row>
    <row r="524" spans="1:19" ht="30" hidden="1" customHeight="1">
      <c r="A524" s="9"/>
      <c r="B524" s="13" t="e">
        <f>VLOOKUP(Table2[[#This Row],[Location 
(drop-down)]],'List source'!D$2:E$71,2,FALSE)</f>
        <v>#N/A</v>
      </c>
      <c r="C524" s="11" t="s">
        <v>641</v>
      </c>
      <c r="D524" s="183" t="e">
        <f t="shared" si="8"/>
        <v>#N/A</v>
      </c>
      <c r="E524" s="188"/>
      <c r="F524" s="188"/>
      <c r="G524" s="9"/>
      <c r="H524" s="10"/>
      <c r="I524" s="19"/>
      <c r="J524" s="142"/>
      <c r="K524" s="142"/>
      <c r="L524" s="61"/>
      <c r="M524" s="164"/>
      <c r="N524" s="142"/>
      <c r="O524" s="61"/>
      <c r="P524" s="168"/>
      <c r="Q5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4" s="36"/>
      <c r="S524" s="90"/>
    </row>
    <row r="525" spans="1:19" ht="30" hidden="1" customHeight="1">
      <c r="A525" s="9"/>
      <c r="B525" s="13" t="e">
        <f>VLOOKUP(Table2[[#This Row],[Location 
(drop-down)]],'List source'!D$2:E$71,2,FALSE)</f>
        <v>#N/A</v>
      </c>
      <c r="C525" s="11" t="s">
        <v>642</v>
      </c>
      <c r="D525" s="183" t="e">
        <f t="shared" si="8"/>
        <v>#N/A</v>
      </c>
      <c r="E525" s="188"/>
      <c r="F525" s="188"/>
      <c r="G525" s="9"/>
      <c r="H525" s="10"/>
      <c r="I525" s="19"/>
      <c r="J525" s="142"/>
      <c r="K525" s="142"/>
      <c r="L525" s="61"/>
      <c r="M525" s="164"/>
      <c r="N525" s="142"/>
      <c r="O525" s="61"/>
      <c r="P525" s="168"/>
      <c r="Q5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5" s="36"/>
      <c r="S525" s="90"/>
    </row>
    <row r="526" spans="1:19" ht="30" hidden="1" customHeight="1">
      <c r="A526" s="9"/>
      <c r="B526" s="13" t="e">
        <f>VLOOKUP(Table2[[#This Row],[Location 
(drop-down)]],'List source'!D$2:E$71,2,FALSE)</f>
        <v>#N/A</v>
      </c>
      <c r="C526" s="11" t="s">
        <v>643</v>
      </c>
      <c r="D526" s="183" t="e">
        <f t="shared" si="8"/>
        <v>#N/A</v>
      </c>
      <c r="E526" s="188"/>
      <c r="F526" s="188"/>
      <c r="G526" s="9"/>
      <c r="H526" s="10"/>
      <c r="I526" s="19"/>
      <c r="J526" s="142"/>
      <c r="K526" s="142"/>
      <c r="L526" s="61"/>
      <c r="M526" s="164"/>
      <c r="N526" s="142"/>
      <c r="O526" s="61"/>
      <c r="P526" s="168"/>
      <c r="Q5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6" s="36"/>
      <c r="S526" s="90"/>
    </row>
    <row r="527" spans="1:19" ht="30" hidden="1" customHeight="1">
      <c r="A527" s="9"/>
      <c r="B527" s="13" t="e">
        <f>VLOOKUP(Table2[[#This Row],[Location 
(drop-down)]],'List source'!D$2:E$71,2,FALSE)</f>
        <v>#N/A</v>
      </c>
      <c r="C527" s="11" t="s">
        <v>644</v>
      </c>
      <c r="D527" s="183" t="e">
        <f t="shared" si="8"/>
        <v>#N/A</v>
      </c>
      <c r="E527" s="188"/>
      <c r="F527" s="188"/>
      <c r="G527" s="9"/>
      <c r="H527" s="10"/>
      <c r="I527" s="19"/>
      <c r="J527" s="142"/>
      <c r="K527" s="142"/>
      <c r="L527" s="61"/>
      <c r="M527" s="164"/>
      <c r="N527" s="142"/>
      <c r="O527" s="61"/>
      <c r="P527" s="168"/>
      <c r="Q5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7" s="36"/>
      <c r="S527" s="90"/>
    </row>
    <row r="528" spans="1:19" ht="30" hidden="1" customHeight="1">
      <c r="A528" s="9"/>
      <c r="B528" s="13" t="e">
        <f>VLOOKUP(Table2[[#This Row],[Location 
(drop-down)]],'List source'!D$2:E$71,2,FALSE)</f>
        <v>#N/A</v>
      </c>
      <c r="C528" s="11" t="s">
        <v>645</v>
      </c>
      <c r="D528" s="183" t="e">
        <f t="shared" si="8"/>
        <v>#N/A</v>
      </c>
      <c r="E528" s="188"/>
      <c r="F528" s="188"/>
      <c r="G528" s="9"/>
      <c r="H528" s="10"/>
      <c r="I528" s="19"/>
      <c r="J528" s="142"/>
      <c r="K528" s="142"/>
      <c r="L528" s="61"/>
      <c r="M528" s="164"/>
      <c r="N528" s="142"/>
      <c r="O528" s="61"/>
      <c r="P528" s="168"/>
      <c r="Q5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8" s="36"/>
      <c r="S528" s="90"/>
    </row>
    <row r="529" spans="1:19" ht="30" hidden="1" customHeight="1">
      <c r="A529" s="9"/>
      <c r="B529" s="13" t="e">
        <f>VLOOKUP(Table2[[#This Row],[Location 
(drop-down)]],'List source'!D$2:E$71,2,FALSE)</f>
        <v>#N/A</v>
      </c>
      <c r="C529" s="11" t="s">
        <v>646</v>
      </c>
      <c r="D529" s="183" t="e">
        <f t="shared" si="8"/>
        <v>#N/A</v>
      </c>
      <c r="E529" s="188"/>
      <c r="F529" s="188"/>
      <c r="G529" s="9"/>
      <c r="H529" s="10"/>
      <c r="I529" s="19"/>
      <c r="J529" s="142"/>
      <c r="K529" s="142"/>
      <c r="L529" s="61"/>
      <c r="M529" s="164"/>
      <c r="N529" s="142"/>
      <c r="O529" s="61"/>
      <c r="P529" s="168"/>
      <c r="Q5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29" s="36"/>
      <c r="S529" s="90"/>
    </row>
    <row r="530" spans="1:19" ht="30" hidden="1" customHeight="1">
      <c r="A530" s="9"/>
      <c r="B530" s="13" t="e">
        <f>VLOOKUP(Table2[[#This Row],[Location 
(drop-down)]],'List source'!D$2:E$71,2,FALSE)</f>
        <v>#N/A</v>
      </c>
      <c r="C530" s="11" t="s">
        <v>647</v>
      </c>
      <c r="D530" s="183" t="e">
        <f t="shared" si="8"/>
        <v>#N/A</v>
      </c>
      <c r="E530" s="188"/>
      <c r="F530" s="188"/>
      <c r="G530" s="9"/>
      <c r="H530" s="10"/>
      <c r="I530" s="19"/>
      <c r="J530" s="142"/>
      <c r="K530" s="142"/>
      <c r="L530" s="61"/>
      <c r="M530" s="164"/>
      <c r="N530" s="142"/>
      <c r="O530" s="61"/>
      <c r="P530" s="168"/>
      <c r="Q5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0" s="36"/>
      <c r="S530" s="90"/>
    </row>
    <row r="531" spans="1:19" ht="30" hidden="1" customHeight="1">
      <c r="A531" s="9"/>
      <c r="B531" s="13" t="e">
        <f>VLOOKUP(Table2[[#This Row],[Location 
(drop-down)]],'List source'!D$2:E$71,2,FALSE)</f>
        <v>#N/A</v>
      </c>
      <c r="C531" s="11" t="s">
        <v>648</v>
      </c>
      <c r="D531" s="183" t="e">
        <f t="shared" si="8"/>
        <v>#N/A</v>
      </c>
      <c r="E531" s="188"/>
      <c r="F531" s="188"/>
      <c r="G531" s="9"/>
      <c r="H531" s="10"/>
      <c r="I531" s="19"/>
      <c r="J531" s="142"/>
      <c r="K531" s="142"/>
      <c r="L531" s="61"/>
      <c r="M531" s="164"/>
      <c r="N531" s="142"/>
      <c r="O531" s="61"/>
      <c r="P531" s="168"/>
      <c r="Q5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1" s="36"/>
      <c r="S531" s="90"/>
    </row>
    <row r="532" spans="1:19" ht="30" hidden="1" customHeight="1">
      <c r="A532" s="9"/>
      <c r="B532" s="13" t="e">
        <f>VLOOKUP(Table2[[#This Row],[Location 
(drop-down)]],'List source'!D$2:E$71,2,FALSE)</f>
        <v>#N/A</v>
      </c>
      <c r="C532" s="11" t="s">
        <v>649</v>
      </c>
      <c r="D532" s="183" t="e">
        <f t="shared" si="8"/>
        <v>#N/A</v>
      </c>
      <c r="E532" s="188"/>
      <c r="F532" s="188"/>
      <c r="G532" s="9"/>
      <c r="H532" s="10"/>
      <c r="I532" s="19"/>
      <c r="J532" s="142"/>
      <c r="K532" s="142"/>
      <c r="L532" s="61"/>
      <c r="M532" s="164"/>
      <c r="N532" s="142"/>
      <c r="O532" s="61"/>
      <c r="P532" s="168"/>
      <c r="Q5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2" s="36"/>
      <c r="S532" s="90"/>
    </row>
    <row r="533" spans="1:19" ht="30" hidden="1" customHeight="1">
      <c r="A533" s="9"/>
      <c r="B533" s="13" t="e">
        <f>VLOOKUP(Table2[[#This Row],[Location 
(drop-down)]],'List source'!D$2:E$71,2,FALSE)</f>
        <v>#N/A</v>
      </c>
      <c r="C533" s="11" t="s">
        <v>650</v>
      </c>
      <c r="D533" s="183" t="e">
        <f t="shared" si="8"/>
        <v>#N/A</v>
      </c>
      <c r="E533" s="188"/>
      <c r="F533" s="188"/>
      <c r="G533" s="73"/>
      <c r="H533" s="10"/>
      <c r="I533" s="19"/>
      <c r="J533" s="142"/>
      <c r="K533" s="142"/>
      <c r="L533" s="61"/>
      <c r="M533" s="164"/>
      <c r="N533" s="142"/>
      <c r="O533" s="61"/>
      <c r="P533" s="168"/>
      <c r="Q5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3" s="36"/>
      <c r="S533" s="90"/>
    </row>
    <row r="534" spans="1:19" ht="30" hidden="1" customHeight="1">
      <c r="A534" s="9"/>
      <c r="B534" s="13" t="e">
        <f>VLOOKUP(Table2[[#This Row],[Location 
(drop-down)]],'List source'!D$2:E$71,2,FALSE)</f>
        <v>#N/A</v>
      </c>
      <c r="C534" s="11" t="s">
        <v>651</v>
      </c>
      <c r="D534" s="183" t="e">
        <f t="shared" si="8"/>
        <v>#N/A</v>
      </c>
      <c r="E534" s="188"/>
      <c r="F534" s="188"/>
      <c r="G534" s="9"/>
      <c r="H534" s="10"/>
      <c r="I534" s="19"/>
      <c r="J534" s="142"/>
      <c r="K534" s="142"/>
      <c r="L534" s="61"/>
      <c r="M534" s="164"/>
      <c r="N534" s="142"/>
      <c r="O534" s="61"/>
      <c r="P534" s="168"/>
      <c r="Q5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4" s="36"/>
      <c r="S534" s="90"/>
    </row>
    <row r="535" spans="1:19" ht="30" hidden="1" customHeight="1">
      <c r="A535" s="9"/>
      <c r="B535" s="13" t="e">
        <f>VLOOKUP(Table2[[#This Row],[Location 
(drop-down)]],'List source'!D$2:E$71,2,FALSE)</f>
        <v>#N/A</v>
      </c>
      <c r="C535" s="11" t="s">
        <v>652</v>
      </c>
      <c r="D535" s="183" t="e">
        <f t="shared" si="8"/>
        <v>#N/A</v>
      </c>
      <c r="E535" s="188"/>
      <c r="F535" s="188"/>
      <c r="G535" s="9"/>
      <c r="H535" s="10"/>
      <c r="I535" s="19"/>
      <c r="J535" s="142"/>
      <c r="K535" s="142"/>
      <c r="L535" s="61"/>
      <c r="M535" s="164"/>
      <c r="N535" s="142"/>
      <c r="O535" s="61"/>
      <c r="P535" s="168"/>
      <c r="Q5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5" s="36"/>
      <c r="S535" s="90"/>
    </row>
    <row r="536" spans="1:19" ht="30" hidden="1" customHeight="1">
      <c r="A536" s="9"/>
      <c r="B536" s="13" t="e">
        <f>VLOOKUP(Table2[[#This Row],[Location 
(drop-down)]],'List source'!D$2:E$71,2,FALSE)</f>
        <v>#N/A</v>
      </c>
      <c r="C536" s="11" t="s">
        <v>653</v>
      </c>
      <c r="D536" s="183" t="e">
        <f t="shared" si="8"/>
        <v>#N/A</v>
      </c>
      <c r="E536" s="188"/>
      <c r="F536" s="188"/>
      <c r="G536" s="9"/>
      <c r="H536" s="10"/>
      <c r="I536" s="19"/>
      <c r="J536" s="142"/>
      <c r="K536" s="142"/>
      <c r="L536" s="61"/>
      <c r="M536" s="164"/>
      <c r="N536" s="142"/>
      <c r="O536" s="61"/>
      <c r="P536" s="168"/>
      <c r="Q5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6" s="36"/>
      <c r="S536" s="90"/>
    </row>
    <row r="537" spans="1:19" ht="30" hidden="1" customHeight="1">
      <c r="A537" s="9"/>
      <c r="B537" s="13" t="e">
        <f>VLOOKUP(Table2[[#This Row],[Location 
(drop-down)]],'List source'!D$2:E$71,2,FALSE)</f>
        <v>#N/A</v>
      </c>
      <c r="C537" s="11" t="s">
        <v>654</v>
      </c>
      <c r="D537" s="183" t="e">
        <f t="shared" si="8"/>
        <v>#N/A</v>
      </c>
      <c r="E537" s="188"/>
      <c r="F537" s="188"/>
      <c r="G537" s="9"/>
      <c r="H537" s="10"/>
      <c r="I537" s="19"/>
      <c r="J537" s="142"/>
      <c r="K537" s="142"/>
      <c r="L537" s="61"/>
      <c r="M537" s="164"/>
      <c r="N537" s="142"/>
      <c r="O537" s="61"/>
      <c r="P537" s="168"/>
      <c r="Q5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7" s="36"/>
      <c r="S537" s="90"/>
    </row>
    <row r="538" spans="1:19" ht="30" hidden="1" customHeight="1">
      <c r="A538" s="9"/>
      <c r="B538" s="13" t="e">
        <f>VLOOKUP(Table2[[#This Row],[Location 
(drop-down)]],'List source'!D$2:E$71,2,FALSE)</f>
        <v>#N/A</v>
      </c>
      <c r="C538" s="11" t="s">
        <v>655</v>
      </c>
      <c r="D538" s="183" t="e">
        <f t="shared" si="8"/>
        <v>#N/A</v>
      </c>
      <c r="E538" s="188"/>
      <c r="F538" s="188"/>
      <c r="G538" s="9"/>
      <c r="H538" s="10"/>
      <c r="I538" s="19"/>
      <c r="J538" s="142"/>
      <c r="K538" s="142"/>
      <c r="L538" s="61"/>
      <c r="M538" s="164"/>
      <c r="N538" s="142"/>
      <c r="O538" s="61"/>
      <c r="P538" s="168"/>
      <c r="Q5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8" s="36"/>
      <c r="S538" s="90"/>
    </row>
    <row r="539" spans="1:19" ht="30" hidden="1" customHeight="1">
      <c r="A539" s="9"/>
      <c r="B539" s="13" t="e">
        <f>VLOOKUP(Table2[[#This Row],[Location 
(drop-down)]],'List source'!D$2:E$71,2,FALSE)</f>
        <v>#N/A</v>
      </c>
      <c r="C539" s="11" t="s">
        <v>656</v>
      </c>
      <c r="D539" s="183" t="e">
        <f t="shared" si="8"/>
        <v>#N/A</v>
      </c>
      <c r="E539" s="188"/>
      <c r="F539" s="188"/>
      <c r="G539" s="9"/>
      <c r="H539" s="10"/>
      <c r="I539" s="19"/>
      <c r="J539" s="142"/>
      <c r="K539" s="142"/>
      <c r="L539" s="61"/>
      <c r="M539" s="164"/>
      <c r="N539" s="142"/>
      <c r="O539" s="61"/>
      <c r="P539" s="168"/>
      <c r="Q5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39" s="36"/>
      <c r="S539" s="90"/>
    </row>
    <row r="540" spans="1:19" ht="30" hidden="1" customHeight="1">
      <c r="A540" s="9"/>
      <c r="B540" s="13" t="e">
        <f>VLOOKUP(Table2[[#This Row],[Location 
(drop-down)]],'List source'!D$2:E$71,2,FALSE)</f>
        <v>#N/A</v>
      </c>
      <c r="C540" s="11" t="s">
        <v>657</v>
      </c>
      <c r="D540" s="183" t="e">
        <f t="shared" si="8"/>
        <v>#N/A</v>
      </c>
      <c r="E540" s="188"/>
      <c r="F540" s="188"/>
      <c r="G540" s="9"/>
      <c r="H540" s="10"/>
      <c r="I540" s="19"/>
      <c r="J540" s="142"/>
      <c r="K540" s="142"/>
      <c r="L540" s="61"/>
      <c r="M540" s="164"/>
      <c r="N540" s="142"/>
      <c r="O540" s="61"/>
      <c r="P540" s="168"/>
      <c r="Q5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0" s="36"/>
      <c r="S540" s="90"/>
    </row>
    <row r="541" spans="1:19" ht="30" hidden="1" customHeight="1">
      <c r="A541" s="9"/>
      <c r="B541" s="13" t="e">
        <f>VLOOKUP(Table2[[#This Row],[Location 
(drop-down)]],'List source'!D$2:E$71,2,FALSE)</f>
        <v>#N/A</v>
      </c>
      <c r="C541" s="11" t="s">
        <v>658</v>
      </c>
      <c r="D541" s="183" t="e">
        <f t="shared" si="8"/>
        <v>#N/A</v>
      </c>
      <c r="E541" s="189"/>
      <c r="F541" s="188"/>
      <c r="G541" s="15"/>
      <c r="H541" s="151"/>
      <c r="I541" s="19"/>
      <c r="J541" s="175"/>
      <c r="K541" s="175"/>
      <c r="L541" s="61"/>
      <c r="M541" s="164"/>
      <c r="N541" s="175"/>
      <c r="O541" s="153"/>
      <c r="P541" s="224"/>
      <c r="Q5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1" s="214"/>
      <c r="S541" s="90"/>
    </row>
    <row r="542" spans="1:19" ht="30" hidden="1" customHeight="1">
      <c r="A542" s="9"/>
      <c r="B542" s="13" t="e">
        <f>VLOOKUP(Table2[[#This Row],[Location 
(drop-down)]],'List source'!D$2:E$71,2,FALSE)</f>
        <v>#N/A</v>
      </c>
      <c r="C542" s="11" t="s">
        <v>659</v>
      </c>
      <c r="D542" s="183" t="e">
        <f t="shared" si="8"/>
        <v>#N/A</v>
      </c>
      <c r="E542" s="188"/>
      <c r="F542" s="188"/>
      <c r="G542" s="9"/>
      <c r="H542" s="10"/>
      <c r="I542" s="19"/>
      <c r="J542" s="142"/>
      <c r="K542" s="142"/>
      <c r="L542" s="61"/>
      <c r="M542" s="164"/>
      <c r="N542" s="142"/>
      <c r="O542" s="61"/>
      <c r="P542" s="168"/>
      <c r="Q5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2" s="36"/>
      <c r="S542" s="90"/>
    </row>
    <row r="543" spans="1:19" ht="30" hidden="1" customHeight="1">
      <c r="A543" s="9"/>
      <c r="B543" s="13" t="e">
        <f>VLOOKUP(Table2[[#This Row],[Location 
(drop-down)]],'List source'!D$2:E$71,2,FALSE)</f>
        <v>#N/A</v>
      </c>
      <c r="C543" s="11" t="s">
        <v>660</v>
      </c>
      <c r="D543" s="183" t="e">
        <f t="shared" si="8"/>
        <v>#N/A</v>
      </c>
      <c r="E543" s="188"/>
      <c r="F543" s="188"/>
      <c r="G543" s="9"/>
      <c r="H543" s="10"/>
      <c r="I543" s="19"/>
      <c r="J543" s="142"/>
      <c r="K543" s="142"/>
      <c r="L543" s="61"/>
      <c r="M543" s="164"/>
      <c r="N543" s="142"/>
      <c r="O543" s="61"/>
      <c r="P543" s="168"/>
      <c r="Q5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3" s="36"/>
      <c r="S543" s="90"/>
    </row>
    <row r="544" spans="1:19" ht="30" hidden="1" customHeight="1">
      <c r="A544" s="9"/>
      <c r="B544" s="13" t="e">
        <f>VLOOKUP(Table2[[#This Row],[Location 
(drop-down)]],'List source'!D$2:E$71,2,FALSE)</f>
        <v>#N/A</v>
      </c>
      <c r="C544" s="11" t="s">
        <v>661</v>
      </c>
      <c r="D544" s="183" t="e">
        <f t="shared" si="8"/>
        <v>#N/A</v>
      </c>
      <c r="E544" s="188"/>
      <c r="F544" s="188"/>
      <c r="G544" s="9"/>
      <c r="H544" s="10"/>
      <c r="I544" s="19"/>
      <c r="J544" s="142"/>
      <c r="K544" s="142"/>
      <c r="L544" s="61"/>
      <c r="M544" s="164"/>
      <c r="N544" s="142"/>
      <c r="O544" s="61"/>
      <c r="P544" s="168"/>
      <c r="Q5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4" s="36"/>
      <c r="S544" s="90"/>
    </row>
    <row r="545" spans="1:19" ht="30" hidden="1" customHeight="1">
      <c r="A545" s="9"/>
      <c r="B545" s="13" t="e">
        <f>VLOOKUP(Table2[[#This Row],[Location 
(drop-down)]],'List source'!D$2:E$71,2,FALSE)</f>
        <v>#N/A</v>
      </c>
      <c r="C545" s="11" t="s">
        <v>662</v>
      </c>
      <c r="D545" s="183" t="e">
        <f t="shared" si="8"/>
        <v>#N/A</v>
      </c>
      <c r="E545" s="188"/>
      <c r="F545" s="188"/>
      <c r="G545" s="9"/>
      <c r="H545" s="10"/>
      <c r="I545" s="19"/>
      <c r="J545" s="142"/>
      <c r="K545" s="142"/>
      <c r="L545" s="61"/>
      <c r="M545" s="164"/>
      <c r="N545" s="142"/>
      <c r="O545" s="61"/>
      <c r="P545" s="168"/>
      <c r="Q5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5" s="36"/>
      <c r="S545" s="90"/>
    </row>
    <row r="546" spans="1:19" ht="30" hidden="1" customHeight="1">
      <c r="A546" s="9"/>
      <c r="B546" s="13" t="e">
        <f>VLOOKUP(Table2[[#This Row],[Location 
(drop-down)]],'List source'!D$2:E$71,2,FALSE)</f>
        <v>#N/A</v>
      </c>
      <c r="C546" s="11" t="s">
        <v>663</v>
      </c>
      <c r="D546" s="183" t="e">
        <f t="shared" si="8"/>
        <v>#N/A</v>
      </c>
      <c r="E546" s="188"/>
      <c r="F546" s="188"/>
      <c r="G546" s="190"/>
      <c r="H546" s="10"/>
      <c r="I546" s="19"/>
      <c r="J546" s="142"/>
      <c r="K546" s="142"/>
      <c r="L546" s="61"/>
      <c r="M546" s="164"/>
      <c r="N546" s="142"/>
      <c r="O546" s="61"/>
      <c r="P546" s="168"/>
      <c r="Q5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6" s="36"/>
      <c r="S546" s="90"/>
    </row>
    <row r="547" spans="1:19" ht="36" hidden="1" customHeight="1">
      <c r="A547" s="9"/>
      <c r="B547" s="13" t="e">
        <f>VLOOKUP(Table2[[#This Row],[Location 
(drop-down)]],'List source'!D$2:E$71,2,FALSE)</f>
        <v>#N/A</v>
      </c>
      <c r="C547" s="11" t="s">
        <v>664</v>
      </c>
      <c r="D547" s="183" t="e">
        <f t="shared" si="8"/>
        <v>#N/A</v>
      </c>
      <c r="E547" s="188"/>
      <c r="F547" s="191"/>
      <c r="H547" s="10"/>
      <c r="I547" s="19"/>
      <c r="J547" s="142"/>
      <c r="K547" s="142"/>
      <c r="L547" s="61"/>
      <c r="M547" s="164"/>
      <c r="N547" s="142"/>
      <c r="O547" s="61"/>
      <c r="P547" s="168"/>
      <c r="Q5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7" s="36"/>
      <c r="S547" s="90"/>
    </row>
    <row r="548" spans="1:19" ht="36" hidden="1" customHeight="1">
      <c r="A548" s="9"/>
      <c r="B548" s="13" t="e">
        <f>VLOOKUP(Table2[[#This Row],[Location 
(drop-down)]],'List source'!D$2:E$71,2,FALSE)</f>
        <v>#N/A</v>
      </c>
      <c r="C548" s="11" t="s">
        <v>665</v>
      </c>
      <c r="D548" s="183" t="e">
        <f t="shared" si="8"/>
        <v>#N/A</v>
      </c>
      <c r="E548" s="188"/>
      <c r="F548" s="188"/>
      <c r="G548" s="9"/>
      <c r="H548" s="10"/>
      <c r="I548" s="19"/>
      <c r="J548" s="142"/>
      <c r="K548" s="142"/>
      <c r="L548" s="61"/>
      <c r="M548" s="164"/>
      <c r="N548" s="142"/>
      <c r="O548" s="61"/>
      <c r="P548" s="168"/>
      <c r="Q5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8" s="36"/>
      <c r="S548" s="90"/>
    </row>
    <row r="549" spans="1:19" ht="36" hidden="1" customHeight="1">
      <c r="A549" s="9"/>
      <c r="B549" s="13" t="e">
        <f>VLOOKUP(Table2[[#This Row],[Location 
(drop-down)]],'List source'!D$2:E$71,2,FALSE)</f>
        <v>#N/A</v>
      </c>
      <c r="C549" s="11" t="s">
        <v>666</v>
      </c>
      <c r="D549" s="183" t="e">
        <f t="shared" si="8"/>
        <v>#N/A</v>
      </c>
      <c r="E549" s="188"/>
      <c r="F549" s="188"/>
      <c r="G549" s="75"/>
      <c r="H549" s="10"/>
      <c r="I549" s="19"/>
      <c r="J549" s="142"/>
      <c r="K549" s="142"/>
      <c r="L549" s="61"/>
      <c r="M549" s="164"/>
      <c r="N549" s="142"/>
      <c r="O549" s="61"/>
      <c r="P549" s="168"/>
      <c r="Q5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49" s="36"/>
      <c r="S549" s="90"/>
    </row>
    <row r="550" spans="1:19" ht="36" hidden="1" customHeight="1">
      <c r="A550" s="9"/>
      <c r="B550" s="13" t="e">
        <f>VLOOKUP(Table2[[#This Row],[Location 
(drop-down)]],'List source'!D$2:E$71,2,FALSE)</f>
        <v>#N/A</v>
      </c>
      <c r="C550" s="11" t="s">
        <v>667</v>
      </c>
      <c r="D550" s="183" t="e">
        <f t="shared" si="8"/>
        <v>#N/A</v>
      </c>
      <c r="E550" s="188"/>
      <c r="F550" s="191"/>
      <c r="H550" s="10"/>
      <c r="I550" s="19"/>
      <c r="J550" s="142"/>
      <c r="K550" s="142"/>
      <c r="L550" s="61"/>
      <c r="M550" s="164"/>
      <c r="N550" s="142"/>
      <c r="O550" s="61"/>
      <c r="P550" s="168"/>
      <c r="Q5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0" s="36"/>
      <c r="S550" s="90"/>
    </row>
    <row r="551" spans="1:19" ht="36" hidden="1" customHeight="1">
      <c r="A551" s="9"/>
      <c r="B551" s="13" t="e">
        <f>VLOOKUP(Table2[[#This Row],[Location 
(drop-down)]],'List source'!D$2:E$71,2,FALSE)</f>
        <v>#N/A</v>
      </c>
      <c r="C551" s="11" t="s">
        <v>668</v>
      </c>
      <c r="D551" s="183" t="e">
        <f t="shared" si="8"/>
        <v>#N/A</v>
      </c>
      <c r="E551" s="188"/>
      <c r="F551" s="188"/>
      <c r="G551" s="9"/>
      <c r="H551" s="10"/>
      <c r="I551" s="19"/>
      <c r="J551" s="142"/>
      <c r="K551" s="142"/>
      <c r="L551" s="61"/>
      <c r="M551" s="164"/>
      <c r="N551" s="142"/>
      <c r="O551" s="61"/>
      <c r="P551" s="168"/>
      <c r="Q5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1" s="36"/>
      <c r="S551" s="90"/>
    </row>
    <row r="552" spans="1:19" ht="36" hidden="1" customHeight="1">
      <c r="A552" s="9"/>
      <c r="B552" s="13" t="e">
        <f>VLOOKUP(Table2[[#This Row],[Location 
(drop-down)]],'List source'!D$2:E$71,2,FALSE)</f>
        <v>#N/A</v>
      </c>
      <c r="C552" s="11" t="s">
        <v>669</v>
      </c>
      <c r="D552" s="183" t="e">
        <f t="shared" si="8"/>
        <v>#N/A</v>
      </c>
      <c r="E552" s="188"/>
      <c r="F552" s="188"/>
      <c r="G552" s="9"/>
      <c r="H552" s="10"/>
      <c r="I552" s="19"/>
      <c r="J552" s="142"/>
      <c r="K552" s="142"/>
      <c r="L552" s="61"/>
      <c r="M552" s="164"/>
      <c r="N552" s="142"/>
      <c r="O552" s="61"/>
      <c r="P552" s="168"/>
      <c r="Q5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2" s="36"/>
      <c r="S552" s="90"/>
    </row>
    <row r="553" spans="1:19" ht="36" hidden="1" customHeight="1">
      <c r="A553" s="9"/>
      <c r="B553" s="13" t="e">
        <f>VLOOKUP(Table2[[#This Row],[Location 
(drop-down)]],'List source'!D$2:E$71,2,FALSE)</f>
        <v>#N/A</v>
      </c>
      <c r="C553" s="11" t="s">
        <v>670</v>
      </c>
      <c r="D553" s="183" t="e">
        <f t="shared" si="8"/>
        <v>#N/A</v>
      </c>
      <c r="E553" s="188"/>
      <c r="F553" s="188"/>
      <c r="G553" s="9"/>
      <c r="H553" s="10"/>
      <c r="I553" s="19"/>
      <c r="J553" s="142"/>
      <c r="K553" s="142"/>
      <c r="L553" s="61"/>
      <c r="M553" s="164"/>
      <c r="N553" s="142"/>
      <c r="O553" s="61"/>
      <c r="P553" s="168"/>
      <c r="Q5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3" s="36"/>
      <c r="S553" s="90"/>
    </row>
    <row r="554" spans="1:19" ht="36" hidden="1" customHeight="1">
      <c r="A554" s="9"/>
      <c r="B554" s="13" t="e">
        <f>VLOOKUP(Table2[[#This Row],[Location 
(drop-down)]],'List source'!D$2:E$71,2,FALSE)</f>
        <v>#N/A</v>
      </c>
      <c r="C554" s="11" t="s">
        <v>671</v>
      </c>
      <c r="D554" s="183" t="e">
        <f t="shared" si="8"/>
        <v>#N/A</v>
      </c>
      <c r="E554" s="188"/>
      <c r="F554" s="188"/>
      <c r="G554" s="9"/>
      <c r="H554" s="10"/>
      <c r="I554" s="19"/>
      <c r="J554" s="142"/>
      <c r="K554" s="142"/>
      <c r="L554" s="61"/>
      <c r="M554" s="164"/>
      <c r="N554" s="142"/>
      <c r="O554" s="61"/>
      <c r="P554" s="168"/>
      <c r="Q5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4" s="36"/>
      <c r="S554" s="90"/>
    </row>
    <row r="555" spans="1:19" ht="36" hidden="1" customHeight="1">
      <c r="A555" s="9"/>
      <c r="B555" s="13" t="e">
        <f>VLOOKUP(Table2[[#This Row],[Location 
(drop-down)]],'List source'!D$2:E$71,2,FALSE)</f>
        <v>#N/A</v>
      </c>
      <c r="C555" s="11" t="s">
        <v>672</v>
      </c>
      <c r="D555" s="183" t="e">
        <f t="shared" si="8"/>
        <v>#N/A</v>
      </c>
      <c r="E555" s="188"/>
      <c r="F555" s="188"/>
      <c r="G555" s="9"/>
      <c r="H555" s="10"/>
      <c r="I555" s="19"/>
      <c r="J555" s="142"/>
      <c r="K555" s="142"/>
      <c r="L555" s="61"/>
      <c r="M555" s="164"/>
      <c r="N555" s="142"/>
      <c r="O555" s="61"/>
      <c r="P555" s="168"/>
      <c r="Q5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5" s="36"/>
      <c r="S555" s="90"/>
    </row>
    <row r="556" spans="1:19" ht="36" hidden="1" customHeight="1">
      <c r="A556" s="9"/>
      <c r="B556" s="13" t="e">
        <f>VLOOKUP(Table2[[#This Row],[Location 
(drop-down)]],'List source'!D$2:E$71,2,FALSE)</f>
        <v>#N/A</v>
      </c>
      <c r="C556" s="11" t="s">
        <v>673</v>
      </c>
      <c r="D556" s="183" t="e">
        <f t="shared" si="8"/>
        <v>#N/A</v>
      </c>
      <c r="E556" s="188"/>
      <c r="F556" s="188"/>
      <c r="G556" s="9"/>
      <c r="H556" s="10"/>
      <c r="I556" s="19"/>
      <c r="J556" s="142"/>
      <c r="K556" s="142"/>
      <c r="L556" s="61"/>
      <c r="M556" s="164"/>
      <c r="N556" s="142"/>
      <c r="O556" s="61"/>
      <c r="P556" s="168"/>
      <c r="Q5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6" s="36"/>
      <c r="S556" s="90"/>
    </row>
    <row r="557" spans="1:19" ht="36" hidden="1" customHeight="1">
      <c r="A557" s="9"/>
      <c r="B557" s="13" t="e">
        <f>VLOOKUP(Table2[[#This Row],[Location 
(drop-down)]],'List source'!D$2:E$71,2,FALSE)</f>
        <v>#N/A</v>
      </c>
      <c r="C557" s="11" t="s">
        <v>674</v>
      </c>
      <c r="D557" s="183" t="e">
        <f t="shared" si="8"/>
        <v>#N/A</v>
      </c>
      <c r="E557" s="188"/>
      <c r="F557" s="188"/>
      <c r="G557" s="9"/>
      <c r="H557" s="10"/>
      <c r="I557" s="19"/>
      <c r="J557" s="142"/>
      <c r="K557" s="142"/>
      <c r="L557" s="61"/>
      <c r="M557" s="164"/>
      <c r="N557" s="142"/>
      <c r="O557" s="61"/>
      <c r="P557" s="168"/>
      <c r="Q5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7" s="36"/>
      <c r="S557" s="90"/>
    </row>
    <row r="558" spans="1:19" ht="36" hidden="1" customHeight="1">
      <c r="A558" s="9"/>
      <c r="B558" s="13" t="e">
        <f>VLOOKUP(Table2[[#This Row],[Location 
(drop-down)]],'List source'!D$2:E$71,2,FALSE)</f>
        <v>#N/A</v>
      </c>
      <c r="C558" s="11" t="s">
        <v>675</v>
      </c>
      <c r="D558" s="183" t="e">
        <f t="shared" si="8"/>
        <v>#N/A</v>
      </c>
      <c r="E558" s="188"/>
      <c r="F558" s="188"/>
      <c r="G558" s="9"/>
      <c r="H558" s="10"/>
      <c r="I558" s="19"/>
      <c r="J558" s="142"/>
      <c r="K558" s="142"/>
      <c r="L558" s="61"/>
      <c r="M558" s="164"/>
      <c r="N558" s="142"/>
      <c r="O558" s="61"/>
      <c r="P558" s="168"/>
      <c r="Q5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8" s="36"/>
      <c r="S558" s="90"/>
    </row>
    <row r="559" spans="1:19" ht="36" hidden="1" customHeight="1">
      <c r="A559" s="9"/>
      <c r="B559" s="13" t="e">
        <f>VLOOKUP(Table2[[#This Row],[Location 
(drop-down)]],'List source'!D$2:E$71,2,FALSE)</f>
        <v>#N/A</v>
      </c>
      <c r="C559" s="11" t="s">
        <v>676</v>
      </c>
      <c r="D559" s="183" t="e">
        <f t="shared" si="8"/>
        <v>#N/A</v>
      </c>
      <c r="E559" s="188"/>
      <c r="F559" s="188"/>
      <c r="G559" s="9"/>
      <c r="H559" s="10"/>
      <c r="I559" s="19"/>
      <c r="J559" s="142"/>
      <c r="K559" s="142"/>
      <c r="L559" s="61"/>
      <c r="M559" s="164"/>
      <c r="N559" s="142"/>
      <c r="O559" s="61"/>
      <c r="P559" s="168"/>
      <c r="Q5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59" s="36"/>
      <c r="S559" s="90"/>
    </row>
    <row r="560" spans="1:19" ht="36" hidden="1" customHeight="1">
      <c r="A560" s="9"/>
      <c r="B560" s="13" t="e">
        <f>VLOOKUP(Table2[[#This Row],[Location 
(drop-down)]],'List source'!D$2:E$71,2,FALSE)</f>
        <v>#N/A</v>
      </c>
      <c r="C560" s="11" t="s">
        <v>677</v>
      </c>
      <c r="D560" s="183" t="e">
        <f t="shared" si="8"/>
        <v>#N/A</v>
      </c>
      <c r="E560" s="188"/>
      <c r="F560" s="188"/>
      <c r="G560" s="9"/>
      <c r="H560" s="10"/>
      <c r="I560" s="19"/>
      <c r="J560" s="142"/>
      <c r="K560" s="142"/>
      <c r="L560" s="61"/>
      <c r="M560" s="164"/>
      <c r="N560" s="142"/>
      <c r="O560" s="61"/>
      <c r="P560" s="168"/>
      <c r="Q5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0" s="36"/>
      <c r="S560" s="90"/>
    </row>
    <row r="561" spans="1:19" ht="36" hidden="1" customHeight="1">
      <c r="A561" s="9"/>
      <c r="B561" s="13" t="e">
        <f>VLOOKUP(Table2[[#This Row],[Location 
(drop-down)]],'List source'!D$2:E$71,2,FALSE)</f>
        <v>#N/A</v>
      </c>
      <c r="C561" s="11" t="s">
        <v>678</v>
      </c>
      <c r="D561" s="183" t="e">
        <f t="shared" si="8"/>
        <v>#N/A</v>
      </c>
      <c r="E561" s="188"/>
      <c r="F561" s="188"/>
      <c r="G561" s="9"/>
      <c r="H561" s="10"/>
      <c r="I561" s="19"/>
      <c r="J561" s="142"/>
      <c r="K561" s="142"/>
      <c r="L561" s="61"/>
      <c r="M561" s="164"/>
      <c r="N561" s="142"/>
      <c r="O561" s="61"/>
      <c r="P561" s="168"/>
      <c r="Q5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1" s="36"/>
      <c r="S561" s="90"/>
    </row>
    <row r="562" spans="1:19" ht="36" hidden="1" customHeight="1">
      <c r="A562" s="9"/>
      <c r="B562" s="13" t="e">
        <f>VLOOKUP(Table2[[#This Row],[Location 
(drop-down)]],'List source'!D$2:E$71,2,FALSE)</f>
        <v>#N/A</v>
      </c>
      <c r="C562" s="11" t="s">
        <v>679</v>
      </c>
      <c r="D562" s="183" t="e">
        <f t="shared" si="8"/>
        <v>#N/A</v>
      </c>
      <c r="E562" s="188"/>
      <c r="F562" s="188"/>
      <c r="G562" s="9"/>
      <c r="H562" s="10"/>
      <c r="I562" s="19"/>
      <c r="J562" s="142"/>
      <c r="K562" s="142"/>
      <c r="L562" s="61"/>
      <c r="M562" s="164"/>
      <c r="N562" s="142"/>
      <c r="O562" s="61"/>
      <c r="P562" s="168"/>
      <c r="Q5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2" s="36"/>
      <c r="S562" s="90"/>
    </row>
    <row r="563" spans="1:19" ht="36" hidden="1" customHeight="1">
      <c r="A563" s="9"/>
      <c r="B563" s="13" t="e">
        <f>VLOOKUP(Table2[[#This Row],[Location 
(drop-down)]],'List source'!D$2:E$71,2,FALSE)</f>
        <v>#N/A</v>
      </c>
      <c r="C563" s="11" t="s">
        <v>680</v>
      </c>
      <c r="D563" s="183" t="e">
        <f t="shared" si="8"/>
        <v>#N/A</v>
      </c>
      <c r="E563" s="188"/>
      <c r="F563" s="188"/>
      <c r="G563" s="9"/>
      <c r="H563" s="10"/>
      <c r="I563" s="19"/>
      <c r="J563" s="142"/>
      <c r="K563" s="142"/>
      <c r="L563" s="61"/>
      <c r="M563" s="164"/>
      <c r="N563" s="142"/>
      <c r="O563" s="61"/>
      <c r="P563" s="168"/>
      <c r="Q5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3" s="36"/>
      <c r="S563" s="90"/>
    </row>
    <row r="564" spans="1:19" ht="36" hidden="1" customHeight="1">
      <c r="A564" s="9"/>
      <c r="B564" s="13" t="e">
        <f>VLOOKUP(Table2[[#This Row],[Location 
(drop-down)]],'List source'!D$2:E$71,2,FALSE)</f>
        <v>#N/A</v>
      </c>
      <c r="C564" s="11" t="s">
        <v>681</v>
      </c>
      <c r="D564" s="183" t="e">
        <f t="shared" si="8"/>
        <v>#N/A</v>
      </c>
      <c r="E564" s="188"/>
      <c r="F564" s="188"/>
      <c r="G564" s="9"/>
      <c r="H564" s="10"/>
      <c r="I564" s="19"/>
      <c r="J564" s="142"/>
      <c r="K564" s="142"/>
      <c r="L564" s="61"/>
      <c r="M564" s="164"/>
      <c r="N564" s="142"/>
      <c r="O564" s="61"/>
      <c r="P564" s="168"/>
      <c r="Q5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4" s="36"/>
      <c r="S564" s="90"/>
    </row>
    <row r="565" spans="1:19" ht="36" hidden="1" customHeight="1">
      <c r="A565" s="9"/>
      <c r="B565" s="13" t="e">
        <f>VLOOKUP(Table2[[#This Row],[Location 
(drop-down)]],'List source'!D$2:E$71,2,FALSE)</f>
        <v>#N/A</v>
      </c>
      <c r="C565" s="11" t="s">
        <v>682</v>
      </c>
      <c r="D565" s="183" t="e">
        <f t="shared" si="8"/>
        <v>#N/A</v>
      </c>
      <c r="E565" s="188"/>
      <c r="F565" s="188"/>
      <c r="G565" s="138"/>
      <c r="H565" s="10"/>
      <c r="I565" s="19"/>
      <c r="J565" s="142"/>
      <c r="K565" s="142"/>
      <c r="L565" s="61"/>
      <c r="M565" s="164"/>
      <c r="N565" s="142"/>
      <c r="O565" s="61"/>
      <c r="P565" s="168"/>
      <c r="Q5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5" s="36"/>
      <c r="S565" s="90"/>
    </row>
    <row r="566" spans="1:19" ht="36" hidden="1" customHeight="1">
      <c r="A566" s="9"/>
      <c r="B566" s="13" t="e">
        <f>VLOOKUP(Table2[[#This Row],[Location 
(drop-down)]],'List source'!D$2:E$71,2,FALSE)</f>
        <v>#N/A</v>
      </c>
      <c r="C566" s="11" t="s">
        <v>683</v>
      </c>
      <c r="D566" s="183" t="e">
        <f t="shared" si="8"/>
        <v>#N/A</v>
      </c>
      <c r="E566" s="188"/>
      <c r="F566" s="188"/>
      <c r="G566" s="9"/>
      <c r="H566" s="10"/>
      <c r="I566" s="19"/>
      <c r="J566" s="142"/>
      <c r="K566" s="142"/>
      <c r="L566" s="61"/>
      <c r="M566" s="164"/>
      <c r="N566" s="142"/>
      <c r="O566" s="61"/>
      <c r="P566" s="168"/>
      <c r="Q5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6" s="36"/>
      <c r="S566" s="90"/>
    </row>
    <row r="567" spans="1:19" ht="36" hidden="1" customHeight="1">
      <c r="A567" s="9"/>
      <c r="B567" s="13" t="e">
        <f>VLOOKUP(Table2[[#This Row],[Location 
(drop-down)]],'List source'!D$2:E$71,2,FALSE)</f>
        <v>#N/A</v>
      </c>
      <c r="C567" s="11" t="s">
        <v>684</v>
      </c>
      <c r="D567" s="183" t="e">
        <f t="shared" si="8"/>
        <v>#N/A</v>
      </c>
      <c r="E567" s="188"/>
      <c r="F567" s="188"/>
      <c r="G567" s="9"/>
      <c r="H567" s="10"/>
      <c r="I567" s="19"/>
      <c r="J567" s="142"/>
      <c r="K567" s="142"/>
      <c r="L567" s="61"/>
      <c r="M567" s="164"/>
      <c r="N567" s="142"/>
      <c r="O567" s="61"/>
      <c r="P567" s="168"/>
      <c r="Q5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7" s="36"/>
      <c r="S567" s="90"/>
    </row>
    <row r="568" spans="1:19" ht="36" hidden="1" customHeight="1">
      <c r="A568" s="9"/>
      <c r="B568" s="13" t="e">
        <f>VLOOKUP(Table2[[#This Row],[Location 
(drop-down)]],'List source'!D$2:E$71,2,FALSE)</f>
        <v>#N/A</v>
      </c>
      <c r="C568" s="11" t="s">
        <v>685</v>
      </c>
      <c r="D568" s="183" t="e">
        <f t="shared" si="8"/>
        <v>#N/A</v>
      </c>
      <c r="E568" s="188"/>
      <c r="F568" s="188"/>
      <c r="G568" s="9"/>
      <c r="H568" s="10"/>
      <c r="I568" s="19"/>
      <c r="J568" s="142"/>
      <c r="K568" s="142"/>
      <c r="L568" s="61"/>
      <c r="M568" s="164"/>
      <c r="N568" s="142"/>
      <c r="O568" s="61"/>
      <c r="P568" s="168"/>
      <c r="Q5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8" s="36"/>
      <c r="S568" s="90"/>
    </row>
    <row r="569" spans="1:19" ht="36" hidden="1" customHeight="1">
      <c r="A569" s="9"/>
      <c r="B569" s="13" t="e">
        <f>VLOOKUP(Table2[[#This Row],[Location 
(drop-down)]],'List source'!D$2:E$71,2,FALSE)</f>
        <v>#N/A</v>
      </c>
      <c r="C569" s="11" t="s">
        <v>686</v>
      </c>
      <c r="D569" s="183" t="e">
        <f t="shared" si="8"/>
        <v>#N/A</v>
      </c>
      <c r="E569" s="188"/>
      <c r="F569" s="188"/>
      <c r="G569" s="9"/>
      <c r="H569" s="10"/>
      <c r="I569" s="19"/>
      <c r="J569" s="142"/>
      <c r="K569" s="142"/>
      <c r="L569" s="61"/>
      <c r="M569" s="164"/>
      <c r="N569" s="142"/>
      <c r="O569" s="61"/>
      <c r="P569" s="168"/>
      <c r="Q5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69" s="36"/>
      <c r="S569" s="90"/>
    </row>
    <row r="570" spans="1:19" ht="36" hidden="1" customHeight="1">
      <c r="A570" s="9"/>
      <c r="B570" s="13" t="e">
        <f>VLOOKUP(Table2[[#This Row],[Location 
(drop-down)]],'List source'!D$2:E$71,2,FALSE)</f>
        <v>#N/A</v>
      </c>
      <c r="C570" s="11" t="s">
        <v>687</v>
      </c>
      <c r="D570" s="183" t="e">
        <f t="shared" si="8"/>
        <v>#N/A</v>
      </c>
      <c r="E570" s="188"/>
      <c r="F570" s="188"/>
      <c r="G570" s="9"/>
      <c r="H570" s="10"/>
      <c r="I570" s="19"/>
      <c r="J570" s="142"/>
      <c r="K570" s="142"/>
      <c r="L570" s="61"/>
      <c r="M570" s="164"/>
      <c r="N570" s="142"/>
      <c r="O570" s="61"/>
      <c r="P570" s="168"/>
      <c r="Q5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0" s="36"/>
      <c r="S570" s="90"/>
    </row>
    <row r="571" spans="1:19" ht="36" hidden="1" customHeight="1">
      <c r="A571" s="9"/>
      <c r="B571" s="13" t="e">
        <f>VLOOKUP(Table2[[#This Row],[Location 
(drop-down)]],'List source'!D$2:E$71,2,FALSE)</f>
        <v>#N/A</v>
      </c>
      <c r="C571" s="11" t="s">
        <v>688</v>
      </c>
      <c r="D571" s="183" t="e">
        <f t="shared" si="8"/>
        <v>#N/A</v>
      </c>
      <c r="E571" s="188"/>
      <c r="F571" s="188"/>
      <c r="G571" s="9"/>
      <c r="H571" s="10"/>
      <c r="I571" s="19"/>
      <c r="J571" s="142"/>
      <c r="K571" s="142"/>
      <c r="L571" s="61"/>
      <c r="M571" s="164"/>
      <c r="N571" s="142"/>
      <c r="O571" s="61"/>
      <c r="P571" s="168"/>
      <c r="Q5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1" s="36"/>
      <c r="S571" s="90"/>
    </row>
    <row r="572" spans="1:19" ht="36" hidden="1" customHeight="1">
      <c r="A572" s="9"/>
      <c r="B572" s="13" t="e">
        <f>VLOOKUP(Table2[[#This Row],[Location 
(drop-down)]],'List source'!D$2:E$71,2,FALSE)</f>
        <v>#N/A</v>
      </c>
      <c r="C572" s="11" t="s">
        <v>689</v>
      </c>
      <c r="D572" s="183" t="e">
        <f t="shared" si="8"/>
        <v>#N/A</v>
      </c>
      <c r="E572" s="188"/>
      <c r="F572" s="188"/>
      <c r="G572" s="9"/>
      <c r="H572" s="10"/>
      <c r="I572" s="19"/>
      <c r="J572" s="142"/>
      <c r="K572" s="142"/>
      <c r="L572" s="61"/>
      <c r="M572" s="164"/>
      <c r="N572" s="142"/>
      <c r="O572" s="61"/>
      <c r="P572" s="168"/>
      <c r="Q5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2" s="36"/>
      <c r="S572" s="90"/>
    </row>
    <row r="573" spans="1:19" ht="36" hidden="1" customHeight="1">
      <c r="A573" s="9"/>
      <c r="B573" s="13" t="e">
        <f>VLOOKUP(Table2[[#This Row],[Location 
(drop-down)]],'List source'!D$2:E$71,2,FALSE)</f>
        <v>#N/A</v>
      </c>
      <c r="C573" s="11" t="s">
        <v>690</v>
      </c>
      <c r="D573" s="183" t="e">
        <f t="shared" si="8"/>
        <v>#N/A</v>
      </c>
      <c r="E573" s="188"/>
      <c r="F573" s="188"/>
      <c r="G573" s="9"/>
      <c r="H573" s="10"/>
      <c r="I573" s="19"/>
      <c r="J573" s="142"/>
      <c r="K573" s="142"/>
      <c r="L573" s="61"/>
      <c r="M573" s="164"/>
      <c r="N573" s="142"/>
      <c r="O573" s="61"/>
      <c r="P573" s="168"/>
      <c r="Q5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3" s="36"/>
      <c r="S573" s="90"/>
    </row>
    <row r="574" spans="1:19" ht="36" hidden="1" customHeight="1">
      <c r="A574" s="9"/>
      <c r="B574" s="13" t="e">
        <f>VLOOKUP(Table2[[#This Row],[Location 
(drop-down)]],'List source'!D$2:E$71,2,FALSE)</f>
        <v>#N/A</v>
      </c>
      <c r="C574" s="11" t="s">
        <v>691</v>
      </c>
      <c r="D574" s="183" t="e">
        <f t="shared" si="8"/>
        <v>#N/A</v>
      </c>
      <c r="E574" s="188"/>
      <c r="F574" s="188"/>
      <c r="G574" s="9"/>
      <c r="H574" s="10"/>
      <c r="I574" s="19"/>
      <c r="J574" s="142"/>
      <c r="K574" s="142"/>
      <c r="L574" s="61"/>
      <c r="M574" s="164"/>
      <c r="N574" s="142"/>
      <c r="O574" s="61"/>
      <c r="P574" s="168"/>
      <c r="Q5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4" s="36"/>
      <c r="S574" s="90"/>
    </row>
    <row r="575" spans="1:19" ht="36" hidden="1" customHeight="1">
      <c r="A575" s="9"/>
      <c r="B575" s="13" t="e">
        <f>VLOOKUP(Table2[[#This Row],[Location 
(drop-down)]],'List source'!D$2:E$71,2,FALSE)</f>
        <v>#N/A</v>
      </c>
      <c r="C575" s="11" t="s">
        <v>692</v>
      </c>
      <c r="D575" s="183" t="e">
        <f t="shared" si="8"/>
        <v>#N/A</v>
      </c>
      <c r="E575" s="188"/>
      <c r="F575" s="188"/>
      <c r="G575" s="9"/>
      <c r="H575" s="10"/>
      <c r="I575" s="19"/>
      <c r="J575" s="142"/>
      <c r="K575" s="142"/>
      <c r="L575" s="61"/>
      <c r="M575" s="164"/>
      <c r="N575" s="142"/>
      <c r="O575" s="61"/>
      <c r="P575" s="168"/>
      <c r="Q5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5" s="36"/>
      <c r="S575" s="90"/>
    </row>
    <row r="576" spans="1:19" ht="36" hidden="1" customHeight="1">
      <c r="A576" s="9"/>
      <c r="B576" s="13" t="e">
        <f>VLOOKUP(Table2[[#This Row],[Location 
(drop-down)]],'List source'!D$2:E$71,2,FALSE)</f>
        <v>#N/A</v>
      </c>
      <c r="C576" s="11" t="s">
        <v>693</v>
      </c>
      <c r="D576" s="183" t="e">
        <f t="shared" si="8"/>
        <v>#N/A</v>
      </c>
      <c r="E576" s="188"/>
      <c r="F576" s="188"/>
      <c r="G576" s="9"/>
      <c r="H576" s="10"/>
      <c r="I576" s="19"/>
      <c r="J576" s="142"/>
      <c r="K576" s="142"/>
      <c r="L576" s="61"/>
      <c r="M576" s="164"/>
      <c r="N576" s="142"/>
      <c r="O576" s="61"/>
      <c r="P576" s="168"/>
      <c r="Q5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6" s="36"/>
      <c r="S576" s="90"/>
    </row>
    <row r="577" spans="1:19" ht="36" hidden="1" customHeight="1">
      <c r="A577" s="9"/>
      <c r="B577" s="13" t="e">
        <f>VLOOKUP(Table2[[#This Row],[Location 
(drop-down)]],'List source'!D$2:E$71,2,FALSE)</f>
        <v>#N/A</v>
      </c>
      <c r="C577" s="11" t="s">
        <v>694</v>
      </c>
      <c r="D577" s="183" t="e">
        <f t="shared" si="8"/>
        <v>#N/A</v>
      </c>
      <c r="E577" s="188"/>
      <c r="F577" s="188"/>
      <c r="G577" s="9"/>
      <c r="H577" s="10"/>
      <c r="I577" s="19"/>
      <c r="J577" s="142"/>
      <c r="K577" s="142"/>
      <c r="L577" s="61"/>
      <c r="M577" s="164"/>
      <c r="N577" s="142"/>
      <c r="O577" s="61"/>
      <c r="P577" s="168"/>
      <c r="Q5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7" s="36"/>
      <c r="S577" s="90"/>
    </row>
    <row r="578" spans="1:19" ht="36" hidden="1" customHeight="1">
      <c r="A578" s="9"/>
      <c r="B578" s="13" t="e">
        <f>VLOOKUP(Table2[[#This Row],[Location 
(drop-down)]],'List source'!D$2:E$71,2,FALSE)</f>
        <v>#N/A</v>
      </c>
      <c r="C578" s="11" t="s">
        <v>695</v>
      </c>
      <c r="D578" s="183" t="e">
        <f t="shared" ref="D578:D641" si="9">"C" &amp; C578 &amp;"-" &amp; B578 &amp; "-" &amp; "26"</f>
        <v>#N/A</v>
      </c>
      <c r="E578" s="188"/>
      <c r="F578" s="188"/>
      <c r="G578" s="9"/>
      <c r="H578" s="10"/>
      <c r="I578" s="19"/>
      <c r="J578" s="142"/>
      <c r="K578" s="142"/>
      <c r="L578" s="61"/>
      <c r="M578" s="164"/>
      <c r="N578" s="142"/>
      <c r="O578" s="61"/>
      <c r="P578" s="168"/>
      <c r="Q5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8" s="36"/>
      <c r="S578" s="90"/>
    </row>
    <row r="579" spans="1:19" ht="36" hidden="1" customHeight="1">
      <c r="A579" s="9"/>
      <c r="B579" s="13" t="e">
        <f>VLOOKUP(Table2[[#This Row],[Location 
(drop-down)]],'List source'!D$2:E$71,2,FALSE)</f>
        <v>#N/A</v>
      </c>
      <c r="C579" s="11" t="s">
        <v>696</v>
      </c>
      <c r="D579" s="183" t="e">
        <f t="shared" si="9"/>
        <v>#N/A</v>
      </c>
      <c r="E579" s="188"/>
      <c r="F579" s="188"/>
      <c r="G579" s="9"/>
      <c r="H579" s="10"/>
      <c r="I579" s="19"/>
      <c r="J579" s="142"/>
      <c r="K579" s="142"/>
      <c r="L579" s="61"/>
      <c r="M579" s="164"/>
      <c r="N579" s="142"/>
      <c r="O579" s="61"/>
      <c r="P579" s="168"/>
      <c r="Q5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79" s="36"/>
      <c r="S579" s="90"/>
    </row>
    <row r="580" spans="1:19" ht="36" hidden="1" customHeight="1">
      <c r="A580" s="9"/>
      <c r="B580" s="13" t="e">
        <f>VLOOKUP(Table2[[#This Row],[Location 
(drop-down)]],'List source'!D$2:E$71,2,FALSE)</f>
        <v>#N/A</v>
      </c>
      <c r="C580" s="11" t="s">
        <v>697</v>
      </c>
      <c r="D580" s="183" t="e">
        <f t="shared" si="9"/>
        <v>#N/A</v>
      </c>
      <c r="E580" s="188"/>
      <c r="F580" s="188"/>
      <c r="G580" s="9"/>
      <c r="H580" s="10"/>
      <c r="I580" s="19"/>
      <c r="J580" s="142"/>
      <c r="K580" s="142"/>
      <c r="L580" s="61"/>
      <c r="M580" s="164"/>
      <c r="N580" s="142"/>
      <c r="O580" s="61"/>
      <c r="P580" s="168"/>
      <c r="Q5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0" s="36"/>
      <c r="S580" s="90"/>
    </row>
    <row r="581" spans="1:19" ht="36" hidden="1" customHeight="1">
      <c r="A581" s="9"/>
      <c r="B581" s="13" t="e">
        <f>VLOOKUP(Table2[[#This Row],[Location 
(drop-down)]],'List source'!D$2:E$71,2,FALSE)</f>
        <v>#N/A</v>
      </c>
      <c r="C581" s="11" t="s">
        <v>698</v>
      </c>
      <c r="D581" s="183" t="e">
        <f t="shared" si="9"/>
        <v>#N/A</v>
      </c>
      <c r="E581" s="188"/>
      <c r="F581" s="188"/>
      <c r="G581" s="9"/>
      <c r="H581" s="10"/>
      <c r="I581" s="19"/>
      <c r="J581" s="142"/>
      <c r="K581" s="142"/>
      <c r="L581" s="61"/>
      <c r="M581" s="164"/>
      <c r="N581" s="142"/>
      <c r="O581" s="61"/>
      <c r="P581" s="168"/>
      <c r="Q5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1" s="36"/>
      <c r="S581" s="90"/>
    </row>
    <row r="582" spans="1:19" ht="36" hidden="1" customHeight="1">
      <c r="A582" s="9"/>
      <c r="B582" s="13" t="e">
        <f>VLOOKUP(Table2[[#This Row],[Location 
(drop-down)]],'List source'!D$2:E$71,2,FALSE)</f>
        <v>#N/A</v>
      </c>
      <c r="C582" s="11" t="s">
        <v>699</v>
      </c>
      <c r="D582" s="183" t="e">
        <f t="shared" si="9"/>
        <v>#N/A</v>
      </c>
      <c r="E582" s="188"/>
      <c r="F582" s="188"/>
      <c r="G582" s="9"/>
      <c r="H582" s="10"/>
      <c r="I582" s="19"/>
      <c r="J582" s="142"/>
      <c r="K582" s="142"/>
      <c r="L582" s="61"/>
      <c r="M582" s="164"/>
      <c r="N582" s="142"/>
      <c r="O582" s="61"/>
      <c r="P582" s="168"/>
      <c r="Q5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2" s="36"/>
      <c r="S582" s="90"/>
    </row>
    <row r="583" spans="1:19" ht="36" hidden="1" customHeight="1">
      <c r="A583" s="9"/>
      <c r="B583" s="13" t="e">
        <f>VLOOKUP(Table2[[#This Row],[Location 
(drop-down)]],'List source'!D$2:E$71,2,FALSE)</f>
        <v>#N/A</v>
      </c>
      <c r="C583" s="11" t="s">
        <v>700</v>
      </c>
      <c r="D583" s="183" t="e">
        <f t="shared" si="9"/>
        <v>#N/A</v>
      </c>
      <c r="E583" s="188"/>
      <c r="F583" s="188"/>
      <c r="G583" s="9"/>
      <c r="H583" s="10"/>
      <c r="I583" s="19"/>
      <c r="J583" s="142"/>
      <c r="K583" s="142"/>
      <c r="L583" s="61"/>
      <c r="M583" s="164"/>
      <c r="N583" s="142"/>
      <c r="O583" s="61"/>
      <c r="P583" s="168"/>
      <c r="Q5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3" s="36"/>
      <c r="S583" s="90"/>
    </row>
    <row r="584" spans="1:19" ht="36" hidden="1" customHeight="1">
      <c r="A584" s="9"/>
      <c r="B584" s="13" t="e">
        <f>VLOOKUP(Table2[[#This Row],[Location 
(drop-down)]],'List source'!D$2:E$71,2,FALSE)</f>
        <v>#N/A</v>
      </c>
      <c r="C584" s="11" t="s">
        <v>701</v>
      </c>
      <c r="D584" s="183" t="e">
        <f t="shared" si="9"/>
        <v>#N/A</v>
      </c>
      <c r="E584" s="188"/>
      <c r="F584" s="188"/>
      <c r="G584" s="9"/>
      <c r="H584" s="10"/>
      <c r="I584" s="19"/>
      <c r="J584" s="142"/>
      <c r="K584" s="142"/>
      <c r="L584" s="61"/>
      <c r="M584" s="164"/>
      <c r="N584" s="142"/>
      <c r="O584" s="61"/>
      <c r="P584" s="168"/>
      <c r="Q5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4" s="36"/>
      <c r="S584" s="90"/>
    </row>
    <row r="585" spans="1:19" ht="36" hidden="1" customHeight="1">
      <c r="A585" s="9"/>
      <c r="B585" s="13" t="e">
        <f>VLOOKUP(Table2[[#This Row],[Location 
(drop-down)]],'List source'!D$2:E$71,2,FALSE)</f>
        <v>#N/A</v>
      </c>
      <c r="C585" s="11" t="s">
        <v>702</v>
      </c>
      <c r="D585" s="183" t="e">
        <f t="shared" si="9"/>
        <v>#N/A</v>
      </c>
      <c r="E585" s="13"/>
      <c r="F585" s="13"/>
      <c r="G585" s="9"/>
      <c r="H585" s="10"/>
      <c r="I585" s="19"/>
      <c r="J585" s="142"/>
      <c r="K585" s="142"/>
      <c r="L585" s="61"/>
      <c r="M585" s="164"/>
      <c r="N585" s="142"/>
      <c r="O585" s="61"/>
      <c r="P585" s="168"/>
      <c r="Q5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5" s="36"/>
      <c r="S585" s="90"/>
    </row>
    <row r="586" spans="1:19" ht="36" hidden="1" customHeight="1">
      <c r="A586" s="9"/>
      <c r="B586" s="13" t="e">
        <f>VLOOKUP(Table2[[#This Row],[Location 
(drop-down)]],'List source'!D$2:E$71,2,FALSE)</f>
        <v>#N/A</v>
      </c>
      <c r="C586" s="11" t="s">
        <v>703</v>
      </c>
      <c r="D586" s="183" t="e">
        <f t="shared" si="9"/>
        <v>#N/A</v>
      </c>
      <c r="E586" s="13"/>
      <c r="F586" s="13"/>
      <c r="G586" s="9"/>
      <c r="H586" s="10"/>
      <c r="I586" s="19"/>
      <c r="J586" s="142"/>
      <c r="K586" s="142"/>
      <c r="L586" s="61"/>
      <c r="M586" s="164"/>
      <c r="N586" s="142"/>
      <c r="O586" s="61"/>
      <c r="P586" s="168"/>
      <c r="Q5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6" s="36"/>
      <c r="S586" s="90"/>
    </row>
    <row r="587" spans="1:19" ht="36" hidden="1" customHeight="1">
      <c r="A587" s="9"/>
      <c r="B587" s="13" t="e">
        <f>VLOOKUP(Table2[[#This Row],[Location 
(drop-down)]],'List source'!D$2:E$71,2,FALSE)</f>
        <v>#N/A</v>
      </c>
      <c r="C587" s="11" t="s">
        <v>704</v>
      </c>
      <c r="D587" s="183" t="e">
        <f t="shared" si="9"/>
        <v>#N/A</v>
      </c>
      <c r="E587" s="13"/>
      <c r="F587" s="13"/>
      <c r="G587" s="9"/>
      <c r="H587" s="10"/>
      <c r="I587" s="19"/>
      <c r="J587" s="142"/>
      <c r="K587" s="142"/>
      <c r="L587" s="61"/>
      <c r="M587" s="164"/>
      <c r="N587" s="142"/>
      <c r="O587" s="61"/>
      <c r="P587" s="168"/>
      <c r="Q5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7" s="36"/>
      <c r="S587" s="90"/>
    </row>
    <row r="588" spans="1:19" ht="36" hidden="1" customHeight="1">
      <c r="A588" s="9"/>
      <c r="B588" s="13" t="e">
        <f>VLOOKUP(Table2[[#This Row],[Location 
(drop-down)]],'List source'!D$2:E$71,2,FALSE)</f>
        <v>#N/A</v>
      </c>
      <c r="C588" s="11" t="s">
        <v>705</v>
      </c>
      <c r="D588" s="183" t="e">
        <f t="shared" si="9"/>
        <v>#N/A</v>
      </c>
      <c r="E588" s="13"/>
      <c r="F588" s="13"/>
      <c r="G588" s="9"/>
      <c r="H588" s="10"/>
      <c r="I588" s="19"/>
      <c r="J588" s="142"/>
      <c r="K588" s="142"/>
      <c r="L588" s="61"/>
      <c r="M588" s="164"/>
      <c r="N588" s="142"/>
      <c r="O588" s="61"/>
      <c r="P588" s="168"/>
      <c r="Q5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8" s="36"/>
      <c r="S588" s="90"/>
    </row>
    <row r="589" spans="1:19" ht="36" hidden="1" customHeight="1">
      <c r="A589" s="9"/>
      <c r="B589" s="13" t="e">
        <f>VLOOKUP(Table2[[#This Row],[Location 
(drop-down)]],'List source'!D$2:E$71,2,FALSE)</f>
        <v>#N/A</v>
      </c>
      <c r="C589" s="11" t="s">
        <v>706</v>
      </c>
      <c r="D589" s="183" t="e">
        <f t="shared" si="9"/>
        <v>#N/A</v>
      </c>
      <c r="E589" s="13"/>
      <c r="F589" s="13"/>
      <c r="G589" s="9"/>
      <c r="H589" s="10"/>
      <c r="I589" s="19"/>
      <c r="J589" s="142"/>
      <c r="K589" s="142"/>
      <c r="L589" s="61"/>
      <c r="M589" s="164"/>
      <c r="N589" s="142"/>
      <c r="O589" s="61"/>
      <c r="P589" s="168"/>
      <c r="Q5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89" s="36"/>
      <c r="S589" s="90"/>
    </row>
    <row r="590" spans="1:19" ht="36" hidden="1" customHeight="1">
      <c r="A590" s="9"/>
      <c r="B590" s="13" t="e">
        <f>VLOOKUP(Table2[[#This Row],[Location 
(drop-down)]],'List source'!D$2:E$71,2,FALSE)</f>
        <v>#N/A</v>
      </c>
      <c r="C590" s="11" t="s">
        <v>707</v>
      </c>
      <c r="D590" s="183" t="e">
        <f t="shared" si="9"/>
        <v>#N/A</v>
      </c>
      <c r="E590" s="13"/>
      <c r="F590" s="13"/>
      <c r="G590" s="9"/>
      <c r="H590" s="10"/>
      <c r="I590" s="19"/>
      <c r="J590" s="142"/>
      <c r="K590" s="142"/>
      <c r="L590" s="61"/>
      <c r="M590" s="164"/>
      <c r="N590" s="142"/>
      <c r="O590" s="61"/>
      <c r="P590" s="168"/>
      <c r="Q5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0" s="36"/>
      <c r="S590" s="90"/>
    </row>
    <row r="591" spans="1:19" ht="36" hidden="1" customHeight="1">
      <c r="A591" s="9"/>
      <c r="B591" s="13" t="e">
        <f>VLOOKUP(Table2[[#This Row],[Location 
(drop-down)]],'List source'!D$2:E$71,2,FALSE)</f>
        <v>#N/A</v>
      </c>
      <c r="C591" s="11" t="s">
        <v>708</v>
      </c>
      <c r="D591" s="183" t="e">
        <f t="shared" si="9"/>
        <v>#N/A</v>
      </c>
      <c r="E591" s="13"/>
      <c r="F591" s="13"/>
      <c r="G591" s="9"/>
      <c r="H591" s="10"/>
      <c r="I591" s="19"/>
      <c r="J591" s="142"/>
      <c r="K591" s="142"/>
      <c r="L591" s="61"/>
      <c r="M591" s="164"/>
      <c r="N591" s="142"/>
      <c r="O591" s="61"/>
      <c r="P591" s="168"/>
      <c r="Q5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1" s="36"/>
      <c r="S591" s="90"/>
    </row>
    <row r="592" spans="1:19" ht="36" hidden="1" customHeight="1">
      <c r="A592" s="9"/>
      <c r="B592" s="13" t="e">
        <f>VLOOKUP(Table2[[#This Row],[Location 
(drop-down)]],'List source'!D$2:E$71,2,FALSE)</f>
        <v>#N/A</v>
      </c>
      <c r="C592" s="11" t="s">
        <v>709</v>
      </c>
      <c r="D592" s="183" t="e">
        <f t="shared" si="9"/>
        <v>#N/A</v>
      </c>
      <c r="E592" s="13"/>
      <c r="F592" s="13"/>
      <c r="G592" s="9"/>
      <c r="H592" s="10"/>
      <c r="I592" s="19"/>
      <c r="J592" s="142"/>
      <c r="K592" s="142"/>
      <c r="L592" s="61"/>
      <c r="M592" s="164"/>
      <c r="N592" s="142"/>
      <c r="O592" s="61"/>
      <c r="P592" s="168"/>
      <c r="Q5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2" s="36"/>
      <c r="S592" s="90"/>
    </row>
    <row r="593" spans="1:19" ht="36" hidden="1" customHeight="1">
      <c r="A593" s="9"/>
      <c r="B593" s="13" t="e">
        <f>VLOOKUP(Table2[[#This Row],[Location 
(drop-down)]],'List source'!D$2:E$71,2,FALSE)</f>
        <v>#N/A</v>
      </c>
      <c r="C593" s="11" t="s">
        <v>710</v>
      </c>
      <c r="D593" s="183" t="e">
        <f t="shared" si="9"/>
        <v>#N/A</v>
      </c>
      <c r="E593" s="13"/>
      <c r="F593" s="13"/>
      <c r="G593" s="101"/>
      <c r="H593" s="10"/>
      <c r="I593" s="19"/>
      <c r="J593" s="142"/>
      <c r="K593" s="142"/>
      <c r="L593" s="61"/>
      <c r="M593" s="164"/>
      <c r="N593" s="142"/>
      <c r="O593" s="61"/>
      <c r="P593" s="168"/>
      <c r="Q5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3" s="36"/>
      <c r="S593" s="90"/>
    </row>
    <row r="594" spans="1:19" ht="36" hidden="1" customHeight="1">
      <c r="A594" s="9"/>
      <c r="B594" s="13" t="e">
        <f>VLOOKUP(Table2[[#This Row],[Location 
(drop-down)]],'List source'!D$2:E$71,2,FALSE)</f>
        <v>#N/A</v>
      </c>
      <c r="C594" s="11" t="s">
        <v>711</v>
      </c>
      <c r="D594" s="183" t="e">
        <f t="shared" si="9"/>
        <v>#N/A</v>
      </c>
      <c r="E594" s="13"/>
      <c r="F594" s="13"/>
      <c r="G594" s="9"/>
      <c r="H594" s="10"/>
      <c r="I594" s="19"/>
      <c r="J594" s="142"/>
      <c r="K594" s="142"/>
      <c r="L594" s="61"/>
      <c r="M594" s="164"/>
      <c r="N594" s="142"/>
      <c r="O594" s="61"/>
      <c r="P594" s="168"/>
      <c r="Q5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4" s="36"/>
      <c r="S594" s="90"/>
    </row>
    <row r="595" spans="1:19" ht="36" hidden="1" customHeight="1">
      <c r="A595" s="9"/>
      <c r="B595" s="13" t="e">
        <f>VLOOKUP(Table2[[#This Row],[Location 
(drop-down)]],'List source'!D$2:E$71,2,FALSE)</f>
        <v>#N/A</v>
      </c>
      <c r="C595" s="11" t="s">
        <v>712</v>
      </c>
      <c r="D595" s="183" t="e">
        <f t="shared" si="9"/>
        <v>#N/A</v>
      </c>
      <c r="E595" s="13"/>
      <c r="F595" s="13"/>
      <c r="G595" s="9"/>
      <c r="H595" s="10"/>
      <c r="I595" s="19"/>
      <c r="J595" s="142"/>
      <c r="K595" s="142"/>
      <c r="L595" s="61"/>
      <c r="M595" s="164"/>
      <c r="N595" s="142"/>
      <c r="O595" s="61"/>
      <c r="P595" s="168"/>
      <c r="Q5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5" s="36"/>
      <c r="S595" s="90"/>
    </row>
    <row r="596" spans="1:19" ht="36" hidden="1" customHeight="1">
      <c r="A596" s="9"/>
      <c r="B596" s="13" t="e">
        <f>VLOOKUP(Table2[[#This Row],[Location 
(drop-down)]],'List source'!D$2:E$71,2,FALSE)</f>
        <v>#N/A</v>
      </c>
      <c r="C596" s="11" t="s">
        <v>713</v>
      </c>
      <c r="D596" s="183" t="e">
        <f t="shared" si="9"/>
        <v>#N/A</v>
      </c>
      <c r="E596" s="13"/>
      <c r="F596" s="13"/>
      <c r="G596" s="9"/>
      <c r="H596" s="10"/>
      <c r="I596" s="19"/>
      <c r="J596" s="142"/>
      <c r="K596" s="142"/>
      <c r="L596" s="61"/>
      <c r="M596" s="164"/>
      <c r="N596" s="142"/>
      <c r="O596" s="61"/>
      <c r="P596" s="168"/>
      <c r="Q5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6" s="36"/>
      <c r="S596" s="90"/>
    </row>
    <row r="597" spans="1:19" ht="36" hidden="1" customHeight="1">
      <c r="A597" s="9"/>
      <c r="B597" s="13" t="e">
        <f>VLOOKUP(Table2[[#This Row],[Location 
(drop-down)]],'List source'!D$2:E$71,2,FALSE)</f>
        <v>#N/A</v>
      </c>
      <c r="C597" s="11" t="s">
        <v>714</v>
      </c>
      <c r="D597" s="183" t="e">
        <f t="shared" si="9"/>
        <v>#N/A</v>
      </c>
      <c r="E597" s="13"/>
      <c r="F597" s="13"/>
      <c r="G597" s="9"/>
      <c r="H597" s="10"/>
      <c r="I597" s="19"/>
      <c r="J597" s="142"/>
      <c r="K597" s="142"/>
      <c r="L597" s="61"/>
      <c r="M597" s="164"/>
      <c r="N597" s="142"/>
      <c r="O597" s="61"/>
      <c r="P597" s="168"/>
      <c r="Q5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7" s="36"/>
      <c r="S597" s="90"/>
    </row>
    <row r="598" spans="1:19" ht="36" hidden="1" customHeight="1">
      <c r="A598" s="9"/>
      <c r="B598" s="13" t="e">
        <f>VLOOKUP(Table2[[#This Row],[Location 
(drop-down)]],'List source'!D$2:E$71,2,FALSE)</f>
        <v>#N/A</v>
      </c>
      <c r="C598" s="11" t="s">
        <v>715</v>
      </c>
      <c r="D598" s="183" t="e">
        <f t="shared" si="9"/>
        <v>#N/A</v>
      </c>
      <c r="E598" s="13"/>
      <c r="F598" s="13"/>
      <c r="G598" s="9"/>
      <c r="H598" s="10"/>
      <c r="I598" s="19"/>
      <c r="J598" s="142"/>
      <c r="K598" s="142"/>
      <c r="L598" s="61"/>
      <c r="M598" s="164"/>
      <c r="N598" s="142"/>
      <c r="O598" s="61"/>
      <c r="P598" s="168"/>
      <c r="Q5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8" s="36"/>
      <c r="S598" s="90"/>
    </row>
    <row r="599" spans="1:19" ht="36" hidden="1" customHeight="1">
      <c r="A599" s="9"/>
      <c r="B599" s="13" t="e">
        <f>VLOOKUP(Table2[[#This Row],[Location 
(drop-down)]],'List source'!D$2:E$71,2,FALSE)</f>
        <v>#N/A</v>
      </c>
      <c r="C599" s="11" t="s">
        <v>716</v>
      </c>
      <c r="D599" s="183" t="e">
        <f t="shared" si="9"/>
        <v>#N/A</v>
      </c>
      <c r="E599" s="13"/>
      <c r="F599" s="13"/>
      <c r="G599" s="9"/>
      <c r="H599" s="10"/>
      <c r="I599" s="19"/>
      <c r="J599" s="142"/>
      <c r="K599" s="142"/>
      <c r="L599" s="61"/>
      <c r="M599" s="164"/>
      <c r="N599" s="142"/>
      <c r="O599" s="61"/>
      <c r="P599" s="168"/>
      <c r="Q5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599" s="36"/>
      <c r="S599" s="90"/>
    </row>
    <row r="600" spans="1:19" ht="36" hidden="1" customHeight="1">
      <c r="A600" s="9"/>
      <c r="B600" s="13" t="e">
        <f>VLOOKUP(Table2[[#This Row],[Location 
(drop-down)]],'List source'!D$2:E$71,2,FALSE)</f>
        <v>#N/A</v>
      </c>
      <c r="C600" s="11" t="s">
        <v>717</v>
      </c>
      <c r="D600" s="183" t="e">
        <f t="shared" si="9"/>
        <v>#N/A</v>
      </c>
      <c r="E600" s="13"/>
      <c r="F600" s="13"/>
      <c r="G600" s="9"/>
      <c r="H600" s="10"/>
      <c r="I600" s="19"/>
      <c r="J600" s="142"/>
      <c r="K600" s="142"/>
      <c r="L600" s="61"/>
      <c r="M600" s="164"/>
      <c r="N600" s="142"/>
      <c r="O600" s="61"/>
      <c r="P600" s="168"/>
      <c r="Q6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0" s="36"/>
      <c r="S600" s="90"/>
    </row>
    <row r="601" spans="1:19" ht="36" hidden="1" customHeight="1">
      <c r="A601" s="9"/>
      <c r="B601" s="13" t="e">
        <f>VLOOKUP(Table2[[#This Row],[Location 
(drop-down)]],'List source'!D$2:E$71,2,FALSE)</f>
        <v>#N/A</v>
      </c>
      <c r="C601" s="11" t="s">
        <v>718</v>
      </c>
      <c r="D601" s="183" t="e">
        <f t="shared" si="9"/>
        <v>#N/A</v>
      </c>
      <c r="E601" s="13"/>
      <c r="F601" s="13"/>
      <c r="G601" s="9"/>
      <c r="H601" s="10"/>
      <c r="I601" s="19"/>
      <c r="J601" s="142"/>
      <c r="K601" s="142"/>
      <c r="L601" s="61"/>
      <c r="M601" s="164"/>
      <c r="N601" s="142"/>
      <c r="O601" s="61"/>
      <c r="P601" s="168"/>
      <c r="Q6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1" s="36"/>
      <c r="S601" s="90"/>
    </row>
    <row r="602" spans="1:19" ht="36" hidden="1" customHeight="1">
      <c r="A602" s="9"/>
      <c r="B602" s="13" t="e">
        <f>VLOOKUP(Table2[[#This Row],[Location 
(drop-down)]],'List source'!D$2:E$71,2,FALSE)</f>
        <v>#N/A</v>
      </c>
      <c r="C602" s="11" t="s">
        <v>719</v>
      </c>
      <c r="D602" s="183" t="e">
        <f t="shared" si="9"/>
        <v>#N/A</v>
      </c>
      <c r="E602" s="13"/>
      <c r="F602" s="13"/>
      <c r="G602" s="9"/>
      <c r="H602" s="10"/>
      <c r="I602" s="19"/>
      <c r="J602" s="142"/>
      <c r="K602" s="142"/>
      <c r="L602" s="61"/>
      <c r="M602" s="164"/>
      <c r="N602" s="142"/>
      <c r="O602" s="61"/>
      <c r="P602" s="168"/>
      <c r="Q6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2" s="36"/>
      <c r="S602" s="90"/>
    </row>
    <row r="603" spans="1:19" ht="36" hidden="1" customHeight="1">
      <c r="A603" s="9"/>
      <c r="B603" s="13" t="e">
        <f>VLOOKUP(Table2[[#This Row],[Location 
(drop-down)]],'List source'!D$2:E$71,2,FALSE)</f>
        <v>#N/A</v>
      </c>
      <c r="C603" s="11" t="s">
        <v>720</v>
      </c>
      <c r="D603" s="183" t="e">
        <f t="shared" si="9"/>
        <v>#N/A</v>
      </c>
      <c r="E603" s="13"/>
      <c r="F603" s="13"/>
      <c r="G603" s="9"/>
      <c r="H603" s="10"/>
      <c r="I603" s="19"/>
      <c r="J603" s="142"/>
      <c r="K603" s="142"/>
      <c r="L603" s="61"/>
      <c r="M603" s="164"/>
      <c r="N603" s="142"/>
      <c r="O603" s="61"/>
      <c r="P603" s="168"/>
      <c r="Q6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3" s="36"/>
      <c r="S603" s="90"/>
    </row>
    <row r="604" spans="1:19" ht="36" hidden="1" customHeight="1">
      <c r="A604" s="9"/>
      <c r="B604" s="13" t="e">
        <f>VLOOKUP(Table2[[#This Row],[Location 
(drop-down)]],'List source'!D$2:E$71,2,FALSE)</f>
        <v>#N/A</v>
      </c>
      <c r="C604" s="11" t="s">
        <v>721</v>
      </c>
      <c r="D604" s="183" t="e">
        <f t="shared" si="9"/>
        <v>#N/A</v>
      </c>
      <c r="E604" s="13"/>
      <c r="F604" s="13"/>
      <c r="G604" s="9"/>
      <c r="H604" s="10"/>
      <c r="I604" s="19"/>
      <c r="J604" s="142"/>
      <c r="K604" s="142"/>
      <c r="L604" s="61"/>
      <c r="M604" s="164"/>
      <c r="N604" s="142"/>
      <c r="O604" s="61"/>
      <c r="P604" s="168"/>
      <c r="Q6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4" s="36"/>
      <c r="S604" s="90"/>
    </row>
    <row r="605" spans="1:19" ht="36" hidden="1" customHeight="1">
      <c r="A605" s="9"/>
      <c r="B605" s="13" t="e">
        <f>VLOOKUP(Table2[[#This Row],[Location 
(drop-down)]],'List source'!D$2:E$71,2,FALSE)</f>
        <v>#N/A</v>
      </c>
      <c r="C605" s="11" t="s">
        <v>722</v>
      </c>
      <c r="D605" s="183" t="e">
        <f t="shared" si="9"/>
        <v>#N/A</v>
      </c>
      <c r="E605" s="13"/>
      <c r="F605" s="13"/>
      <c r="G605" s="9"/>
      <c r="H605" s="10"/>
      <c r="I605" s="19"/>
      <c r="J605" s="142"/>
      <c r="K605" s="142"/>
      <c r="L605" s="61"/>
      <c r="M605" s="164"/>
      <c r="N605" s="142"/>
      <c r="O605" s="61"/>
      <c r="P605" s="168"/>
      <c r="Q6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5" s="36"/>
      <c r="S605" s="90"/>
    </row>
    <row r="606" spans="1:19" ht="36" hidden="1" customHeight="1">
      <c r="A606" s="9"/>
      <c r="B606" s="13" t="e">
        <f>VLOOKUP(Table2[[#This Row],[Location 
(drop-down)]],'List source'!D$2:E$71,2,FALSE)</f>
        <v>#N/A</v>
      </c>
      <c r="C606" s="11" t="s">
        <v>723</v>
      </c>
      <c r="D606" s="183" t="e">
        <f t="shared" si="9"/>
        <v>#N/A</v>
      </c>
      <c r="E606" s="13"/>
      <c r="F606" s="13"/>
      <c r="G606" s="9"/>
      <c r="H606" s="10"/>
      <c r="I606" s="19"/>
      <c r="J606" s="142"/>
      <c r="K606" s="142"/>
      <c r="L606" s="61"/>
      <c r="M606" s="164"/>
      <c r="N606" s="142"/>
      <c r="O606" s="61"/>
      <c r="P606" s="168"/>
      <c r="Q6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6" s="36"/>
      <c r="S606" s="90"/>
    </row>
    <row r="607" spans="1:19" ht="36" hidden="1" customHeight="1">
      <c r="A607" s="9"/>
      <c r="B607" s="13" t="e">
        <f>VLOOKUP(Table2[[#This Row],[Location 
(drop-down)]],'List source'!D$2:E$71,2,FALSE)</f>
        <v>#N/A</v>
      </c>
      <c r="C607" s="11" t="s">
        <v>724</v>
      </c>
      <c r="D607" s="183" t="e">
        <f t="shared" si="9"/>
        <v>#N/A</v>
      </c>
      <c r="E607" s="13"/>
      <c r="F607" s="13"/>
      <c r="G607" s="9"/>
      <c r="H607" s="10"/>
      <c r="I607" s="19"/>
      <c r="J607" s="142"/>
      <c r="K607" s="142"/>
      <c r="L607" s="61"/>
      <c r="M607" s="164"/>
      <c r="N607" s="142"/>
      <c r="O607" s="61"/>
      <c r="P607" s="168"/>
      <c r="Q6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7" s="36"/>
      <c r="S607" s="90"/>
    </row>
    <row r="608" spans="1:19" ht="36" hidden="1" customHeight="1">
      <c r="A608" s="9"/>
      <c r="B608" s="13" t="e">
        <f>VLOOKUP(Table2[[#This Row],[Location 
(drop-down)]],'List source'!D$2:E$71,2,FALSE)</f>
        <v>#N/A</v>
      </c>
      <c r="C608" s="11" t="s">
        <v>725</v>
      </c>
      <c r="D608" s="183" t="e">
        <f t="shared" si="9"/>
        <v>#N/A</v>
      </c>
      <c r="E608" s="13"/>
      <c r="F608" s="13"/>
      <c r="G608" s="9"/>
      <c r="H608" s="10"/>
      <c r="I608" s="19"/>
      <c r="J608" s="142"/>
      <c r="K608" s="142"/>
      <c r="L608" s="61"/>
      <c r="M608" s="164"/>
      <c r="N608" s="142"/>
      <c r="O608" s="61"/>
      <c r="P608" s="168"/>
      <c r="Q6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8" s="36"/>
      <c r="S608" s="90"/>
    </row>
    <row r="609" spans="1:19" ht="36" hidden="1" customHeight="1">
      <c r="A609" s="9"/>
      <c r="B609" s="13" t="e">
        <f>VLOOKUP(Table2[[#This Row],[Location 
(drop-down)]],'List source'!D$2:E$71,2,FALSE)</f>
        <v>#N/A</v>
      </c>
      <c r="C609" s="11" t="s">
        <v>726</v>
      </c>
      <c r="D609" s="183" t="e">
        <f t="shared" si="9"/>
        <v>#N/A</v>
      </c>
      <c r="E609" s="13"/>
      <c r="F609" s="13"/>
      <c r="G609" s="9"/>
      <c r="H609" s="10"/>
      <c r="I609" s="19"/>
      <c r="J609" s="142"/>
      <c r="K609" s="142"/>
      <c r="L609" s="61"/>
      <c r="M609" s="164"/>
      <c r="N609" s="142"/>
      <c r="O609" s="61"/>
      <c r="P609" s="168"/>
      <c r="Q6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09" s="36"/>
      <c r="S609" s="90"/>
    </row>
    <row r="610" spans="1:19" ht="36" hidden="1" customHeight="1">
      <c r="A610" s="9"/>
      <c r="B610" s="13" t="e">
        <f>VLOOKUP(Table2[[#This Row],[Location 
(drop-down)]],'List source'!D$2:E$71,2,FALSE)</f>
        <v>#N/A</v>
      </c>
      <c r="C610" s="11" t="s">
        <v>727</v>
      </c>
      <c r="D610" s="183" t="e">
        <f t="shared" si="9"/>
        <v>#N/A</v>
      </c>
      <c r="E610" s="13"/>
      <c r="F610" s="13"/>
      <c r="G610" s="9"/>
      <c r="H610" s="10"/>
      <c r="I610" s="19"/>
      <c r="J610" s="142"/>
      <c r="K610" s="142"/>
      <c r="L610" s="61"/>
      <c r="M610" s="164"/>
      <c r="N610" s="142"/>
      <c r="O610" s="61"/>
      <c r="P610" s="168"/>
      <c r="Q6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0" s="36"/>
      <c r="S610" s="90"/>
    </row>
    <row r="611" spans="1:19" ht="36" hidden="1" customHeight="1">
      <c r="A611" s="9"/>
      <c r="B611" s="13" t="e">
        <f>VLOOKUP(Table2[[#This Row],[Location 
(drop-down)]],'List source'!D$2:E$71,2,FALSE)</f>
        <v>#N/A</v>
      </c>
      <c r="C611" s="11" t="s">
        <v>728</v>
      </c>
      <c r="D611" s="183" t="e">
        <f t="shared" si="9"/>
        <v>#N/A</v>
      </c>
      <c r="E611" s="13"/>
      <c r="F611" s="13"/>
      <c r="G611" s="9"/>
      <c r="H611" s="10"/>
      <c r="I611" s="19"/>
      <c r="J611" s="142"/>
      <c r="K611" s="142"/>
      <c r="L611" s="61"/>
      <c r="M611" s="164"/>
      <c r="N611" s="142"/>
      <c r="O611" s="61"/>
      <c r="P611" s="168"/>
      <c r="Q6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1" s="36"/>
      <c r="S611" s="90"/>
    </row>
    <row r="612" spans="1:19" ht="36" hidden="1" customHeight="1">
      <c r="A612" s="9"/>
      <c r="B612" s="13" t="e">
        <f>VLOOKUP(Table2[[#This Row],[Location 
(drop-down)]],'List source'!D$2:E$71,2,FALSE)</f>
        <v>#N/A</v>
      </c>
      <c r="C612" s="11" t="s">
        <v>729</v>
      </c>
      <c r="D612" s="183" t="e">
        <f t="shared" si="9"/>
        <v>#N/A</v>
      </c>
      <c r="E612" s="13"/>
      <c r="F612" s="13"/>
      <c r="G612" s="9"/>
      <c r="H612" s="10"/>
      <c r="I612" s="19"/>
      <c r="J612" s="142"/>
      <c r="K612" s="142"/>
      <c r="L612" s="61"/>
      <c r="M612" s="164"/>
      <c r="N612" s="142"/>
      <c r="O612" s="61"/>
      <c r="P612" s="168"/>
      <c r="Q6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2" s="36"/>
      <c r="S612" s="90"/>
    </row>
    <row r="613" spans="1:19" ht="36" hidden="1" customHeight="1">
      <c r="A613" s="9"/>
      <c r="B613" s="13" t="e">
        <f>VLOOKUP(Table2[[#This Row],[Location 
(drop-down)]],'List source'!D$2:E$71,2,FALSE)</f>
        <v>#N/A</v>
      </c>
      <c r="C613" s="11" t="s">
        <v>730</v>
      </c>
      <c r="D613" s="183" t="e">
        <f t="shared" si="9"/>
        <v>#N/A</v>
      </c>
      <c r="E613" s="13"/>
      <c r="F613" s="13"/>
      <c r="G613" s="9"/>
      <c r="H613" s="10"/>
      <c r="I613" s="19"/>
      <c r="J613" s="142"/>
      <c r="K613" s="142"/>
      <c r="L613" s="61"/>
      <c r="M613" s="164"/>
      <c r="N613" s="142"/>
      <c r="O613" s="61"/>
      <c r="P613" s="168"/>
      <c r="Q6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3" s="36"/>
      <c r="S613" s="90"/>
    </row>
    <row r="614" spans="1:19" ht="36" hidden="1" customHeight="1">
      <c r="A614" s="9"/>
      <c r="B614" s="13" t="e">
        <f>VLOOKUP(Table2[[#This Row],[Location 
(drop-down)]],'List source'!D$2:E$71,2,FALSE)</f>
        <v>#N/A</v>
      </c>
      <c r="C614" s="11" t="s">
        <v>731</v>
      </c>
      <c r="D614" s="183" t="e">
        <f t="shared" si="9"/>
        <v>#N/A</v>
      </c>
      <c r="E614" s="13"/>
      <c r="F614" s="13"/>
      <c r="G614" s="9"/>
      <c r="H614" s="10"/>
      <c r="I614" s="19"/>
      <c r="J614" s="142"/>
      <c r="K614" s="142"/>
      <c r="L614" s="61"/>
      <c r="M614" s="164"/>
      <c r="N614" s="142"/>
      <c r="O614" s="61"/>
      <c r="P614" s="168"/>
      <c r="Q6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4" s="36"/>
      <c r="S614" s="90"/>
    </row>
    <row r="615" spans="1:19" ht="36" hidden="1" customHeight="1">
      <c r="A615" s="9"/>
      <c r="B615" s="13" t="e">
        <f>VLOOKUP(Table2[[#This Row],[Location 
(drop-down)]],'List source'!D$2:E$71,2,FALSE)</f>
        <v>#N/A</v>
      </c>
      <c r="C615" s="11" t="s">
        <v>732</v>
      </c>
      <c r="D615" s="183" t="e">
        <f t="shared" si="9"/>
        <v>#N/A</v>
      </c>
      <c r="E615" s="13"/>
      <c r="F615" s="13"/>
      <c r="G615" s="9"/>
      <c r="H615" s="10"/>
      <c r="I615" s="19"/>
      <c r="J615" s="142"/>
      <c r="K615" s="142"/>
      <c r="L615" s="61"/>
      <c r="M615" s="164"/>
      <c r="N615" s="142"/>
      <c r="O615" s="61"/>
      <c r="P615" s="168"/>
      <c r="Q6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5" s="36"/>
      <c r="S615" s="90"/>
    </row>
    <row r="616" spans="1:19" ht="36" hidden="1" customHeight="1">
      <c r="A616" s="9"/>
      <c r="B616" s="13" t="e">
        <f>VLOOKUP(Table2[[#This Row],[Location 
(drop-down)]],'List source'!D$2:E$71,2,FALSE)</f>
        <v>#N/A</v>
      </c>
      <c r="C616" s="11" t="s">
        <v>733</v>
      </c>
      <c r="D616" s="183" t="e">
        <f t="shared" si="9"/>
        <v>#N/A</v>
      </c>
      <c r="E616" s="13"/>
      <c r="F616" s="13"/>
      <c r="G616" s="9"/>
      <c r="H616" s="10"/>
      <c r="I616" s="19"/>
      <c r="J616" s="142"/>
      <c r="K616" s="142"/>
      <c r="L616" s="61"/>
      <c r="M616" s="164"/>
      <c r="N616" s="142"/>
      <c r="O616" s="61"/>
      <c r="P616" s="168"/>
      <c r="Q6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6" s="36"/>
      <c r="S616" s="90"/>
    </row>
    <row r="617" spans="1:19" ht="36" hidden="1" customHeight="1">
      <c r="A617" s="9"/>
      <c r="B617" s="13" t="e">
        <f>VLOOKUP(Table2[[#This Row],[Location 
(drop-down)]],'List source'!D$2:E$71,2,FALSE)</f>
        <v>#N/A</v>
      </c>
      <c r="C617" s="11" t="s">
        <v>734</v>
      </c>
      <c r="D617" s="183" t="e">
        <f t="shared" si="9"/>
        <v>#N/A</v>
      </c>
      <c r="E617" s="13"/>
      <c r="F617" s="13"/>
      <c r="G617" s="9"/>
      <c r="H617" s="10"/>
      <c r="I617" s="19"/>
      <c r="J617" s="142"/>
      <c r="K617" s="142"/>
      <c r="L617" s="61"/>
      <c r="M617" s="164"/>
      <c r="N617" s="142"/>
      <c r="O617" s="61"/>
      <c r="P617" s="168"/>
      <c r="Q6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7" s="36"/>
      <c r="S617" s="90"/>
    </row>
    <row r="618" spans="1:19" ht="36" hidden="1" customHeight="1">
      <c r="A618" s="9"/>
      <c r="B618" s="13" t="e">
        <f>VLOOKUP(Table2[[#This Row],[Location 
(drop-down)]],'List source'!D$2:E$71,2,FALSE)</f>
        <v>#N/A</v>
      </c>
      <c r="C618" s="11" t="s">
        <v>735</v>
      </c>
      <c r="D618" s="183" t="e">
        <f t="shared" si="9"/>
        <v>#N/A</v>
      </c>
      <c r="E618" s="13"/>
      <c r="F618" s="13"/>
      <c r="G618" s="9"/>
      <c r="H618" s="10"/>
      <c r="I618" s="19"/>
      <c r="J618" s="142"/>
      <c r="K618" s="142"/>
      <c r="L618" s="61"/>
      <c r="M618" s="164"/>
      <c r="N618" s="142"/>
      <c r="O618" s="61"/>
      <c r="P618" s="168"/>
      <c r="Q6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8" s="36"/>
      <c r="S618" s="90"/>
    </row>
    <row r="619" spans="1:19" ht="36" hidden="1" customHeight="1">
      <c r="A619" s="9"/>
      <c r="B619" s="13" t="e">
        <f>VLOOKUP(Table2[[#This Row],[Location 
(drop-down)]],'List source'!D$2:E$71,2,FALSE)</f>
        <v>#N/A</v>
      </c>
      <c r="C619" s="11" t="s">
        <v>736</v>
      </c>
      <c r="D619" s="183" t="e">
        <f t="shared" si="9"/>
        <v>#N/A</v>
      </c>
      <c r="E619" s="13"/>
      <c r="F619" s="13"/>
      <c r="G619" s="9"/>
      <c r="H619" s="10"/>
      <c r="I619" s="19"/>
      <c r="J619" s="142"/>
      <c r="K619" s="142"/>
      <c r="L619" s="61"/>
      <c r="M619" s="164"/>
      <c r="N619" s="142"/>
      <c r="O619" s="61"/>
      <c r="P619" s="168"/>
      <c r="Q6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19" s="36"/>
      <c r="S619" s="90"/>
    </row>
    <row r="620" spans="1:19" ht="36" hidden="1" customHeight="1">
      <c r="A620" s="9"/>
      <c r="B620" s="13" t="e">
        <f>VLOOKUP(Table2[[#This Row],[Location 
(drop-down)]],'List source'!D$2:E$71,2,FALSE)</f>
        <v>#N/A</v>
      </c>
      <c r="C620" s="11" t="s">
        <v>737</v>
      </c>
      <c r="D620" s="183" t="e">
        <f t="shared" si="9"/>
        <v>#N/A</v>
      </c>
      <c r="E620" s="13"/>
      <c r="F620" s="13"/>
      <c r="G620" s="9"/>
      <c r="H620" s="10"/>
      <c r="I620" s="19"/>
      <c r="J620" s="142"/>
      <c r="K620" s="142"/>
      <c r="L620" s="61"/>
      <c r="M620" s="164"/>
      <c r="N620" s="142"/>
      <c r="O620" s="61"/>
      <c r="P620" s="168"/>
      <c r="Q6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0" s="36"/>
      <c r="S620" s="90"/>
    </row>
    <row r="621" spans="1:19" ht="36" hidden="1" customHeight="1">
      <c r="A621" s="9"/>
      <c r="B621" s="13" t="e">
        <f>VLOOKUP(Table2[[#This Row],[Location 
(drop-down)]],'List source'!D$2:E$71,2,FALSE)</f>
        <v>#N/A</v>
      </c>
      <c r="C621" s="11" t="s">
        <v>738</v>
      </c>
      <c r="D621" s="183" t="e">
        <f t="shared" si="9"/>
        <v>#N/A</v>
      </c>
      <c r="E621" s="13"/>
      <c r="F621" s="13"/>
      <c r="G621" s="9"/>
      <c r="H621" s="10"/>
      <c r="I621" s="19"/>
      <c r="J621" s="142"/>
      <c r="K621" s="142"/>
      <c r="L621" s="61"/>
      <c r="M621" s="164"/>
      <c r="N621" s="142"/>
      <c r="O621" s="61"/>
      <c r="P621" s="168"/>
      <c r="Q6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1" s="36"/>
      <c r="S621" s="90"/>
    </row>
    <row r="622" spans="1:19" ht="36" hidden="1" customHeight="1">
      <c r="A622" s="9"/>
      <c r="B622" s="13" t="e">
        <f>VLOOKUP(Table2[[#This Row],[Location 
(drop-down)]],'List source'!D$2:E$71,2,FALSE)</f>
        <v>#N/A</v>
      </c>
      <c r="C622" s="11" t="s">
        <v>739</v>
      </c>
      <c r="D622" s="183" t="e">
        <f t="shared" si="9"/>
        <v>#N/A</v>
      </c>
      <c r="E622" s="13"/>
      <c r="F622" s="13"/>
      <c r="G622" s="9"/>
      <c r="H622" s="10"/>
      <c r="I622" s="19"/>
      <c r="J622" s="142"/>
      <c r="K622" s="142"/>
      <c r="L622" s="61"/>
      <c r="M622" s="164"/>
      <c r="N622" s="142"/>
      <c r="O622" s="61"/>
      <c r="P622" s="168"/>
      <c r="Q6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2" s="36"/>
      <c r="S622" s="90"/>
    </row>
    <row r="623" spans="1:19" ht="36" hidden="1" customHeight="1">
      <c r="A623" s="9"/>
      <c r="B623" s="13" t="e">
        <f>VLOOKUP(Table2[[#This Row],[Location 
(drop-down)]],'List source'!D$2:E$71,2,FALSE)</f>
        <v>#N/A</v>
      </c>
      <c r="C623" s="11" t="s">
        <v>740</v>
      </c>
      <c r="D623" s="183" t="e">
        <f t="shared" si="9"/>
        <v>#N/A</v>
      </c>
      <c r="E623" s="13"/>
      <c r="F623" s="13"/>
      <c r="G623" s="9"/>
      <c r="H623" s="10"/>
      <c r="I623" s="19"/>
      <c r="J623" s="142"/>
      <c r="K623" s="142"/>
      <c r="L623" s="61"/>
      <c r="M623" s="164"/>
      <c r="N623" s="142"/>
      <c r="O623" s="61"/>
      <c r="P623" s="168"/>
      <c r="Q6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3" s="36"/>
      <c r="S623" s="90"/>
    </row>
    <row r="624" spans="1:19" ht="36" hidden="1" customHeight="1">
      <c r="A624" s="9"/>
      <c r="B624" s="13" t="e">
        <f>VLOOKUP(Table2[[#This Row],[Location 
(drop-down)]],'List source'!D$2:E$71,2,FALSE)</f>
        <v>#N/A</v>
      </c>
      <c r="C624" s="11" t="s">
        <v>741</v>
      </c>
      <c r="D624" s="183" t="e">
        <f t="shared" si="9"/>
        <v>#N/A</v>
      </c>
      <c r="E624" s="13"/>
      <c r="F624" s="13"/>
      <c r="G624" s="9"/>
      <c r="H624" s="10"/>
      <c r="I624" s="19"/>
      <c r="J624" s="142"/>
      <c r="K624" s="142"/>
      <c r="L624" s="142"/>
      <c r="M624" s="142"/>
      <c r="N624" s="142"/>
      <c r="O624" s="61"/>
      <c r="P624" s="168"/>
      <c r="Q6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4" s="36"/>
      <c r="S624" s="90"/>
    </row>
    <row r="625" spans="1:19" ht="36" hidden="1" customHeight="1">
      <c r="A625" s="9"/>
      <c r="B625" s="13" t="e">
        <f>VLOOKUP(Table2[[#This Row],[Location 
(drop-down)]],'List source'!D$2:E$71,2,FALSE)</f>
        <v>#N/A</v>
      </c>
      <c r="C625" s="11" t="s">
        <v>742</v>
      </c>
      <c r="D625" s="183" t="e">
        <f t="shared" si="9"/>
        <v>#N/A</v>
      </c>
      <c r="E625" s="13"/>
      <c r="F625" s="13"/>
      <c r="G625" s="9"/>
      <c r="H625" s="10"/>
      <c r="I625" s="19"/>
      <c r="J625" s="142"/>
      <c r="K625" s="142"/>
      <c r="L625" s="142"/>
      <c r="M625" s="142"/>
      <c r="N625" s="142"/>
      <c r="O625" s="61"/>
      <c r="P625" s="168"/>
      <c r="Q6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5" s="36"/>
      <c r="S625" s="90"/>
    </row>
    <row r="626" spans="1:19" ht="36" hidden="1" customHeight="1">
      <c r="A626" s="9"/>
      <c r="B626" s="13" t="e">
        <f>VLOOKUP(Table2[[#This Row],[Location 
(drop-down)]],'List source'!D$2:E$71,2,FALSE)</f>
        <v>#N/A</v>
      </c>
      <c r="C626" s="11" t="s">
        <v>743</v>
      </c>
      <c r="D626" s="183" t="e">
        <f t="shared" si="9"/>
        <v>#N/A</v>
      </c>
      <c r="E626" s="13"/>
      <c r="F626" s="13"/>
      <c r="G626" s="9"/>
      <c r="H626" s="10"/>
      <c r="I626" s="19"/>
      <c r="J626" s="142"/>
      <c r="K626" s="142"/>
      <c r="L626" s="142"/>
      <c r="M626" s="142"/>
      <c r="N626" s="142"/>
      <c r="O626" s="61"/>
      <c r="P626" s="168"/>
      <c r="Q6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6" s="36"/>
      <c r="S626" s="90"/>
    </row>
    <row r="627" spans="1:19" ht="36" hidden="1" customHeight="1">
      <c r="A627" s="9"/>
      <c r="B627" s="13" t="e">
        <f>VLOOKUP(Table2[[#This Row],[Location 
(drop-down)]],'List source'!D$2:E$71,2,FALSE)</f>
        <v>#N/A</v>
      </c>
      <c r="C627" s="11" t="s">
        <v>744</v>
      </c>
      <c r="D627" s="183" t="e">
        <f t="shared" si="9"/>
        <v>#N/A</v>
      </c>
      <c r="E627" s="13"/>
      <c r="F627" s="13"/>
      <c r="G627" s="9"/>
      <c r="H627" s="10"/>
      <c r="I627" s="19"/>
      <c r="J627" s="142"/>
      <c r="K627" s="142"/>
      <c r="L627" s="142"/>
      <c r="M627" s="142"/>
      <c r="N627" s="142"/>
      <c r="O627" s="61"/>
      <c r="P627" s="168"/>
      <c r="Q6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7" s="36"/>
      <c r="S627" s="90"/>
    </row>
    <row r="628" spans="1:19" ht="36" hidden="1" customHeight="1">
      <c r="A628" s="9"/>
      <c r="B628" s="13" t="e">
        <f>VLOOKUP(Table2[[#This Row],[Location 
(drop-down)]],'List source'!D$2:E$71,2,FALSE)</f>
        <v>#N/A</v>
      </c>
      <c r="C628" s="11" t="s">
        <v>745</v>
      </c>
      <c r="D628" s="183" t="e">
        <f t="shared" si="9"/>
        <v>#N/A</v>
      </c>
      <c r="E628" s="13"/>
      <c r="F628" s="13"/>
      <c r="G628" s="9"/>
      <c r="H628" s="10"/>
      <c r="I628" s="19"/>
      <c r="J628" s="142"/>
      <c r="K628" s="142"/>
      <c r="L628" s="142"/>
      <c r="M628" s="142"/>
      <c r="N628" s="142"/>
      <c r="O628" s="61"/>
      <c r="P628" s="168"/>
      <c r="Q6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8" s="36"/>
      <c r="S628" s="90"/>
    </row>
    <row r="629" spans="1:19" ht="36" hidden="1" customHeight="1">
      <c r="A629" s="9"/>
      <c r="B629" s="13" t="e">
        <f>VLOOKUP(Table2[[#This Row],[Location 
(drop-down)]],'List source'!D$2:E$71,2,FALSE)</f>
        <v>#N/A</v>
      </c>
      <c r="C629" s="11" t="s">
        <v>746</v>
      </c>
      <c r="D629" s="183" t="e">
        <f t="shared" si="9"/>
        <v>#N/A</v>
      </c>
      <c r="E629" s="13"/>
      <c r="F629" s="13"/>
      <c r="G629" s="9"/>
      <c r="H629" s="10"/>
      <c r="I629" s="19"/>
      <c r="J629" s="142"/>
      <c r="K629" s="142"/>
      <c r="L629" s="142"/>
      <c r="M629" s="142"/>
      <c r="N629" s="142"/>
      <c r="O629" s="61"/>
      <c r="P629" s="168"/>
      <c r="Q6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29" s="36"/>
      <c r="S629" s="90"/>
    </row>
    <row r="630" spans="1:19" ht="36" hidden="1" customHeight="1">
      <c r="A630" s="9"/>
      <c r="B630" s="13" t="e">
        <f>VLOOKUP(Table2[[#This Row],[Location 
(drop-down)]],'List source'!D$2:E$71,2,FALSE)</f>
        <v>#N/A</v>
      </c>
      <c r="C630" s="11" t="s">
        <v>747</v>
      </c>
      <c r="D630" s="183" t="e">
        <f t="shared" si="9"/>
        <v>#N/A</v>
      </c>
      <c r="E630" s="13"/>
      <c r="F630" s="13"/>
      <c r="G630" s="9"/>
      <c r="H630" s="10"/>
      <c r="I630" s="19"/>
      <c r="J630" s="142"/>
      <c r="K630" s="142"/>
      <c r="L630" s="142"/>
      <c r="M630" s="142"/>
      <c r="N630" s="142"/>
      <c r="O630" s="61"/>
      <c r="P630" s="168"/>
      <c r="Q6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0" s="36"/>
      <c r="S630" s="90"/>
    </row>
    <row r="631" spans="1:19" ht="36" hidden="1" customHeight="1">
      <c r="A631" s="9"/>
      <c r="B631" s="13" t="e">
        <f>VLOOKUP(Table2[[#This Row],[Location 
(drop-down)]],'List source'!D$2:E$71,2,FALSE)</f>
        <v>#N/A</v>
      </c>
      <c r="C631" s="11" t="s">
        <v>748</v>
      </c>
      <c r="D631" s="183" t="e">
        <f t="shared" si="9"/>
        <v>#N/A</v>
      </c>
      <c r="E631" s="13"/>
      <c r="F631" s="13"/>
      <c r="G631" s="9"/>
      <c r="H631" s="10"/>
      <c r="I631" s="19"/>
      <c r="J631" s="142"/>
      <c r="K631" s="142"/>
      <c r="L631" s="142"/>
      <c r="M631" s="142"/>
      <c r="N631" s="142"/>
      <c r="O631" s="61"/>
      <c r="P631" s="168"/>
      <c r="Q6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1" s="36"/>
      <c r="S631" s="90"/>
    </row>
    <row r="632" spans="1:19" ht="36" hidden="1" customHeight="1">
      <c r="A632" s="9"/>
      <c r="B632" s="13" t="e">
        <f>VLOOKUP(Table2[[#This Row],[Location 
(drop-down)]],'List source'!D$2:E$71,2,FALSE)</f>
        <v>#N/A</v>
      </c>
      <c r="C632" s="11" t="s">
        <v>749</v>
      </c>
      <c r="D632" s="183" t="e">
        <f t="shared" si="9"/>
        <v>#N/A</v>
      </c>
      <c r="E632" s="13"/>
      <c r="F632" s="13"/>
      <c r="G632" s="9"/>
      <c r="H632" s="10"/>
      <c r="I632" s="19"/>
      <c r="J632" s="142"/>
      <c r="K632" s="142"/>
      <c r="L632" s="142"/>
      <c r="M632" s="142"/>
      <c r="N632" s="142"/>
      <c r="O632" s="61"/>
      <c r="P632" s="168"/>
      <c r="Q6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2" s="36"/>
      <c r="S632" s="90"/>
    </row>
    <row r="633" spans="1:19" ht="36" hidden="1" customHeight="1">
      <c r="A633" s="9"/>
      <c r="B633" s="13" t="e">
        <f>VLOOKUP(Table2[[#This Row],[Location 
(drop-down)]],'List source'!D$2:E$71,2,FALSE)</f>
        <v>#N/A</v>
      </c>
      <c r="C633" s="11" t="s">
        <v>750</v>
      </c>
      <c r="D633" s="183" t="e">
        <f t="shared" si="9"/>
        <v>#N/A</v>
      </c>
      <c r="E633" s="13"/>
      <c r="F633" s="13"/>
      <c r="G633" s="9"/>
      <c r="H633" s="10"/>
      <c r="I633" s="19"/>
      <c r="J633" s="142"/>
      <c r="K633" s="142"/>
      <c r="L633" s="142"/>
      <c r="M633" s="142"/>
      <c r="N633" s="142"/>
      <c r="O633" s="61"/>
      <c r="P633" s="168"/>
      <c r="Q6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3" s="36"/>
      <c r="S633" s="90"/>
    </row>
    <row r="634" spans="1:19" ht="36" hidden="1" customHeight="1">
      <c r="A634" s="9"/>
      <c r="B634" s="13" t="e">
        <f>VLOOKUP(Table2[[#This Row],[Location 
(drop-down)]],'List source'!D$2:E$71,2,FALSE)</f>
        <v>#N/A</v>
      </c>
      <c r="C634" s="11" t="s">
        <v>751</v>
      </c>
      <c r="D634" s="183" t="e">
        <f t="shared" si="9"/>
        <v>#N/A</v>
      </c>
      <c r="E634" s="13"/>
      <c r="F634" s="13"/>
      <c r="G634" s="9"/>
      <c r="H634" s="10"/>
      <c r="I634" s="19"/>
      <c r="J634" s="142"/>
      <c r="K634" s="142"/>
      <c r="L634" s="142"/>
      <c r="M634" s="142"/>
      <c r="N634" s="142"/>
      <c r="O634" s="61"/>
      <c r="P634" s="168"/>
      <c r="Q6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4" s="36"/>
      <c r="S634" s="90"/>
    </row>
    <row r="635" spans="1:19" ht="36" hidden="1" customHeight="1">
      <c r="A635" s="9"/>
      <c r="B635" s="13" t="e">
        <f>VLOOKUP(Table2[[#This Row],[Location 
(drop-down)]],'List source'!D$2:E$71,2,FALSE)</f>
        <v>#N/A</v>
      </c>
      <c r="C635" s="11" t="s">
        <v>752</v>
      </c>
      <c r="D635" s="183" t="e">
        <f t="shared" si="9"/>
        <v>#N/A</v>
      </c>
      <c r="E635" s="13"/>
      <c r="F635" s="13"/>
      <c r="G635" s="9"/>
      <c r="H635" s="10"/>
      <c r="I635" s="19"/>
      <c r="J635" s="142"/>
      <c r="K635" s="142"/>
      <c r="L635" s="142"/>
      <c r="M635" s="142"/>
      <c r="N635" s="142"/>
      <c r="O635" s="61"/>
      <c r="P635" s="168"/>
      <c r="Q6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5" s="36"/>
      <c r="S635" s="90"/>
    </row>
    <row r="636" spans="1:19" ht="36" hidden="1" customHeight="1">
      <c r="A636" s="9"/>
      <c r="B636" s="13" t="e">
        <f>VLOOKUP(Table2[[#This Row],[Location 
(drop-down)]],'List source'!D$2:E$71,2,FALSE)</f>
        <v>#N/A</v>
      </c>
      <c r="C636" s="11" t="s">
        <v>753</v>
      </c>
      <c r="D636" s="183" t="e">
        <f t="shared" si="9"/>
        <v>#N/A</v>
      </c>
      <c r="E636" s="13"/>
      <c r="F636" s="13"/>
      <c r="G636" s="9"/>
      <c r="H636" s="10"/>
      <c r="I636" s="19"/>
      <c r="J636" s="142"/>
      <c r="K636" s="142"/>
      <c r="L636" s="142"/>
      <c r="M636" s="142"/>
      <c r="N636" s="142"/>
      <c r="O636" s="61"/>
      <c r="P636" s="168"/>
      <c r="Q6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6" s="36"/>
      <c r="S636" s="90"/>
    </row>
    <row r="637" spans="1:19" ht="36" hidden="1" customHeight="1">
      <c r="A637" s="9"/>
      <c r="B637" s="13" t="e">
        <f>VLOOKUP(Table2[[#This Row],[Location 
(drop-down)]],'List source'!D$2:E$71,2,FALSE)</f>
        <v>#N/A</v>
      </c>
      <c r="C637" s="11" t="s">
        <v>754</v>
      </c>
      <c r="D637" s="183" t="e">
        <f t="shared" si="9"/>
        <v>#N/A</v>
      </c>
      <c r="E637" s="13"/>
      <c r="F637" s="13"/>
      <c r="G637" s="9"/>
      <c r="H637" s="10"/>
      <c r="I637" s="19"/>
      <c r="J637" s="142"/>
      <c r="K637" s="142"/>
      <c r="L637" s="142"/>
      <c r="M637" s="142"/>
      <c r="N637" s="142"/>
      <c r="O637" s="61"/>
      <c r="P637" s="168"/>
      <c r="Q6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7" s="36"/>
      <c r="S637" s="90"/>
    </row>
    <row r="638" spans="1:19" ht="36" hidden="1" customHeight="1">
      <c r="A638" s="9"/>
      <c r="B638" s="13" t="e">
        <f>VLOOKUP(Table2[[#This Row],[Location 
(drop-down)]],'List source'!D$2:E$71,2,FALSE)</f>
        <v>#N/A</v>
      </c>
      <c r="C638" s="11" t="s">
        <v>755</v>
      </c>
      <c r="D638" s="183" t="e">
        <f t="shared" si="9"/>
        <v>#N/A</v>
      </c>
      <c r="E638" s="13"/>
      <c r="F638" s="13"/>
      <c r="G638" s="9"/>
      <c r="H638" s="10"/>
      <c r="I638" s="19"/>
      <c r="J638" s="142"/>
      <c r="K638" s="142"/>
      <c r="L638" s="142"/>
      <c r="M638" s="142"/>
      <c r="N638" s="142"/>
      <c r="O638" s="61"/>
      <c r="P638" s="168"/>
      <c r="Q6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8" s="36"/>
      <c r="S638" s="90"/>
    </row>
    <row r="639" spans="1:19" ht="36" hidden="1" customHeight="1">
      <c r="A639" s="9"/>
      <c r="B639" s="13" t="e">
        <f>VLOOKUP(Table2[[#This Row],[Location 
(drop-down)]],'List source'!D$2:E$71,2,FALSE)</f>
        <v>#N/A</v>
      </c>
      <c r="C639" s="11" t="s">
        <v>756</v>
      </c>
      <c r="D639" s="183" t="e">
        <f t="shared" si="9"/>
        <v>#N/A</v>
      </c>
      <c r="E639" s="13"/>
      <c r="F639" s="13"/>
      <c r="G639" s="9"/>
      <c r="H639" s="10"/>
      <c r="I639" s="19"/>
      <c r="J639" s="142"/>
      <c r="K639" s="142"/>
      <c r="L639" s="142"/>
      <c r="M639" s="142"/>
      <c r="N639" s="142"/>
      <c r="O639" s="61"/>
      <c r="P639" s="168"/>
      <c r="Q6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39" s="36"/>
      <c r="S639" s="90"/>
    </row>
    <row r="640" spans="1:19" ht="36" hidden="1" customHeight="1">
      <c r="A640" s="9"/>
      <c r="B640" s="13" t="e">
        <f>VLOOKUP(Table2[[#This Row],[Location 
(drop-down)]],'List source'!D$2:E$71,2,FALSE)</f>
        <v>#N/A</v>
      </c>
      <c r="C640" s="11" t="s">
        <v>757</v>
      </c>
      <c r="D640" s="183" t="e">
        <f t="shared" si="9"/>
        <v>#N/A</v>
      </c>
      <c r="E640" s="13"/>
      <c r="F640" s="13"/>
      <c r="G640" s="9"/>
      <c r="H640" s="10"/>
      <c r="I640" s="19"/>
      <c r="J640" s="142"/>
      <c r="K640" s="142"/>
      <c r="L640" s="142"/>
      <c r="M640" s="142"/>
      <c r="N640" s="142"/>
      <c r="O640" s="61"/>
      <c r="P640" s="168"/>
      <c r="Q6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0" s="36"/>
      <c r="S640" s="90"/>
    </row>
    <row r="641" spans="1:19" ht="36" hidden="1" customHeight="1">
      <c r="A641" s="9"/>
      <c r="B641" s="13" t="e">
        <f>VLOOKUP(Table2[[#This Row],[Location 
(drop-down)]],'List source'!D$2:E$71,2,FALSE)</f>
        <v>#N/A</v>
      </c>
      <c r="C641" s="11" t="s">
        <v>758</v>
      </c>
      <c r="D641" s="183" t="e">
        <f t="shared" si="9"/>
        <v>#N/A</v>
      </c>
      <c r="E641" s="13"/>
      <c r="F641" s="13"/>
      <c r="G641" s="9"/>
      <c r="H641" s="10"/>
      <c r="I641" s="19"/>
      <c r="J641" s="142"/>
      <c r="K641" s="142"/>
      <c r="L641" s="142"/>
      <c r="M641" s="142"/>
      <c r="N641" s="142"/>
      <c r="O641" s="61"/>
      <c r="P641" s="168"/>
      <c r="Q6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1" s="36"/>
      <c r="S641" s="90"/>
    </row>
    <row r="642" spans="1:19" ht="36" hidden="1" customHeight="1">
      <c r="A642" s="9"/>
      <c r="B642" s="13" t="e">
        <f>VLOOKUP(Table2[[#This Row],[Location 
(drop-down)]],'List source'!D$2:E$71,2,FALSE)</f>
        <v>#N/A</v>
      </c>
      <c r="C642" s="11" t="s">
        <v>759</v>
      </c>
      <c r="D642" s="183" t="e">
        <f t="shared" ref="D642:D705" si="10">"C" &amp; C642 &amp;"-" &amp; B642 &amp; "-" &amp; "26"</f>
        <v>#N/A</v>
      </c>
      <c r="E642" s="13"/>
      <c r="F642" s="13"/>
      <c r="G642" s="9"/>
      <c r="H642" s="10"/>
      <c r="I642" s="19"/>
      <c r="J642" s="142"/>
      <c r="K642" s="142"/>
      <c r="L642" s="142"/>
      <c r="M642" s="142"/>
      <c r="N642" s="142"/>
      <c r="O642" s="61"/>
      <c r="P642" s="168"/>
      <c r="Q6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2" s="36"/>
      <c r="S642" s="90"/>
    </row>
    <row r="643" spans="1:19" ht="36" hidden="1" customHeight="1">
      <c r="A643" s="9"/>
      <c r="B643" s="13" t="e">
        <f>VLOOKUP(Table2[[#This Row],[Location 
(drop-down)]],'List source'!D$2:E$71,2,FALSE)</f>
        <v>#N/A</v>
      </c>
      <c r="C643" s="11" t="s">
        <v>760</v>
      </c>
      <c r="D643" s="183" t="e">
        <f t="shared" si="10"/>
        <v>#N/A</v>
      </c>
      <c r="E643" s="13"/>
      <c r="F643" s="13"/>
      <c r="G643" s="9"/>
      <c r="H643" s="10"/>
      <c r="I643" s="19"/>
      <c r="J643" s="142"/>
      <c r="K643" s="142"/>
      <c r="L643" s="142"/>
      <c r="M643" s="142"/>
      <c r="N643" s="142"/>
      <c r="O643" s="61"/>
      <c r="P643" s="168"/>
      <c r="Q6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3" s="36"/>
      <c r="S643" s="90"/>
    </row>
    <row r="644" spans="1:19" ht="36" hidden="1" customHeight="1">
      <c r="A644" s="9"/>
      <c r="B644" s="13" t="e">
        <f>VLOOKUP(Table2[[#This Row],[Location 
(drop-down)]],'List source'!D$2:E$71,2,FALSE)</f>
        <v>#N/A</v>
      </c>
      <c r="C644" s="11" t="s">
        <v>761</v>
      </c>
      <c r="D644" s="183" t="e">
        <f t="shared" si="10"/>
        <v>#N/A</v>
      </c>
      <c r="E644" s="13"/>
      <c r="F644" s="13"/>
      <c r="G644" s="9"/>
      <c r="H644" s="10"/>
      <c r="I644" s="19"/>
      <c r="J644" s="142"/>
      <c r="K644" s="142"/>
      <c r="L644" s="142"/>
      <c r="M644" s="142"/>
      <c r="N644" s="142"/>
      <c r="O644" s="61"/>
      <c r="P644" s="168"/>
      <c r="Q6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4" s="36"/>
      <c r="S644" s="90"/>
    </row>
    <row r="645" spans="1:19" ht="36" hidden="1" customHeight="1">
      <c r="A645" s="9"/>
      <c r="B645" s="13" t="e">
        <f>VLOOKUP(Table2[[#This Row],[Location 
(drop-down)]],'List source'!D$2:E$71,2,FALSE)</f>
        <v>#N/A</v>
      </c>
      <c r="C645" s="11" t="s">
        <v>762</v>
      </c>
      <c r="D645" s="183" t="e">
        <f t="shared" si="10"/>
        <v>#N/A</v>
      </c>
      <c r="E645" s="13"/>
      <c r="F645" s="13"/>
      <c r="G645" s="9"/>
      <c r="H645" s="10"/>
      <c r="I645" s="19"/>
      <c r="J645" s="142"/>
      <c r="K645" s="142"/>
      <c r="L645" s="142"/>
      <c r="M645" s="142"/>
      <c r="N645" s="142"/>
      <c r="O645" s="61"/>
      <c r="P645" s="168"/>
      <c r="Q6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5" s="36"/>
      <c r="S645" s="90"/>
    </row>
    <row r="646" spans="1:19" ht="36" hidden="1" customHeight="1">
      <c r="A646" s="9"/>
      <c r="B646" s="13" t="e">
        <f>VLOOKUP(Table2[[#This Row],[Location 
(drop-down)]],'List source'!D$2:E$71,2,FALSE)</f>
        <v>#N/A</v>
      </c>
      <c r="C646" s="11" t="s">
        <v>763</v>
      </c>
      <c r="D646" s="183" t="e">
        <f t="shared" si="10"/>
        <v>#N/A</v>
      </c>
      <c r="E646" s="13"/>
      <c r="F646" s="13"/>
      <c r="G646" s="9"/>
      <c r="H646" s="10"/>
      <c r="I646" s="19"/>
      <c r="J646" s="142"/>
      <c r="K646" s="142"/>
      <c r="L646" s="142"/>
      <c r="M646" s="142"/>
      <c r="N646" s="142"/>
      <c r="O646" s="61"/>
      <c r="P646" s="168"/>
      <c r="Q6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6" s="36"/>
      <c r="S646" s="90"/>
    </row>
    <row r="647" spans="1:19" ht="36" hidden="1" customHeight="1">
      <c r="A647" s="9"/>
      <c r="B647" s="13" t="e">
        <f>VLOOKUP(Table2[[#This Row],[Location 
(drop-down)]],'List source'!D$2:E$71,2,FALSE)</f>
        <v>#N/A</v>
      </c>
      <c r="C647" s="11" t="s">
        <v>764</v>
      </c>
      <c r="D647" s="183" t="e">
        <f t="shared" si="10"/>
        <v>#N/A</v>
      </c>
      <c r="E647" s="13"/>
      <c r="F647" s="13"/>
      <c r="G647" s="9"/>
      <c r="H647" s="10"/>
      <c r="I647" s="19"/>
      <c r="J647" s="142"/>
      <c r="K647" s="142"/>
      <c r="L647" s="142"/>
      <c r="M647" s="142"/>
      <c r="N647" s="142"/>
      <c r="O647" s="61"/>
      <c r="P647" s="168"/>
      <c r="Q6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7" s="36"/>
      <c r="S647" s="90"/>
    </row>
    <row r="648" spans="1:19" ht="36" hidden="1" customHeight="1">
      <c r="A648" s="9"/>
      <c r="B648" s="13" t="e">
        <f>VLOOKUP(Table2[[#This Row],[Location 
(drop-down)]],'List source'!D$2:E$71,2,FALSE)</f>
        <v>#N/A</v>
      </c>
      <c r="C648" s="11" t="s">
        <v>765</v>
      </c>
      <c r="D648" s="183" t="e">
        <f t="shared" si="10"/>
        <v>#N/A</v>
      </c>
      <c r="E648" s="13"/>
      <c r="F648" s="13"/>
      <c r="G648" s="9"/>
      <c r="H648" s="10"/>
      <c r="I648" s="19"/>
      <c r="J648" s="142"/>
      <c r="K648" s="142"/>
      <c r="L648" s="142"/>
      <c r="M648" s="142"/>
      <c r="N648" s="142"/>
      <c r="O648" s="61"/>
      <c r="P648" s="168"/>
      <c r="Q6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8" s="36"/>
      <c r="S648" s="90"/>
    </row>
    <row r="649" spans="1:19" ht="36" hidden="1" customHeight="1">
      <c r="A649" s="9"/>
      <c r="B649" s="13" t="e">
        <f>VLOOKUP(Table2[[#This Row],[Location 
(drop-down)]],'List source'!D$2:E$71,2,FALSE)</f>
        <v>#N/A</v>
      </c>
      <c r="C649" s="11" t="s">
        <v>766</v>
      </c>
      <c r="D649" s="183" t="e">
        <f t="shared" si="10"/>
        <v>#N/A</v>
      </c>
      <c r="E649" s="13"/>
      <c r="F649" s="13"/>
      <c r="G649" s="9"/>
      <c r="H649" s="10"/>
      <c r="I649" s="19"/>
      <c r="J649" s="142"/>
      <c r="K649" s="142"/>
      <c r="L649" s="142"/>
      <c r="M649" s="142"/>
      <c r="N649" s="142"/>
      <c r="O649" s="61"/>
      <c r="P649" s="168"/>
      <c r="Q6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49" s="36"/>
      <c r="S649" s="90"/>
    </row>
    <row r="650" spans="1:19" ht="36" hidden="1" customHeight="1">
      <c r="A650" s="9"/>
      <c r="B650" s="13" t="e">
        <f>VLOOKUP(Table2[[#This Row],[Location 
(drop-down)]],'List source'!D$2:E$71,2,FALSE)</f>
        <v>#N/A</v>
      </c>
      <c r="C650" s="11" t="s">
        <v>767</v>
      </c>
      <c r="D650" s="183" t="e">
        <f t="shared" si="10"/>
        <v>#N/A</v>
      </c>
      <c r="E650" s="18"/>
      <c r="F650" s="18"/>
      <c r="G650" s="9"/>
      <c r="H650" s="10"/>
      <c r="I650" s="19"/>
      <c r="J650" s="142"/>
      <c r="K650" s="142"/>
      <c r="L650" s="142"/>
      <c r="M650" s="142"/>
      <c r="N650" s="142"/>
      <c r="O650" s="61"/>
      <c r="P650" s="168"/>
      <c r="Q6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0" s="36"/>
      <c r="S650" s="90"/>
    </row>
    <row r="651" spans="1:19" ht="36" hidden="1" customHeight="1">
      <c r="A651" s="9"/>
      <c r="B651" s="13" t="e">
        <f>VLOOKUP(Table2[[#This Row],[Location 
(drop-down)]],'List source'!D$2:E$71,2,FALSE)</f>
        <v>#N/A</v>
      </c>
      <c r="C651" s="11" t="s">
        <v>768</v>
      </c>
      <c r="D651" s="183" t="e">
        <f t="shared" si="10"/>
        <v>#N/A</v>
      </c>
      <c r="E651" s="18"/>
      <c r="F651" s="18"/>
      <c r="G651" s="9"/>
      <c r="H651" s="10"/>
      <c r="I651" s="19"/>
      <c r="J651" s="142"/>
      <c r="K651" s="142"/>
      <c r="L651" s="142"/>
      <c r="M651" s="142"/>
      <c r="N651" s="142"/>
      <c r="O651" s="61"/>
      <c r="P651" s="168"/>
      <c r="Q6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1" s="36"/>
      <c r="S651" s="90"/>
    </row>
    <row r="652" spans="1:19" ht="36" hidden="1" customHeight="1">
      <c r="A652" s="9"/>
      <c r="B652" s="13" t="e">
        <f>VLOOKUP(Table2[[#This Row],[Location 
(drop-down)]],'List source'!D$2:E$71,2,FALSE)</f>
        <v>#N/A</v>
      </c>
      <c r="C652" s="11" t="s">
        <v>769</v>
      </c>
      <c r="D652" s="183" t="e">
        <f t="shared" si="10"/>
        <v>#N/A</v>
      </c>
      <c r="E652" s="18"/>
      <c r="F652" s="18"/>
      <c r="G652" s="9"/>
      <c r="H652" s="10"/>
      <c r="I652" s="19"/>
      <c r="J652" s="142"/>
      <c r="K652" s="142"/>
      <c r="L652" s="142"/>
      <c r="M652" s="142"/>
      <c r="N652" s="142"/>
      <c r="O652" s="61"/>
      <c r="P652" s="168"/>
      <c r="Q6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2" s="36"/>
      <c r="S652" s="90"/>
    </row>
    <row r="653" spans="1:19" ht="36" hidden="1" customHeight="1">
      <c r="A653" s="9"/>
      <c r="B653" s="13" t="e">
        <f>VLOOKUP(Table2[[#This Row],[Location 
(drop-down)]],'List source'!D$2:E$71,2,FALSE)</f>
        <v>#N/A</v>
      </c>
      <c r="C653" s="11" t="s">
        <v>770</v>
      </c>
      <c r="D653" s="183" t="e">
        <f t="shared" si="10"/>
        <v>#N/A</v>
      </c>
      <c r="E653" s="18"/>
      <c r="F653" s="18"/>
      <c r="G653" s="9"/>
      <c r="H653" s="10"/>
      <c r="I653" s="19"/>
      <c r="J653" s="142"/>
      <c r="K653" s="142"/>
      <c r="L653" s="142"/>
      <c r="M653" s="142"/>
      <c r="N653" s="142"/>
      <c r="O653" s="61"/>
      <c r="P653" s="168"/>
      <c r="Q6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3" s="36"/>
      <c r="S653" s="90"/>
    </row>
    <row r="654" spans="1:19" ht="36" hidden="1" customHeight="1">
      <c r="A654" s="9"/>
      <c r="B654" s="13" t="e">
        <f>VLOOKUP(Table2[[#This Row],[Location 
(drop-down)]],'List source'!D$2:E$71,2,FALSE)</f>
        <v>#N/A</v>
      </c>
      <c r="C654" s="11" t="s">
        <v>771</v>
      </c>
      <c r="D654" s="183" t="e">
        <f t="shared" si="10"/>
        <v>#N/A</v>
      </c>
      <c r="E654" s="18"/>
      <c r="F654" s="18"/>
      <c r="G654" s="9"/>
      <c r="H654" s="10"/>
      <c r="I654" s="19"/>
      <c r="J654" s="142"/>
      <c r="K654" s="142"/>
      <c r="L654" s="142"/>
      <c r="M654" s="142"/>
      <c r="N654" s="142"/>
      <c r="O654" s="61"/>
      <c r="P654" s="168"/>
      <c r="Q6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4" s="36"/>
      <c r="S654" s="90"/>
    </row>
    <row r="655" spans="1:19" ht="36" hidden="1" customHeight="1">
      <c r="A655" s="9"/>
      <c r="B655" s="13" t="e">
        <f>VLOOKUP(Table2[[#This Row],[Location 
(drop-down)]],'List source'!D$2:E$71,2,FALSE)</f>
        <v>#N/A</v>
      </c>
      <c r="C655" s="11" t="s">
        <v>772</v>
      </c>
      <c r="D655" s="183" t="e">
        <f t="shared" si="10"/>
        <v>#N/A</v>
      </c>
      <c r="E655" s="18"/>
      <c r="F655" s="18"/>
      <c r="G655" s="9"/>
      <c r="H655" s="10"/>
      <c r="I655" s="19"/>
      <c r="J655" s="142"/>
      <c r="K655" s="142"/>
      <c r="L655" s="142"/>
      <c r="M655" s="142"/>
      <c r="N655" s="142"/>
      <c r="O655" s="61"/>
      <c r="P655" s="168"/>
      <c r="Q6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5" s="36"/>
      <c r="S655" s="90"/>
    </row>
    <row r="656" spans="1:19" ht="36" hidden="1" customHeight="1">
      <c r="A656" s="9"/>
      <c r="B656" s="13" t="e">
        <f>VLOOKUP(Table2[[#This Row],[Location 
(drop-down)]],'List source'!D$2:E$71,2,FALSE)</f>
        <v>#N/A</v>
      </c>
      <c r="C656" s="11" t="s">
        <v>773</v>
      </c>
      <c r="D656" s="183" t="e">
        <f t="shared" si="10"/>
        <v>#N/A</v>
      </c>
      <c r="E656" s="18"/>
      <c r="F656" s="18"/>
      <c r="G656" s="9"/>
      <c r="H656" s="10"/>
      <c r="I656" s="19"/>
      <c r="J656" s="142"/>
      <c r="K656" s="142"/>
      <c r="L656" s="142"/>
      <c r="M656" s="142"/>
      <c r="N656" s="142"/>
      <c r="O656" s="61"/>
      <c r="P656" s="168"/>
      <c r="Q6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6" s="36"/>
      <c r="S656" s="90"/>
    </row>
    <row r="657" spans="1:19" ht="36" hidden="1" customHeight="1">
      <c r="A657" s="9"/>
      <c r="B657" s="13" t="e">
        <f>VLOOKUP(Table2[[#This Row],[Location 
(drop-down)]],'List source'!D$2:E$71,2,FALSE)</f>
        <v>#N/A</v>
      </c>
      <c r="C657" s="11" t="s">
        <v>774</v>
      </c>
      <c r="D657" s="183" t="e">
        <f t="shared" si="10"/>
        <v>#N/A</v>
      </c>
      <c r="E657" s="18"/>
      <c r="F657" s="18"/>
      <c r="G657" s="9"/>
      <c r="H657" s="10"/>
      <c r="I657" s="19"/>
      <c r="J657" s="142"/>
      <c r="K657" s="142"/>
      <c r="L657" s="142"/>
      <c r="M657" s="142"/>
      <c r="N657" s="142"/>
      <c r="O657" s="61"/>
      <c r="P657" s="168"/>
      <c r="Q6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7" s="36"/>
      <c r="S657" s="90"/>
    </row>
    <row r="658" spans="1:19" ht="36" hidden="1" customHeight="1">
      <c r="A658" s="9"/>
      <c r="B658" s="13" t="e">
        <f>VLOOKUP(Table2[[#This Row],[Location 
(drop-down)]],'List source'!D$2:E$71,2,FALSE)</f>
        <v>#N/A</v>
      </c>
      <c r="C658" s="11" t="s">
        <v>775</v>
      </c>
      <c r="D658" s="183" t="e">
        <f t="shared" si="10"/>
        <v>#N/A</v>
      </c>
      <c r="E658" s="18"/>
      <c r="F658" s="18"/>
      <c r="G658" s="9"/>
      <c r="H658" s="10"/>
      <c r="I658" s="19"/>
      <c r="J658" s="142"/>
      <c r="K658" s="142"/>
      <c r="L658" s="142"/>
      <c r="M658" s="142"/>
      <c r="N658" s="142"/>
      <c r="O658" s="61"/>
      <c r="P658" s="168"/>
      <c r="Q6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8" s="36"/>
      <c r="S658" s="90"/>
    </row>
    <row r="659" spans="1:19" ht="36" hidden="1" customHeight="1">
      <c r="A659" s="9"/>
      <c r="B659" s="13" t="e">
        <f>VLOOKUP(Table2[[#This Row],[Location 
(drop-down)]],'List source'!D$2:E$71,2,FALSE)</f>
        <v>#N/A</v>
      </c>
      <c r="C659" s="11" t="s">
        <v>776</v>
      </c>
      <c r="D659" s="183" t="e">
        <f t="shared" si="10"/>
        <v>#N/A</v>
      </c>
      <c r="E659" s="18"/>
      <c r="F659" s="18"/>
      <c r="G659" s="9"/>
      <c r="H659" s="10"/>
      <c r="I659" s="19"/>
      <c r="J659" s="142"/>
      <c r="K659" s="142"/>
      <c r="L659" s="142"/>
      <c r="M659" s="142"/>
      <c r="N659" s="142"/>
      <c r="O659" s="61"/>
      <c r="P659" s="168"/>
      <c r="Q6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59" s="36"/>
      <c r="S659" s="90"/>
    </row>
    <row r="660" spans="1:19" ht="36" hidden="1" customHeight="1">
      <c r="A660" s="9"/>
      <c r="B660" s="13" t="e">
        <f>VLOOKUP(Table2[[#This Row],[Location 
(drop-down)]],'List source'!D$2:E$71,2,FALSE)</f>
        <v>#N/A</v>
      </c>
      <c r="C660" s="11" t="s">
        <v>777</v>
      </c>
      <c r="D660" s="183" t="e">
        <f t="shared" si="10"/>
        <v>#N/A</v>
      </c>
      <c r="E660" s="18"/>
      <c r="F660" s="18"/>
      <c r="G660" s="9"/>
      <c r="H660" s="10"/>
      <c r="I660" s="19"/>
      <c r="J660" s="142"/>
      <c r="K660" s="142"/>
      <c r="L660" s="142"/>
      <c r="M660" s="142"/>
      <c r="N660" s="142"/>
      <c r="O660" s="61"/>
      <c r="P660" s="168"/>
      <c r="Q6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0" s="36"/>
      <c r="S660" s="90"/>
    </row>
    <row r="661" spans="1:19" ht="36" hidden="1" customHeight="1">
      <c r="A661" s="9"/>
      <c r="B661" s="13" t="e">
        <f>VLOOKUP(Table2[[#This Row],[Location 
(drop-down)]],'List source'!D$2:E$71,2,FALSE)</f>
        <v>#N/A</v>
      </c>
      <c r="C661" s="11" t="s">
        <v>778</v>
      </c>
      <c r="D661" s="183" t="e">
        <f t="shared" si="10"/>
        <v>#N/A</v>
      </c>
      <c r="E661" s="18"/>
      <c r="F661" s="18"/>
      <c r="G661" s="9"/>
      <c r="H661" s="10"/>
      <c r="I661" s="19"/>
      <c r="J661" s="142"/>
      <c r="K661" s="142"/>
      <c r="L661" s="142"/>
      <c r="M661" s="142"/>
      <c r="N661" s="142"/>
      <c r="O661" s="61"/>
      <c r="P661" s="168"/>
      <c r="Q6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1" s="36"/>
      <c r="S661" s="90"/>
    </row>
    <row r="662" spans="1:19" ht="36" hidden="1" customHeight="1">
      <c r="A662" s="9"/>
      <c r="B662" s="13" t="e">
        <f>VLOOKUP(Table2[[#This Row],[Location 
(drop-down)]],'List source'!D$2:E$71,2,FALSE)</f>
        <v>#N/A</v>
      </c>
      <c r="C662" s="11" t="s">
        <v>779</v>
      </c>
      <c r="D662" s="183" t="e">
        <f t="shared" si="10"/>
        <v>#N/A</v>
      </c>
      <c r="E662" s="18"/>
      <c r="F662" s="18"/>
      <c r="G662" s="9"/>
      <c r="H662" s="10"/>
      <c r="I662" s="19"/>
      <c r="J662" s="142"/>
      <c r="K662" s="142"/>
      <c r="L662" s="142"/>
      <c r="M662" s="142"/>
      <c r="N662" s="142"/>
      <c r="O662" s="61"/>
      <c r="P662" s="168"/>
      <c r="Q6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2" s="36"/>
      <c r="S662" s="90"/>
    </row>
    <row r="663" spans="1:19" ht="36" hidden="1" customHeight="1">
      <c r="A663" s="9"/>
      <c r="B663" s="13" t="e">
        <f>VLOOKUP(Table2[[#This Row],[Location 
(drop-down)]],'List source'!D$2:E$71,2,FALSE)</f>
        <v>#N/A</v>
      </c>
      <c r="C663" s="11" t="s">
        <v>780</v>
      </c>
      <c r="D663" s="183" t="e">
        <f t="shared" si="10"/>
        <v>#N/A</v>
      </c>
      <c r="E663" s="18"/>
      <c r="F663" s="18"/>
      <c r="G663" s="9"/>
      <c r="H663" s="10"/>
      <c r="I663" s="19"/>
      <c r="J663" s="142"/>
      <c r="K663" s="142"/>
      <c r="L663" s="142"/>
      <c r="M663" s="142"/>
      <c r="N663" s="142"/>
      <c r="O663" s="61"/>
      <c r="P663" s="168"/>
      <c r="Q6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3" s="36"/>
      <c r="S663" s="90"/>
    </row>
    <row r="664" spans="1:19" ht="36" hidden="1" customHeight="1">
      <c r="A664" s="9"/>
      <c r="B664" s="13" t="e">
        <f>VLOOKUP(Table2[[#This Row],[Location 
(drop-down)]],'List source'!D$2:E$71,2,FALSE)</f>
        <v>#N/A</v>
      </c>
      <c r="C664" s="11" t="s">
        <v>781</v>
      </c>
      <c r="D664" s="183" t="e">
        <f t="shared" si="10"/>
        <v>#N/A</v>
      </c>
      <c r="E664" s="18"/>
      <c r="F664" s="18"/>
      <c r="G664" s="9"/>
      <c r="H664" s="10"/>
      <c r="I664" s="19"/>
      <c r="J664" s="142"/>
      <c r="K664" s="142"/>
      <c r="L664" s="142"/>
      <c r="M664" s="142"/>
      <c r="N664" s="142"/>
      <c r="O664" s="61"/>
      <c r="P664" s="168"/>
      <c r="Q6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4" s="36"/>
      <c r="S664" s="90"/>
    </row>
    <row r="665" spans="1:19" ht="36" hidden="1" customHeight="1">
      <c r="A665" s="9"/>
      <c r="B665" s="13" t="e">
        <f>VLOOKUP(Table2[[#This Row],[Location 
(drop-down)]],'List source'!D$2:E$71,2,FALSE)</f>
        <v>#N/A</v>
      </c>
      <c r="C665" s="11" t="s">
        <v>782</v>
      </c>
      <c r="D665" s="183" t="e">
        <f t="shared" si="10"/>
        <v>#N/A</v>
      </c>
      <c r="E665" s="18"/>
      <c r="F665" s="18"/>
      <c r="G665" s="9"/>
      <c r="H665" s="10"/>
      <c r="I665" s="19"/>
      <c r="J665" s="142"/>
      <c r="K665" s="142"/>
      <c r="L665" s="142"/>
      <c r="M665" s="142"/>
      <c r="N665" s="142"/>
      <c r="O665" s="61"/>
      <c r="P665" s="168"/>
      <c r="Q6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5" s="36"/>
      <c r="S665" s="90"/>
    </row>
    <row r="666" spans="1:19" ht="36" hidden="1" customHeight="1">
      <c r="A666" s="9"/>
      <c r="B666" s="13" t="e">
        <f>VLOOKUP(Table2[[#This Row],[Location 
(drop-down)]],'List source'!D$2:E$71,2,FALSE)</f>
        <v>#N/A</v>
      </c>
      <c r="C666" s="11" t="s">
        <v>783</v>
      </c>
      <c r="D666" s="183" t="e">
        <f t="shared" si="10"/>
        <v>#N/A</v>
      </c>
      <c r="E666" s="18"/>
      <c r="F666" s="18"/>
      <c r="G666" s="9"/>
      <c r="H666" s="10"/>
      <c r="I666" s="19"/>
      <c r="J666" s="142"/>
      <c r="K666" s="142"/>
      <c r="L666" s="142"/>
      <c r="M666" s="142"/>
      <c r="N666" s="142"/>
      <c r="O666" s="61"/>
      <c r="P666" s="168"/>
      <c r="Q6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6" s="36"/>
      <c r="S666" s="90"/>
    </row>
    <row r="667" spans="1:19" ht="36" hidden="1" customHeight="1">
      <c r="A667" s="9"/>
      <c r="B667" s="13" t="e">
        <f>VLOOKUP(Table2[[#This Row],[Location 
(drop-down)]],'List source'!D$2:E$71,2,FALSE)</f>
        <v>#N/A</v>
      </c>
      <c r="C667" s="11" t="s">
        <v>784</v>
      </c>
      <c r="D667" s="183" t="e">
        <f t="shared" si="10"/>
        <v>#N/A</v>
      </c>
      <c r="E667" s="18"/>
      <c r="F667" s="18"/>
      <c r="G667" s="9"/>
      <c r="H667" s="10"/>
      <c r="I667" s="19"/>
      <c r="J667" s="142"/>
      <c r="K667" s="142"/>
      <c r="L667" s="142"/>
      <c r="M667" s="142"/>
      <c r="N667" s="142"/>
      <c r="O667" s="61"/>
      <c r="P667" s="168"/>
      <c r="Q6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7" s="36"/>
      <c r="S667" s="90"/>
    </row>
    <row r="668" spans="1:19" ht="36" hidden="1" customHeight="1">
      <c r="A668" s="9"/>
      <c r="B668" s="13" t="e">
        <f>VLOOKUP(Table2[[#This Row],[Location 
(drop-down)]],'List source'!D$2:E$71,2,FALSE)</f>
        <v>#N/A</v>
      </c>
      <c r="C668" s="11" t="s">
        <v>785</v>
      </c>
      <c r="D668" s="183" t="e">
        <f t="shared" si="10"/>
        <v>#N/A</v>
      </c>
      <c r="E668" s="18"/>
      <c r="F668" s="18"/>
      <c r="G668" s="9"/>
      <c r="H668" s="10"/>
      <c r="I668" s="19"/>
      <c r="J668" s="142"/>
      <c r="K668" s="142"/>
      <c r="L668" s="142"/>
      <c r="M668" s="142"/>
      <c r="N668" s="142"/>
      <c r="O668" s="61"/>
      <c r="P668" s="168"/>
      <c r="Q6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8" s="36"/>
      <c r="S668" s="90"/>
    </row>
    <row r="669" spans="1:19" ht="36" hidden="1" customHeight="1">
      <c r="A669" s="9"/>
      <c r="B669" s="13" t="e">
        <f>VLOOKUP(Table2[[#This Row],[Location 
(drop-down)]],'List source'!D$2:E$71,2,FALSE)</f>
        <v>#N/A</v>
      </c>
      <c r="C669" s="11" t="s">
        <v>786</v>
      </c>
      <c r="D669" s="183" t="e">
        <f t="shared" si="10"/>
        <v>#N/A</v>
      </c>
      <c r="E669" s="18"/>
      <c r="F669" s="18"/>
      <c r="G669" s="9"/>
      <c r="H669" s="10"/>
      <c r="I669" s="19"/>
      <c r="J669" s="142"/>
      <c r="K669" s="142"/>
      <c r="L669" s="142"/>
      <c r="M669" s="142"/>
      <c r="N669" s="142"/>
      <c r="O669" s="61"/>
      <c r="P669" s="168"/>
      <c r="Q6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69" s="36"/>
      <c r="S669" s="90"/>
    </row>
    <row r="670" spans="1:19" ht="36" hidden="1" customHeight="1">
      <c r="A670" s="9"/>
      <c r="B670" s="13" t="e">
        <f>VLOOKUP(Table2[[#This Row],[Location 
(drop-down)]],'List source'!D$2:E$71,2,FALSE)</f>
        <v>#N/A</v>
      </c>
      <c r="C670" s="11" t="s">
        <v>787</v>
      </c>
      <c r="D670" s="183" t="e">
        <f t="shared" si="10"/>
        <v>#N/A</v>
      </c>
      <c r="E670" s="18"/>
      <c r="F670" s="18"/>
      <c r="G670" s="9"/>
      <c r="H670" s="10"/>
      <c r="I670" s="19"/>
      <c r="J670" s="142"/>
      <c r="K670" s="142"/>
      <c r="L670" s="142"/>
      <c r="M670" s="142"/>
      <c r="N670" s="142"/>
      <c r="O670" s="61"/>
      <c r="P670" s="168"/>
      <c r="Q6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0" s="36"/>
      <c r="S670" s="90"/>
    </row>
    <row r="671" spans="1:19" ht="36" hidden="1" customHeight="1">
      <c r="A671" s="9"/>
      <c r="B671" s="13" t="e">
        <f>VLOOKUP(Table2[[#This Row],[Location 
(drop-down)]],'List source'!D$2:E$71,2,FALSE)</f>
        <v>#N/A</v>
      </c>
      <c r="C671" s="11" t="s">
        <v>788</v>
      </c>
      <c r="D671" s="183" t="e">
        <f t="shared" si="10"/>
        <v>#N/A</v>
      </c>
      <c r="E671" s="18"/>
      <c r="F671" s="18"/>
      <c r="G671" s="9"/>
      <c r="H671" s="10"/>
      <c r="I671" s="19"/>
      <c r="J671" s="142"/>
      <c r="K671" s="142"/>
      <c r="L671" s="142"/>
      <c r="M671" s="142"/>
      <c r="N671" s="142"/>
      <c r="O671" s="61"/>
      <c r="P671" s="168"/>
      <c r="Q6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1" s="36"/>
      <c r="S671" s="90"/>
    </row>
    <row r="672" spans="1:19" ht="36" hidden="1" customHeight="1">
      <c r="A672" s="9"/>
      <c r="B672" s="13" t="e">
        <f>VLOOKUP(Table2[[#This Row],[Location 
(drop-down)]],'List source'!D$2:E$71,2,FALSE)</f>
        <v>#N/A</v>
      </c>
      <c r="C672" s="11" t="s">
        <v>789</v>
      </c>
      <c r="D672" s="183" t="e">
        <f t="shared" si="10"/>
        <v>#N/A</v>
      </c>
      <c r="E672" s="18"/>
      <c r="F672" s="18"/>
      <c r="G672" s="9"/>
      <c r="H672" s="10"/>
      <c r="I672" s="19"/>
      <c r="J672" s="142"/>
      <c r="K672" s="142"/>
      <c r="L672" s="142"/>
      <c r="M672" s="142"/>
      <c r="N672" s="142"/>
      <c r="O672" s="61"/>
      <c r="P672" s="168"/>
      <c r="Q6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2" s="36"/>
      <c r="S672" s="90"/>
    </row>
    <row r="673" spans="1:19" ht="36" hidden="1" customHeight="1">
      <c r="A673" s="9"/>
      <c r="B673" s="13" t="e">
        <f>VLOOKUP(Table2[[#This Row],[Location 
(drop-down)]],'List source'!D$2:E$71,2,FALSE)</f>
        <v>#N/A</v>
      </c>
      <c r="C673" s="11" t="s">
        <v>790</v>
      </c>
      <c r="D673" s="183" t="e">
        <f t="shared" si="10"/>
        <v>#N/A</v>
      </c>
      <c r="E673" s="18"/>
      <c r="F673" s="18"/>
      <c r="G673" s="9"/>
      <c r="H673" s="10"/>
      <c r="I673" s="19"/>
      <c r="J673" s="142"/>
      <c r="K673" s="142"/>
      <c r="L673" s="142"/>
      <c r="M673" s="142"/>
      <c r="N673" s="142"/>
      <c r="O673" s="61"/>
      <c r="P673" s="168"/>
      <c r="Q6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3" s="36"/>
      <c r="S673" s="90"/>
    </row>
    <row r="674" spans="1:19" ht="36" hidden="1" customHeight="1">
      <c r="A674" s="9"/>
      <c r="B674" s="13" t="e">
        <f>VLOOKUP(Table2[[#This Row],[Location 
(drop-down)]],'List source'!D$2:E$71,2,FALSE)</f>
        <v>#N/A</v>
      </c>
      <c r="C674" s="11" t="s">
        <v>791</v>
      </c>
      <c r="D674" s="183" t="e">
        <f t="shared" si="10"/>
        <v>#N/A</v>
      </c>
      <c r="E674" s="18"/>
      <c r="F674" s="18"/>
      <c r="G674" s="9"/>
      <c r="H674" s="10"/>
      <c r="I674" s="19"/>
      <c r="J674" s="142"/>
      <c r="K674" s="142"/>
      <c r="L674" s="142"/>
      <c r="M674" s="142"/>
      <c r="N674" s="142"/>
      <c r="O674" s="61"/>
      <c r="P674" s="168"/>
      <c r="Q6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4" s="36"/>
      <c r="S674" s="90"/>
    </row>
    <row r="675" spans="1:19" ht="36" hidden="1" customHeight="1">
      <c r="A675" s="9"/>
      <c r="B675" s="13" t="e">
        <f>VLOOKUP(Table2[[#This Row],[Location 
(drop-down)]],'List source'!D$2:E$71,2,FALSE)</f>
        <v>#N/A</v>
      </c>
      <c r="C675" s="11" t="s">
        <v>792</v>
      </c>
      <c r="D675" s="183" t="e">
        <f t="shared" si="10"/>
        <v>#N/A</v>
      </c>
      <c r="E675" s="18"/>
      <c r="F675" s="18"/>
      <c r="G675" s="9"/>
      <c r="H675" s="10"/>
      <c r="I675" s="19"/>
      <c r="J675" s="142"/>
      <c r="K675" s="142"/>
      <c r="L675" s="142"/>
      <c r="M675" s="142"/>
      <c r="N675" s="142"/>
      <c r="O675" s="61"/>
      <c r="P675" s="168"/>
      <c r="Q6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5" s="36"/>
      <c r="S675" s="90"/>
    </row>
    <row r="676" spans="1:19" ht="36" hidden="1" customHeight="1">
      <c r="A676" s="9"/>
      <c r="B676" s="13" t="e">
        <f>VLOOKUP(Table2[[#This Row],[Location 
(drop-down)]],'List source'!D$2:E$71,2,FALSE)</f>
        <v>#N/A</v>
      </c>
      <c r="C676" s="11" t="s">
        <v>793</v>
      </c>
      <c r="D676" s="183" t="e">
        <f t="shared" si="10"/>
        <v>#N/A</v>
      </c>
      <c r="E676" s="18"/>
      <c r="F676" s="18"/>
      <c r="G676" s="9"/>
      <c r="H676" s="10"/>
      <c r="I676" s="19"/>
      <c r="J676" s="142"/>
      <c r="K676" s="142"/>
      <c r="L676" s="142"/>
      <c r="M676" s="142"/>
      <c r="N676" s="142"/>
      <c r="O676" s="61"/>
      <c r="P676" s="168"/>
      <c r="Q6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6" s="36"/>
      <c r="S676" s="90"/>
    </row>
    <row r="677" spans="1:19" ht="36" hidden="1" customHeight="1">
      <c r="A677" s="9"/>
      <c r="B677" s="13" t="e">
        <f>VLOOKUP(Table2[[#This Row],[Location 
(drop-down)]],'List source'!D$2:E$71,2,FALSE)</f>
        <v>#N/A</v>
      </c>
      <c r="C677" s="11" t="s">
        <v>794</v>
      </c>
      <c r="D677" s="183" t="e">
        <f t="shared" si="10"/>
        <v>#N/A</v>
      </c>
      <c r="E677" s="18"/>
      <c r="F677" s="18"/>
      <c r="G677" s="9"/>
      <c r="H677" s="10"/>
      <c r="I677" s="19"/>
      <c r="J677" s="142"/>
      <c r="K677" s="142"/>
      <c r="L677" s="142"/>
      <c r="M677" s="142"/>
      <c r="N677" s="142"/>
      <c r="O677" s="61"/>
      <c r="P677" s="168"/>
      <c r="Q6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7" s="36"/>
      <c r="S677" s="90"/>
    </row>
    <row r="678" spans="1:19" ht="36" hidden="1" customHeight="1">
      <c r="A678" s="9"/>
      <c r="B678" s="13" t="e">
        <f>VLOOKUP(Table2[[#This Row],[Location 
(drop-down)]],'List source'!D$2:E$71,2,FALSE)</f>
        <v>#N/A</v>
      </c>
      <c r="C678" s="11" t="s">
        <v>795</v>
      </c>
      <c r="D678" s="183" t="e">
        <f t="shared" si="10"/>
        <v>#N/A</v>
      </c>
      <c r="E678" s="18"/>
      <c r="F678" s="18"/>
      <c r="G678" s="15"/>
      <c r="H678" s="10"/>
      <c r="I678" s="19"/>
      <c r="J678" s="142"/>
      <c r="K678" s="142"/>
      <c r="L678" s="142"/>
      <c r="M678" s="142"/>
      <c r="N678" s="142"/>
      <c r="O678" s="61"/>
      <c r="P678" s="168"/>
      <c r="Q6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8" s="214"/>
      <c r="S678" s="90"/>
    </row>
    <row r="679" spans="1:19" ht="36" hidden="1" customHeight="1">
      <c r="A679" s="9"/>
      <c r="B679" s="13" t="e">
        <f>VLOOKUP(Table2[[#This Row],[Location 
(drop-down)]],'List source'!D$2:E$71,2,FALSE)</f>
        <v>#N/A</v>
      </c>
      <c r="C679" s="11" t="s">
        <v>796</v>
      </c>
      <c r="D679" s="183" t="e">
        <f t="shared" si="10"/>
        <v>#N/A</v>
      </c>
      <c r="E679" s="18"/>
      <c r="F679" s="18"/>
      <c r="G679" s="9"/>
      <c r="H679" s="10"/>
      <c r="I679" s="19"/>
      <c r="J679" s="142"/>
      <c r="K679" s="142"/>
      <c r="L679" s="142"/>
      <c r="M679" s="142"/>
      <c r="N679" s="142"/>
      <c r="O679" s="61"/>
      <c r="P679" s="168"/>
      <c r="Q6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79" s="36"/>
      <c r="S679" s="90"/>
    </row>
    <row r="680" spans="1:19" ht="36" hidden="1" customHeight="1">
      <c r="A680" s="9"/>
      <c r="B680" s="13" t="e">
        <f>VLOOKUP(Table2[[#This Row],[Location 
(drop-down)]],'List source'!D$2:E$71,2,FALSE)</f>
        <v>#N/A</v>
      </c>
      <c r="C680" s="11" t="s">
        <v>797</v>
      </c>
      <c r="D680" s="183" t="e">
        <f t="shared" si="10"/>
        <v>#N/A</v>
      </c>
      <c r="E680" s="18"/>
      <c r="F680" s="18"/>
      <c r="G680" s="9"/>
      <c r="H680" s="10"/>
      <c r="I680" s="19"/>
      <c r="J680" s="142"/>
      <c r="K680" s="142"/>
      <c r="L680" s="142"/>
      <c r="M680" s="142"/>
      <c r="N680" s="142"/>
      <c r="O680" s="61"/>
      <c r="P680" s="168"/>
      <c r="Q6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0" s="36"/>
      <c r="S680" s="90"/>
    </row>
    <row r="681" spans="1:19" ht="36" hidden="1" customHeight="1">
      <c r="A681" s="9"/>
      <c r="B681" s="13" t="e">
        <f>VLOOKUP(Table2[[#This Row],[Location 
(drop-down)]],'List source'!D$2:E$71,2,FALSE)</f>
        <v>#N/A</v>
      </c>
      <c r="C681" s="11" t="s">
        <v>798</v>
      </c>
      <c r="D681" s="183" t="e">
        <f t="shared" si="10"/>
        <v>#N/A</v>
      </c>
      <c r="E681" s="18"/>
      <c r="F681" s="18"/>
      <c r="G681" s="9"/>
      <c r="H681" s="10"/>
      <c r="I681" s="19"/>
      <c r="J681" s="142"/>
      <c r="K681" s="142"/>
      <c r="L681" s="142"/>
      <c r="M681" s="142"/>
      <c r="N681" s="142"/>
      <c r="O681" s="61"/>
      <c r="P681" s="168"/>
      <c r="Q6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1" s="36"/>
      <c r="S681" s="90"/>
    </row>
    <row r="682" spans="1:19" ht="36" hidden="1" customHeight="1">
      <c r="A682" s="9"/>
      <c r="B682" s="13" t="e">
        <f>VLOOKUP(Table2[[#This Row],[Location 
(drop-down)]],'List source'!D$2:E$71,2,FALSE)</f>
        <v>#N/A</v>
      </c>
      <c r="C682" s="11" t="s">
        <v>799</v>
      </c>
      <c r="D682" s="183" t="e">
        <f t="shared" si="10"/>
        <v>#N/A</v>
      </c>
      <c r="E682" s="18"/>
      <c r="F682" s="18"/>
      <c r="G682" s="9"/>
      <c r="H682" s="10"/>
      <c r="I682" s="19"/>
      <c r="J682" s="142"/>
      <c r="K682" s="142"/>
      <c r="L682" s="142"/>
      <c r="M682" s="142"/>
      <c r="N682" s="142"/>
      <c r="O682" s="61"/>
      <c r="P682" s="168"/>
      <c r="Q6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2" s="36"/>
      <c r="S682" s="90"/>
    </row>
    <row r="683" spans="1:19" ht="36" hidden="1" customHeight="1">
      <c r="A683" s="9"/>
      <c r="B683" s="13" t="e">
        <f>VLOOKUP(Table2[[#This Row],[Location 
(drop-down)]],'List source'!D$2:E$71,2,FALSE)</f>
        <v>#N/A</v>
      </c>
      <c r="C683" s="11" t="s">
        <v>800</v>
      </c>
      <c r="D683" s="183" t="e">
        <f t="shared" si="10"/>
        <v>#N/A</v>
      </c>
      <c r="E683" s="18"/>
      <c r="F683" s="18"/>
      <c r="G683" s="9"/>
      <c r="H683" s="10"/>
      <c r="I683" s="19"/>
      <c r="J683" s="142"/>
      <c r="K683" s="142"/>
      <c r="L683" s="142"/>
      <c r="M683" s="142"/>
      <c r="N683" s="142"/>
      <c r="O683" s="61"/>
      <c r="P683" s="168"/>
      <c r="Q6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3" s="36"/>
      <c r="S683" s="90"/>
    </row>
    <row r="684" spans="1:19" ht="36" hidden="1" customHeight="1">
      <c r="A684" s="9"/>
      <c r="B684" s="13" t="e">
        <f>VLOOKUP(Table2[[#This Row],[Location 
(drop-down)]],'List source'!D$2:E$71,2,FALSE)</f>
        <v>#N/A</v>
      </c>
      <c r="C684" s="11" t="s">
        <v>801</v>
      </c>
      <c r="D684" s="183" t="e">
        <f t="shared" si="10"/>
        <v>#N/A</v>
      </c>
      <c r="E684" s="18"/>
      <c r="F684" s="18"/>
      <c r="G684" s="9"/>
      <c r="H684" s="10"/>
      <c r="I684" s="19"/>
      <c r="J684" s="142"/>
      <c r="K684" s="142"/>
      <c r="L684" s="142"/>
      <c r="M684" s="142"/>
      <c r="N684" s="142"/>
      <c r="O684" s="61"/>
      <c r="P684" s="168"/>
      <c r="Q6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4" s="36"/>
      <c r="S684" s="90"/>
    </row>
    <row r="685" spans="1:19" ht="36" hidden="1" customHeight="1">
      <c r="A685" s="9"/>
      <c r="B685" s="13" t="e">
        <f>VLOOKUP(Table2[[#This Row],[Location 
(drop-down)]],'List source'!D$2:E$71,2,FALSE)</f>
        <v>#N/A</v>
      </c>
      <c r="C685" s="11" t="s">
        <v>802</v>
      </c>
      <c r="D685" s="183" t="e">
        <f t="shared" si="10"/>
        <v>#N/A</v>
      </c>
      <c r="E685" s="18"/>
      <c r="F685" s="18"/>
      <c r="G685" s="9"/>
      <c r="H685" s="10"/>
      <c r="I685" s="19"/>
      <c r="J685" s="142"/>
      <c r="K685" s="142"/>
      <c r="L685" s="142"/>
      <c r="M685" s="142"/>
      <c r="N685" s="142"/>
      <c r="O685" s="61"/>
      <c r="P685" s="168"/>
      <c r="Q6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5" s="36"/>
      <c r="S685" s="90"/>
    </row>
    <row r="686" spans="1:19" ht="36" hidden="1" customHeight="1">
      <c r="A686" s="9"/>
      <c r="B686" s="13" t="e">
        <f>VLOOKUP(Table2[[#This Row],[Location 
(drop-down)]],'List source'!D$2:E$71,2,FALSE)</f>
        <v>#N/A</v>
      </c>
      <c r="C686" s="11" t="s">
        <v>803</v>
      </c>
      <c r="D686" s="183" t="e">
        <f t="shared" si="10"/>
        <v>#N/A</v>
      </c>
      <c r="E686" s="18"/>
      <c r="F686" s="18"/>
      <c r="G686" s="9"/>
      <c r="H686" s="10"/>
      <c r="I686" s="19"/>
      <c r="J686" s="142"/>
      <c r="K686" s="142"/>
      <c r="L686" s="142"/>
      <c r="M686" s="142"/>
      <c r="N686" s="142"/>
      <c r="O686" s="61"/>
      <c r="P686" s="168"/>
      <c r="Q6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6" s="36"/>
      <c r="S686" s="90"/>
    </row>
    <row r="687" spans="1:19" ht="36" hidden="1" customHeight="1">
      <c r="A687" s="9"/>
      <c r="B687" s="13" t="e">
        <f>VLOOKUP(Table2[[#This Row],[Location 
(drop-down)]],'List source'!D$2:E$71,2,FALSE)</f>
        <v>#N/A</v>
      </c>
      <c r="C687" s="11" t="s">
        <v>804</v>
      </c>
      <c r="D687" s="183" t="e">
        <f t="shared" si="10"/>
        <v>#N/A</v>
      </c>
      <c r="E687" s="18"/>
      <c r="F687" s="18"/>
      <c r="G687" s="9"/>
      <c r="H687" s="10"/>
      <c r="I687" s="19"/>
      <c r="J687" s="142"/>
      <c r="K687" s="142"/>
      <c r="L687" s="142"/>
      <c r="M687" s="142"/>
      <c r="N687" s="142"/>
      <c r="O687" s="61"/>
      <c r="P687" s="168"/>
      <c r="Q6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7" s="36"/>
      <c r="S687" s="90"/>
    </row>
    <row r="688" spans="1:19" ht="36" hidden="1" customHeight="1">
      <c r="A688" s="9"/>
      <c r="B688" s="13" t="e">
        <f>VLOOKUP(Table2[[#This Row],[Location 
(drop-down)]],'List source'!D$2:E$71,2,FALSE)</f>
        <v>#N/A</v>
      </c>
      <c r="C688" s="11" t="s">
        <v>805</v>
      </c>
      <c r="D688" s="183" t="e">
        <f t="shared" si="10"/>
        <v>#N/A</v>
      </c>
      <c r="E688" s="18"/>
      <c r="F688" s="18"/>
      <c r="G688" s="9"/>
      <c r="H688" s="10"/>
      <c r="I688" s="19"/>
      <c r="J688" s="142"/>
      <c r="K688" s="142"/>
      <c r="L688" s="142"/>
      <c r="M688" s="142"/>
      <c r="N688" s="142"/>
      <c r="O688" s="61"/>
      <c r="P688" s="168"/>
      <c r="Q6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8" s="36"/>
      <c r="S688" s="90"/>
    </row>
    <row r="689" spans="1:19" ht="36" hidden="1" customHeight="1">
      <c r="A689" s="9"/>
      <c r="B689" s="13" t="e">
        <f>VLOOKUP(Table2[[#This Row],[Location 
(drop-down)]],'List source'!D$2:E$71,2,FALSE)</f>
        <v>#N/A</v>
      </c>
      <c r="C689" s="11" t="s">
        <v>806</v>
      </c>
      <c r="D689" s="183" t="e">
        <f t="shared" si="10"/>
        <v>#N/A</v>
      </c>
      <c r="E689" s="18"/>
      <c r="F689" s="18"/>
      <c r="G689" s="9"/>
      <c r="H689" s="10"/>
      <c r="I689" s="19"/>
      <c r="J689" s="142"/>
      <c r="K689" s="142"/>
      <c r="L689" s="142"/>
      <c r="M689" s="142"/>
      <c r="N689" s="142"/>
      <c r="O689" s="61"/>
      <c r="P689" s="168"/>
      <c r="Q6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89" s="36"/>
      <c r="S689" s="90"/>
    </row>
    <row r="690" spans="1:19" ht="36" hidden="1" customHeight="1">
      <c r="A690" s="9"/>
      <c r="B690" s="13" t="e">
        <f>VLOOKUP(Table2[[#This Row],[Location 
(drop-down)]],'List source'!D$2:E$71,2,FALSE)</f>
        <v>#N/A</v>
      </c>
      <c r="C690" s="11" t="s">
        <v>807</v>
      </c>
      <c r="D690" s="183" t="e">
        <f t="shared" si="10"/>
        <v>#N/A</v>
      </c>
      <c r="E690" s="18"/>
      <c r="F690" s="18"/>
      <c r="G690" s="9"/>
      <c r="H690" s="10"/>
      <c r="I690" s="19"/>
      <c r="J690" s="142"/>
      <c r="K690" s="142"/>
      <c r="L690" s="142"/>
      <c r="M690" s="142"/>
      <c r="N690" s="142"/>
      <c r="O690" s="61"/>
      <c r="P690" s="168"/>
      <c r="Q6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0" s="36"/>
      <c r="S690" s="90"/>
    </row>
    <row r="691" spans="1:19" ht="36" hidden="1" customHeight="1">
      <c r="A691" s="9"/>
      <c r="B691" s="13" t="e">
        <f>VLOOKUP(Table2[[#This Row],[Location 
(drop-down)]],'List source'!D$2:E$71,2,FALSE)</f>
        <v>#N/A</v>
      </c>
      <c r="C691" s="11" t="s">
        <v>808</v>
      </c>
      <c r="D691" s="183" t="e">
        <f t="shared" si="10"/>
        <v>#N/A</v>
      </c>
      <c r="E691" s="18"/>
      <c r="F691" s="18"/>
      <c r="G691" s="9"/>
      <c r="H691" s="10"/>
      <c r="I691" s="19"/>
      <c r="J691" s="142"/>
      <c r="K691" s="142"/>
      <c r="L691" s="142"/>
      <c r="M691" s="142"/>
      <c r="N691" s="142"/>
      <c r="O691" s="61"/>
      <c r="P691" s="168"/>
      <c r="Q6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1" s="36"/>
      <c r="S691" s="90"/>
    </row>
    <row r="692" spans="1:19" ht="36" hidden="1" customHeight="1">
      <c r="A692" s="9"/>
      <c r="B692" s="13" t="e">
        <f>VLOOKUP(Table2[[#This Row],[Location 
(drop-down)]],'List source'!D$2:E$71,2,FALSE)</f>
        <v>#N/A</v>
      </c>
      <c r="C692" s="11" t="s">
        <v>809</v>
      </c>
      <c r="D692" s="183" t="e">
        <f t="shared" si="10"/>
        <v>#N/A</v>
      </c>
      <c r="E692" s="18"/>
      <c r="F692" s="18"/>
      <c r="G692" s="9"/>
      <c r="H692" s="10"/>
      <c r="I692" s="19"/>
      <c r="J692" s="142"/>
      <c r="K692" s="142"/>
      <c r="L692" s="142"/>
      <c r="M692" s="142"/>
      <c r="N692" s="142"/>
      <c r="O692" s="61"/>
      <c r="P692" s="168"/>
      <c r="Q6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2" s="36"/>
      <c r="S692" s="90"/>
    </row>
    <row r="693" spans="1:19" ht="36" hidden="1" customHeight="1">
      <c r="A693" s="9"/>
      <c r="B693" s="13" t="e">
        <f>VLOOKUP(Table2[[#This Row],[Location 
(drop-down)]],'List source'!D$2:E$71,2,FALSE)</f>
        <v>#N/A</v>
      </c>
      <c r="C693" s="11" t="s">
        <v>810</v>
      </c>
      <c r="D693" s="183" t="e">
        <f t="shared" si="10"/>
        <v>#N/A</v>
      </c>
      <c r="E693" s="18"/>
      <c r="F693" s="18"/>
      <c r="G693" s="9"/>
      <c r="H693" s="10"/>
      <c r="I693" s="19"/>
      <c r="J693" s="142"/>
      <c r="K693" s="142"/>
      <c r="L693" s="142"/>
      <c r="M693" s="142"/>
      <c r="N693" s="142"/>
      <c r="O693" s="61"/>
      <c r="P693" s="168"/>
      <c r="Q6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3" s="36"/>
      <c r="S693" s="90"/>
    </row>
    <row r="694" spans="1:19" ht="36" hidden="1" customHeight="1">
      <c r="A694" s="9"/>
      <c r="B694" s="13" t="e">
        <f>VLOOKUP(Table2[[#This Row],[Location 
(drop-down)]],'List source'!D$2:E$71,2,FALSE)</f>
        <v>#N/A</v>
      </c>
      <c r="C694" s="11" t="s">
        <v>811</v>
      </c>
      <c r="D694" s="183" t="e">
        <f t="shared" si="10"/>
        <v>#N/A</v>
      </c>
      <c r="E694" s="18"/>
      <c r="F694" s="18"/>
      <c r="G694" s="9"/>
      <c r="H694" s="10"/>
      <c r="I694" s="19"/>
      <c r="J694" s="142"/>
      <c r="K694" s="142"/>
      <c r="L694" s="142"/>
      <c r="M694" s="142"/>
      <c r="N694" s="142"/>
      <c r="O694" s="61"/>
      <c r="P694" s="168"/>
      <c r="Q6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4" s="36"/>
      <c r="S694" s="90"/>
    </row>
    <row r="695" spans="1:19" ht="36" hidden="1" customHeight="1">
      <c r="A695" s="9"/>
      <c r="B695" s="13" t="e">
        <f>VLOOKUP(Table2[[#This Row],[Location 
(drop-down)]],'List source'!D$2:E$71,2,FALSE)</f>
        <v>#N/A</v>
      </c>
      <c r="C695" s="11" t="s">
        <v>812</v>
      </c>
      <c r="D695" s="183" t="e">
        <f t="shared" si="10"/>
        <v>#N/A</v>
      </c>
      <c r="E695" s="18"/>
      <c r="F695" s="18"/>
      <c r="G695" s="9"/>
      <c r="H695" s="10"/>
      <c r="I695" s="19"/>
      <c r="J695" s="142"/>
      <c r="K695" s="142"/>
      <c r="L695" s="142"/>
      <c r="M695" s="142"/>
      <c r="N695" s="142"/>
      <c r="O695" s="61"/>
      <c r="P695" s="168"/>
      <c r="Q6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5" s="36"/>
      <c r="S695" s="90"/>
    </row>
    <row r="696" spans="1:19" ht="36" hidden="1" customHeight="1">
      <c r="A696" s="9"/>
      <c r="B696" s="13" t="e">
        <f>VLOOKUP(Table2[[#This Row],[Location 
(drop-down)]],'List source'!D$2:E$71,2,FALSE)</f>
        <v>#N/A</v>
      </c>
      <c r="C696" s="11" t="s">
        <v>813</v>
      </c>
      <c r="D696" s="183" t="e">
        <f t="shared" si="10"/>
        <v>#N/A</v>
      </c>
      <c r="E696" s="18"/>
      <c r="F696" s="18"/>
      <c r="G696" s="9"/>
      <c r="H696" s="10"/>
      <c r="I696" s="19"/>
      <c r="J696" s="142"/>
      <c r="K696" s="142"/>
      <c r="L696" s="142"/>
      <c r="M696" s="142"/>
      <c r="N696" s="142"/>
      <c r="O696" s="61"/>
      <c r="P696" s="168"/>
      <c r="Q6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6" s="36"/>
      <c r="S696" s="90"/>
    </row>
    <row r="697" spans="1:19" ht="36" hidden="1" customHeight="1">
      <c r="A697" s="9"/>
      <c r="B697" s="13" t="e">
        <f>VLOOKUP(Table2[[#This Row],[Location 
(drop-down)]],'List source'!D$2:E$71,2,FALSE)</f>
        <v>#N/A</v>
      </c>
      <c r="C697" s="11" t="s">
        <v>814</v>
      </c>
      <c r="D697" s="183" t="e">
        <f t="shared" si="10"/>
        <v>#N/A</v>
      </c>
      <c r="E697" s="18"/>
      <c r="F697" s="18"/>
      <c r="G697" s="9"/>
      <c r="H697" s="10"/>
      <c r="I697" s="19"/>
      <c r="J697" s="142"/>
      <c r="K697" s="142"/>
      <c r="L697" s="142"/>
      <c r="M697" s="142"/>
      <c r="N697" s="142"/>
      <c r="O697" s="61"/>
      <c r="P697" s="168"/>
      <c r="Q6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7" s="36"/>
      <c r="S697" s="90"/>
    </row>
    <row r="698" spans="1:19" ht="36" hidden="1" customHeight="1">
      <c r="A698" s="9"/>
      <c r="B698" s="13" t="e">
        <f>VLOOKUP(Table2[[#This Row],[Location 
(drop-down)]],'List source'!D$2:E$71,2,FALSE)</f>
        <v>#N/A</v>
      </c>
      <c r="C698" s="11" t="s">
        <v>815</v>
      </c>
      <c r="D698" s="183" t="e">
        <f t="shared" si="10"/>
        <v>#N/A</v>
      </c>
      <c r="E698" s="18"/>
      <c r="F698" s="18"/>
      <c r="G698" s="9"/>
      <c r="H698" s="10"/>
      <c r="I698" s="19"/>
      <c r="J698" s="142"/>
      <c r="K698" s="142"/>
      <c r="L698" s="142"/>
      <c r="M698" s="142"/>
      <c r="N698" s="142"/>
      <c r="O698" s="61"/>
      <c r="P698" s="168"/>
      <c r="Q6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8" s="36"/>
      <c r="S698" s="90"/>
    </row>
    <row r="699" spans="1:19" ht="36" hidden="1" customHeight="1">
      <c r="A699" s="9"/>
      <c r="B699" s="13" t="e">
        <f>VLOOKUP(Table2[[#This Row],[Location 
(drop-down)]],'List source'!D$2:E$71,2,FALSE)</f>
        <v>#N/A</v>
      </c>
      <c r="C699" s="11" t="s">
        <v>816</v>
      </c>
      <c r="D699" s="183" t="e">
        <f t="shared" si="10"/>
        <v>#N/A</v>
      </c>
      <c r="E699" s="18"/>
      <c r="F699" s="18"/>
      <c r="G699" s="9"/>
      <c r="H699" s="10"/>
      <c r="I699" s="19"/>
      <c r="J699" s="142"/>
      <c r="K699" s="142"/>
      <c r="L699" s="142"/>
      <c r="M699" s="142"/>
      <c r="N699" s="142"/>
      <c r="O699" s="61"/>
      <c r="P699" s="168"/>
      <c r="Q6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699" s="36"/>
      <c r="S699" s="90"/>
    </row>
    <row r="700" spans="1:19" ht="36" hidden="1" customHeight="1">
      <c r="A700" s="9"/>
      <c r="B700" s="13" t="e">
        <f>VLOOKUP(Table2[[#This Row],[Location 
(drop-down)]],'List source'!D$2:E$71,2,FALSE)</f>
        <v>#N/A</v>
      </c>
      <c r="C700" s="11" t="s">
        <v>817</v>
      </c>
      <c r="D700" s="183" t="e">
        <f t="shared" si="10"/>
        <v>#N/A</v>
      </c>
      <c r="E700" s="18"/>
      <c r="F700" s="18"/>
      <c r="G700" s="9"/>
      <c r="H700" s="10"/>
      <c r="I700" s="19"/>
      <c r="J700" s="142"/>
      <c r="K700" s="142"/>
      <c r="L700" s="142"/>
      <c r="M700" s="142"/>
      <c r="N700" s="142"/>
      <c r="O700" s="61"/>
      <c r="P700" s="168"/>
      <c r="Q7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0" s="36"/>
      <c r="S700" s="90"/>
    </row>
    <row r="701" spans="1:19" ht="36" hidden="1" customHeight="1">
      <c r="A701" s="9"/>
      <c r="B701" s="13" t="e">
        <f>VLOOKUP(Table2[[#This Row],[Location 
(drop-down)]],'List source'!D$2:E$71,2,FALSE)</f>
        <v>#N/A</v>
      </c>
      <c r="C701" s="11" t="s">
        <v>818</v>
      </c>
      <c r="D701" s="183" t="e">
        <f t="shared" si="10"/>
        <v>#N/A</v>
      </c>
      <c r="E701" s="18"/>
      <c r="F701" s="18"/>
      <c r="G701" s="9"/>
      <c r="H701" s="10"/>
      <c r="I701" s="19"/>
      <c r="J701" s="142"/>
      <c r="K701" s="142"/>
      <c r="L701" s="142"/>
      <c r="M701" s="142"/>
      <c r="N701" s="142"/>
      <c r="O701" s="61"/>
      <c r="P701" s="168"/>
      <c r="Q7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1" s="36"/>
      <c r="S701" s="90"/>
    </row>
    <row r="702" spans="1:19" ht="36" hidden="1" customHeight="1">
      <c r="A702" s="9"/>
      <c r="B702" s="13" t="e">
        <f>VLOOKUP(Table2[[#This Row],[Location 
(drop-down)]],'List source'!D$2:E$71,2,FALSE)</f>
        <v>#N/A</v>
      </c>
      <c r="C702" s="11" t="s">
        <v>819</v>
      </c>
      <c r="D702" s="183" t="e">
        <f t="shared" si="10"/>
        <v>#N/A</v>
      </c>
      <c r="E702" s="18"/>
      <c r="F702" s="18"/>
      <c r="G702" s="9"/>
      <c r="H702" s="10"/>
      <c r="I702" s="19"/>
      <c r="J702" s="142"/>
      <c r="K702" s="142"/>
      <c r="L702" s="142"/>
      <c r="M702" s="142"/>
      <c r="N702" s="142"/>
      <c r="O702" s="61"/>
      <c r="P702" s="168"/>
      <c r="Q7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2" s="36"/>
      <c r="S702" s="90"/>
    </row>
    <row r="703" spans="1:19" ht="36" hidden="1" customHeight="1">
      <c r="A703" s="9"/>
      <c r="B703" s="13" t="e">
        <f>VLOOKUP(Table2[[#This Row],[Location 
(drop-down)]],'List source'!D$2:E$71,2,FALSE)</f>
        <v>#N/A</v>
      </c>
      <c r="C703" s="11" t="s">
        <v>820</v>
      </c>
      <c r="D703" s="183" t="e">
        <f t="shared" si="10"/>
        <v>#N/A</v>
      </c>
      <c r="E703" s="74"/>
      <c r="F703" s="74"/>
      <c r="G703" s="86"/>
      <c r="H703" s="10"/>
      <c r="I703" s="19"/>
      <c r="J703" s="142"/>
      <c r="K703" s="142"/>
      <c r="L703" s="142"/>
      <c r="M703" s="142"/>
      <c r="N703" s="142"/>
      <c r="O703" s="61"/>
      <c r="P703" s="168"/>
      <c r="Q7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3" s="36"/>
      <c r="S703" s="90"/>
    </row>
    <row r="704" spans="1:19" ht="36" hidden="1" customHeight="1">
      <c r="A704" s="68"/>
      <c r="B704" s="13" t="e">
        <f>VLOOKUP(Table2[[#This Row],[Location 
(drop-down)]],'List source'!D$2:E$71,2,FALSE)</f>
        <v>#N/A</v>
      </c>
      <c r="C704" s="11" t="s">
        <v>821</v>
      </c>
      <c r="D704" s="183" t="e">
        <f t="shared" si="10"/>
        <v>#N/A</v>
      </c>
      <c r="E704" s="188"/>
      <c r="F704" s="188"/>
      <c r="G704" s="9"/>
      <c r="H704" s="10"/>
      <c r="I704" s="19"/>
      <c r="J704" s="142"/>
      <c r="K704" s="176"/>
      <c r="L704" s="176"/>
      <c r="M704" s="176"/>
      <c r="N704" s="176"/>
      <c r="O704" s="71"/>
      <c r="P704" s="225"/>
      <c r="Q7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4" s="65"/>
      <c r="S704" s="90"/>
    </row>
    <row r="705" spans="1:19" ht="36" hidden="1" customHeight="1">
      <c r="A705" s="9"/>
      <c r="B705" s="13" t="e">
        <f>VLOOKUP(Table2[[#This Row],[Location 
(drop-down)]],'List source'!D$2:E$71,2,FALSE)</f>
        <v>#N/A</v>
      </c>
      <c r="C705" s="11" t="s">
        <v>822</v>
      </c>
      <c r="D705" s="183" t="e">
        <f t="shared" si="10"/>
        <v>#N/A</v>
      </c>
      <c r="E705" s="192"/>
      <c r="F705" s="192"/>
      <c r="G705" s="9"/>
      <c r="H705" s="10"/>
      <c r="I705" s="19"/>
      <c r="J705" s="142"/>
      <c r="K705" s="142"/>
      <c r="L705" s="142"/>
      <c r="M705" s="142"/>
      <c r="N705" s="142"/>
      <c r="O705" s="61"/>
      <c r="P705" s="168"/>
      <c r="Q7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5" s="36"/>
      <c r="S705" s="90"/>
    </row>
    <row r="706" spans="1:19" ht="36" hidden="1" customHeight="1">
      <c r="A706" s="9"/>
      <c r="B706" s="13" t="e">
        <f>VLOOKUP(Table2[[#This Row],[Location 
(drop-down)]],'List source'!D$2:E$71,2,FALSE)</f>
        <v>#N/A</v>
      </c>
      <c r="C706" s="11" t="s">
        <v>823</v>
      </c>
      <c r="D706" s="183" t="e">
        <f t="shared" ref="D706:D769" si="11">"C" &amp; C706 &amp;"-" &amp; B706 &amp; "-" &amp; "26"</f>
        <v>#N/A</v>
      </c>
      <c r="E706" s="192"/>
      <c r="F706" s="192"/>
      <c r="G706" s="75"/>
      <c r="H706" s="10"/>
      <c r="I706" s="19"/>
      <c r="J706" s="142"/>
      <c r="K706" s="142"/>
      <c r="L706" s="142"/>
      <c r="M706" s="142"/>
      <c r="N706" s="142"/>
      <c r="O706" s="61"/>
      <c r="P706" s="168"/>
      <c r="Q7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6" s="36"/>
      <c r="S706" s="90"/>
    </row>
    <row r="707" spans="1:19" ht="36" hidden="1" customHeight="1">
      <c r="A707" s="9"/>
      <c r="B707" s="13" t="e">
        <f>VLOOKUP(Table2[[#This Row],[Location 
(drop-down)]],'List source'!D$2:E$71,2,FALSE)</f>
        <v>#N/A</v>
      </c>
      <c r="C707" s="11" t="s">
        <v>824</v>
      </c>
      <c r="D707" s="183" t="e">
        <f t="shared" si="11"/>
        <v>#N/A</v>
      </c>
      <c r="E707" s="192"/>
      <c r="F707" s="191"/>
      <c r="H707" s="10"/>
      <c r="I707" s="19"/>
      <c r="J707" s="142"/>
      <c r="K707" s="142"/>
      <c r="L707" s="142"/>
      <c r="M707" s="142"/>
      <c r="N707" s="142"/>
      <c r="O707" s="61"/>
      <c r="P707" s="168"/>
      <c r="Q7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7" s="36"/>
      <c r="S707" s="90"/>
    </row>
    <row r="708" spans="1:19" ht="36" hidden="1" customHeight="1">
      <c r="A708" s="9"/>
      <c r="B708" s="13" t="e">
        <f>VLOOKUP(Table2[[#This Row],[Location 
(drop-down)]],'List source'!D$2:E$71,2,FALSE)</f>
        <v>#N/A</v>
      </c>
      <c r="C708" s="11" t="s">
        <v>825</v>
      </c>
      <c r="D708" s="183" t="e">
        <f t="shared" si="11"/>
        <v>#N/A</v>
      </c>
      <c r="E708" s="192"/>
      <c r="F708" s="192"/>
      <c r="G708" s="9"/>
      <c r="H708" s="10"/>
      <c r="I708" s="19"/>
      <c r="J708" s="142"/>
      <c r="K708" s="142"/>
      <c r="L708" s="142"/>
      <c r="M708" s="142"/>
      <c r="N708" s="142"/>
      <c r="O708" s="61"/>
      <c r="P708" s="168"/>
      <c r="Q7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8" s="36"/>
      <c r="S708" s="90"/>
    </row>
    <row r="709" spans="1:19" ht="36" hidden="1" customHeight="1">
      <c r="A709" s="9"/>
      <c r="B709" s="13" t="e">
        <f>VLOOKUP(Table2[[#This Row],[Location 
(drop-down)]],'List source'!D$2:E$71,2,FALSE)</f>
        <v>#N/A</v>
      </c>
      <c r="C709" s="11" t="s">
        <v>826</v>
      </c>
      <c r="D709" s="183" t="e">
        <f t="shared" si="11"/>
        <v>#N/A</v>
      </c>
      <c r="E709" s="192"/>
      <c r="F709" s="192"/>
      <c r="G709" s="9"/>
      <c r="H709" s="10"/>
      <c r="I709" s="19"/>
      <c r="J709" s="142"/>
      <c r="K709" s="142"/>
      <c r="L709" s="142"/>
      <c r="M709" s="142"/>
      <c r="N709" s="142"/>
      <c r="O709" s="61"/>
      <c r="P709" s="168"/>
      <c r="Q7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09" s="36"/>
      <c r="S709" s="90"/>
    </row>
    <row r="710" spans="1:19" ht="36" hidden="1" customHeight="1">
      <c r="A710" s="9"/>
      <c r="B710" s="13" t="e">
        <f>VLOOKUP(Table2[[#This Row],[Location 
(drop-down)]],'List source'!D$2:E$71,2,FALSE)</f>
        <v>#N/A</v>
      </c>
      <c r="C710" s="11" t="s">
        <v>827</v>
      </c>
      <c r="D710" s="183" t="e">
        <f t="shared" si="11"/>
        <v>#N/A</v>
      </c>
      <c r="E710" s="192"/>
      <c r="F710" s="192"/>
      <c r="G710" s="9"/>
      <c r="H710" s="10"/>
      <c r="I710" s="19"/>
      <c r="J710" s="142"/>
      <c r="K710" s="142"/>
      <c r="L710" s="142"/>
      <c r="M710" s="142"/>
      <c r="N710" s="142"/>
      <c r="O710" s="61"/>
      <c r="P710" s="168"/>
      <c r="Q7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0" s="36"/>
      <c r="S710" s="90"/>
    </row>
    <row r="711" spans="1:19" ht="36" hidden="1" customHeight="1">
      <c r="A711" s="9"/>
      <c r="B711" s="13" t="e">
        <f>VLOOKUP(Table2[[#This Row],[Location 
(drop-down)]],'List source'!D$2:E$71,2,FALSE)</f>
        <v>#N/A</v>
      </c>
      <c r="C711" s="11" t="s">
        <v>828</v>
      </c>
      <c r="D711" s="183" t="e">
        <f t="shared" si="11"/>
        <v>#N/A</v>
      </c>
      <c r="E711" s="18"/>
      <c r="F711" s="18"/>
      <c r="G711" s="9"/>
      <c r="H711" s="10"/>
      <c r="I711" s="19"/>
      <c r="J711" s="142"/>
      <c r="K711" s="142"/>
      <c r="L711" s="142"/>
      <c r="M711" s="142"/>
      <c r="N711" s="142"/>
      <c r="O711" s="61"/>
      <c r="P711" s="168"/>
      <c r="Q7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1" s="36"/>
      <c r="S711" s="90"/>
    </row>
    <row r="712" spans="1:19" ht="36" hidden="1" customHeight="1">
      <c r="A712" s="9"/>
      <c r="B712" s="13" t="e">
        <f>VLOOKUP(Table2[[#This Row],[Location 
(drop-down)]],'List source'!D$2:E$71,2,FALSE)</f>
        <v>#N/A</v>
      </c>
      <c r="C712" s="11" t="s">
        <v>829</v>
      </c>
      <c r="D712" s="183" t="e">
        <f t="shared" si="11"/>
        <v>#N/A</v>
      </c>
      <c r="E712" s="18"/>
      <c r="F712" s="18"/>
      <c r="G712" s="9"/>
      <c r="H712" s="10"/>
      <c r="I712" s="19"/>
      <c r="J712" s="142"/>
      <c r="K712" s="142"/>
      <c r="L712" s="142"/>
      <c r="M712" s="142"/>
      <c r="N712" s="142"/>
      <c r="O712" s="61"/>
      <c r="P712" s="168"/>
      <c r="Q7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2" s="36"/>
      <c r="S712" s="90"/>
    </row>
    <row r="713" spans="1:19" ht="36" hidden="1" customHeight="1">
      <c r="A713" s="9"/>
      <c r="B713" s="13" t="e">
        <f>VLOOKUP(Table2[[#This Row],[Location 
(drop-down)]],'List source'!D$2:E$71,2,FALSE)</f>
        <v>#N/A</v>
      </c>
      <c r="C713" s="11" t="s">
        <v>830</v>
      </c>
      <c r="D713" s="183" t="e">
        <f t="shared" si="11"/>
        <v>#N/A</v>
      </c>
      <c r="E713" s="192"/>
      <c r="F713" s="192"/>
      <c r="G713" s="9"/>
      <c r="H713" s="10"/>
      <c r="I713" s="19"/>
      <c r="J713" s="142"/>
      <c r="K713" s="142"/>
      <c r="L713" s="142"/>
      <c r="M713" s="142"/>
      <c r="N713" s="142"/>
      <c r="O713" s="61"/>
      <c r="P713" s="168"/>
      <c r="Q7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3" s="36"/>
      <c r="S713" s="90"/>
    </row>
    <row r="714" spans="1:19" ht="36" hidden="1" customHeight="1">
      <c r="A714" s="9"/>
      <c r="B714" s="13" t="e">
        <f>VLOOKUP(Table2[[#This Row],[Location 
(drop-down)]],'List source'!D$2:E$71,2,FALSE)</f>
        <v>#N/A</v>
      </c>
      <c r="C714" s="11" t="s">
        <v>831</v>
      </c>
      <c r="D714" s="183" t="e">
        <f t="shared" si="11"/>
        <v>#N/A</v>
      </c>
      <c r="E714" s="192"/>
      <c r="F714" s="192"/>
      <c r="G714" s="9"/>
      <c r="H714" s="10"/>
      <c r="I714" s="19"/>
      <c r="J714" s="142"/>
      <c r="K714" s="142"/>
      <c r="L714" s="142"/>
      <c r="M714" s="142"/>
      <c r="N714" s="142"/>
      <c r="O714" s="61"/>
      <c r="P714" s="168"/>
      <c r="Q7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4" s="36"/>
      <c r="S714" s="90"/>
    </row>
    <row r="715" spans="1:19" ht="36" hidden="1" customHeight="1">
      <c r="A715" s="9"/>
      <c r="B715" s="13" t="e">
        <f>VLOOKUP(Table2[[#This Row],[Location 
(drop-down)]],'List source'!D$2:E$71,2,FALSE)</f>
        <v>#N/A</v>
      </c>
      <c r="C715" s="11" t="s">
        <v>832</v>
      </c>
      <c r="D715" s="183" t="e">
        <f t="shared" si="11"/>
        <v>#N/A</v>
      </c>
      <c r="E715" s="192"/>
      <c r="F715" s="192"/>
      <c r="G715" s="9"/>
      <c r="H715" s="10"/>
      <c r="I715" s="19"/>
      <c r="J715" s="142"/>
      <c r="K715" s="142"/>
      <c r="L715" s="142"/>
      <c r="M715" s="142"/>
      <c r="N715" s="142"/>
      <c r="O715" s="61"/>
      <c r="P715" s="168"/>
      <c r="Q7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5" s="36"/>
      <c r="S715" s="90"/>
    </row>
    <row r="716" spans="1:19" ht="36" hidden="1" customHeight="1">
      <c r="A716" s="9"/>
      <c r="B716" s="13" t="e">
        <f>VLOOKUP(Table2[[#This Row],[Location 
(drop-down)]],'List source'!D$2:E$71,2,FALSE)</f>
        <v>#N/A</v>
      </c>
      <c r="C716" s="11" t="s">
        <v>833</v>
      </c>
      <c r="D716" s="183" t="e">
        <f t="shared" si="11"/>
        <v>#N/A</v>
      </c>
      <c r="E716" s="192"/>
      <c r="F716" s="192"/>
      <c r="G716" s="9"/>
      <c r="H716" s="10"/>
      <c r="I716" s="19"/>
      <c r="J716" s="142"/>
      <c r="K716" s="142"/>
      <c r="L716" s="142"/>
      <c r="M716" s="142"/>
      <c r="N716" s="142"/>
      <c r="O716" s="61"/>
      <c r="P716" s="168"/>
      <c r="Q7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6" s="36"/>
      <c r="S716" s="90"/>
    </row>
    <row r="717" spans="1:19" ht="36" hidden="1" customHeight="1">
      <c r="A717" s="9"/>
      <c r="B717" s="13" t="e">
        <f>VLOOKUP(Table2[[#This Row],[Location 
(drop-down)]],'List source'!D$2:E$71,2,FALSE)</f>
        <v>#N/A</v>
      </c>
      <c r="C717" s="11" t="s">
        <v>834</v>
      </c>
      <c r="D717" s="183" t="e">
        <f t="shared" si="11"/>
        <v>#N/A</v>
      </c>
      <c r="E717" s="192"/>
      <c r="F717" s="192"/>
      <c r="G717" s="9"/>
      <c r="H717" s="10"/>
      <c r="I717" s="19"/>
      <c r="J717" s="142"/>
      <c r="K717" s="142"/>
      <c r="L717" s="142"/>
      <c r="M717" s="142"/>
      <c r="N717" s="142"/>
      <c r="O717" s="61"/>
      <c r="P717" s="168"/>
      <c r="Q7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7" s="36"/>
      <c r="S717" s="90"/>
    </row>
    <row r="718" spans="1:19" ht="36" hidden="1" customHeight="1">
      <c r="A718" s="9"/>
      <c r="B718" s="13" t="e">
        <f>VLOOKUP(Table2[[#This Row],[Location 
(drop-down)]],'List source'!D$2:E$71,2,FALSE)</f>
        <v>#N/A</v>
      </c>
      <c r="C718" s="11" t="s">
        <v>835</v>
      </c>
      <c r="D718" s="183" t="e">
        <f t="shared" si="11"/>
        <v>#N/A</v>
      </c>
      <c r="E718" s="192"/>
      <c r="F718" s="192"/>
      <c r="G718" s="9"/>
      <c r="H718" s="10"/>
      <c r="I718" s="19"/>
      <c r="J718" s="142"/>
      <c r="K718" s="142"/>
      <c r="L718" s="142"/>
      <c r="M718" s="142"/>
      <c r="N718" s="142"/>
      <c r="O718" s="61"/>
      <c r="P718" s="168"/>
      <c r="Q7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8" s="36"/>
      <c r="S718" s="90"/>
    </row>
    <row r="719" spans="1:19" ht="36" hidden="1" customHeight="1">
      <c r="A719" s="9"/>
      <c r="B719" s="13" t="e">
        <f>VLOOKUP(Table2[[#This Row],[Location 
(drop-down)]],'List source'!D$2:E$71,2,FALSE)</f>
        <v>#N/A</v>
      </c>
      <c r="C719" s="11" t="s">
        <v>836</v>
      </c>
      <c r="D719" s="183" t="e">
        <f t="shared" si="11"/>
        <v>#N/A</v>
      </c>
      <c r="E719" s="192"/>
      <c r="F719" s="192"/>
      <c r="G719" s="9"/>
      <c r="H719" s="10"/>
      <c r="I719" s="19"/>
      <c r="J719" s="142"/>
      <c r="K719" s="142"/>
      <c r="L719" s="142"/>
      <c r="M719" s="142"/>
      <c r="N719" s="142"/>
      <c r="O719" s="61"/>
      <c r="P719" s="168"/>
      <c r="Q7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19" s="36"/>
      <c r="S719" s="90"/>
    </row>
    <row r="720" spans="1:19" ht="36" hidden="1" customHeight="1">
      <c r="A720" s="9"/>
      <c r="B720" s="13" t="e">
        <f>VLOOKUP(Table2[[#This Row],[Location 
(drop-down)]],'List source'!D$2:E$71,2,FALSE)</f>
        <v>#N/A</v>
      </c>
      <c r="C720" s="11" t="s">
        <v>837</v>
      </c>
      <c r="D720" s="183" t="e">
        <f t="shared" si="11"/>
        <v>#N/A</v>
      </c>
      <c r="E720" s="192"/>
      <c r="F720" s="192"/>
      <c r="G720" s="9"/>
      <c r="H720" s="10"/>
      <c r="I720" s="19"/>
      <c r="J720" s="142"/>
      <c r="K720" s="142"/>
      <c r="L720" s="142"/>
      <c r="M720" s="142"/>
      <c r="N720" s="142"/>
      <c r="O720" s="61"/>
      <c r="P720" s="168"/>
      <c r="Q7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0" s="36"/>
      <c r="S720" s="90"/>
    </row>
    <row r="721" spans="1:19" ht="36" hidden="1" customHeight="1">
      <c r="A721" s="9"/>
      <c r="B721" s="13" t="e">
        <f>VLOOKUP(Table2[[#This Row],[Location 
(drop-down)]],'List source'!D$2:E$71,2,FALSE)</f>
        <v>#N/A</v>
      </c>
      <c r="C721" s="11" t="s">
        <v>838</v>
      </c>
      <c r="D721" s="183" t="e">
        <f t="shared" si="11"/>
        <v>#N/A</v>
      </c>
      <c r="E721" s="192"/>
      <c r="F721" s="192"/>
      <c r="G721" s="9"/>
      <c r="H721" s="10"/>
      <c r="I721" s="19"/>
      <c r="J721" s="142"/>
      <c r="K721" s="142"/>
      <c r="L721" s="142"/>
      <c r="M721" s="142"/>
      <c r="N721" s="142"/>
      <c r="O721" s="61"/>
      <c r="P721" s="168"/>
      <c r="Q7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1" s="36"/>
      <c r="S721" s="90"/>
    </row>
    <row r="722" spans="1:19" ht="36" hidden="1" customHeight="1">
      <c r="A722" s="9"/>
      <c r="B722" s="13" t="e">
        <f>VLOOKUP(Table2[[#This Row],[Location 
(drop-down)]],'List source'!D$2:E$71,2,FALSE)</f>
        <v>#N/A</v>
      </c>
      <c r="C722" s="11" t="s">
        <v>839</v>
      </c>
      <c r="D722" s="183" t="e">
        <f t="shared" si="11"/>
        <v>#N/A</v>
      </c>
      <c r="E722" s="192"/>
      <c r="F722" s="192"/>
      <c r="G722" s="9"/>
      <c r="H722" s="10"/>
      <c r="I722" s="19"/>
      <c r="J722" s="142"/>
      <c r="K722" s="142"/>
      <c r="L722" s="142"/>
      <c r="M722" s="142"/>
      <c r="N722" s="142"/>
      <c r="O722" s="61"/>
      <c r="P722" s="168"/>
      <c r="Q7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2" s="36"/>
      <c r="S722" s="90"/>
    </row>
    <row r="723" spans="1:19" ht="36" hidden="1" customHeight="1">
      <c r="A723" s="9"/>
      <c r="B723" s="13" t="e">
        <f>VLOOKUP(Table2[[#This Row],[Location 
(drop-down)]],'List source'!D$2:E$71,2,FALSE)</f>
        <v>#N/A</v>
      </c>
      <c r="C723" s="11" t="s">
        <v>840</v>
      </c>
      <c r="D723" s="183" t="e">
        <f t="shared" si="11"/>
        <v>#N/A</v>
      </c>
      <c r="E723" s="192"/>
      <c r="F723" s="192"/>
      <c r="G723" s="9"/>
      <c r="H723" s="10"/>
      <c r="I723" s="19"/>
      <c r="J723" s="142"/>
      <c r="K723" s="142"/>
      <c r="L723" s="142"/>
      <c r="M723" s="142"/>
      <c r="N723" s="142"/>
      <c r="O723" s="61"/>
      <c r="P723" s="168"/>
      <c r="Q7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3" s="36"/>
      <c r="S723" s="90"/>
    </row>
    <row r="724" spans="1:19" ht="36" hidden="1" customHeight="1">
      <c r="A724" s="9"/>
      <c r="B724" s="13" t="e">
        <f>VLOOKUP(Table2[[#This Row],[Location 
(drop-down)]],'List source'!D$2:E$71,2,FALSE)</f>
        <v>#N/A</v>
      </c>
      <c r="C724" s="11" t="s">
        <v>841</v>
      </c>
      <c r="D724" s="183" t="e">
        <f t="shared" si="11"/>
        <v>#N/A</v>
      </c>
      <c r="E724" s="192"/>
      <c r="F724" s="192"/>
      <c r="G724" s="9"/>
      <c r="H724" s="10"/>
      <c r="I724" s="19"/>
      <c r="J724" s="142"/>
      <c r="K724" s="142"/>
      <c r="L724" s="142"/>
      <c r="M724" s="142"/>
      <c r="N724" s="142"/>
      <c r="O724" s="61"/>
      <c r="P724" s="168"/>
      <c r="Q7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4" s="36"/>
      <c r="S724" s="90"/>
    </row>
    <row r="725" spans="1:19" ht="36" hidden="1" customHeight="1">
      <c r="A725" s="9"/>
      <c r="B725" s="13" t="e">
        <f>VLOOKUP(Table2[[#This Row],[Location 
(drop-down)]],'List source'!D$2:E$71,2,FALSE)</f>
        <v>#N/A</v>
      </c>
      <c r="C725" s="11" t="s">
        <v>842</v>
      </c>
      <c r="D725" s="183" t="e">
        <f t="shared" si="11"/>
        <v>#N/A</v>
      </c>
      <c r="E725" s="192"/>
      <c r="F725" s="192"/>
      <c r="G725" s="9"/>
      <c r="H725" s="10"/>
      <c r="I725" s="19"/>
      <c r="J725" s="142"/>
      <c r="K725" s="142"/>
      <c r="L725" s="142"/>
      <c r="M725" s="142"/>
      <c r="N725" s="142"/>
      <c r="O725" s="61"/>
      <c r="P725" s="168"/>
      <c r="Q7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5" s="36"/>
      <c r="S725" s="90"/>
    </row>
    <row r="726" spans="1:19" ht="36" hidden="1" customHeight="1">
      <c r="A726" s="9"/>
      <c r="B726" s="13" t="e">
        <f>VLOOKUP(Table2[[#This Row],[Location 
(drop-down)]],'List source'!D$2:E$71,2,FALSE)</f>
        <v>#N/A</v>
      </c>
      <c r="C726" s="11" t="s">
        <v>843</v>
      </c>
      <c r="D726" s="183" t="e">
        <f t="shared" si="11"/>
        <v>#N/A</v>
      </c>
      <c r="E726" s="192"/>
      <c r="F726" s="192"/>
      <c r="G726" s="9"/>
      <c r="H726" s="10"/>
      <c r="I726" s="19"/>
      <c r="J726" s="142"/>
      <c r="K726" s="142"/>
      <c r="L726" s="142"/>
      <c r="M726" s="142"/>
      <c r="N726" s="142"/>
      <c r="O726" s="61"/>
      <c r="P726" s="168"/>
      <c r="Q7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6" s="36"/>
      <c r="S726" s="90"/>
    </row>
    <row r="727" spans="1:19" ht="36" hidden="1" customHeight="1">
      <c r="A727" s="9"/>
      <c r="B727" s="13" t="e">
        <f>VLOOKUP(Table2[[#This Row],[Location 
(drop-down)]],'List source'!D$2:E$71,2,FALSE)</f>
        <v>#N/A</v>
      </c>
      <c r="C727" s="11" t="s">
        <v>844</v>
      </c>
      <c r="D727" s="183" t="e">
        <f t="shared" si="11"/>
        <v>#N/A</v>
      </c>
      <c r="E727" s="192"/>
      <c r="F727" s="192"/>
      <c r="G727" s="9"/>
      <c r="H727" s="10"/>
      <c r="I727" s="19"/>
      <c r="J727" s="142"/>
      <c r="K727" s="142"/>
      <c r="L727" s="142"/>
      <c r="M727" s="142"/>
      <c r="N727" s="142"/>
      <c r="O727" s="61"/>
      <c r="P727" s="168"/>
      <c r="Q7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7" s="36"/>
      <c r="S727" s="90"/>
    </row>
    <row r="728" spans="1:19" ht="36" hidden="1" customHeight="1">
      <c r="A728" s="9"/>
      <c r="B728" s="13" t="e">
        <f>VLOOKUP(Table2[[#This Row],[Location 
(drop-down)]],'List source'!D$2:E$71,2,FALSE)</f>
        <v>#N/A</v>
      </c>
      <c r="C728" s="11" t="s">
        <v>845</v>
      </c>
      <c r="D728" s="183" t="e">
        <f t="shared" si="11"/>
        <v>#N/A</v>
      </c>
      <c r="E728" s="192"/>
      <c r="F728" s="192"/>
      <c r="G728" s="9"/>
      <c r="H728" s="10"/>
      <c r="I728" s="19"/>
      <c r="J728" s="142"/>
      <c r="K728" s="142"/>
      <c r="L728" s="142"/>
      <c r="M728" s="142"/>
      <c r="N728" s="142"/>
      <c r="O728" s="61"/>
      <c r="P728" s="168"/>
      <c r="Q7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8" s="36"/>
      <c r="S728" s="90"/>
    </row>
    <row r="729" spans="1:19" ht="36" hidden="1" customHeight="1">
      <c r="A729" s="9"/>
      <c r="B729" s="13" t="e">
        <f>VLOOKUP(Table2[[#This Row],[Location 
(drop-down)]],'List source'!D$2:E$71,2,FALSE)</f>
        <v>#N/A</v>
      </c>
      <c r="C729" s="11" t="s">
        <v>846</v>
      </c>
      <c r="D729" s="183" t="e">
        <f t="shared" si="11"/>
        <v>#N/A</v>
      </c>
      <c r="E729" s="192"/>
      <c r="F729" s="192"/>
      <c r="G729" s="9"/>
      <c r="H729" s="10"/>
      <c r="I729" s="19"/>
      <c r="J729" s="142"/>
      <c r="K729" s="142"/>
      <c r="L729" s="142"/>
      <c r="M729" s="142"/>
      <c r="N729" s="142"/>
      <c r="O729" s="61"/>
      <c r="P729" s="168"/>
      <c r="Q7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29" s="36"/>
      <c r="S729" s="90"/>
    </row>
    <row r="730" spans="1:19" ht="36" hidden="1" customHeight="1">
      <c r="A730" s="9"/>
      <c r="B730" s="13" t="e">
        <f>VLOOKUP(Table2[[#This Row],[Location 
(drop-down)]],'List source'!D$2:E$71,2,FALSE)</f>
        <v>#N/A</v>
      </c>
      <c r="C730" s="11" t="s">
        <v>847</v>
      </c>
      <c r="D730" s="183" t="e">
        <f t="shared" si="11"/>
        <v>#N/A</v>
      </c>
      <c r="E730" s="192"/>
      <c r="F730" s="192"/>
      <c r="G730" s="9"/>
      <c r="H730" s="10"/>
      <c r="I730" s="19"/>
      <c r="J730" s="142"/>
      <c r="K730" s="142"/>
      <c r="L730" s="142"/>
      <c r="M730" s="142"/>
      <c r="N730" s="142"/>
      <c r="O730" s="61"/>
      <c r="P730" s="168"/>
      <c r="Q7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0" s="36"/>
      <c r="S730" s="90"/>
    </row>
    <row r="731" spans="1:19" ht="36" hidden="1" customHeight="1">
      <c r="A731" s="9"/>
      <c r="B731" s="13" t="e">
        <f>VLOOKUP(Table2[[#This Row],[Location 
(drop-down)]],'List source'!D$2:E$71,2,FALSE)</f>
        <v>#N/A</v>
      </c>
      <c r="C731" s="11" t="s">
        <v>848</v>
      </c>
      <c r="D731" s="183" t="e">
        <f t="shared" si="11"/>
        <v>#N/A</v>
      </c>
      <c r="E731" s="192"/>
      <c r="F731" s="192"/>
      <c r="G731" s="9"/>
      <c r="H731" s="10"/>
      <c r="I731" s="19"/>
      <c r="J731" s="142"/>
      <c r="K731" s="142"/>
      <c r="L731" s="142"/>
      <c r="M731" s="142"/>
      <c r="N731" s="142"/>
      <c r="O731" s="61"/>
      <c r="P731" s="168"/>
      <c r="Q7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1" s="36"/>
      <c r="S731" s="90"/>
    </row>
    <row r="732" spans="1:19" ht="36" hidden="1" customHeight="1">
      <c r="A732" s="9"/>
      <c r="B732" s="13" t="e">
        <f>VLOOKUP(Table2[[#This Row],[Location 
(drop-down)]],'List source'!D$2:E$71,2,FALSE)</f>
        <v>#N/A</v>
      </c>
      <c r="C732" s="11" t="s">
        <v>849</v>
      </c>
      <c r="D732" s="183" t="e">
        <f t="shared" si="11"/>
        <v>#N/A</v>
      </c>
      <c r="E732" s="192"/>
      <c r="F732" s="192"/>
      <c r="G732" s="9"/>
      <c r="H732" s="10"/>
      <c r="I732" s="19"/>
      <c r="J732" s="142"/>
      <c r="K732" s="142"/>
      <c r="L732" s="142"/>
      <c r="M732" s="142"/>
      <c r="N732" s="142"/>
      <c r="O732" s="61"/>
      <c r="P732" s="168"/>
      <c r="Q7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2" s="36"/>
      <c r="S732" s="90"/>
    </row>
    <row r="733" spans="1:19" ht="36" hidden="1" customHeight="1">
      <c r="A733" s="9"/>
      <c r="B733" s="13" t="e">
        <f>VLOOKUP(Table2[[#This Row],[Location 
(drop-down)]],'List source'!D$2:E$71,2,FALSE)</f>
        <v>#N/A</v>
      </c>
      <c r="C733" s="11" t="s">
        <v>850</v>
      </c>
      <c r="D733" s="183" t="e">
        <f t="shared" si="11"/>
        <v>#N/A</v>
      </c>
      <c r="E733" s="192"/>
      <c r="F733" s="192"/>
      <c r="G733" s="9"/>
      <c r="H733" s="10"/>
      <c r="I733" s="19"/>
      <c r="J733" s="142"/>
      <c r="K733" s="142"/>
      <c r="L733" s="142"/>
      <c r="M733" s="142"/>
      <c r="N733" s="142"/>
      <c r="O733" s="61"/>
      <c r="P733" s="168"/>
      <c r="Q7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3" s="36"/>
      <c r="S733" s="90"/>
    </row>
    <row r="734" spans="1:19" ht="36" hidden="1" customHeight="1">
      <c r="A734" s="9"/>
      <c r="B734" s="13" t="e">
        <f>VLOOKUP(Table2[[#This Row],[Location 
(drop-down)]],'List source'!D$2:E$71,2,FALSE)</f>
        <v>#N/A</v>
      </c>
      <c r="C734" s="11" t="s">
        <v>851</v>
      </c>
      <c r="D734" s="183" t="e">
        <f t="shared" si="11"/>
        <v>#N/A</v>
      </c>
      <c r="E734" s="192"/>
      <c r="F734" s="192"/>
      <c r="G734" s="9"/>
      <c r="H734" s="10"/>
      <c r="I734" s="19"/>
      <c r="J734" s="142"/>
      <c r="K734" s="142"/>
      <c r="L734" s="142"/>
      <c r="M734" s="142"/>
      <c r="N734" s="142"/>
      <c r="O734" s="61"/>
      <c r="P734" s="168"/>
      <c r="Q7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4" s="36"/>
      <c r="S734" s="90"/>
    </row>
    <row r="735" spans="1:19" ht="36" hidden="1" customHeight="1">
      <c r="A735" s="9"/>
      <c r="B735" s="13" t="e">
        <f>VLOOKUP(Table2[[#This Row],[Location 
(drop-down)]],'List source'!D$2:E$71,2,FALSE)</f>
        <v>#N/A</v>
      </c>
      <c r="C735" s="11" t="s">
        <v>852</v>
      </c>
      <c r="D735" s="183" t="e">
        <f t="shared" si="11"/>
        <v>#N/A</v>
      </c>
      <c r="E735" s="192"/>
      <c r="F735" s="192"/>
      <c r="G735" s="9"/>
      <c r="H735" s="10"/>
      <c r="I735" s="19"/>
      <c r="J735" s="142"/>
      <c r="K735" s="142"/>
      <c r="L735" s="142"/>
      <c r="M735" s="142"/>
      <c r="N735" s="142"/>
      <c r="O735" s="61"/>
      <c r="P735" s="168"/>
      <c r="Q7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5" s="36"/>
      <c r="S735" s="90"/>
    </row>
    <row r="736" spans="1:19" ht="36" hidden="1" customHeight="1">
      <c r="A736" s="9"/>
      <c r="B736" s="13" t="e">
        <f>VLOOKUP(Table2[[#This Row],[Location 
(drop-down)]],'List source'!D$2:E$71,2,FALSE)</f>
        <v>#N/A</v>
      </c>
      <c r="C736" s="11" t="s">
        <v>853</v>
      </c>
      <c r="D736" s="183" t="e">
        <f t="shared" si="11"/>
        <v>#N/A</v>
      </c>
      <c r="E736" s="192"/>
      <c r="F736" s="192"/>
      <c r="G736" s="9"/>
      <c r="H736" s="10"/>
      <c r="I736" s="19"/>
      <c r="J736" s="142"/>
      <c r="K736" s="142"/>
      <c r="L736" s="142"/>
      <c r="M736" s="142"/>
      <c r="N736" s="142"/>
      <c r="O736" s="61"/>
      <c r="P736" s="168"/>
      <c r="Q7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6" s="36"/>
      <c r="S736" s="90"/>
    </row>
    <row r="737" spans="1:19" ht="36" hidden="1" customHeight="1">
      <c r="A737" s="9"/>
      <c r="B737" s="13" t="e">
        <f>VLOOKUP(Table2[[#This Row],[Location 
(drop-down)]],'List source'!D$2:E$71,2,FALSE)</f>
        <v>#N/A</v>
      </c>
      <c r="C737" s="11" t="s">
        <v>854</v>
      </c>
      <c r="D737" s="183" t="e">
        <f t="shared" si="11"/>
        <v>#N/A</v>
      </c>
      <c r="E737" s="192"/>
      <c r="F737" s="192"/>
      <c r="G737" s="9"/>
      <c r="H737" s="10"/>
      <c r="I737" s="19"/>
      <c r="J737" s="142"/>
      <c r="K737" s="142"/>
      <c r="L737" s="142"/>
      <c r="M737" s="142"/>
      <c r="N737" s="142"/>
      <c r="O737" s="61"/>
      <c r="P737" s="168"/>
      <c r="Q7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7" s="36"/>
      <c r="S737" s="90"/>
    </row>
    <row r="738" spans="1:19" ht="36" hidden="1" customHeight="1">
      <c r="A738" s="9"/>
      <c r="B738" s="13" t="e">
        <f>VLOOKUP(Table2[[#This Row],[Location 
(drop-down)]],'List source'!D$2:E$71,2,FALSE)</f>
        <v>#N/A</v>
      </c>
      <c r="C738" s="11" t="s">
        <v>855</v>
      </c>
      <c r="D738" s="183" t="e">
        <f t="shared" si="11"/>
        <v>#N/A</v>
      </c>
      <c r="E738" s="192"/>
      <c r="F738" s="192"/>
      <c r="G738" s="9"/>
      <c r="H738" s="10"/>
      <c r="I738" s="19"/>
      <c r="J738" s="142"/>
      <c r="K738" s="142"/>
      <c r="L738" s="142"/>
      <c r="M738" s="142"/>
      <c r="N738" s="142"/>
      <c r="O738" s="61"/>
      <c r="P738" s="168"/>
      <c r="Q7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8" s="36"/>
      <c r="S738" s="90"/>
    </row>
    <row r="739" spans="1:19" ht="36" hidden="1" customHeight="1">
      <c r="A739" s="9"/>
      <c r="B739" s="13" t="e">
        <f>VLOOKUP(Table2[[#This Row],[Location 
(drop-down)]],'List source'!D$2:E$71,2,FALSE)</f>
        <v>#N/A</v>
      </c>
      <c r="C739" s="11" t="s">
        <v>856</v>
      </c>
      <c r="D739" s="183" t="e">
        <f t="shared" si="11"/>
        <v>#N/A</v>
      </c>
      <c r="E739" s="192"/>
      <c r="F739" s="192"/>
      <c r="G739" s="9"/>
      <c r="H739" s="10"/>
      <c r="I739" s="19"/>
      <c r="J739" s="142"/>
      <c r="K739" s="142"/>
      <c r="L739" s="142"/>
      <c r="M739" s="142"/>
      <c r="N739" s="142"/>
      <c r="O739" s="61"/>
      <c r="P739" s="168"/>
      <c r="Q7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39" s="36"/>
      <c r="S739" s="90"/>
    </row>
    <row r="740" spans="1:19" ht="36" hidden="1" customHeight="1">
      <c r="A740" s="9"/>
      <c r="B740" s="13" t="e">
        <f>VLOOKUP(Table2[[#This Row],[Location 
(drop-down)]],'List source'!D$2:E$71,2,FALSE)</f>
        <v>#N/A</v>
      </c>
      <c r="C740" s="11" t="s">
        <v>857</v>
      </c>
      <c r="D740" s="183" t="e">
        <f t="shared" si="11"/>
        <v>#N/A</v>
      </c>
      <c r="E740" s="192"/>
      <c r="F740" s="192"/>
      <c r="G740" s="9"/>
      <c r="H740" s="10"/>
      <c r="I740" s="19"/>
      <c r="J740" s="142"/>
      <c r="K740" s="142"/>
      <c r="L740" s="142"/>
      <c r="M740" s="142"/>
      <c r="N740" s="142"/>
      <c r="O740" s="61"/>
      <c r="P740" s="168"/>
      <c r="Q7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0" s="36"/>
      <c r="S740" s="90"/>
    </row>
    <row r="741" spans="1:19" ht="36" hidden="1" customHeight="1">
      <c r="A741" s="9"/>
      <c r="B741" s="13" t="e">
        <f>VLOOKUP(Table2[[#This Row],[Location 
(drop-down)]],'List source'!D$2:E$71,2,FALSE)</f>
        <v>#N/A</v>
      </c>
      <c r="C741" s="11" t="s">
        <v>858</v>
      </c>
      <c r="D741" s="183" t="e">
        <f t="shared" si="11"/>
        <v>#N/A</v>
      </c>
      <c r="E741" s="192"/>
      <c r="F741" s="192"/>
      <c r="G741" s="9"/>
      <c r="H741" s="10"/>
      <c r="I741" s="19"/>
      <c r="J741" s="142"/>
      <c r="K741" s="142"/>
      <c r="L741" s="142"/>
      <c r="M741" s="142"/>
      <c r="N741" s="142"/>
      <c r="O741" s="61"/>
      <c r="P741" s="168"/>
      <c r="Q7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1" s="36"/>
      <c r="S741" s="90"/>
    </row>
    <row r="742" spans="1:19" ht="36" hidden="1" customHeight="1">
      <c r="A742" s="9"/>
      <c r="B742" s="13" t="e">
        <f>VLOOKUP(Table2[[#This Row],[Location 
(drop-down)]],'List source'!D$2:E$71,2,FALSE)</f>
        <v>#N/A</v>
      </c>
      <c r="C742" s="11" t="s">
        <v>859</v>
      </c>
      <c r="D742" s="183" t="e">
        <f t="shared" si="11"/>
        <v>#N/A</v>
      </c>
      <c r="E742" s="192"/>
      <c r="F742" s="192"/>
      <c r="G742" s="9"/>
      <c r="H742" s="10"/>
      <c r="I742" s="19"/>
      <c r="J742" s="142"/>
      <c r="K742" s="142"/>
      <c r="L742" s="142"/>
      <c r="M742" s="142"/>
      <c r="N742" s="142"/>
      <c r="O742" s="61"/>
      <c r="P742" s="168"/>
      <c r="Q7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2" s="36"/>
      <c r="S742" s="90"/>
    </row>
    <row r="743" spans="1:19" ht="36" hidden="1" customHeight="1">
      <c r="A743" s="9"/>
      <c r="B743" s="13" t="e">
        <f>VLOOKUP(Table2[[#This Row],[Location 
(drop-down)]],'List source'!D$2:E$71,2,FALSE)</f>
        <v>#N/A</v>
      </c>
      <c r="C743" s="11" t="s">
        <v>860</v>
      </c>
      <c r="D743" s="183" t="e">
        <f t="shared" si="11"/>
        <v>#N/A</v>
      </c>
      <c r="E743" s="192"/>
      <c r="F743" s="192"/>
      <c r="G743" s="9"/>
      <c r="H743" s="10"/>
      <c r="I743" s="19"/>
      <c r="J743" s="142"/>
      <c r="K743" s="142"/>
      <c r="L743" s="142"/>
      <c r="M743" s="142"/>
      <c r="N743" s="142"/>
      <c r="O743" s="61"/>
      <c r="P743" s="168"/>
      <c r="Q7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3" s="36"/>
      <c r="S743" s="90"/>
    </row>
    <row r="744" spans="1:19" ht="36" hidden="1" customHeight="1">
      <c r="A744" s="9"/>
      <c r="B744" s="13" t="e">
        <f>VLOOKUP(Table2[[#This Row],[Location 
(drop-down)]],'List source'!D$2:E$71,2,FALSE)</f>
        <v>#N/A</v>
      </c>
      <c r="C744" s="11" t="s">
        <v>861</v>
      </c>
      <c r="D744" s="183" t="e">
        <f t="shared" si="11"/>
        <v>#N/A</v>
      </c>
      <c r="E744" s="192"/>
      <c r="F744" s="192"/>
      <c r="G744" s="9"/>
      <c r="H744" s="10"/>
      <c r="I744" s="19"/>
      <c r="J744" s="142"/>
      <c r="K744" s="142"/>
      <c r="L744" s="142"/>
      <c r="M744" s="142"/>
      <c r="N744" s="142"/>
      <c r="O744" s="61"/>
      <c r="P744" s="168"/>
      <c r="Q7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4" s="36"/>
      <c r="S744" s="90"/>
    </row>
    <row r="745" spans="1:19" ht="36" hidden="1" customHeight="1">
      <c r="A745" s="9"/>
      <c r="B745" s="13" t="e">
        <f>VLOOKUP(Table2[[#This Row],[Location 
(drop-down)]],'List source'!D$2:E$71,2,FALSE)</f>
        <v>#N/A</v>
      </c>
      <c r="C745" s="11" t="s">
        <v>862</v>
      </c>
      <c r="D745" s="183" t="e">
        <f t="shared" si="11"/>
        <v>#N/A</v>
      </c>
      <c r="E745" s="192"/>
      <c r="F745" s="192"/>
      <c r="G745" s="9"/>
      <c r="H745" s="10"/>
      <c r="I745" s="19"/>
      <c r="J745" s="142"/>
      <c r="K745" s="142"/>
      <c r="L745" s="142"/>
      <c r="M745" s="142"/>
      <c r="N745" s="142"/>
      <c r="O745" s="61"/>
      <c r="P745" s="168"/>
      <c r="Q7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5" s="36"/>
      <c r="S745" s="90"/>
    </row>
    <row r="746" spans="1:19" ht="36" hidden="1" customHeight="1">
      <c r="A746" s="9"/>
      <c r="B746" s="13" t="e">
        <f>VLOOKUP(Table2[[#This Row],[Location 
(drop-down)]],'List source'!D$2:E$71,2,FALSE)</f>
        <v>#N/A</v>
      </c>
      <c r="C746" s="11" t="s">
        <v>863</v>
      </c>
      <c r="D746" s="183" t="e">
        <f t="shared" si="11"/>
        <v>#N/A</v>
      </c>
      <c r="E746" s="192"/>
      <c r="F746" s="192"/>
      <c r="G746" s="9"/>
      <c r="H746" s="10"/>
      <c r="I746" s="19"/>
      <c r="J746" s="142"/>
      <c r="K746" s="142"/>
      <c r="L746" s="142"/>
      <c r="M746" s="142"/>
      <c r="N746" s="142"/>
      <c r="O746" s="61"/>
      <c r="P746" s="168"/>
      <c r="Q7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6" s="36"/>
      <c r="S746" s="90"/>
    </row>
    <row r="747" spans="1:19" ht="36" hidden="1" customHeight="1">
      <c r="A747" s="9"/>
      <c r="B747" s="13" t="e">
        <f>VLOOKUP(Table2[[#This Row],[Location 
(drop-down)]],'List source'!D$2:E$71,2,FALSE)</f>
        <v>#N/A</v>
      </c>
      <c r="C747" s="11" t="s">
        <v>864</v>
      </c>
      <c r="D747" s="183" t="e">
        <f t="shared" si="11"/>
        <v>#N/A</v>
      </c>
      <c r="E747" s="192"/>
      <c r="F747" s="192"/>
      <c r="G747" s="9"/>
      <c r="H747" s="10"/>
      <c r="I747" s="19"/>
      <c r="J747" s="142"/>
      <c r="K747" s="142"/>
      <c r="L747" s="142"/>
      <c r="M747" s="142"/>
      <c r="N747" s="142"/>
      <c r="O747" s="61"/>
      <c r="P747" s="168"/>
      <c r="Q7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7" s="36"/>
      <c r="S747" s="90"/>
    </row>
    <row r="748" spans="1:19" ht="36" hidden="1" customHeight="1">
      <c r="A748" s="9"/>
      <c r="B748" s="13" t="e">
        <f>VLOOKUP(Table2[[#This Row],[Location 
(drop-down)]],'List source'!D$2:E$71,2,FALSE)</f>
        <v>#N/A</v>
      </c>
      <c r="C748" s="11" t="s">
        <v>865</v>
      </c>
      <c r="D748" s="183" t="e">
        <f t="shared" si="11"/>
        <v>#N/A</v>
      </c>
      <c r="E748" s="192"/>
      <c r="F748" s="192"/>
      <c r="G748" s="9"/>
      <c r="H748" s="10"/>
      <c r="I748" s="19"/>
      <c r="J748" s="142"/>
      <c r="K748" s="142"/>
      <c r="L748" s="142"/>
      <c r="M748" s="142"/>
      <c r="N748" s="142"/>
      <c r="O748" s="61"/>
      <c r="P748" s="168"/>
      <c r="Q7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8" s="36"/>
      <c r="S748" s="90"/>
    </row>
    <row r="749" spans="1:19" ht="36" hidden="1" customHeight="1">
      <c r="A749" s="9"/>
      <c r="B749" s="13" t="e">
        <f>VLOOKUP(Table2[[#This Row],[Location 
(drop-down)]],'List source'!D$2:E$71,2,FALSE)</f>
        <v>#N/A</v>
      </c>
      <c r="C749" s="11" t="s">
        <v>866</v>
      </c>
      <c r="D749" s="183" t="e">
        <f t="shared" si="11"/>
        <v>#N/A</v>
      </c>
      <c r="E749" s="192"/>
      <c r="F749" s="192"/>
      <c r="G749" s="9"/>
      <c r="H749" s="10"/>
      <c r="I749" s="19"/>
      <c r="J749" s="142"/>
      <c r="K749" s="142"/>
      <c r="L749" s="142"/>
      <c r="M749" s="142"/>
      <c r="N749" s="142"/>
      <c r="O749" s="61"/>
      <c r="P749" s="168"/>
      <c r="Q7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49" s="36"/>
      <c r="S749" s="90"/>
    </row>
    <row r="750" spans="1:19" ht="36" hidden="1" customHeight="1">
      <c r="A750" s="9"/>
      <c r="B750" s="13" t="e">
        <f>VLOOKUP(Table2[[#This Row],[Location 
(drop-down)]],'List source'!D$2:E$71,2,FALSE)</f>
        <v>#N/A</v>
      </c>
      <c r="C750" s="11" t="s">
        <v>867</v>
      </c>
      <c r="D750" s="183" t="e">
        <f t="shared" si="11"/>
        <v>#N/A</v>
      </c>
      <c r="E750" s="192"/>
      <c r="F750" s="192"/>
      <c r="G750" s="9"/>
      <c r="H750" s="10"/>
      <c r="I750" s="19"/>
      <c r="J750" s="142"/>
      <c r="K750" s="142"/>
      <c r="L750" s="142"/>
      <c r="M750" s="142"/>
      <c r="N750" s="142"/>
      <c r="O750" s="61"/>
      <c r="P750" s="168"/>
      <c r="Q7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0" s="36"/>
      <c r="S750" s="90"/>
    </row>
    <row r="751" spans="1:19" ht="36" hidden="1" customHeight="1">
      <c r="A751" s="9"/>
      <c r="B751" s="13" t="e">
        <f>VLOOKUP(Table2[[#This Row],[Location 
(drop-down)]],'List source'!D$2:E$71,2,FALSE)</f>
        <v>#N/A</v>
      </c>
      <c r="C751" s="11" t="s">
        <v>868</v>
      </c>
      <c r="D751" s="183" t="e">
        <f t="shared" si="11"/>
        <v>#N/A</v>
      </c>
      <c r="E751" s="192"/>
      <c r="F751" s="192"/>
      <c r="G751" s="9"/>
      <c r="H751" s="10"/>
      <c r="I751" s="19"/>
      <c r="J751" s="142"/>
      <c r="K751" s="142"/>
      <c r="L751" s="142"/>
      <c r="M751" s="142"/>
      <c r="N751" s="142"/>
      <c r="O751" s="61"/>
      <c r="P751" s="168"/>
      <c r="Q7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1" s="36"/>
      <c r="S751" s="90"/>
    </row>
    <row r="752" spans="1:19" ht="36" hidden="1" customHeight="1">
      <c r="A752" s="9"/>
      <c r="B752" s="13" t="e">
        <f>VLOOKUP(Table2[[#This Row],[Location 
(drop-down)]],'List source'!D$2:E$71,2,FALSE)</f>
        <v>#N/A</v>
      </c>
      <c r="C752" s="11" t="s">
        <v>869</v>
      </c>
      <c r="D752" s="183" t="e">
        <f t="shared" si="11"/>
        <v>#N/A</v>
      </c>
      <c r="E752" s="192"/>
      <c r="F752" s="192"/>
      <c r="G752" s="9"/>
      <c r="H752" s="10"/>
      <c r="I752" s="19"/>
      <c r="J752" s="142"/>
      <c r="K752" s="142"/>
      <c r="L752" s="142"/>
      <c r="M752" s="142"/>
      <c r="N752" s="142"/>
      <c r="O752" s="61"/>
      <c r="P752" s="168"/>
      <c r="Q7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2" s="36"/>
      <c r="S752" s="90"/>
    </row>
    <row r="753" spans="1:19" ht="36" hidden="1" customHeight="1">
      <c r="A753" s="9"/>
      <c r="B753" s="13" t="e">
        <f>VLOOKUP(Table2[[#This Row],[Location 
(drop-down)]],'List source'!D$2:E$71,2,FALSE)</f>
        <v>#N/A</v>
      </c>
      <c r="C753" s="11" t="s">
        <v>870</v>
      </c>
      <c r="D753" s="183" t="e">
        <f t="shared" si="11"/>
        <v>#N/A</v>
      </c>
      <c r="E753" s="192"/>
      <c r="F753" s="192"/>
      <c r="G753" s="9"/>
      <c r="H753" s="10"/>
      <c r="I753" s="19"/>
      <c r="J753" s="142"/>
      <c r="K753" s="142"/>
      <c r="L753" s="142"/>
      <c r="M753" s="142"/>
      <c r="N753" s="142"/>
      <c r="O753" s="61"/>
      <c r="P753" s="168"/>
      <c r="Q7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3" s="36"/>
      <c r="S753" s="90"/>
    </row>
    <row r="754" spans="1:19" ht="36" hidden="1" customHeight="1">
      <c r="A754" s="9"/>
      <c r="B754" s="13" t="e">
        <f>VLOOKUP(Table2[[#This Row],[Location 
(drop-down)]],'List source'!D$2:E$71,2,FALSE)</f>
        <v>#N/A</v>
      </c>
      <c r="C754" s="11" t="s">
        <v>871</v>
      </c>
      <c r="D754" s="183" t="e">
        <f t="shared" si="11"/>
        <v>#N/A</v>
      </c>
      <c r="E754" s="192"/>
      <c r="F754" s="192"/>
      <c r="G754" s="9"/>
      <c r="H754" s="10"/>
      <c r="I754" s="19"/>
      <c r="J754" s="142"/>
      <c r="K754" s="142"/>
      <c r="L754" s="142"/>
      <c r="M754" s="142"/>
      <c r="N754" s="142"/>
      <c r="O754" s="61"/>
      <c r="P754" s="168"/>
      <c r="Q7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4" s="36"/>
      <c r="S754" s="90"/>
    </row>
    <row r="755" spans="1:19" ht="36" hidden="1" customHeight="1">
      <c r="A755" s="9"/>
      <c r="B755" s="13" t="e">
        <f>VLOOKUP(Table2[[#This Row],[Location 
(drop-down)]],'List source'!D$2:E$71,2,FALSE)</f>
        <v>#N/A</v>
      </c>
      <c r="C755" s="11" t="s">
        <v>872</v>
      </c>
      <c r="D755" s="183" t="e">
        <f t="shared" si="11"/>
        <v>#N/A</v>
      </c>
      <c r="E755" s="192"/>
      <c r="F755" s="192"/>
      <c r="G755" s="9"/>
      <c r="H755" s="10"/>
      <c r="I755" s="19"/>
      <c r="J755" s="142"/>
      <c r="K755" s="142"/>
      <c r="L755" s="142"/>
      <c r="M755" s="142"/>
      <c r="N755" s="142"/>
      <c r="O755" s="61"/>
      <c r="P755" s="168"/>
      <c r="Q7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5" s="36"/>
      <c r="S755" s="90"/>
    </row>
    <row r="756" spans="1:19" ht="36" hidden="1" customHeight="1">
      <c r="A756" s="9"/>
      <c r="B756" s="13" t="e">
        <f>VLOOKUP(Table2[[#This Row],[Location 
(drop-down)]],'List source'!D$2:E$71,2,FALSE)</f>
        <v>#N/A</v>
      </c>
      <c r="C756" s="11" t="s">
        <v>873</v>
      </c>
      <c r="D756" s="183" t="e">
        <f t="shared" si="11"/>
        <v>#N/A</v>
      </c>
      <c r="E756" s="192"/>
      <c r="F756" s="192"/>
      <c r="G756" s="9"/>
      <c r="H756" s="10"/>
      <c r="I756" s="19"/>
      <c r="J756" s="142"/>
      <c r="K756" s="142"/>
      <c r="L756" s="142"/>
      <c r="M756" s="142"/>
      <c r="N756" s="142"/>
      <c r="O756" s="61"/>
      <c r="P756" s="168"/>
      <c r="Q7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6" s="36"/>
      <c r="S756" s="90"/>
    </row>
    <row r="757" spans="1:19" ht="36" hidden="1" customHeight="1">
      <c r="A757" s="9"/>
      <c r="B757" s="13" t="e">
        <f>VLOOKUP(Table2[[#This Row],[Location 
(drop-down)]],'List source'!D$2:E$71,2,FALSE)</f>
        <v>#N/A</v>
      </c>
      <c r="C757" s="11" t="s">
        <v>874</v>
      </c>
      <c r="D757" s="183" t="e">
        <f t="shared" si="11"/>
        <v>#N/A</v>
      </c>
      <c r="E757" s="192"/>
      <c r="F757" s="192"/>
      <c r="G757" s="9"/>
      <c r="H757" s="10"/>
      <c r="I757" s="19"/>
      <c r="J757" s="142"/>
      <c r="K757" s="142"/>
      <c r="L757" s="142"/>
      <c r="M757" s="142"/>
      <c r="N757" s="142"/>
      <c r="O757" s="61"/>
      <c r="P757" s="168"/>
      <c r="Q7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7" s="36"/>
      <c r="S757" s="90"/>
    </row>
    <row r="758" spans="1:19" ht="36" hidden="1" customHeight="1">
      <c r="A758" s="9"/>
      <c r="B758" s="13" t="e">
        <f>VLOOKUP(Table2[[#This Row],[Location 
(drop-down)]],'List source'!D$2:E$71,2,FALSE)</f>
        <v>#N/A</v>
      </c>
      <c r="C758" s="11" t="s">
        <v>875</v>
      </c>
      <c r="D758" s="183" t="e">
        <f t="shared" si="11"/>
        <v>#N/A</v>
      </c>
      <c r="E758" s="192"/>
      <c r="F758" s="192"/>
      <c r="G758" s="9"/>
      <c r="H758" s="10"/>
      <c r="I758" s="19"/>
      <c r="J758" s="142"/>
      <c r="K758" s="142"/>
      <c r="L758" s="142"/>
      <c r="M758" s="142"/>
      <c r="N758" s="142"/>
      <c r="O758" s="61"/>
      <c r="P758" s="168"/>
      <c r="Q7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8" s="36"/>
      <c r="S758" s="90"/>
    </row>
    <row r="759" spans="1:19" ht="36" hidden="1" customHeight="1">
      <c r="A759" s="9"/>
      <c r="B759" s="13" t="e">
        <f>VLOOKUP(Table2[[#This Row],[Location 
(drop-down)]],'List source'!D$2:E$71,2,FALSE)</f>
        <v>#N/A</v>
      </c>
      <c r="C759" s="11" t="s">
        <v>876</v>
      </c>
      <c r="D759" s="183" t="e">
        <f t="shared" si="11"/>
        <v>#N/A</v>
      </c>
      <c r="E759" s="192"/>
      <c r="F759" s="192"/>
      <c r="G759" s="9"/>
      <c r="H759" s="10"/>
      <c r="I759" s="19"/>
      <c r="J759" s="142"/>
      <c r="K759" s="142"/>
      <c r="L759" s="142"/>
      <c r="M759" s="142"/>
      <c r="N759" s="142"/>
      <c r="O759" s="61"/>
      <c r="P759" s="168"/>
      <c r="Q7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59" s="36"/>
      <c r="S759" s="90"/>
    </row>
    <row r="760" spans="1:19" ht="36" hidden="1" customHeight="1">
      <c r="A760" s="9"/>
      <c r="B760" s="13" t="e">
        <f>VLOOKUP(Table2[[#This Row],[Location 
(drop-down)]],'List source'!D$2:E$71,2,FALSE)</f>
        <v>#N/A</v>
      </c>
      <c r="C760" s="11" t="s">
        <v>877</v>
      </c>
      <c r="D760" s="183" t="e">
        <f t="shared" si="11"/>
        <v>#N/A</v>
      </c>
      <c r="E760" s="192"/>
      <c r="F760" s="192"/>
      <c r="G760" s="9"/>
      <c r="H760" s="10"/>
      <c r="I760" s="19"/>
      <c r="J760" s="142"/>
      <c r="K760" s="142"/>
      <c r="L760" s="142"/>
      <c r="M760" s="142"/>
      <c r="N760" s="142"/>
      <c r="O760" s="61"/>
      <c r="P760" s="168"/>
      <c r="Q7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0" s="36"/>
      <c r="S760" s="90"/>
    </row>
    <row r="761" spans="1:19" ht="36" hidden="1" customHeight="1">
      <c r="A761" s="9"/>
      <c r="B761" s="13" t="e">
        <f>VLOOKUP(Table2[[#This Row],[Location 
(drop-down)]],'List source'!D$2:E$71,2,FALSE)</f>
        <v>#N/A</v>
      </c>
      <c r="C761" s="11" t="s">
        <v>878</v>
      </c>
      <c r="D761" s="183" t="e">
        <f t="shared" si="11"/>
        <v>#N/A</v>
      </c>
      <c r="E761" s="192"/>
      <c r="F761" s="192"/>
      <c r="G761" s="9"/>
      <c r="H761" s="10"/>
      <c r="I761" s="19"/>
      <c r="J761" s="142"/>
      <c r="K761" s="142"/>
      <c r="L761" s="142"/>
      <c r="M761" s="142"/>
      <c r="N761" s="142"/>
      <c r="O761" s="61"/>
      <c r="P761" s="168"/>
      <c r="Q7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1" s="36"/>
      <c r="S761" s="90"/>
    </row>
    <row r="762" spans="1:19" ht="36" hidden="1" customHeight="1">
      <c r="A762" s="9"/>
      <c r="B762" s="13" t="e">
        <f>VLOOKUP(Table2[[#This Row],[Location 
(drop-down)]],'List source'!D$2:E$71,2,FALSE)</f>
        <v>#N/A</v>
      </c>
      <c r="C762" s="11" t="s">
        <v>879</v>
      </c>
      <c r="D762" s="183" t="e">
        <f t="shared" si="11"/>
        <v>#N/A</v>
      </c>
      <c r="E762" s="192"/>
      <c r="F762" s="192"/>
      <c r="G762" s="9"/>
      <c r="H762" s="10"/>
      <c r="I762" s="19"/>
      <c r="J762" s="142"/>
      <c r="K762" s="142"/>
      <c r="L762" s="142"/>
      <c r="M762" s="142"/>
      <c r="N762" s="142"/>
      <c r="O762" s="61"/>
      <c r="P762" s="168"/>
      <c r="Q7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2" s="36"/>
      <c r="S762" s="90"/>
    </row>
    <row r="763" spans="1:19" ht="36" hidden="1" customHeight="1">
      <c r="A763" s="9"/>
      <c r="B763" s="13" t="e">
        <f>VLOOKUP(Table2[[#This Row],[Location 
(drop-down)]],'List source'!D$2:E$71,2,FALSE)</f>
        <v>#N/A</v>
      </c>
      <c r="C763" s="11" t="s">
        <v>880</v>
      </c>
      <c r="D763" s="183" t="e">
        <f t="shared" si="11"/>
        <v>#N/A</v>
      </c>
      <c r="E763" s="192"/>
      <c r="F763" s="192"/>
      <c r="G763" s="9"/>
      <c r="H763" s="10"/>
      <c r="I763" s="19"/>
      <c r="J763" s="142"/>
      <c r="K763" s="142"/>
      <c r="L763" s="142"/>
      <c r="M763" s="142"/>
      <c r="N763" s="142"/>
      <c r="O763" s="61"/>
      <c r="P763" s="168"/>
      <c r="Q7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3" s="36"/>
      <c r="S763" s="90"/>
    </row>
    <row r="764" spans="1:19" ht="36" hidden="1" customHeight="1">
      <c r="A764" s="9"/>
      <c r="B764" s="13" t="e">
        <f>VLOOKUP(Table2[[#This Row],[Location 
(drop-down)]],'List source'!D$2:E$71,2,FALSE)</f>
        <v>#N/A</v>
      </c>
      <c r="C764" s="11" t="s">
        <v>881</v>
      </c>
      <c r="D764" s="183" t="e">
        <f t="shared" si="11"/>
        <v>#N/A</v>
      </c>
      <c r="E764" s="192"/>
      <c r="F764" s="192"/>
      <c r="G764" s="9"/>
      <c r="H764" s="10"/>
      <c r="I764" s="19"/>
      <c r="J764" s="142"/>
      <c r="K764" s="142"/>
      <c r="L764" s="142"/>
      <c r="M764" s="142"/>
      <c r="N764" s="142"/>
      <c r="O764" s="61"/>
      <c r="P764" s="168"/>
      <c r="Q7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4" s="36"/>
      <c r="S764" s="90"/>
    </row>
    <row r="765" spans="1:19" ht="36" hidden="1" customHeight="1">
      <c r="A765" s="9"/>
      <c r="B765" s="13" t="e">
        <f>VLOOKUP(Table2[[#This Row],[Location 
(drop-down)]],'List source'!D$2:E$71,2,FALSE)</f>
        <v>#N/A</v>
      </c>
      <c r="C765" s="11" t="s">
        <v>882</v>
      </c>
      <c r="D765" s="183" t="e">
        <f t="shared" si="11"/>
        <v>#N/A</v>
      </c>
      <c r="E765" s="192"/>
      <c r="F765" s="192"/>
      <c r="G765" s="9"/>
      <c r="H765" s="10"/>
      <c r="I765" s="19"/>
      <c r="J765" s="142"/>
      <c r="K765" s="142"/>
      <c r="L765" s="142"/>
      <c r="M765" s="142"/>
      <c r="N765" s="142"/>
      <c r="O765" s="61"/>
      <c r="P765" s="168"/>
      <c r="Q7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5" s="36"/>
      <c r="S765" s="90"/>
    </row>
    <row r="766" spans="1:19" ht="36" hidden="1" customHeight="1">
      <c r="A766" s="9"/>
      <c r="B766" s="13" t="e">
        <f>VLOOKUP(Table2[[#This Row],[Location 
(drop-down)]],'List source'!D$2:E$71,2,FALSE)</f>
        <v>#N/A</v>
      </c>
      <c r="C766" s="11" t="s">
        <v>883</v>
      </c>
      <c r="D766" s="183" t="e">
        <f t="shared" si="11"/>
        <v>#N/A</v>
      </c>
      <c r="E766" s="192"/>
      <c r="F766" s="192"/>
      <c r="G766" s="9"/>
      <c r="H766" s="10"/>
      <c r="I766" s="19"/>
      <c r="J766" s="142"/>
      <c r="K766" s="142"/>
      <c r="L766" s="142"/>
      <c r="M766" s="142"/>
      <c r="N766" s="142"/>
      <c r="O766" s="61"/>
      <c r="P766" s="168"/>
      <c r="Q7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6" s="36"/>
      <c r="S766" s="90"/>
    </row>
    <row r="767" spans="1:19" ht="36" hidden="1" customHeight="1">
      <c r="A767" s="9"/>
      <c r="B767" s="13" t="e">
        <f>VLOOKUP(Table2[[#This Row],[Location 
(drop-down)]],'List source'!D$2:E$71,2,FALSE)</f>
        <v>#N/A</v>
      </c>
      <c r="C767" s="11" t="s">
        <v>884</v>
      </c>
      <c r="D767" s="183" t="e">
        <f t="shared" si="11"/>
        <v>#N/A</v>
      </c>
      <c r="E767" s="192"/>
      <c r="F767" s="192"/>
      <c r="G767" s="9"/>
      <c r="H767" s="10"/>
      <c r="I767" s="19"/>
      <c r="J767" s="142"/>
      <c r="K767" s="142"/>
      <c r="L767" s="142"/>
      <c r="M767" s="142"/>
      <c r="N767" s="142"/>
      <c r="O767" s="61"/>
      <c r="P767" s="168"/>
      <c r="Q7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7" s="36"/>
      <c r="S767" s="90"/>
    </row>
    <row r="768" spans="1:19" ht="36" hidden="1" customHeight="1">
      <c r="A768" s="9"/>
      <c r="B768" s="13" t="e">
        <f>VLOOKUP(Table2[[#This Row],[Location 
(drop-down)]],'List source'!D$2:E$71,2,FALSE)</f>
        <v>#N/A</v>
      </c>
      <c r="C768" s="11" t="s">
        <v>885</v>
      </c>
      <c r="D768" s="183" t="e">
        <f t="shared" si="11"/>
        <v>#N/A</v>
      </c>
      <c r="E768" s="192"/>
      <c r="F768" s="192"/>
      <c r="G768" s="9"/>
      <c r="H768" s="10"/>
      <c r="I768" s="19"/>
      <c r="J768" s="142"/>
      <c r="K768" s="142"/>
      <c r="L768" s="142"/>
      <c r="M768" s="142"/>
      <c r="N768" s="142"/>
      <c r="O768" s="61"/>
      <c r="P768" s="168"/>
      <c r="Q7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8" s="36"/>
      <c r="S768" s="90"/>
    </row>
    <row r="769" spans="1:19" ht="36" hidden="1" customHeight="1">
      <c r="A769" s="9"/>
      <c r="B769" s="13" t="e">
        <f>VLOOKUP(Table2[[#This Row],[Location 
(drop-down)]],'List source'!D$2:E$71,2,FALSE)</f>
        <v>#N/A</v>
      </c>
      <c r="C769" s="11" t="s">
        <v>886</v>
      </c>
      <c r="D769" s="183" t="e">
        <f t="shared" si="11"/>
        <v>#N/A</v>
      </c>
      <c r="E769" s="192"/>
      <c r="F769" s="192"/>
      <c r="G769" s="9"/>
      <c r="H769" s="10"/>
      <c r="I769" s="19"/>
      <c r="J769" s="142"/>
      <c r="K769" s="142"/>
      <c r="L769" s="142"/>
      <c r="M769" s="142"/>
      <c r="N769" s="142"/>
      <c r="O769" s="61"/>
      <c r="P769" s="168"/>
      <c r="Q7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69" s="36"/>
      <c r="S769" s="90"/>
    </row>
    <row r="770" spans="1:19" ht="36" hidden="1" customHeight="1">
      <c r="A770" s="9"/>
      <c r="B770" s="13" t="e">
        <f>VLOOKUP(Table2[[#This Row],[Location 
(drop-down)]],'List source'!D$2:E$71,2,FALSE)</f>
        <v>#N/A</v>
      </c>
      <c r="C770" s="11" t="s">
        <v>887</v>
      </c>
      <c r="D770" s="183" t="e">
        <f t="shared" ref="D770:D833" si="12">"C" &amp; C770 &amp;"-" &amp; B770 &amp; "-" &amp; "26"</f>
        <v>#N/A</v>
      </c>
      <c r="E770" s="192"/>
      <c r="F770" s="192"/>
      <c r="G770" s="9"/>
      <c r="H770" s="10"/>
      <c r="I770" s="19"/>
      <c r="J770" s="142"/>
      <c r="K770" s="142"/>
      <c r="L770" s="142"/>
      <c r="M770" s="142"/>
      <c r="N770" s="142"/>
      <c r="O770" s="61"/>
      <c r="P770" s="168"/>
      <c r="Q7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0" s="36"/>
      <c r="S770" s="90"/>
    </row>
    <row r="771" spans="1:19" ht="36" hidden="1" customHeight="1">
      <c r="A771" s="9"/>
      <c r="B771" s="13" t="e">
        <f>VLOOKUP(Table2[[#This Row],[Location 
(drop-down)]],'List source'!D$2:E$71,2,FALSE)</f>
        <v>#N/A</v>
      </c>
      <c r="C771" s="11" t="s">
        <v>888</v>
      </c>
      <c r="D771" s="183" t="e">
        <f t="shared" si="12"/>
        <v>#N/A</v>
      </c>
      <c r="E771" s="192"/>
      <c r="F771" s="192"/>
      <c r="G771" s="9"/>
      <c r="H771" s="10"/>
      <c r="I771" s="19"/>
      <c r="J771" s="142"/>
      <c r="K771" s="142"/>
      <c r="L771" s="142"/>
      <c r="M771" s="142"/>
      <c r="N771" s="142"/>
      <c r="O771" s="61"/>
      <c r="P771" s="168"/>
      <c r="Q7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1" s="36"/>
      <c r="S771" s="90"/>
    </row>
    <row r="772" spans="1:19" ht="36" hidden="1" customHeight="1">
      <c r="A772" s="9"/>
      <c r="B772" s="13" t="e">
        <f>VLOOKUP(Table2[[#This Row],[Location 
(drop-down)]],'List source'!D$2:E$71,2,FALSE)</f>
        <v>#N/A</v>
      </c>
      <c r="C772" s="11" t="s">
        <v>889</v>
      </c>
      <c r="D772" s="183" t="e">
        <f t="shared" si="12"/>
        <v>#N/A</v>
      </c>
      <c r="E772" s="192"/>
      <c r="F772" s="192"/>
      <c r="G772" s="9"/>
      <c r="H772" s="10"/>
      <c r="I772" s="19"/>
      <c r="J772" s="142"/>
      <c r="K772" s="142"/>
      <c r="L772" s="142"/>
      <c r="M772" s="142"/>
      <c r="N772" s="142"/>
      <c r="O772" s="61"/>
      <c r="P772" s="168"/>
      <c r="Q7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2" s="36"/>
      <c r="S772" s="90"/>
    </row>
    <row r="773" spans="1:19" ht="36" hidden="1" customHeight="1">
      <c r="A773" s="9"/>
      <c r="B773" s="13" t="e">
        <f>VLOOKUP(Table2[[#This Row],[Location 
(drop-down)]],'List source'!D$2:E$71,2,FALSE)</f>
        <v>#N/A</v>
      </c>
      <c r="C773" s="11" t="s">
        <v>890</v>
      </c>
      <c r="D773" s="183" t="e">
        <f t="shared" si="12"/>
        <v>#N/A</v>
      </c>
      <c r="E773" s="192"/>
      <c r="F773" s="192"/>
      <c r="G773" s="9"/>
      <c r="H773" s="10"/>
      <c r="I773" s="19"/>
      <c r="J773" s="142"/>
      <c r="K773" s="142"/>
      <c r="L773" s="142"/>
      <c r="M773" s="142"/>
      <c r="N773" s="142"/>
      <c r="O773" s="61"/>
      <c r="P773" s="168"/>
      <c r="Q7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3" s="36"/>
      <c r="S773" s="90"/>
    </row>
    <row r="774" spans="1:19" ht="36" hidden="1" customHeight="1">
      <c r="A774" s="9"/>
      <c r="B774" s="13" t="e">
        <f>VLOOKUP(Table2[[#This Row],[Location 
(drop-down)]],'List source'!D$2:E$71,2,FALSE)</f>
        <v>#N/A</v>
      </c>
      <c r="C774" s="11" t="s">
        <v>891</v>
      </c>
      <c r="D774" s="183" t="e">
        <f t="shared" si="12"/>
        <v>#N/A</v>
      </c>
      <c r="E774" s="192"/>
      <c r="F774" s="192"/>
      <c r="G774" s="9"/>
      <c r="H774" s="10"/>
      <c r="I774" s="19"/>
      <c r="J774" s="142"/>
      <c r="K774" s="142"/>
      <c r="L774" s="142"/>
      <c r="M774" s="142"/>
      <c r="N774" s="142"/>
      <c r="O774" s="61"/>
      <c r="P774" s="168"/>
      <c r="Q7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4" s="36"/>
      <c r="S774" s="90"/>
    </row>
    <row r="775" spans="1:19" ht="36" hidden="1" customHeight="1">
      <c r="A775" s="9"/>
      <c r="B775" s="13" t="e">
        <f>VLOOKUP(Table2[[#This Row],[Location 
(drop-down)]],'List source'!D$2:E$71,2,FALSE)</f>
        <v>#N/A</v>
      </c>
      <c r="C775" s="11" t="s">
        <v>892</v>
      </c>
      <c r="D775" s="183" t="e">
        <f t="shared" si="12"/>
        <v>#N/A</v>
      </c>
      <c r="E775" s="192"/>
      <c r="F775" s="192"/>
      <c r="G775" s="9"/>
      <c r="H775" s="10"/>
      <c r="I775" s="19"/>
      <c r="J775" s="142"/>
      <c r="K775" s="142"/>
      <c r="L775" s="142"/>
      <c r="M775" s="142"/>
      <c r="N775" s="142"/>
      <c r="O775" s="61"/>
      <c r="P775" s="168"/>
      <c r="Q7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5" s="36"/>
      <c r="S775" s="90"/>
    </row>
    <row r="776" spans="1:19" ht="36" hidden="1" customHeight="1">
      <c r="A776" s="9"/>
      <c r="B776" s="13" t="e">
        <f>VLOOKUP(Table2[[#This Row],[Location 
(drop-down)]],'List source'!D$2:E$71,2,FALSE)</f>
        <v>#N/A</v>
      </c>
      <c r="C776" s="11" t="s">
        <v>893</v>
      </c>
      <c r="D776" s="183" t="e">
        <f t="shared" si="12"/>
        <v>#N/A</v>
      </c>
      <c r="E776" s="192"/>
      <c r="F776" s="192"/>
      <c r="G776" s="9"/>
      <c r="H776" s="10"/>
      <c r="I776" s="19"/>
      <c r="J776" s="142"/>
      <c r="K776" s="142"/>
      <c r="L776" s="142"/>
      <c r="M776" s="142"/>
      <c r="N776" s="142"/>
      <c r="O776" s="61"/>
      <c r="P776" s="168"/>
      <c r="Q7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6" s="36"/>
      <c r="S776" s="90"/>
    </row>
    <row r="777" spans="1:19" ht="36" hidden="1" customHeight="1">
      <c r="A777" s="9"/>
      <c r="B777" s="13" t="e">
        <f>VLOOKUP(Table2[[#This Row],[Location 
(drop-down)]],'List source'!D$2:E$71,2,FALSE)</f>
        <v>#N/A</v>
      </c>
      <c r="C777" s="11" t="s">
        <v>894</v>
      </c>
      <c r="D777" s="183" t="e">
        <f t="shared" si="12"/>
        <v>#N/A</v>
      </c>
      <c r="E777" s="192"/>
      <c r="F777" s="192"/>
      <c r="G777" s="9"/>
      <c r="H777" s="10"/>
      <c r="I777" s="19"/>
      <c r="J777" s="142"/>
      <c r="K777" s="142"/>
      <c r="L777" s="142"/>
      <c r="M777" s="142"/>
      <c r="N777" s="142"/>
      <c r="O777" s="61"/>
      <c r="P777" s="168"/>
      <c r="Q7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7" s="36"/>
      <c r="S777" s="90"/>
    </row>
    <row r="778" spans="1:19" ht="36" hidden="1" customHeight="1">
      <c r="A778" s="9"/>
      <c r="B778" s="13" t="e">
        <f>VLOOKUP(Table2[[#This Row],[Location 
(drop-down)]],'List source'!D$2:E$71,2,FALSE)</f>
        <v>#N/A</v>
      </c>
      <c r="C778" s="11" t="s">
        <v>895</v>
      </c>
      <c r="D778" s="183" t="e">
        <f t="shared" si="12"/>
        <v>#N/A</v>
      </c>
      <c r="E778" s="192"/>
      <c r="F778" s="192"/>
      <c r="G778" s="9"/>
      <c r="H778" s="10"/>
      <c r="I778" s="19"/>
      <c r="J778" s="142"/>
      <c r="K778" s="142"/>
      <c r="L778" s="142"/>
      <c r="M778" s="142"/>
      <c r="N778" s="142"/>
      <c r="O778" s="61"/>
      <c r="P778" s="168"/>
      <c r="Q7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8" s="36"/>
      <c r="S778" s="90"/>
    </row>
    <row r="779" spans="1:19" ht="36" hidden="1" customHeight="1">
      <c r="A779" s="9"/>
      <c r="B779" s="13" t="e">
        <f>VLOOKUP(Table2[[#This Row],[Location 
(drop-down)]],'List source'!D$2:E$71,2,FALSE)</f>
        <v>#N/A</v>
      </c>
      <c r="C779" s="11" t="s">
        <v>896</v>
      </c>
      <c r="D779" s="183" t="e">
        <f t="shared" si="12"/>
        <v>#N/A</v>
      </c>
      <c r="E779" s="192"/>
      <c r="F779" s="192"/>
      <c r="G779" s="9"/>
      <c r="H779" s="10"/>
      <c r="I779" s="19"/>
      <c r="J779" s="142"/>
      <c r="K779" s="142"/>
      <c r="L779" s="142"/>
      <c r="M779" s="142"/>
      <c r="N779" s="142"/>
      <c r="O779" s="61"/>
      <c r="P779" s="168"/>
      <c r="Q7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79" s="36"/>
      <c r="S779" s="90"/>
    </row>
    <row r="780" spans="1:19" ht="36" hidden="1" customHeight="1">
      <c r="A780" s="9"/>
      <c r="B780" s="13" t="e">
        <f>VLOOKUP(Table2[[#This Row],[Location 
(drop-down)]],'List source'!D$2:E$71,2,FALSE)</f>
        <v>#N/A</v>
      </c>
      <c r="C780" s="11" t="s">
        <v>897</v>
      </c>
      <c r="D780" s="183" t="e">
        <f t="shared" si="12"/>
        <v>#N/A</v>
      </c>
      <c r="E780" s="192"/>
      <c r="F780" s="192"/>
      <c r="G780" s="9"/>
      <c r="H780" s="10"/>
      <c r="I780" s="19"/>
      <c r="J780" s="142"/>
      <c r="K780" s="142"/>
      <c r="L780" s="142"/>
      <c r="M780" s="142"/>
      <c r="N780" s="142"/>
      <c r="O780" s="61"/>
      <c r="P780" s="168"/>
      <c r="Q7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0" s="36"/>
      <c r="S780" s="90"/>
    </row>
    <row r="781" spans="1:19" ht="36" hidden="1" customHeight="1">
      <c r="A781" s="9"/>
      <c r="B781" s="13" t="e">
        <f>VLOOKUP(Table2[[#This Row],[Location 
(drop-down)]],'List source'!D$2:E$71,2,FALSE)</f>
        <v>#N/A</v>
      </c>
      <c r="C781" s="11" t="s">
        <v>898</v>
      </c>
      <c r="D781" s="183" t="e">
        <f t="shared" si="12"/>
        <v>#N/A</v>
      </c>
      <c r="E781" s="192"/>
      <c r="F781" s="192"/>
      <c r="G781" s="9"/>
      <c r="H781" s="10"/>
      <c r="I781" s="19"/>
      <c r="J781" s="142"/>
      <c r="K781" s="142"/>
      <c r="L781" s="142"/>
      <c r="M781" s="142"/>
      <c r="N781" s="142"/>
      <c r="O781" s="61"/>
      <c r="P781" s="168"/>
      <c r="Q7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1" s="36"/>
      <c r="S781" s="90"/>
    </row>
    <row r="782" spans="1:19" ht="36" hidden="1" customHeight="1">
      <c r="A782" s="9"/>
      <c r="B782" s="13" t="e">
        <f>VLOOKUP(Table2[[#This Row],[Location 
(drop-down)]],'List source'!D$2:E$71,2,FALSE)</f>
        <v>#N/A</v>
      </c>
      <c r="C782" s="11" t="s">
        <v>899</v>
      </c>
      <c r="D782" s="183" t="e">
        <f t="shared" si="12"/>
        <v>#N/A</v>
      </c>
      <c r="E782" s="192"/>
      <c r="F782" s="192"/>
      <c r="G782" s="9"/>
      <c r="H782" s="10"/>
      <c r="I782" s="19"/>
      <c r="J782" s="142"/>
      <c r="K782" s="142"/>
      <c r="L782" s="142"/>
      <c r="M782" s="142"/>
      <c r="N782" s="142"/>
      <c r="O782" s="61"/>
      <c r="P782" s="168"/>
      <c r="Q7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2" s="36"/>
      <c r="S782" s="90"/>
    </row>
    <row r="783" spans="1:19" ht="36" hidden="1" customHeight="1">
      <c r="A783" s="9"/>
      <c r="B783" s="13" t="e">
        <f>VLOOKUP(Table2[[#This Row],[Location 
(drop-down)]],'List source'!D$2:E$71,2,FALSE)</f>
        <v>#N/A</v>
      </c>
      <c r="C783" s="11" t="s">
        <v>900</v>
      </c>
      <c r="D783" s="183" t="e">
        <f t="shared" si="12"/>
        <v>#N/A</v>
      </c>
      <c r="E783" s="192"/>
      <c r="F783" s="192"/>
      <c r="G783" s="9"/>
      <c r="H783" s="10"/>
      <c r="I783" s="19"/>
      <c r="J783" s="142"/>
      <c r="K783" s="142"/>
      <c r="L783" s="142"/>
      <c r="M783" s="142"/>
      <c r="N783" s="142"/>
      <c r="O783" s="61"/>
      <c r="P783" s="168"/>
      <c r="Q7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3" s="36"/>
      <c r="S783" s="90"/>
    </row>
    <row r="784" spans="1:19" ht="36" hidden="1" customHeight="1">
      <c r="A784" s="9"/>
      <c r="B784" s="13" t="e">
        <f>VLOOKUP(Table2[[#This Row],[Location 
(drop-down)]],'List source'!D$2:E$71,2,FALSE)</f>
        <v>#N/A</v>
      </c>
      <c r="C784" s="11" t="s">
        <v>901</v>
      </c>
      <c r="D784" s="183" t="e">
        <f t="shared" si="12"/>
        <v>#N/A</v>
      </c>
      <c r="E784" s="192"/>
      <c r="F784" s="192"/>
      <c r="G784" s="9"/>
      <c r="H784" s="10"/>
      <c r="I784" s="19"/>
      <c r="J784" s="142"/>
      <c r="K784" s="142"/>
      <c r="L784" s="142"/>
      <c r="M784" s="142"/>
      <c r="N784" s="142"/>
      <c r="O784" s="61"/>
      <c r="P784" s="168"/>
      <c r="Q7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4" s="36"/>
      <c r="S784" s="90"/>
    </row>
    <row r="785" spans="1:19" ht="36" hidden="1" customHeight="1">
      <c r="A785" s="9"/>
      <c r="B785" s="13" t="e">
        <f>VLOOKUP(Table2[[#This Row],[Location 
(drop-down)]],'List source'!D$2:E$71,2,FALSE)</f>
        <v>#N/A</v>
      </c>
      <c r="C785" s="11" t="s">
        <v>902</v>
      </c>
      <c r="D785" s="183" t="e">
        <f t="shared" si="12"/>
        <v>#N/A</v>
      </c>
      <c r="E785" s="192"/>
      <c r="F785" s="192"/>
      <c r="G785" s="9"/>
      <c r="H785" s="10"/>
      <c r="I785" s="19"/>
      <c r="J785" s="142"/>
      <c r="K785" s="142"/>
      <c r="L785" s="142"/>
      <c r="M785" s="142"/>
      <c r="N785" s="142"/>
      <c r="O785" s="61"/>
      <c r="P785" s="168"/>
      <c r="Q7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5" s="36"/>
      <c r="S785" s="90"/>
    </row>
    <row r="786" spans="1:19" ht="36" hidden="1" customHeight="1">
      <c r="A786" s="9"/>
      <c r="B786" s="13" t="e">
        <f>VLOOKUP(Table2[[#This Row],[Location 
(drop-down)]],'List source'!D$2:E$71,2,FALSE)</f>
        <v>#N/A</v>
      </c>
      <c r="C786" s="11" t="s">
        <v>903</v>
      </c>
      <c r="D786" s="183" t="e">
        <f t="shared" si="12"/>
        <v>#N/A</v>
      </c>
      <c r="E786" s="192"/>
      <c r="F786" s="192"/>
      <c r="G786" s="9"/>
      <c r="H786" s="10"/>
      <c r="I786" s="19"/>
      <c r="J786" s="142"/>
      <c r="K786" s="142"/>
      <c r="L786" s="142"/>
      <c r="M786" s="142"/>
      <c r="N786" s="142"/>
      <c r="O786" s="61"/>
      <c r="P786" s="168"/>
      <c r="Q7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6" s="36"/>
      <c r="S786" s="90"/>
    </row>
    <row r="787" spans="1:19" ht="36" hidden="1" customHeight="1">
      <c r="A787" s="9"/>
      <c r="B787" s="13" t="e">
        <f>VLOOKUP(Table2[[#This Row],[Location 
(drop-down)]],'List source'!D$2:E$71,2,FALSE)</f>
        <v>#N/A</v>
      </c>
      <c r="C787" s="11" t="s">
        <v>904</v>
      </c>
      <c r="D787" s="183" t="e">
        <f t="shared" si="12"/>
        <v>#N/A</v>
      </c>
      <c r="E787" s="192"/>
      <c r="F787" s="192"/>
      <c r="G787" s="9"/>
      <c r="H787" s="10"/>
      <c r="I787" s="19"/>
      <c r="J787" s="142"/>
      <c r="K787" s="142"/>
      <c r="L787" s="142"/>
      <c r="M787" s="142"/>
      <c r="N787" s="142"/>
      <c r="O787" s="61"/>
      <c r="P787" s="168"/>
      <c r="Q7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7" s="36"/>
      <c r="S787" s="90"/>
    </row>
    <row r="788" spans="1:19" ht="36" hidden="1" customHeight="1">
      <c r="A788" s="9"/>
      <c r="B788" s="13" t="e">
        <f>VLOOKUP(Table2[[#This Row],[Location 
(drop-down)]],'List source'!D$2:E$71,2,FALSE)</f>
        <v>#N/A</v>
      </c>
      <c r="C788" s="11" t="s">
        <v>905</v>
      </c>
      <c r="D788" s="183" t="e">
        <f t="shared" si="12"/>
        <v>#N/A</v>
      </c>
      <c r="E788" s="192"/>
      <c r="F788" s="192"/>
      <c r="G788" s="9"/>
      <c r="H788" s="10"/>
      <c r="I788" s="19"/>
      <c r="J788" s="142"/>
      <c r="K788" s="142"/>
      <c r="L788" s="142"/>
      <c r="M788" s="142"/>
      <c r="N788" s="142"/>
      <c r="O788" s="61"/>
      <c r="P788" s="168"/>
      <c r="Q7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8" s="36"/>
      <c r="S788" s="90"/>
    </row>
    <row r="789" spans="1:19" ht="36" hidden="1" customHeight="1">
      <c r="A789" s="9"/>
      <c r="B789" s="13" t="e">
        <f>VLOOKUP(Table2[[#This Row],[Location 
(drop-down)]],'List source'!D$2:E$71,2,FALSE)</f>
        <v>#N/A</v>
      </c>
      <c r="C789" s="11" t="s">
        <v>906</v>
      </c>
      <c r="D789" s="183" t="e">
        <f t="shared" si="12"/>
        <v>#N/A</v>
      </c>
      <c r="E789" s="192"/>
      <c r="F789" s="192"/>
      <c r="G789" s="9"/>
      <c r="H789" s="10"/>
      <c r="I789" s="19"/>
      <c r="J789" s="142"/>
      <c r="K789" s="142"/>
      <c r="L789" s="142"/>
      <c r="M789" s="142"/>
      <c r="N789" s="142"/>
      <c r="O789" s="61"/>
      <c r="P789" s="168"/>
      <c r="Q7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89" s="36"/>
      <c r="S789" s="90"/>
    </row>
    <row r="790" spans="1:19" ht="36" hidden="1" customHeight="1">
      <c r="A790" s="9"/>
      <c r="B790" s="13" t="e">
        <f>VLOOKUP(Table2[[#This Row],[Location 
(drop-down)]],'List source'!D$2:E$71,2,FALSE)</f>
        <v>#N/A</v>
      </c>
      <c r="C790" s="11" t="s">
        <v>907</v>
      </c>
      <c r="D790" s="183" t="e">
        <f t="shared" si="12"/>
        <v>#N/A</v>
      </c>
      <c r="E790" s="192"/>
      <c r="F790" s="192"/>
      <c r="G790" s="9"/>
      <c r="H790" s="10"/>
      <c r="I790" s="19"/>
      <c r="J790" s="142"/>
      <c r="K790" s="142"/>
      <c r="L790" s="142"/>
      <c r="M790" s="142"/>
      <c r="N790" s="142"/>
      <c r="O790" s="61"/>
      <c r="P790" s="168"/>
      <c r="Q7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0" s="36"/>
      <c r="S790" s="90"/>
    </row>
    <row r="791" spans="1:19" ht="36" hidden="1" customHeight="1">
      <c r="A791" s="9"/>
      <c r="B791" s="13" t="e">
        <f>VLOOKUP(Table2[[#This Row],[Location 
(drop-down)]],'List source'!D$2:E$71,2,FALSE)</f>
        <v>#N/A</v>
      </c>
      <c r="C791" s="11" t="s">
        <v>908</v>
      </c>
      <c r="D791" s="183" t="e">
        <f t="shared" si="12"/>
        <v>#N/A</v>
      </c>
      <c r="E791" s="192"/>
      <c r="F791" s="192"/>
      <c r="G791" s="9"/>
      <c r="H791" s="10"/>
      <c r="I791" s="19"/>
      <c r="J791" s="142"/>
      <c r="K791" s="142"/>
      <c r="L791" s="142"/>
      <c r="M791" s="142"/>
      <c r="N791" s="142"/>
      <c r="O791" s="61"/>
      <c r="P791" s="168"/>
      <c r="Q7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1" s="36"/>
      <c r="S791" s="90"/>
    </row>
    <row r="792" spans="1:19" ht="36" hidden="1" customHeight="1">
      <c r="A792" s="9"/>
      <c r="B792" s="13" t="e">
        <f>VLOOKUP(Table2[[#This Row],[Location 
(drop-down)]],'List source'!D$2:E$71,2,FALSE)</f>
        <v>#N/A</v>
      </c>
      <c r="C792" s="11" t="s">
        <v>909</v>
      </c>
      <c r="D792" s="183" t="e">
        <f t="shared" si="12"/>
        <v>#N/A</v>
      </c>
      <c r="E792" s="192"/>
      <c r="F792" s="192"/>
      <c r="G792" s="9"/>
      <c r="H792" s="10"/>
      <c r="I792" s="19"/>
      <c r="J792" s="142"/>
      <c r="K792" s="142"/>
      <c r="L792" s="142"/>
      <c r="M792" s="142"/>
      <c r="N792" s="142"/>
      <c r="O792" s="61"/>
      <c r="P792" s="168"/>
      <c r="Q7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2" s="36"/>
      <c r="S792" s="90"/>
    </row>
    <row r="793" spans="1:19" ht="36" hidden="1" customHeight="1">
      <c r="A793" s="9"/>
      <c r="B793" s="13" t="e">
        <f>VLOOKUP(Table2[[#This Row],[Location 
(drop-down)]],'List source'!D$2:E$71,2,FALSE)</f>
        <v>#N/A</v>
      </c>
      <c r="C793" s="11" t="s">
        <v>910</v>
      </c>
      <c r="D793" s="183" t="e">
        <f t="shared" si="12"/>
        <v>#N/A</v>
      </c>
      <c r="E793" s="192"/>
      <c r="F793" s="192"/>
      <c r="G793" s="9"/>
      <c r="H793" s="10"/>
      <c r="I793" s="19"/>
      <c r="J793" s="142"/>
      <c r="K793" s="142"/>
      <c r="L793" s="142"/>
      <c r="M793" s="142"/>
      <c r="N793" s="142"/>
      <c r="O793" s="61"/>
      <c r="P793" s="168"/>
      <c r="Q7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3" s="36"/>
      <c r="S793" s="90"/>
    </row>
    <row r="794" spans="1:19" ht="36" hidden="1" customHeight="1">
      <c r="A794" s="9"/>
      <c r="B794" s="13" t="e">
        <f>VLOOKUP(Table2[[#This Row],[Location 
(drop-down)]],'List source'!D$2:E$71,2,FALSE)</f>
        <v>#N/A</v>
      </c>
      <c r="C794" s="11" t="s">
        <v>911</v>
      </c>
      <c r="D794" s="183" t="e">
        <f t="shared" si="12"/>
        <v>#N/A</v>
      </c>
      <c r="E794" s="192"/>
      <c r="F794" s="192"/>
      <c r="G794" s="9"/>
      <c r="H794" s="10"/>
      <c r="I794" s="19"/>
      <c r="J794" s="142"/>
      <c r="K794" s="142"/>
      <c r="L794" s="142"/>
      <c r="M794" s="142"/>
      <c r="N794" s="142"/>
      <c r="O794" s="61"/>
      <c r="P794" s="168"/>
      <c r="Q7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4" s="36"/>
      <c r="S794" s="90"/>
    </row>
    <row r="795" spans="1:19" ht="36" hidden="1" customHeight="1">
      <c r="A795" s="9"/>
      <c r="B795" s="13" t="e">
        <f>VLOOKUP(Table2[[#This Row],[Location 
(drop-down)]],'List source'!D$2:E$71,2,FALSE)</f>
        <v>#N/A</v>
      </c>
      <c r="C795" s="11" t="s">
        <v>912</v>
      </c>
      <c r="D795" s="183" t="e">
        <f t="shared" si="12"/>
        <v>#N/A</v>
      </c>
      <c r="E795" s="192"/>
      <c r="F795" s="192"/>
      <c r="G795" s="9"/>
      <c r="H795" s="10"/>
      <c r="I795" s="19"/>
      <c r="J795" s="142"/>
      <c r="K795" s="142"/>
      <c r="L795" s="142"/>
      <c r="M795" s="142"/>
      <c r="N795" s="142"/>
      <c r="O795" s="61"/>
      <c r="P795" s="168"/>
      <c r="Q7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5" s="36"/>
      <c r="S795" s="90"/>
    </row>
    <row r="796" spans="1:19" ht="36" hidden="1" customHeight="1">
      <c r="A796" s="9"/>
      <c r="B796" s="13" t="e">
        <f>VLOOKUP(Table2[[#This Row],[Location 
(drop-down)]],'List source'!D$2:E$71,2,FALSE)</f>
        <v>#N/A</v>
      </c>
      <c r="C796" s="11" t="s">
        <v>913</v>
      </c>
      <c r="D796" s="183" t="e">
        <f t="shared" si="12"/>
        <v>#N/A</v>
      </c>
      <c r="E796" s="192"/>
      <c r="F796" s="192"/>
      <c r="G796" s="9"/>
      <c r="H796" s="10"/>
      <c r="I796" s="19"/>
      <c r="J796" s="142"/>
      <c r="K796" s="142"/>
      <c r="L796" s="142"/>
      <c r="M796" s="142"/>
      <c r="N796" s="142"/>
      <c r="O796" s="61"/>
      <c r="P796" s="168"/>
      <c r="Q7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6" s="36"/>
      <c r="S796" s="90"/>
    </row>
    <row r="797" spans="1:19" ht="36" hidden="1" customHeight="1">
      <c r="A797" s="9"/>
      <c r="B797" s="13" t="e">
        <f>VLOOKUP(Table2[[#This Row],[Location 
(drop-down)]],'List source'!D$2:E$71,2,FALSE)</f>
        <v>#N/A</v>
      </c>
      <c r="C797" s="11" t="s">
        <v>914</v>
      </c>
      <c r="D797" s="183" t="e">
        <f t="shared" si="12"/>
        <v>#N/A</v>
      </c>
      <c r="E797" s="192"/>
      <c r="F797" s="192"/>
      <c r="G797" s="9"/>
      <c r="H797" s="10"/>
      <c r="I797" s="19"/>
      <c r="J797" s="142"/>
      <c r="K797" s="142"/>
      <c r="L797" s="142"/>
      <c r="M797" s="142"/>
      <c r="N797" s="142"/>
      <c r="O797" s="61"/>
      <c r="P797" s="168"/>
      <c r="Q7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7" s="36"/>
      <c r="S797" s="90"/>
    </row>
    <row r="798" spans="1:19" ht="36" hidden="1" customHeight="1">
      <c r="A798" s="9"/>
      <c r="B798" s="13" t="e">
        <f>VLOOKUP(Table2[[#This Row],[Location 
(drop-down)]],'List source'!D$2:E$71,2,FALSE)</f>
        <v>#N/A</v>
      </c>
      <c r="C798" s="11" t="s">
        <v>915</v>
      </c>
      <c r="D798" s="183" t="e">
        <f t="shared" si="12"/>
        <v>#N/A</v>
      </c>
      <c r="E798" s="192"/>
      <c r="F798" s="192"/>
      <c r="G798" s="9"/>
      <c r="H798" s="10"/>
      <c r="I798" s="19"/>
      <c r="J798" s="142"/>
      <c r="K798" s="142"/>
      <c r="L798" s="142"/>
      <c r="M798" s="142"/>
      <c r="N798" s="142"/>
      <c r="O798" s="61"/>
      <c r="P798" s="168"/>
      <c r="Q7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8" s="36"/>
      <c r="S798" s="90"/>
    </row>
    <row r="799" spans="1:19" ht="36" hidden="1" customHeight="1">
      <c r="A799" s="9"/>
      <c r="B799" s="13" t="e">
        <f>VLOOKUP(Table2[[#This Row],[Location 
(drop-down)]],'List source'!D$2:E$71,2,FALSE)</f>
        <v>#N/A</v>
      </c>
      <c r="C799" s="11" t="s">
        <v>916</v>
      </c>
      <c r="D799" s="183" t="e">
        <f t="shared" si="12"/>
        <v>#N/A</v>
      </c>
      <c r="E799" s="192"/>
      <c r="F799" s="192"/>
      <c r="G799" s="9"/>
      <c r="H799" s="10"/>
      <c r="I799" s="19"/>
      <c r="J799" s="142"/>
      <c r="K799" s="142"/>
      <c r="L799" s="142"/>
      <c r="M799" s="142"/>
      <c r="N799" s="142"/>
      <c r="O799" s="61"/>
      <c r="P799" s="168"/>
      <c r="Q7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799" s="36"/>
      <c r="S799" s="90"/>
    </row>
    <row r="800" spans="1:19" ht="36" hidden="1" customHeight="1">
      <c r="A800" s="9"/>
      <c r="B800" s="13" t="e">
        <f>VLOOKUP(Table2[[#This Row],[Location 
(drop-down)]],'List source'!D$2:E$71,2,FALSE)</f>
        <v>#N/A</v>
      </c>
      <c r="C800" s="11" t="s">
        <v>917</v>
      </c>
      <c r="D800" s="183" t="e">
        <f t="shared" si="12"/>
        <v>#N/A</v>
      </c>
      <c r="E800" s="192"/>
      <c r="F800" s="192"/>
      <c r="G800" s="9"/>
      <c r="H800" s="10"/>
      <c r="I800" s="19"/>
      <c r="J800" s="142"/>
      <c r="K800" s="142"/>
      <c r="L800" s="142"/>
      <c r="M800" s="142"/>
      <c r="N800" s="142"/>
      <c r="O800" s="61"/>
      <c r="P800" s="168"/>
      <c r="Q8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0" s="36"/>
      <c r="S800" s="90"/>
    </row>
    <row r="801" spans="1:19" ht="36" hidden="1" customHeight="1">
      <c r="A801" s="9"/>
      <c r="B801" s="13" t="e">
        <f>VLOOKUP(Table2[[#This Row],[Location 
(drop-down)]],'List source'!D$2:E$71,2,FALSE)</f>
        <v>#N/A</v>
      </c>
      <c r="C801" s="11" t="s">
        <v>918</v>
      </c>
      <c r="D801" s="183" t="e">
        <f t="shared" si="12"/>
        <v>#N/A</v>
      </c>
      <c r="E801" s="192"/>
      <c r="F801" s="192"/>
      <c r="G801" s="9"/>
      <c r="H801" s="10"/>
      <c r="I801" s="19"/>
      <c r="J801" s="142"/>
      <c r="K801" s="142"/>
      <c r="L801" s="142"/>
      <c r="M801" s="142"/>
      <c r="N801" s="142"/>
      <c r="O801" s="61"/>
      <c r="P801" s="168"/>
      <c r="Q8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1" s="36"/>
      <c r="S801" s="90"/>
    </row>
    <row r="802" spans="1:19" ht="36" hidden="1" customHeight="1">
      <c r="A802" s="9"/>
      <c r="B802" s="13" t="e">
        <f>VLOOKUP(Table2[[#This Row],[Location 
(drop-down)]],'List source'!D$2:E$71,2,FALSE)</f>
        <v>#N/A</v>
      </c>
      <c r="C802" s="11" t="s">
        <v>919</v>
      </c>
      <c r="D802" s="183" t="e">
        <f t="shared" si="12"/>
        <v>#N/A</v>
      </c>
      <c r="E802" s="192"/>
      <c r="F802" s="192"/>
      <c r="G802" s="9"/>
      <c r="H802" s="10"/>
      <c r="I802" s="19"/>
      <c r="J802" s="142"/>
      <c r="K802" s="142"/>
      <c r="L802" s="142"/>
      <c r="M802" s="142"/>
      <c r="N802" s="142"/>
      <c r="O802" s="61"/>
      <c r="P802" s="168"/>
      <c r="Q8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2" s="36"/>
      <c r="S802" s="90"/>
    </row>
    <row r="803" spans="1:19" ht="36" hidden="1" customHeight="1">
      <c r="A803" s="9"/>
      <c r="B803" s="13" t="e">
        <f>VLOOKUP(Table2[[#This Row],[Location 
(drop-down)]],'List source'!D$2:E$71,2,FALSE)</f>
        <v>#N/A</v>
      </c>
      <c r="C803" s="11" t="s">
        <v>920</v>
      </c>
      <c r="D803" s="183" t="e">
        <f t="shared" si="12"/>
        <v>#N/A</v>
      </c>
      <c r="E803" s="188"/>
      <c r="F803" s="188"/>
      <c r="G803" s="9"/>
      <c r="H803" s="10"/>
      <c r="I803" s="19"/>
      <c r="J803" s="142"/>
      <c r="K803" s="142"/>
      <c r="L803" s="142"/>
      <c r="M803" s="142"/>
      <c r="N803" s="142"/>
      <c r="O803" s="61"/>
      <c r="P803" s="168"/>
      <c r="Q8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3" s="36"/>
      <c r="S803" s="90"/>
    </row>
    <row r="804" spans="1:19" ht="36" hidden="1" customHeight="1">
      <c r="A804" s="68"/>
      <c r="B804" s="13" t="e">
        <f>VLOOKUP(Table2[[#This Row],[Location 
(drop-down)]],'List source'!D$2:E$71,2,FALSE)</f>
        <v>#N/A</v>
      </c>
      <c r="C804" s="11" t="s">
        <v>921</v>
      </c>
      <c r="D804" s="183" t="e">
        <f t="shared" si="12"/>
        <v>#N/A</v>
      </c>
      <c r="E804" s="188"/>
      <c r="F804" s="193"/>
      <c r="G804" s="68"/>
      <c r="H804" s="72"/>
      <c r="I804" s="19"/>
      <c r="J804" s="176"/>
      <c r="K804" s="176"/>
      <c r="L804" s="176"/>
      <c r="M804" s="176"/>
      <c r="N804" s="176"/>
      <c r="O804" s="71"/>
      <c r="P804" s="225"/>
      <c r="Q8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4" s="65"/>
      <c r="S804" s="90"/>
    </row>
    <row r="805" spans="1:19" ht="36" hidden="1" customHeight="1">
      <c r="A805" s="68"/>
      <c r="B805" s="13" t="e">
        <f>VLOOKUP(Table2[[#This Row],[Location 
(drop-down)]],'List source'!D$2:E$71,2,FALSE)</f>
        <v>#N/A</v>
      </c>
      <c r="C805" s="11" t="s">
        <v>922</v>
      </c>
      <c r="D805" s="183" t="e">
        <f t="shared" si="12"/>
        <v>#N/A</v>
      </c>
      <c r="E805" s="188"/>
      <c r="F805" s="193"/>
      <c r="G805" s="68"/>
      <c r="H805" s="72"/>
      <c r="I805" s="19"/>
      <c r="J805" s="176"/>
      <c r="K805" s="176"/>
      <c r="L805" s="176"/>
      <c r="M805" s="176"/>
      <c r="N805" s="176"/>
      <c r="O805" s="71"/>
      <c r="P805" s="225"/>
      <c r="Q8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5" s="65"/>
      <c r="S805" s="90"/>
    </row>
    <row r="806" spans="1:19" ht="36" hidden="1" customHeight="1">
      <c r="A806" s="68"/>
      <c r="B806" s="13" t="e">
        <f>VLOOKUP(Table2[[#This Row],[Location 
(drop-down)]],'List source'!D$2:E$71,2,FALSE)</f>
        <v>#N/A</v>
      </c>
      <c r="C806" s="11" t="s">
        <v>923</v>
      </c>
      <c r="D806" s="183" t="e">
        <f t="shared" si="12"/>
        <v>#N/A</v>
      </c>
      <c r="E806" s="188"/>
      <c r="F806" s="193"/>
      <c r="G806" s="68"/>
      <c r="H806" s="72"/>
      <c r="I806" s="19"/>
      <c r="J806" s="176"/>
      <c r="K806" s="176"/>
      <c r="L806" s="176"/>
      <c r="M806" s="176"/>
      <c r="N806" s="176"/>
      <c r="O806" s="71"/>
      <c r="P806" s="225"/>
      <c r="Q8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6" s="65"/>
      <c r="S806" s="90"/>
    </row>
    <row r="807" spans="1:19" ht="36" hidden="1" customHeight="1">
      <c r="A807" s="68"/>
      <c r="B807" s="13" t="e">
        <f>VLOOKUP(Table2[[#This Row],[Location 
(drop-down)]],'List source'!D$2:E$71,2,FALSE)</f>
        <v>#N/A</v>
      </c>
      <c r="C807" s="11" t="s">
        <v>924</v>
      </c>
      <c r="D807" s="183" t="e">
        <f t="shared" si="12"/>
        <v>#N/A</v>
      </c>
      <c r="E807" s="188"/>
      <c r="F807" s="193"/>
      <c r="G807" s="68"/>
      <c r="H807" s="72"/>
      <c r="I807" s="19"/>
      <c r="J807" s="176"/>
      <c r="K807" s="176"/>
      <c r="L807" s="176"/>
      <c r="M807" s="176"/>
      <c r="N807" s="176"/>
      <c r="O807" s="71"/>
      <c r="P807" s="225"/>
      <c r="Q8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7" s="65"/>
      <c r="S807" s="90"/>
    </row>
    <row r="808" spans="1:19" ht="36" hidden="1" customHeight="1">
      <c r="A808" s="68"/>
      <c r="B808" s="13" t="e">
        <f>VLOOKUP(Table2[[#This Row],[Location 
(drop-down)]],'List source'!D$2:E$71,2,FALSE)</f>
        <v>#N/A</v>
      </c>
      <c r="C808" s="11" t="s">
        <v>925</v>
      </c>
      <c r="D808" s="183" t="e">
        <f t="shared" si="12"/>
        <v>#N/A</v>
      </c>
      <c r="E808" s="188"/>
      <c r="F808" s="193"/>
      <c r="G808" s="68"/>
      <c r="H808" s="72"/>
      <c r="I808" s="19"/>
      <c r="J808" s="176"/>
      <c r="K808" s="176"/>
      <c r="L808" s="176"/>
      <c r="M808" s="176"/>
      <c r="N808" s="176"/>
      <c r="O808" s="71"/>
      <c r="P808" s="225"/>
      <c r="Q8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8" s="65"/>
      <c r="S808" s="90"/>
    </row>
    <row r="809" spans="1:19" ht="36" hidden="1" customHeight="1">
      <c r="A809" s="68"/>
      <c r="B809" s="13" t="e">
        <f>VLOOKUP(Table2[[#This Row],[Location 
(drop-down)]],'List source'!D$2:E$71,2,FALSE)</f>
        <v>#N/A</v>
      </c>
      <c r="C809" s="11" t="s">
        <v>926</v>
      </c>
      <c r="D809" s="183" t="e">
        <f t="shared" si="12"/>
        <v>#N/A</v>
      </c>
      <c r="E809" s="188"/>
      <c r="F809" s="193"/>
      <c r="G809" s="68"/>
      <c r="H809" s="72"/>
      <c r="I809" s="19"/>
      <c r="J809" s="176"/>
      <c r="K809" s="176"/>
      <c r="L809" s="176"/>
      <c r="M809" s="176"/>
      <c r="N809" s="176"/>
      <c r="O809" s="71"/>
      <c r="P809" s="225"/>
      <c r="Q8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09" s="65"/>
      <c r="S809" s="90"/>
    </row>
    <row r="810" spans="1:19" ht="36" hidden="1" customHeight="1">
      <c r="A810" s="68"/>
      <c r="B810" s="13" t="e">
        <f>VLOOKUP(Table2[[#This Row],[Location 
(drop-down)]],'List source'!D$2:E$71,2,FALSE)</f>
        <v>#N/A</v>
      </c>
      <c r="C810" s="11" t="s">
        <v>927</v>
      </c>
      <c r="D810" s="183" t="e">
        <f t="shared" si="12"/>
        <v>#N/A</v>
      </c>
      <c r="E810" s="188"/>
      <c r="F810" s="193"/>
      <c r="G810" s="68"/>
      <c r="H810" s="72"/>
      <c r="I810" s="19"/>
      <c r="J810" s="176"/>
      <c r="K810" s="176"/>
      <c r="L810" s="176"/>
      <c r="M810" s="176"/>
      <c r="N810" s="176"/>
      <c r="O810" s="71"/>
      <c r="P810" s="225"/>
      <c r="Q8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0" s="65"/>
      <c r="S810" s="90"/>
    </row>
    <row r="811" spans="1:19" ht="36" hidden="1" customHeight="1">
      <c r="A811" s="68"/>
      <c r="B811" s="13" t="e">
        <f>VLOOKUP(Table2[[#This Row],[Location 
(drop-down)]],'List source'!D$2:E$71,2,FALSE)</f>
        <v>#N/A</v>
      </c>
      <c r="C811" s="11" t="s">
        <v>928</v>
      </c>
      <c r="D811" s="183" t="e">
        <f t="shared" si="12"/>
        <v>#N/A</v>
      </c>
      <c r="E811" s="188"/>
      <c r="F811" s="193"/>
      <c r="G811" s="68"/>
      <c r="H811" s="72"/>
      <c r="I811" s="19"/>
      <c r="J811" s="176"/>
      <c r="K811" s="176"/>
      <c r="L811" s="176"/>
      <c r="M811" s="176"/>
      <c r="N811" s="176"/>
      <c r="O811" s="71"/>
      <c r="P811" s="225"/>
      <c r="Q8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1" s="65"/>
      <c r="S811" s="90"/>
    </row>
    <row r="812" spans="1:19" ht="36" hidden="1" customHeight="1">
      <c r="A812" s="68"/>
      <c r="B812" s="13" t="e">
        <f>VLOOKUP(Table2[[#This Row],[Location 
(drop-down)]],'List source'!D$2:E$71,2,FALSE)</f>
        <v>#N/A</v>
      </c>
      <c r="C812" s="11" t="s">
        <v>929</v>
      </c>
      <c r="D812" s="183" t="e">
        <f t="shared" si="12"/>
        <v>#N/A</v>
      </c>
      <c r="E812" s="188"/>
      <c r="F812" s="193"/>
      <c r="G812" s="68"/>
      <c r="H812" s="72"/>
      <c r="I812" s="19"/>
      <c r="J812" s="176"/>
      <c r="K812" s="176"/>
      <c r="L812" s="176"/>
      <c r="M812" s="176"/>
      <c r="N812" s="176"/>
      <c r="O812" s="71"/>
      <c r="P812" s="225"/>
      <c r="Q8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2" s="65"/>
      <c r="S812" s="90"/>
    </row>
    <row r="813" spans="1:19" ht="36" hidden="1" customHeight="1">
      <c r="A813" s="68"/>
      <c r="B813" s="13" t="e">
        <f>VLOOKUP(Table2[[#This Row],[Location 
(drop-down)]],'List source'!D$2:E$71,2,FALSE)</f>
        <v>#N/A</v>
      </c>
      <c r="C813" s="11" t="s">
        <v>930</v>
      </c>
      <c r="D813" s="183" t="e">
        <f t="shared" si="12"/>
        <v>#N/A</v>
      </c>
      <c r="E813" s="188"/>
      <c r="F813" s="193"/>
      <c r="G813" s="68"/>
      <c r="H813" s="72"/>
      <c r="I813" s="19"/>
      <c r="J813" s="176"/>
      <c r="K813" s="176"/>
      <c r="L813" s="176"/>
      <c r="M813" s="176"/>
      <c r="N813" s="176"/>
      <c r="O813" s="71"/>
      <c r="P813" s="225"/>
      <c r="Q8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3" s="65"/>
      <c r="S813" s="90"/>
    </row>
    <row r="814" spans="1:19" ht="36" hidden="1" customHeight="1">
      <c r="A814" s="68"/>
      <c r="B814" s="13" t="e">
        <f>VLOOKUP(Table2[[#This Row],[Location 
(drop-down)]],'List source'!D$2:E$71,2,FALSE)</f>
        <v>#N/A</v>
      </c>
      <c r="C814" s="11" t="s">
        <v>931</v>
      </c>
      <c r="D814" s="183" t="e">
        <f t="shared" si="12"/>
        <v>#N/A</v>
      </c>
      <c r="E814" s="188"/>
      <c r="F814" s="193"/>
      <c r="G814" s="68"/>
      <c r="H814" s="72"/>
      <c r="I814" s="19"/>
      <c r="J814" s="176"/>
      <c r="K814" s="176"/>
      <c r="L814" s="176"/>
      <c r="M814" s="176"/>
      <c r="N814" s="176"/>
      <c r="O814" s="71"/>
      <c r="P814" s="225"/>
      <c r="Q8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4" s="65"/>
      <c r="S814" s="90"/>
    </row>
    <row r="815" spans="1:19" ht="36" hidden="1" customHeight="1">
      <c r="A815" s="68"/>
      <c r="B815" s="13" t="e">
        <f>VLOOKUP(Table2[[#This Row],[Location 
(drop-down)]],'List source'!D$2:E$71,2,FALSE)</f>
        <v>#N/A</v>
      </c>
      <c r="C815" s="11" t="s">
        <v>932</v>
      </c>
      <c r="D815" s="183" t="e">
        <f t="shared" si="12"/>
        <v>#N/A</v>
      </c>
      <c r="E815" s="188"/>
      <c r="F815" s="193"/>
      <c r="G815" s="68"/>
      <c r="H815" s="72"/>
      <c r="I815" s="19"/>
      <c r="J815" s="176"/>
      <c r="K815" s="176"/>
      <c r="L815" s="176"/>
      <c r="M815" s="176"/>
      <c r="N815" s="176"/>
      <c r="O815" s="71"/>
      <c r="P815" s="225"/>
      <c r="Q8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5" s="65"/>
      <c r="S815" s="90"/>
    </row>
    <row r="816" spans="1:19" ht="36" hidden="1" customHeight="1">
      <c r="A816" s="68"/>
      <c r="B816" s="13" t="e">
        <f>VLOOKUP(Table2[[#This Row],[Location 
(drop-down)]],'List source'!D$2:E$71,2,FALSE)</f>
        <v>#N/A</v>
      </c>
      <c r="C816" s="11" t="s">
        <v>933</v>
      </c>
      <c r="D816" s="183" t="e">
        <f t="shared" si="12"/>
        <v>#N/A</v>
      </c>
      <c r="E816" s="188"/>
      <c r="F816" s="193"/>
      <c r="G816" s="68"/>
      <c r="H816" s="72"/>
      <c r="I816" s="19"/>
      <c r="J816" s="176"/>
      <c r="K816" s="176"/>
      <c r="L816" s="176"/>
      <c r="M816" s="176"/>
      <c r="N816" s="176"/>
      <c r="O816" s="71"/>
      <c r="P816" s="225"/>
      <c r="Q8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6" s="65"/>
      <c r="S816" s="90"/>
    </row>
    <row r="817" spans="1:19" ht="36" hidden="1" customHeight="1">
      <c r="A817" s="68"/>
      <c r="B817" s="13" t="e">
        <f>VLOOKUP(Table2[[#This Row],[Location 
(drop-down)]],'List source'!D$2:E$71,2,FALSE)</f>
        <v>#N/A</v>
      </c>
      <c r="C817" s="11" t="s">
        <v>934</v>
      </c>
      <c r="D817" s="183" t="e">
        <f t="shared" si="12"/>
        <v>#N/A</v>
      </c>
      <c r="E817" s="188"/>
      <c r="F817" s="193"/>
      <c r="G817" s="68"/>
      <c r="H817" s="72"/>
      <c r="I817" s="19"/>
      <c r="J817" s="176"/>
      <c r="K817" s="176"/>
      <c r="L817" s="176"/>
      <c r="M817" s="176"/>
      <c r="N817" s="176"/>
      <c r="O817" s="71"/>
      <c r="P817" s="225"/>
      <c r="Q8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7" s="65"/>
      <c r="S817" s="90"/>
    </row>
    <row r="818" spans="1:19" ht="36" hidden="1" customHeight="1">
      <c r="A818" s="68"/>
      <c r="B818" s="13" t="e">
        <f>VLOOKUP(Table2[[#This Row],[Location 
(drop-down)]],'List source'!D$2:E$71,2,FALSE)</f>
        <v>#N/A</v>
      </c>
      <c r="C818" s="11" t="s">
        <v>935</v>
      </c>
      <c r="D818" s="183" t="e">
        <f t="shared" si="12"/>
        <v>#N/A</v>
      </c>
      <c r="E818" s="188"/>
      <c r="F818" s="193"/>
      <c r="G818" s="68"/>
      <c r="H818" s="72"/>
      <c r="I818" s="19"/>
      <c r="J818" s="176"/>
      <c r="K818" s="176"/>
      <c r="L818" s="176"/>
      <c r="M818" s="176"/>
      <c r="N818" s="176"/>
      <c r="O818" s="71"/>
      <c r="P818" s="225"/>
      <c r="Q8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8" s="65"/>
      <c r="S818" s="90"/>
    </row>
    <row r="819" spans="1:19" ht="36" hidden="1" customHeight="1">
      <c r="A819" s="68"/>
      <c r="B819" s="13" t="e">
        <f>VLOOKUP(Table2[[#This Row],[Location 
(drop-down)]],'List source'!D$2:E$71,2,FALSE)</f>
        <v>#N/A</v>
      </c>
      <c r="C819" s="11" t="s">
        <v>936</v>
      </c>
      <c r="D819" s="183" t="e">
        <f t="shared" si="12"/>
        <v>#N/A</v>
      </c>
      <c r="E819" s="188"/>
      <c r="F819" s="193"/>
      <c r="G819" s="68"/>
      <c r="H819" s="72"/>
      <c r="I819" s="19"/>
      <c r="J819" s="176"/>
      <c r="K819" s="176"/>
      <c r="L819" s="176"/>
      <c r="M819" s="176"/>
      <c r="N819" s="176"/>
      <c r="O819" s="71"/>
      <c r="P819" s="225"/>
      <c r="Q8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19" s="65"/>
      <c r="S819" s="90"/>
    </row>
    <row r="820" spans="1:19" ht="36" hidden="1" customHeight="1">
      <c r="A820" s="68"/>
      <c r="B820" s="13" t="e">
        <f>VLOOKUP(Table2[[#This Row],[Location 
(drop-down)]],'List source'!D$2:E$71,2,FALSE)</f>
        <v>#N/A</v>
      </c>
      <c r="C820" s="11" t="s">
        <v>937</v>
      </c>
      <c r="D820" s="183" t="e">
        <f t="shared" si="12"/>
        <v>#N/A</v>
      </c>
      <c r="E820" s="188"/>
      <c r="F820" s="193"/>
      <c r="G820" s="68"/>
      <c r="H820" s="72"/>
      <c r="I820" s="19"/>
      <c r="J820" s="176"/>
      <c r="K820" s="176"/>
      <c r="L820" s="176"/>
      <c r="M820" s="176"/>
      <c r="N820" s="176"/>
      <c r="O820" s="71"/>
      <c r="P820" s="225"/>
      <c r="Q8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0" s="65"/>
      <c r="S820" s="90"/>
    </row>
    <row r="821" spans="1:19" ht="36" hidden="1" customHeight="1">
      <c r="A821" s="68"/>
      <c r="B821" s="13" t="e">
        <f>VLOOKUP(Table2[[#This Row],[Location 
(drop-down)]],'List source'!D$2:E$71,2,FALSE)</f>
        <v>#N/A</v>
      </c>
      <c r="C821" s="11" t="s">
        <v>938</v>
      </c>
      <c r="D821" s="183" t="e">
        <f t="shared" si="12"/>
        <v>#N/A</v>
      </c>
      <c r="E821" s="188"/>
      <c r="F821" s="193"/>
      <c r="G821" s="68"/>
      <c r="H821" s="72"/>
      <c r="I821" s="19"/>
      <c r="J821" s="176"/>
      <c r="K821" s="176"/>
      <c r="L821" s="176"/>
      <c r="M821" s="176"/>
      <c r="N821" s="176"/>
      <c r="O821" s="71"/>
      <c r="P821" s="225"/>
      <c r="Q8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1" s="65"/>
      <c r="S821" s="90"/>
    </row>
    <row r="822" spans="1:19" ht="36" hidden="1" customHeight="1">
      <c r="A822" s="68"/>
      <c r="B822" s="13" t="e">
        <f>VLOOKUP(Table2[[#This Row],[Location 
(drop-down)]],'List source'!D$2:E$71,2,FALSE)</f>
        <v>#N/A</v>
      </c>
      <c r="C822" s="11" t="s">
        <v>939</v>
      </c>
      <c r="D822" s="183" t="e">
        <f t="shared" si="12"/>
        <v>#N/A</v>
      </c>
      <c r="E822" s="188"/>
      <c r="F822" s="193"/>
      <c r="G822" s="68"/>
      <c r="H822" s="72"/>
      <c r="I822" s="19"/>
      <c r="J822" s="176"/>
      <c r="K822" s="176"/>
      <c r="L822" s="176"/>
      <c r="M822" s="176"/>
      <c r="N822" s="176"/>
      <c r="O822" s="71"/>
      <c r="P822" s="225"/>
      <c r="Q8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2" s="65"/>
      <c r="S822" s="90"/>
    </row>
    <row r="823" spans="1:19" ht="36" hidden="1" customHeight="1">
      <c r="A823" s="68"/>
      <c r="B823" s="13" t="e">
        <f>VLOOKUP(Table2[[#This Row],[Location 
(drop-down)]],'List source'!D$2:E$71,2,FALSE)</f>
        <v>#N/A</v>
      </c>
      <c r="C823" s="11" t="s">
        <v>940</v>
      </c>
      <c r="D823" s="183" t="e">
        <f t="shared" si="12"/>
        <v>#N/A</v>
      </c>
      <c r="E823" s="188"/>
      <c r="F823" s="193"/>
      <c r="G823" s="68"/>
      <c r="H823" s="72"/>
      <c r="I823" s="19"/>
      <c r="J823" s="176"/>
      <c r="K823" s="176"/>
      <c r="L823" s="176"/>
      <c r="M823" s="176"/>
      <c r="N823" s="176"/>
      <c r="O823" s="71"/>
      <c r="P823" s="225"/>
      <c r="Q8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3" s="65"/>
      <c r="S823" s="90"/>
    </row>
    <row r="824" spans="1:19" ht="36" hidden="1" customHeight="1">
      <c r="A824" s="68"/>
      <c r="B824" s="13" t="e">
        <f>VLOOKUP(Table2[[#This Row],[Location 
(drop-down)]],'List source'!D$2:E$71,2,FALSE)</f>
        <v>#N/A</v>
      </c>
      <c r="C824" s="11" t="s">
        <v>941</v>
      </c>
      <c r="D824" s="183" t="e">
        <f t="shared" si="12"/>
        <v>#N/A</v>
      </c>
      <c r="E824" s="188"/>
      <c r="F824" s="193"/>
      <c r="G824" s="68"/>
      <c r="H824" s="72"/>
      <c r="I824" s="19"/>
      <c r="J824" s="176"/>
      <c r="K824" s="176"/>
      <c r="L824" s="176"/>
      <c r="M824" s="176"/>
      <c r="N824" s="176"/>
      <c r="O824" s="71"/>
      <c r="P824" s="225"/>
      <c r="Q8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4" s="65"/>
      <c r="S824" s="90"/>
    </row>
    <row r="825" spans="1:19" ht="36" hidden="1" customHeight="1">
      <c r="A825" s="68"/>
      <c r="B825" s="13" t="e">
        <f>VLOOKUP(Table2[[#This Row],[Location 
(drop-down)]],'List source'!D$2:E$71,2,FALSE)</f>
        <v>#N/A</v>
      </c>
      <c r="C825" s="11" t="s">
        <v>942</v>
      </c>
      <c r="D825" s="183" t="e">
        <f t="shared" si="12"/>
        <v>#N/A</v>
      </c>
      <c r="E825" s="188"/>
      <c r="F825" s="193"/>
      <c r="G825" s="68"/>
      <c r="H825" s="72"/>
      <c r="I825" s="19"/>
      <c r="J825" s="176"/>
      <c r="K825" s="176"/>
      <c r="L825" s="176"/>
      <c r="M825" s="176"/>
      <c r="N825" s="176"/>
      <c r="O825" s="71"/>
      <c r="P825" s="225"/>
      <c r="Q8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5" s="65"/>
      <c r="S825" s="90"/>
    </row>
    <row r="826" spans="1:19" ht="36" hidden="1" customHeight="1">
      <c r="A826" s="68"/>
      <c r="B826" s="13" t="e">
        <f>VLOOKUP(Table2[[#This Row],[Location 
(drop-down)]],'List source'!D$2:E$71,2,FALSE)</f>
        <v>#N/A</v>
      </c>
      <c r="C826" s="11" t="s">
        <v>943</v>
      </c>
      <c r="D826" s="183" t="e">
        <f t="shared" si="12"/>
        <v>#N/A</v>
      </c>
      <c r="E826" s="188"/>
      <c r="F826" s="193"/>
      <c r="G826" s="68"/>
      <c r="H826" s="72"/>
      <c r="I826" s="19"/>
      <c r="J826" s="176"/>
      <c r="K826" s="176"/>
      <c r="L826" s="176"/>
      <c r="M826" s="176"/>
      <c r="N826" s="176"/>
      <c r="O826" s="71"/>
      <c r="P826" s="225"/>
      <c r="Q8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6" s="65"/>
      <c r="S826" s="90"/>
    </row>
    <row r="827" spans="1:19" ht="36" hidden="1" customHeight="1">
      <c r="A827" s="68"/>
      <c r="B827" s="13" t="e">
        <f>VLOOKUP(Table2[[#This Row],[Location 
(drop-down)]],'List source'!D$2:E$71,2,FALSE)</f>
        <v>#N/A</v>
      </c>
      <c r="C827" s="11" t="s">
        <v>944</v>
      </c>
      <c r="D827" s="183" t="e">
        <f t="shared" si="12"/>
        <v>#N/A</v>
      </c>
      <c r="E827" s="188"/>
      <c r="F827" s="193"/>
      <c r="G827" s="68"/>
      <c r="H827" s="72"/>
      <c r="I827" s="19"/>
      <c r="J827" s="176"/>
      <c r="K827" s="176"/>
      <c r="L827" s="176"/>
      <c r="M827" s="176"/>
      <c r="N827" s="176"/>
      <c r="O827" s="71"/>
      <c r="P827" s="225"/>
      <c r="Q8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7" s="65"/>
      <c r="S827" s="90"/>
    </row>
    <row r="828" spans="1:19" ht="36" hidden="1" customHeight="1">
      <c r="A828" s="68"/>
      <c r="B828" s="13" t="e">
        <f>VLOOKUP(Table2[[#This Row],[Location 
(drop-down)]],'List source'!D$2:E$71,2,FALSE)</f>
        <v>#N/A</v>
      </c>
      <c r="C828" s="11" t="s">
        <v>945</v>
      </c>
      <c r="D828" s="183" t="e">
        <f t="shared" si="12"/>
        <v>#N/A</v>
      </c>
      <c r="E828" s="188"/>
      <c r="F828" s="193"/>
      <c r="G828" s="68"/>
      <c r="H828" s="72"/>
      <c r="I828" s="19"/>
      <c r="J828" s="176"/>
      <c r="K828" s="176"/>
      <c r="L828" s="176"/>
      <c r="M828" s="176"/>
      <c r="N828" s="176"/>
      <c r="O828" s="71"/>
      <c r="P828" s="225"/>
      <c r="Q8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8" s="65"/>
      <c r="S828" s="90"/>
    </row>
    <row r="829" spans="1:19" ht="36" hidden="1" customHeight="1">
      <c r="A829" s="68"/>
      <c r="B829" s="13" t="e">
        <f>VLOOKUP(Table2[[#This Row],[Location 
(drop-down)]],'List source'!D$2:E$71,2,FALSE)</f>
        <v>#N/A</v>
      </c>
      <c r="C829" s="11" t="s">
        <v>946</v>
      </c>
      <c r="D829" s="183" t="e">
        <f t="shared" si="12"/>
        <v>#N/A</v>
      </c>
      <c r="E829" s="188"/>
      <c r="F829" s="193"/>
      <c r="G829" s="68"/>
      <c r="H829" s="72"/>
      <c r="I829" s="19"/>
      <c r="J829" s="176"/>
      <c r="K829" s="176"/>
      <c r="L829" s="176"/>
      <c r="M829" s="176"/>
      <c r="N829" s="176"/>
      <c r="O829" s="71"/>
      <c r="P829" s="225"/>
      <c r="Q8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29" s="65"/>
      <c r="S829" s="90"/>
    </row>
    <row r="830" spans="1:19" ht="36" hidden="1" customHeight="1">
      <c r="A830" s="68"/>
      <c r="B830" s="13" t="e">
        <f>VLOOKUP(Table2[[#This Row],[Location 
(drop-down)]],'List source'!D$2:E$71,2,FALSE)</f>
        <v>#N/A</v>
      </c>
      <c r="C830" s="11" t="s">
        <v>947</v>
      </c>
      <c r="D830" s="183" t="e">
        <f t="shared" si="12"/>
        <v>#N/A</v>
      </c>
      <c r="E830" s="188"/>
      <c r="F830" s="193"/>
      <c r="G830" s="68"/>
      <c r="H830" s="72"/>
      <c r="I830" s="19"/>
      <c r="J830" s="176"/>
      <c r="K830" s="176"/>
      <c r="L830" s="176"/>
      <c r="M830" s="176"/>
      <c r="N830" s="176"/>
      <c r="O830" s="71"/>
      <c r="P830" s="225"/>
      <c r="Q8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0" s="65"/>
      <c r="S830" s="90"/>
    </row>
    <row r="831" spans="1:19" ht="36" hidden="1" customHeight="1">
      <c r="A831" s="68"/>
      <c r="B831" s="13" t="e">
        <f>VLOOKUP(Table2[[#This Row],[Location 
(drop-down)]],'List source'!D$2:E$71,2,FALSE)</f>
        <v>#N/A</v>
      </c>
      <c r="C831" s="11" t="s">
        <v>948</v>
      </c>
      <c r="D831" s="183" t="e">
        <f t="shared" si="12"/>
        <v>#N/A</v>
      </c>
      <c r="E831" s="188"/>
      <c r="F831" s="193"/>
      <c r="G831" s="68"/>
      <c r="H831" s="72"/>
      <c r="I831" s="19"/>
      <c r="J831" s="176"/>
      <c r="K831" s="176"/>
      <c r="L831" s="176"/>
      <c r="M831" s="176"/>
      <c r="N831" s="176"/>
      <c r="O831" s="71"/>
      <c r="P831" s="225"/>
      <c r="Q8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1" s="65"/>
      <c r="S831" s="90"/>
    </row>
    <row r="832" spans="1:19" ht="36" hidden="1" customHeight="1">
      <c r="A832" s="68"/>
      <c r="B832" s="13" t="e">
        <f>VLOOKUP(Table2[[#This Row],[Location 
(drop-down)]],'List source'!D$2:E$71,2,FALSE)</f>
        <v>#N/A</v>
      </c>
      <c r="C832" s="11" t="s">
        <v>949</v>
      </c>
      <c r="D832" s="183" t="e">
        <f t="shared" si="12"/>
        <v>#N/A</v>
      </c>
      <c r="E832" s="188"/>
      <c r="F832" s="193"/>
      <c r="G832" s="68"/>
      <c r="H832" s="72"/>
      <c r="I832" s="19"/>
      <c r="J832" s="176"/>
      <c r="K832" s="176"/>
      <c r="L832" s="176"/>
      <c r="M832" s="176"/>
      <c r="N832" s="176"/>
      <c r="O832" s="71"/>
      <c r="P832" s="225"/>
      <c r="Q8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2" s="65"/>
      <c r="S832" s="90"/>
    </row>
    <row r="833" spans="1:19" ht="36" hidden="1" customHeight="1">
      <c r="A833" s="68"/>
      <c r="B833" s="13" t="e">
        <f>VLOOKUP(Table2[[#This Row],[Location 
(drop-down)]],'List source'!D$2:E$71,2,FALSE)</f>
        <v>#N/A</v>
      </c>
      <c r="C833" s="11" t="s">
        <v>950</v>
      </c>
      <c r="D833" s="183" t="e">
        <f t="shared" si="12"/>
        <v>#N/A</v>
      </c>
      <c r="E833" s="188"/>
      <c r="F833" s="193"/>
      <c r="G833" s="68"/>
      <c r="H833" s="72"/>
      <c r="I833" s="19"/>
      <c r="J833" s="176"/>
      <c r="K833" s="176"/>
      <c r="L833" s="176"/>
      <c r="M833" s="176"/>
      <c r="N833" s="176"/>
      <c r="O833" s="71"/>
      <c r="P833" s="225"/>
      <c r="Q8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3" s="65"/>
      <c r="S833" s="90"/>
    </row>
    <row r="834" spans="1:19" ht="36" hidden="1" customHeight="1">
      <c r="A834" s="68"/>
      <c r="B834" s="13" t="e">
        <f>VLOOKUP(Table2[[#This Row],[Location 
(drop-down)]],'List source'!D$2:E$71,2,FALSE)</f>
        <v>#N/A</v>
      </c>
      <c r="C834" s="11" t="s">
        <v>951</v>
      </c>
      <c r="D834" s="183" t="e">
        <f t="shared" ref="D834:D897" si="13">"C" &amp; C834 &amp;"-" &amp; B834 &amp; "-" &amp; "26"</f>
        <v>#N/A</v>
      </c>
      <c r="E834" s="188"/>
      <c r="F834" s="193"/>
      <c r="G834" s="68"/>
      <c r="H834" s="72"/>
      <c r="I834" s="19"/>
      <c r="J834" s="176"/>
      <c r="K834" s="176"/>
      <c r="L834" s="176"/>
      <c r="M834" s="176"/>
      <c r="N834" s="176"/>
      <c r="O834" s="71"/>
      <c r="P834" s="225"/>
      <c r="Q8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4" s="65"/>
      <c r="S834" s="90"/>
    </row>
    <row r="835" spans="1:19" ht="36" hidden="1" customHeight="1">
      <c r="A835" s="68"/>
      <c r="B835" s="13" t="e">
        <f>VLOOKUP(Table2[[#This Row],[Location 
(drop-down)]],'List source'!D$2:E$71,2,FALSE)</f>
        <v>#N/A</v>
      </c>
      <c r="C835" s="11" t="s">
        <v>952</v>
      </c>
      <c r="D835" s="183" t="e">
        <f t="shared" si="13"/>
        <v>#N/A</v>
      </c>
      <c r="E835" s="188"/>
      <c r="F835" s="193"/>
      <c r="G835" s="68"/>
      <c r="H835" s="72"/>
      <c r="I835" s="19"/>
      <c r="J835" s="176"/>
      <c r="K835" s="176"/>
      <c r="L835" s="176"/>
      <c r="M835" s="176"/>
      <c r="N835" s="176"/>
      <c r="O835" s="71"/>
      <c r="P835" s="225"/>
      <c r="Q8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5" s="65"/>
      <c r="S835" s="90"/>
    </row>
    <row r="836" spans="1:19" ht="36" hidden="1" customHeight="1">
      <c r="A836" s="68"/>
      <c r="B836" s="13" t="e">
        <f>VLOOKUP(Table2[[#This Row],[Location 
(drop-down)]],'List source'!D$2:E$71,2,FALSE)</f>
        <v>#N/A</v>
      </c>
      <c r="C836" s="11" t="s">
        <v>953</v>
      </c>
      <c r="D836" s="183" t="e">
        <f t="shared" si="13"/>
        <v>#N/A</v>
      </c>
      <c r="E836" s="188"/>
      <c r="F836" s="193"/>
      <c r="G836" s="68"/>
      <c r="H836" s="72"/>
      <c r="I836" s="19"/>
      <c r="J836" s="176"/>
      <c r="K836" s="176"/>
      <c r="L836" s="176"/>
      <c r="M836" s="176"/>
      <c r="N836" s="176"/>
      <c r="O836" s="71"/>
      <c r="P836" s="225"/>
      <c r="Q8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6" s="65"/>
      <c r="S836" s="90"/>
    </row>
    <row r="837" spans="1:19" ht="36" hidden="1" customHeight="1">
      <c r="A837" s="68"/>
      <c r="B837" s="13" t="e">
        <f>VLOOKUP(Table2[[#This Row],[Location 
(drop-down)]],'List source'!D$2:E$71,2,FALSE)</f>
        <v>#N/A</v>
      </c>
      <c r="C837" s="11" t="s">
        <v>954</v>
      </c>
      <c r="D837" s="183" t="e">
        <f t="shared" si="13"/>
        <v>#N/A</v>
      </c>
      <c r="E837" s="188"/>
      <c r="F837" s="193"/>
      <c r="G837" s="68"/>
      <c r="H837" s="72"/>
      <c r="I837" s="19"/>
      <c r="J837" s="176"/>
      <c r="K837" s="176"/>
      <c r="L837" s="176"/>
      <c r="M837" s="176"/>
      <c r="N837" s="176"/>
      <c r="O837" s="71"/>
      <c r="P837" s="225"/>
      <c r="Q8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7" s="65"/>
      <c r="S837" s="90"/>
    </row>
    <row r="838" spans="1:19" ht="36" hidden="1" customHeight="1">
      <c r="A838" s="68"/>
      <c r="B838" s="13" t="e">
        <f>VLOOKUP(Table2[[#This Row],[Location 
(drop-down)]],'List source'!D$2:E$71,2,FALSE)</f>
        <v>#N/A</v>
      </c>
      <c r="C838" s="11" t="s">
        <v>955</v>
      </c>
      <c r="D838" s="183" t="e">
        <f t="shared" si="13"/>
        <v>#N/A</v>
      </c>
      <c r="E838" s="188"/>
      <c r="F838" s="193"/>
      <c r="G838" s="68"/>
      <c r="H838" s="72"/>
      <c r="I838" s="19"/>
      <c r="J838" s="176"/>
      <c r="K838" s="176"/>
      <c r="L838" s="176"/>
      <c r="M838" s="176"/>
      <c r="N838" s="176"/>
      <c r="O838" s="71"/>
      <c r="P838" s="225"/>
      <c r="Q8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8" s="65"/>
      <c r="S838" s="90"/>
    </row>
    <row r="839" spans="1:19" ht="36" hidden="1" customHeight="1">
      <c r="A839" s="68"/>
      <c r="B839" s="13" t="e">
        <f>VLOOKUP(Table2[[#This Row],[Location 
(drop-down)]],'List source'!D$2:E$71,2,FALSE)</f>
        <v>#N/A</v>
      </c>
      <c r="C839" s="11" t="s">
        <v>956</v>
      </c>
      <c r="D839" s="183" t="e">
        <f t="shared" si="13"/>
        <v>#N/A</v>
      </c>
      <c r="E839" s="188"/>
      <c r="F839" s="193"/>
      <c r="G839" s="68"/>
      <c r="H839" s="72"/>
      <c r="I839" s="19"/>
      <c r="J839" s="176"/>
      <c r="K839" s="176"/>
      <c r="L839" s="176"/>
      <c r="M839" s="176"/>
      <c r="N839" s="176"/>
      <c r="O839" s="71"/>
      <c r="P839" s="225"/>
      <c r="Q8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39" s="65"/>
      <c r="S839" s="90"/>
    </row>
    <row r="840" spans="1:19" ht="36" hidden="1" customHeight="1">
      <c r="A840" s="68"/>
      <c r="B840" s="13" t="e">
        <f>VLOOKUP(Table2[[#This Row],[Location 
(drop-down)]],'List source'!D$2:E$71,2,FALSE)</f>
        <v>#N/A</v>
      </c>
      <c r="C840" s="11" t="s">
        <v>957</v>
      </c>
      <c r="D840" s="183" t="e">
        <f t="shared" si="13"/>
        <v>#N/A</v>
      </c>
      <c r="E840" s="188"/>
      <c r="F840" s="193"/>
      <c r="G840" s="68"/>
      <c r="H840" s="72"/>
      <c r="I840" s="19"/>
      <c r="J840" s="176"/>
      <c r="K840" s="176"/>
      <c r="L840" s="176"/>
      <c r="M840" s="176"/>
      <c r="N840" s="176"/>
      <c r="O840" s="71"/>
      <c r="P840" s="225"/>
      <c r="Q8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0" s="65"/>
      <c r="S840" s="90"/>
    </row>
    <row r="841" spans="1:19" ht="36" hidden="1" customHeight="1">
      <c r="A841" s="68"/>
      <c r="B841" s="13" t="e">
        <f>VLOOKUP(Table2[[#This Row],[Location 
(drop-down)]],'List source'!D$2:E$71,2,FALSE)</f>
        <v>#N/A</v>
      </c>
      <c r="C841" s="11" t="s">
        <v>958</v>
      </c>
      <c r="D841" s="183" t="e">
        <f t="shared" si="13"/>
        <v>#N/A</v>
      </c>
      <c r="E841" s="188"/>
      <c r="F841" s="193"/>
      <c r="G841" s="68"/>
      <c r="H841" s="72"/>
      <c r="I841" s="19"/>
      <c r="J841" s="176"/>
      <c r="K841" s="176"/>
      <c r="L841" s="176"/>
      <c r="M841" s="176"/>
      <c r="N841" s="176"/>
      <c r="O841" s="71"/>
      <c r="P841" s="225"/>
      <c r="Q8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1" s="65"/>
      <c r="S841" s="90"/>
    </row>
    <row r="842" spans="1:19" ht="36" hidden="1" customHeight="1">
      <c r="A842" s="68"/>
      <c r="B842" s="13" t="e">
        <f>VLOOKUP(Table2[[#This Row],[Location 
(drop-down)]],'List source'!D$2:E$71,2,FALSE)</f>
        <v>#N/A</v>
      </c>
      <c r="C842" s="11" t="s">
        <v>959</v>
      </c>
      <c r="D842" s="183" t="e">
        <f t="shared" si="13"/>
        <v>#N/A</v>
      </c>
      <c r="E842" s="188"/>
      <c r="F842" s="193"/>
      <c r="G842" s="68"/>
      <c r="H842" s="72"/>
      <c r="I842" s="19"/>
      <c r="J842" s="176"/>
      <c r="K842" s="176"/>
      <c r="L842" s="176"/>
      <c r="M842" s="176"/>
      <c r="N842" s="176"/>
      <c r="O842" s="71"/>
      <c r="P842" s="225"/>
      <c r="Q8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2" s="65"/>
      <c r="S842" s="90"/>
    </row>
    <row r="843" spans="1:19" ht="36" hidden="1" customHeight="1">
      <c r="A843" s="68"/>
      <c r="B843" s="13" t="e">
        <f>VLOOKUP(Table2[[#This Row],[Location 
(drop-down)]],'List source'!D$2:E$71,2,FALSE)</f>
        <v>#N/A</v>
      </c>
      <c r="C843" s="11" t="s">
        <v>960</v>
      </c>
      <c r="D843" s="183" t="e">
        <f t="shared" si="13"/>
        <v>#N/A</v>
      </c>
      <c r="E843" s="188"/>
      <c r="F843" s="193"/>
      <c r="G843" s="68"/>
      <c r="H843" s="72"/>
      <c r="I843" s="19"/>
      <c r="J843" s="176"/>
      <c r="K843" s="176"/>
      <c r="L843" s="176"/>
      <c r="M843" s="176"/>
      <c r="N843" s="176"/>
      <c r="O843" s="71"/>
      <c r="P843" s="225"/>
      <c r="Q8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3" s="65"/>
      <c r="S843" s="90"/>
    </row>
    <row r="844" spans="1:19" ht="36" hidden="1" customHeight="1">
      <c r="A844" s="68"/>
      <c r="B844" s="13" t="e">
        <f>VLOOKUP(Table2[[#This Row],[Location 
(drop-down)]],'List source'!D$2:E$71,2,FALSE)</f>
        <v>#N/A</v>
      </c>
      <c r="C844" s="11" t="s">
        <v>961</v>
      </c>
      <c r="D844" s="183" t="e">
        <f t="shared" si="13"/>
        <v>#N/A</v>
      </c>
      <c r="E844" s="188"/>
      <c r="F844" s="193"/>
      <c r="G844" s="68"/>
      <c r="H844" s="72"/>
      <c r="I844" s="19"/>
      <c r="J844" s="176"/>
      <c r="K844" s="176"/>
      <c r="L844" s="176"/>
      <c r="M844" s="176"/>
      <c r="N844" s="176"/>
      <c r="O844" s="71"/>
      <c r="P844" s="225"/>
      <c r="Q8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4" s="65"/>
      <c r="S844" s="90"/>
    </row>
    <row r="845" spans="1:19" ht="36" hidden="1" customHeight="1">
      <c r="A845" s="68"/>
      <c r="B845" s="13" t="e">
        <f>VLOOKUP(Table2[[#This Row],[Location 
(drop-down)]],'List source'!D$2:E$71,2,FALSE)</f>
        <v>#N/A</v>
      </c>
      <c r="C845" s="11" t="s">
        <v>962</v>
      </c>
      <c r="D845" s="183" t="e">
        <f t="shared" si="13"/>
        <v>#N/A</v>
      </c>
      <c r="E845" s="188"/>
      <c r="F845" s="193"/>
      <c r="G845" s="68"/>
      <c r="H845" s="72"/>
      <c r="I845" s="19"/>
      <c r="J845" s="176"/>
      <c r="K845" s="176"/>
      <c r="L845" s="176"/>
      <c r="M845" s="176"/>
      <c r="N845" s="176"/>
      <c r="O845" s="71"/>
      <c r="P845" s="225"/>
      <c r="Q8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5" s="65"/>
      <c r="S845" s="90"/>
    </row>
    <row r="846" spans="1:19" ht="36" hidden="1" customHeight="1">
      <c r="A846" s="68"/>
      <c r="B846" s="13" t="e">
        <f>VLOOKUP(Table2[[#This Row],[Location 
(drop-down)]],'List source'!D$2:E$71,2,FALSE)</f>
        <v>#N/A</v>
      </c>
      <c r="C846" s="11" t="s">
        <v>963</v>
      </c>
      <c r="D846" s="183" t="e">
        <f t="shared" si="13"/>
        <v>#N/A</v>
      </c>
      <c r="E846" s="188"/>
      <c r="F846" s="193"/>
      <c r="G846" s="68"/>
      <c r="H846" s="72"/>
      <c r="I846" s="19"/>
      <c r="J846" s="176"/>
      <c r="K846" s="176"/>
      <c r="L846" s="176"/>
      <c r="M846" s="176"/>
      <c r="N846" s="176"/>
      <c r="O846" s="71"/>
      <c r="P846" s="225"/>
      <c r="Q8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6" s="65"/>
      <c r="S846" s="90"/>
    </row>
    <row r="847" spans="1:19" ht="36" hidden="1" customHeight="1">
      <c r="A847" s="68"/>
      <c r="B847" s="13" t="e">
        <f>VLOOKUP(Table2[[#This Row],[Location 
(drop-down)]],'List source'!D$2:E$71,2,FALSE)</f>
        <v>#N/A</v>
      </c>
      <c r="C847" s="11" t="s">
        <v>964</v>
      </c>
      <c r="D847" s="183" t="e">
        <f t="shared" si="13"/>
        <v>#N/A</v>
      </c>
      <c r="E847" s="188"/>
      <c r="F847" s="193"/>
      <c r="G847" s="68"/>
      <c r="H847" s="72"/>
      <c r="I847" s="19"/>
      <c r="J847" s="176"/>
      <c r="K847" s="176"/>
      <c r="L847" s="176"/>
      <c r="M847" s="176"/>
      <c r="N847" s="176"/>
      <c r="O847" s="71"/>
      <c r="P847" s="225"/>
      <c r="Q8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7" s="65"/>
      <c r="S847" s="90"/>
    </row>
    <row r="848" spans="1:19" ht="36" hidden="1" customHeight="1">
      <c r="A848" s="68"/>
      <c r="B848" s="13" t="e">
        <f>VLOOKUP(Table2[[#This Row],[Location 
(drop-down)]],'List source'!D$2:E$71,2,FALSE)</f>
        <v>#N/A</v>
      </c>
      <c r="C848" s="11" t="s">
        <v>965</v>
      </c>
      <c r="D848" s="183" t="e">
        <f t="shared" si="13"/>
        <v>#N/A</v>
      </c>
      <c r="E848" s="188"/>
      <c r="F848" s="193"/>
      <c r="G848" s="68"/>
      <c r="H848" s="72"/>
      <c r="I848" s="19"/>
      <c r="J848" s="176"/>
      <c r="K848" s="176"/>
      <c r="L848" s="176"/>
      <c r="M848" s="176"/>
      <c r="N848" s="176"/>
      <c r="O848" s="71"/>
      <c r="P848" s="225"/>
      <c r="Q8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8" s="65"/>
      <c r="S848" s="90"/>
    </row>
    <row r="849" spans="1:19" ht="36" hidden="1" customHeight="1">
      <c r="A849" s="68"/>
      <c r="B849" s="13" t="e">
        <f>VLOOKUP(Table2[[#This Row],[Location 
(drop-down)]],'List source'!D$2:E$71,2,FALSE)</f>
        <v>#N/A</v>
      </c>
      <c r="C849" s="11" t="s">
        <v>966</v>
      </c>
      <c r="D849" s="183" t="e">
        <f t="shared" si="13"/>
        <v>#N/A</v>
      </c>
      <c r="E849" s="188"/>
      <c r="F849" s="193"/>
      <c r="G849" s="68"/>
      <c r="H849" s="72"/>
      <c r="I849" s="19"/>
      <c r="J849" s="176"/>
      <c r="K849" s="176"/>
      <c r="L849" s="176"/>
      <c r="M849" s="176"/>
      <c r="N849" s="176"/>
      <c r="O849" s="71"/>
      <c r="P849" s="225"/>
      <c r="Q8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49" s="65"/>
      <c r="S849" s="90"/>
    </row>
    <row r="850" spans="1:19" ht="36" hidden="1" customHeight="1">
      <c r="A850" s="68"/>
      <c r="B850" s="13" t="e">
        <f>VLOOKUP(Table2[[#This Row],[Location 
(drop-down)]],'List source'!D$2:E$71,2,FALSE)</f>
        <v>#N/A</v>
      </c>
      <c r="C850" s="11" t="s">
        <v>967</v>
      </c>
      <c r="D850" s="183" t="e">
        <f t="shared" si="13"/>
        <v>#N/A</v>
      </c>
      <c r="E850" s="188"/>
      <c r="F850" s="193"/>
      <c r="G850" s="68"/>
      <c r="H850" s="72"/>
      <c r="I850" s="19"/>
      <c r="J850" s="176"/>
      <c r="K850" s="176"/>
      <c r="L850" s="176"/>
      <c r="M850" s="176"/>
      <c r="N850" s="176"/>
      <c r="O850" s="71"/>
      <c r="P850" s="225"/>
      <c r="Q8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0" s="65"/>
      <c r="S850" s="90"/>
    </row>
    <row r="851" spans="1:19" ht="36" hidden="1" customHeight="1">
      <c r="A851" s="68"/>
      <c r="B851" s="13" t="e">
        <f>VLOOKUP(Table2[[#This Row],[Location 
(drop-down)]],'List source'!D$2:E$71,2,FALSE)</f>
        <v>#N/A</v>
      </c>
      <c r="C851" s="11" t="s">
        <v>968</v>
      </c>
      <c r="D851" s="183" t="e">
        <f t="shared" si="13"/>
        <v>#N/A</v>
      </c>
      <c r="E851" s="188"/>
      <c r="F851" s="193"/>
      <c r="G851" s="68"/>
      <c r="H851" s="72"/>
      <c r="I851" s="19"/>
      <c r="J851" s="176"/>
      <c r="K851" s="176"/>
      <c r="L851" s="176"/>
      <c r="M851" s="176"/>
      <c r="N851" s="176"/>
      <c r="O851" s="71"/>
      <c r="P851" s="225"/>
      <c r="Q8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1" s="65"/>
      <c r="S851" s="90"/>
    </row>
    <row r="852" spans="1:19" ht="36" hidden="1" customHeight="1">
      <c r="A852" s="68"/>
      <c r="B852" s="13" t="e">
        <f>VLOOKUP(Table2[[#This Row],[Location 
(drop-down)]],'List source'!D$2:E$71,2,FALSE)</f>
        <v>#N/A</v>
      </c>
      <c r="C852" s="11" t="s">
        <v>969</v>
      </c>
      <c r="D852" s="183" t="e">
        <f t="shared" si="13"/>
        <v>#N/A</v>
      </c>
      <c r="E852" s="188"/>
      <c r="F852" s="193"/>
      <c r="G852" s="68"/>
      <c r="H852" s="72"/>
      <c r="I852" s="19"/>
      <c r="J852" s="176"/>
      <c r="K852" s="176"/>
      <c r="L852" s="176"/>
      <c r="M852" s="176"/>
      <c r="N852" s="176"/>
      <c r="O852" s="71"/>
      <c r="P852" s="225"/>
      <c r="Q8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2" s="65"/>
      <c r="S852" s="90"/>
    </row>
    <row r="853" spans="1:19" ht="36" hidden="1" customHeight="1">
      <c r="A853" s="68"/>
      <c r="B853" s="13" t="e">
        <f>VLOOKUP(Table2[[#This Row],[Location 
(drop-down)]],'List source'!D$2:E$71,2,FALSE)</f>
        <v>#N/A</v>
      </c>
      <c r="C853" s="11" t="s">
        <v>970</v>
      </c>
      <c r="D853" s="183" t="e">
        <f t="shared" si="13"/>
        <v>#N/A</v>
      </c>
      <c r="E853" s="188"/>
      <c r="F853" s="193"/>
      <c r="G853" s="68"/>
      <c r="H853" s="72"/>
      <c r="I853" s="19"/>
      <c r="J853" s="176"/>
      <c r="K853" s="176"/>
      <c r="L853" s="176"/>
      <c r="M853" s="176"/>
      <c r="N853" s="176"/>
      <c r="O853" s="71"/>
      <c r="P853" s="225"/>
      <c r="Q8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3" s="65"/>
      <c r="S853" s="90"/>
    </row>
    <row r="854" spans="1:19" ht="36" hidden="1" customHeight="1">
      <c r="A854" s="68"/>
      <c r="B854" s="13" t="e">
        <f>VLOOKUP(Table2[[#This Row],[Location 
(drop-down)]],'List source'!D$2:E$71,2,FALSE)</f>
        <v>#N/A</v>
      </c>
      <c r="C854" s="11" t="s">
        <v>971</v>
      </c>
      <c r="D854" s="183" t="e">
        <f t="shared" si="13"/>
        <v>#N/A</v>
      </c>
      <c r="E854" s="188"/>
      <c r="F854" s="193"/>
      <c r="G854" s="68"/>
      <c r="H854" s="72"/>
      <c r="I854" s="19"/>
      <c r="J854" s="176"/>
      <c r="K854" s="176"/>
      <c r="L854" s="176"/>
      <c r="M854" s="176"/>
      <c r="N854" s="176"/>
      <c r="O854" s="71"/>
      <c r="P854" s="225"/>
      <c r="Q8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4" s="65"/>
      <c r="S854" s="90"/>
    </row>
    <row r="855" spans="1:19" ht="36" hidden="1" customHeight="1">
      <c r="A855" s="9"/>
      <c r="B855" s="13" t="e">
        <f>VLOOKUP(Table2[[#This Row],[Location 
(drop-down)]],'List source'!D$2:E$71,2,FALSE)</f>
        <v>#N/A</v>
      </c>
      <c r="C855" s="11" t="s">
        <v>972</v>
      </c>
      <c r="D855" s="183" t="e">
        <f t="shared" si="13"/>
        <v>#N/A</v>
      </c>
      <c r="E855" s="192"/>
      <c r="F855" s="192"/>
      <c r="G855" s="9"/>
      <c r="H855" s="10"/>
      <c r="I855" s="19"/>
      <c r="J855" s="142"/>
      <c r="K855" s="142"/>
      <c r="L855" s="142"/>
      <c r="M855" s="142"/>
      <c r="N855" s="142"/>
      <c r="O855" s="61"/>
      <c r="P855" s="168"/>
      <c r="Q8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5" s="36"/>
      <c r="S855" s="90"/>
    </row>
    <row r="856" spans="1:19" ht="36" hidden="1" customHeight="1">
      <c r="A856" s="9"/>
      <c r="B856" s="13" t="e">
        <f>VLOOKUP(Table2[[#This Row],[Location 
(drop-down)]],'List source'!D$2:E$71,2,FALSE)</f>
        <v>#N/A</v>
      </c>
      <c r="C856" s="11" t="s">
        <v>973</v>
      </c>
      <c r="D856" s="183" t="e">
        <f t="shared" si="13"/>
        <v>#N/A</v>
      </c>
      <c r="E856" s="192"/>
      <c r="F856" s="192"/>
      <c r="G856" s="9"/>
      <c r="H856" s="10"/>
      <c r="I856" s="19"/>
      <c r="J856" s="142"/>
      <c r="K856" s="142"/>
      <c r="L856" s="142"/>
      <c r="M856" s="142"/>
      <c r="N856" s="142"/>
      <c r="O856" s="61"/>
      <c r="P856" s="168"/>
      <c r="Q8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6" s="36"/>
      <c r="S856" s="90"/>
    </row>
    <row r="857" spans="1:19" ht="36" hidden="1" customHeight="1">
      <c r="A857" s="9"/>
      <c r="B857" s="13" t="e">
        <f>VLOOKUP(Table2[[#This Row],[Location 
(drop-down)]],'List source'!D$2:E$71,2,FALSE)</f>
        <v>#N/A</v>
      </c>
      <c r="C857" s="11" t="s">
        <v>974</v>
      </c>
      <c r="D857" s="183" t="e">
        <f t="shared" si="13"/>
        <v>#N/A</v>
      </c>
      <c r="E857" s="192"/>
      <c r="F857" s="192"/>
      <c r="G857" s="9"/>
      <c r="H857" s="10"/>
      <c r="I857" s="19"/>
      <c r="J857" s="142"/>
      <c r="K857" s="142"/>
      <c r="L857" s="142"/>
      <c r="M857" s="142"/>
      <c r="N857" s="142"/>
      <c r="O857" s="61"/>
      <c r="P857" s="168"/>
      <c r="Q8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7" s="36"/>
      <c r="S857" s="90"/>
    </row>
    <row r="858" spans="1:19" ht="36" hidden="1" customHeight="1">
      <c r="A858" s="9"/>
      <c r="B858" s="13" t="e">
        <f>VLOOKUP(Table2[[#This Row],[Location 
(drop-down)]],'List source'!D$2:E$71,2,FALSE)</f>
        <v>#N/A</v>
      </c>
      <c r="C858" s="11" t="s">
        <v>975</v>
      </c>
      <c r="D858" s="183" t="e">
        <f t="shared" si="13"/>
        <v>#N/A</v>
      </c>
      <c r="E858" s="192"/>
      <c r="F858" s="192"/>
      <c r="G858" s="9"/>
      <c r="H858" s="10"/>
      <c r="I858" s="19"/>
      <c r="J858" s="142"/>
      <c r="K858" s="142"/>
      <c r="L858" s="142"/>
      <c r="M858" s="142"/>
      <c r="N858" s="142"/>
      <c r="O858" s="61"/>
      <c r="P858" s="168"/>
      <c r="Q8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8" s="36"/>
      <c r="S858" s="90"/>
    </row>
    <row r="859" spans="1:19" ht="36" hidden="1" customHeight="1">
      <c r="A859" s="9"/>
      <c r="B859" s="13" t="e">
        <f>VLOOKUP(Table2[[#This Row],[Location 
(drop-down)]],'List source'!D$2:E$71,2,FALSE)</f>
        <v>#N/A</v>
      </c>
      <c r="C859" s="11" t="s">
        <v>976</v>
      </c>
      <c r="D859" s="183" t="e">
        <f t="shared" si="13"/>
        <v>#N/A</v>
      </c>
      <c r="E859" s="192"/>
      <c r="F859" s="192"/>
      <c r="G859" s="9"/>
      <c r="H859" s="10"/>
      <c r="I859" s="19"/>
      <c r="J859" s="142"/>
      <c r="K859" s="142"/>
      <c r="L859" s="142"/>
      <c r="M859" s="142"/>
      <c r="N859" s="142"/>
      <c r="O859" s="61"/>
      <c r="P859" s="168"/>
      <c r="Q8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59" s="36"/>
      <c r="S859" s="90"/>
    </row>
    <row r="860" spans="1:19" ht="36" hidden="1" customHeight="1">
      <c r="A860" s="9"/>
      <c r="B860" s="13" t="e">
        <f>VLOOKUP(Table2[[#This Row],[Location 
(drop-down)]],'List source'!D$2:E$71,2,FALSE)</f>
        <v>#N/A</v>
      </c>
      <c r="C860" s="11" t="s">
        <v>977</v>
      </c>
      <c r="D860" s="183" t="e">
        <f t="shared" si="13"/>
        <v>#N/A</v>
      </c>
      <c r="E860" s="192"/>
      <c r="F860" s="192"/>
      <c r="G860" s="9"/>
      <c r="H860" s="10"/>
      <c r="I860" s="19"/>
      <c r="J860" s="142"/>
      <c r="K860" s="142"/>
      <c r="L860" s="142"/>
      <c r="M860" s="142"/>
      <c r="N860" s="142"/>
      <c r="O860" s="61"/>
      <c r="P860" s="168"/>
      <c r="Q8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0" s="36"/>
      <c r="S860" s="90"/>
    </row>
    <row r="861" spans="1:19" ht="36" hidden="1" customHeight="1">
      <c r="A861" s="9"/>
      <c r="B861" s="13" t="e">
        <f>VLOOKUP(Table2[[#This Row],[Location 
(drop-down)]],'List source'!D$2:E$71,2,FALSE)</f>
        <v>#N/A</v>
      </c>
      <c r="C861" s="11" t="s">
        <v>978</v>
      </c>
      <c r="D861" s="183" t="e">
        <f t="shared" si="13"/>
        <v>#N/A</v>
      </c>
      <c r="E861" s="192"/>
      <c r="F861" s="192"/>
      <c r="G861" s="9"/>
      <c r="H861" s="10"/>
      <c r="I861" s="19"/>
      <c r="J861" s="142"/>
      <c r="K861" s="142"/>
      <c r="L861" s="142"/>
      <c r="M861" s="142"/>
      <c r="N861" s="142"/>
      <c r="O861" s="61"/>
      <c r="P861" s="168"/>
      <c r="Q8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1" s="36"/>
      <c r="S861" s="90"/>
    </row>
    <row r="862" spans="1:19" ht="36" hidden="1" customHeight="1">
      <c r="A862" s="9"/>
      <c r="B862" s="13" t="e">
        <f>VLOOKUP(Table2[[#This Row],[Location 
(drop-down)]],'List source'!D$2:E$71,2,FALSE)</f>
        <v>#N/A</v>
      </c>
      <c r="C862" s="11" t="s">
        <v>979</v>
      </c>
      <c r="D862" s="183" t="e">
        <f t="shared" si="13"/>
        <v>#N/A</v>
      </c>
      <c r="E862" s="192"/>
      <c r="F862" s="192"/>
      <c r="G862" s="9"/>
      <c r="H862" s="10"/>
      <c r="I862" s="19"/>
      <c r="J862" s="142"/>
      <c r="K862" s="142"/>
      <c r="L862" s="142"/>
      <c r="M862" s="142"/>
      <c r="N862" s="142"/>
      <c r="O862" s="61"/>
      <c r="P862" s="168"/>
      <c r="Q8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2" s="36"/>
      <c r="S862" s="90"/>
    </row>
    <row r="863" spans="1:19" ht="36" hidden="1" customHeight="1">
      <c r="A863" s="9"/>
      <c r="B863" s="13" t="e">
        <f>VLOOKUP(Table2[[#This Row],[Location 
(drop-down)]],'List source'!D$2:E$71,2,FALSE)</f>
        <v>#N/A</v>
      </c>
      <c r="C863" s="11" t="s">
        <v>980</v>
      </c>
      <c r="D863" s="183" t="e">
        <f t="shared" si="13"/>
        <v>#N/A</v>
      </c>
      <c r="E863" s="192"/>
      <c r="F863" s="192"/>
      <c r="G863" s="9"/>
      <c r="H863" s="10"/>
      <c r="I863" s="19"/>
      <c r="J863" s="142"/>
      <c r="K863" s="142"/>
      <c r="L863" s="142"/>
      <c r="M863" s="142"/>
      <c r="N863" s="142"/>
      <c r="O863" s="61"/>
      <c r="P863" s="168"/>
      <c r="Q8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3" s="36"/>
      <c r="S863" s="90"/>
    </row>
    <row r="864" spans="1:19" ht="36" hidden="1" customHeight="1">
      <c r="A864" s="9"/>
      <c r="B864" s="13" t="e">
        <f>VLOOKUP(Table2[[#This Row],[Location 
(drop-down)]],'List source'!D$2:E$71,2,FALSE)</f>
        <v>#N/A</v>
      </c>
      <c r="C864" s="11" t="s">
        <v>981</v>
      </c>
      <c r="D864" s="183" t="e">
        <f t="shared" si="13"/>
        <v>#N/A</v>
      </c>
      <c r="E864" s="192"/>
      <c r="F864" s="192"/>
      <c r="G864" s="9"/>
      <c r="H864" s="10"/>
      <c r="I864" s="19"/>
      <c r="J864" s="142"/>
      <c r="K864" s="142"/>
      <c r="L864" s="142"/>
      <c r="M864" s="142"/>
      <c r="N864" s="142"/>
      <c r="O864" s="61"/>
      <c r="P864" s="168"/>
      <c r="Q8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4" s="36"/>
      <c r="S864" s="90"/>
    </row>
    <row r="865" spans="1:19" ht="36" hidden="1" customHeight="1">
      <c r="A865" s="9"/>
      <c r="B865" s="13" t="e">
        <f>VLOOKUP(Table2[[#This Row],[Location 
(drop-down)]],'List source'!D$2:E$71,2,FALSE)</f>
        <v>#N/A</v>
      </c>
      <c r="C865" s="11" t="s">
        <v>982</v>
      </c>
      <c r="D865" s="183" t="e">
        <f t="shared" si="13"/>
        <v>#N/A</v>
      </c>
      <c r="E865" s="192"/>
      <c r="F865" s="192"/>
      <c r="G865" s="9"/>
      <c r="H865" s="10"/>
      <c r="I865" s="19"/>
      <c r="J865" s="142"/>
      <c r="K865" s="142"/>
      <c r="L865" s="142"/>
      <c r="M865" s="142"/>
      <c r="N865" s="142"/>
      <c r="O865" s="61"/>
      <c r="P865" s="168"/>
      <c r="Q8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5" s="36"/>
      <c r="S865" s="90"/>
    </row>
    <row r="866" spans="1:19" ht="36" hidden="1" customHeight="1">
      <c r="A866" s="9"/>
      <c r="B866" s="13" t="e">
        <f>VLOOKUP(Table2[[#This Row],[Location 
(drop-down)]],'List source'!D$2:E$71,2,FALSE)</f>
        <v>#N/A</v>
      </c>
      <c r="C866" s="11" t="s">
        <v>983</v>
      </c>
      <c r="D866" s="183" t="e">
        <f t="shared" si="13"/>
        <v>#N/A</v>
      </c>
      <c r="E866" s="192"/>
      <c r="F866" s="192"/>
      <c r="G866" s="9"/>
      <c r="H866" s="10"/>
      <c r="I866" s="19"/>
      <c r="J866" s="142"/>
      <c r="K866" s="142"/>
      <c r="L866" s="142"/>
      <c r="M866" s="142"/>
      <c r="N866" s="142"/>
      <c r="O866" s="61"/>
      <c r="P866" s="168"/>
      <c r="Q8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6" s="36"/>
      <c r="S866" s="90"/>
    </row>
    <row r="867" spans="1:19" ht="36" hidden="1" customHeight="1">
      <c r="A867" s="9"/>
      <c r="B867" s="13" t="e">
        <f>VLOOKUP(Table2[[#This Row],[Location 
(drop-down)]],'List source'!D$2:E$71,2,FALSE)</f>
        <v>#N/A</v>
      </c>
      <c r="C867" s="11" t="s">
        <v>984</v>
      </c>
      <c r="D867" s="183" t="e">
        <f t="shared" si="13"/>
        <v>#N/A</v>
      </c>
      <c r="E867" s="192"/>
      <c r="F867" s="192"/>
      <c r="G867" s="9"/>
      <c r="H867" s="10"/>
      <c r="I867" s="19"/>
      <c r="J867" s="142"/>
      <c r="K867" s="142"/>
      <c r="L867" s="142"/>
      <c r="M867" s="142"/>
      <c r="N867" s="142"/>
      <c r="O867" s="61"/>
      <c r="P867" s="168"/>
      <c r="Q8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7" s="36"/>
      <c r="S867" s="90"/>
    </row>
    <row r="868" spans="1:19" ht="36" hidden="1" customHeight="1">
      <c r="A868" s="9"/>
      <c r="B868" s="13" t="e">
        <f>VLOOKUP(Table2[[#This Row],[Location 
(drop-down)]],'List source'!D$2:E$71,2,FALSE)</f>
        <v>#N/A</v>
      </c>
      <c r="C868" s="11" t="s">
        <v>985</v>
      </c>
      <c r="D868" s="183" t="e">
        <f t="shared" si="13"/>
        <v>#N/A</v>
      </c>
      <c r="E868" s="192"/>
      <c r="F868" s="192"/>
      <c r="G868" s="9"/>
      <c r="H868" s="10"/>
      <c r="I868" s="19"/>
      <c r="J868" s="142"/>
      <c r="K868" s="142"/>
      <c r="L868" s="142"/>
      <c r="M868" s="142"/>
      <c r="N868" s="142"/>
      <c r="O868" s="61"/>
      <c r="P868" s="168"/>
      <c r="Q8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8" s="36"/>
      <c r="S868" s="90"/>
    </row>
    <row r="869" spans="1:19" ht="36" hidden="1" customHeight="1">
      <c r="A869" s="9"/>
      <c r="B869" s="13" t="e">
        <f>VLOOKUP(Table2[[#This Row],[Location 
(drop-down)]],'List source'!D$2:E$71,2,FALSE)</f>
        <v>#N/A</v>
      </c>
      <c r="C869" s="11" t="s">
        <v>986</v>
      </c>
      <c r="D869" s="183" t="e">
        <f t="shared" si="13"/>
        <v>#N/A</v>
      </c>
      <c r="E869" s="192"/>
      <c r="F869" s="192"/>
      <c r="G869" s="9"/>
      <c r="H869" s="10"/>
      <c r="I869" s="19"/>
      <c r="J869" s="142"/>
      <c r="K869" s="142"/>
      <c r="L869" s="142"/>
      <c r="M869" s="142"/>
      <c r="N869" s="142"/>
      <c r="O869" s="61"/>
      <c r="P869" s="168"/>
      <c r="Q8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69" s="36"/>
      <c r="S869" s="90"/>
    </row>
    <row r="870" spans="1:19" ht="36" hidden="1" customHeight="1">
      <c r="A870" s="9"/>
      <c r="B870" s="13" t="e">
        <f>VLOOKUP(Table2[[#This Row],[Location 
(drop-down)]],'List source'!D$2:E$71,2,FALSE)</f>
        <v>#N/A</v>
      </c>
      <c r="C870" s="11" t="s">
        <v>987</v>
      </c>
      <c r="D870" s="183" t="e">
        <f t="shared" si="13"/>
        <v>#N/A</v>
      </c>
      <c r="E870" s="192"/>
      <c r="F870" s="192"/>
      <c r="G870" s="9"/>
      <c r="H870" s="10"/>
      <c r="I870" s="19"/>
      <c r="J870" s="142"/>
      <c r="K870" s="142"/>
      <c r="L870" s="142"/>
      <c r="M870" s="142"/>
      <c r="N870" s="142"/>
      <c r="O870" s="61"/>
      <c r="P870" s="168"/>
      <c r="Q8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0" s="36"/>
      <c r="S870" s="90"/>
    </row>
    <row r="871" spans="1:19" ht="36" hidden="1" customHeight="1">
      <c r="A871" s="9"/>
      <c r="B871" s="13" t="e">
        <f>VLOOKUP(Table2[[#This Row],[Location 
(drop-down)]],'List source'!D$2:E$71,2,FALSE)</f>
        <v>#N/A</v>
      </c>
      <c r="C871" s="11" t="s">
        <v>988</v>
      </c>
      <c r="D871" s="183" t="e">
        <f t="shared" si="13"/>
        <v>#N/A</v>
      </c>
      <c r="E871" s="192"/>
      <c r="F871" s="192"/>
      <c r="G871" s="9"/>
      <c r="H871" s="10"/>
      <c r="I871" s="19"/>
      <c r="J871" s="142"/>
      <c r="K871" s="142"/>
      <c r="L871" s="142"/>
      <c r="M871" s="142"/>
      <c r="N871" s="142"/>
      <c r="O871" s="61"/>
      <c r="P871" s="168"/>
      <c r="Q8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1" s="36"/>
      <c r="S871" s="90"/>
    </row>
    <row r="872" spans="1:19" ht="36" hidden="1" customHeight="1">
      <c r="A872" s="9"/>
      <c r="B872" s="13" t="e">
        <f>VLOOKUP(Table2[[#This Row],[Location 
(drop-down)]],'List source'!D$2:E$71,2,FALSE)</f>
        <v>#N/A</v>
      </c>
      <c r="C872" s="11" t="s">
        <v>989</v>
      </c>
      <c r="D872" s="183" t="e">
        <f t="shared" si="13"/>
        <v>#N/A</v>
      </c>
      <c r="E872" s="192"/>
      <c r="F872" s="192"/>
      <c r="G872" s="9"/>
      <c r="H872" s="10"/>
      <c r="I872" s="19"/>
      <c r="J872" s="142"/>
      <c r="K872" s="142"/>
      <c r="L872" s="142"/>
      <c r="M872" s="142"/>
      <c r="N872" s="142"/>
      <c r="O872" s="61"/>
      <c r="P872" s="168"/>
      <c r="Q8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2" s="36"/>
      <c r="S872" s="90"/>
    </row>
    <row r="873" spans="1:19" ht="36" hidden="1" customHeight="1">
      <c r="A873" s="9"/>
      <c r="B873" s="13" t="e">
        <f>VLOOKUP(Table2[[#This Row],[Location 
(drop-down)]],'List source'!D$2:E$71,2,FALSE)</f>
        <v>#N/A</v>
      </c>
      <c r="C873" s="11" t="s">
        <v>990</v>
      </c>
      <c r="D873" s="183" t="e">
        <f t="shared" si="13"/>
        <v>#N/A</v>
      </c>
      <c r="E873" s="192"/>
      <c r="F873" s="192"/>
      <c r="G873" s="9"/>
      <c r="H873" s="10"/>
      <c r="I873" s="19"/>
      <c r="J873" s="142"/>
      <c r="K873" s="142"/>
      <c r="L873" s="142"/>
      <c r="M873" s="142"/>
      <c r="N873" s="142"/>
      <c r="O873" s="61"/>
      <c r="P873" s="168"/>
      <c r="Q8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3" s="36"/>
      <c r="S873" s="90"/>
    </row>
    <row r="874" spans="1:19" ht="36" hidden="1" customHeight="1">
      <c r="A874" s="9"/>
      <c r="B874" s="13" t="e">
        <f>VLOOKUP(Table2[[#This Row],[Location 
(drop-down)]],'List source'!D$2:E$71,2,FALSE)</f>
        <v>#N/A</v>
      </c>
      <c r="C874" s="11" t="s">
        <v>991</v>
      </c>
      <c r="D874" s="183" t="e">
        <f t="shared" si="13"/>
        <v>#N/A</v>
      </c>
      <c r="E874" s="192"/>
      <c r="F874" s="192"/>
      <c r="G874" s="9"/>
      <c r="H874" s="10"/>
      <c r="I874" s="19"/>
      <c r="J874" s="142"/>
      <c r="K874" s="142"/>
      <c r="L874" s="142"/>
      <c r="M874" s="142"/>
      <c r="N874" s="142"/>
      <c r="O874" s="61"/>
      <c r="P874" s="168"/>
      <c r="Q8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4" s="36"/>
      <c r="S874" s="90"/>
    </row>
    <row r="875" spans="1:19" ht="36" hidden="1" customHeight="1">
      <c r="A875" s="9"/>
      <c r="B875" s="13" t="e">
        <f>VLOOKUP(Table2[[#This Row],[Location 
(drop-down)]],'List source'!D$2:E$71,2,FALSE)</f>
        <v>#N/A</v>
      </c>
      <c r="C875" s="11" t="s">
        <v>992</v>
      </c>
      <c r="D875" s="183" t="e">
        <f t="shared" si="13"/>
        <v>#N/A</v>
      </c>
      <c r="E875" s="192"/>
      <c r="F875" s="192"/>
      <c r="G875" s="9"/>
      <c r="H875" s="10"/>
      <c r="I875" s="19"/>
      <c r="J875" s="142"/>
      <c r="K875" s="142"/>
      <c r="L875" s="142"/>
      <c r="M875" s="142"/>
      <c r="N875" s="142"/>
      <c r="O875" s="61"/>
      <c r="P875" s="168"/>
      <c r="Q8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5" s="36"/>
      <c r="S875" s="90"/>
    </row>
    <row r="876" spans="1:19" ht="36" hidden="1" customHeight="1">
      <c r="A876" s="9"/>
      <c r="B876" s="13" t="e">
        <f>VLOOKUP(Table2[[#This Row],[Location 
(drop-down)]],'List source'!D$2:E$71,2,FALSE)</f>
        <v>#N/A</v>
      </c>
      <c r="C876" s="11" t="s">
        <v>993</v>
      </c>
      <c r="D876" s="183" t="e">
        <f t="shared" si="13"/>
        <v>#N/A</v>
      </c>
      <c r="E876" s="192"/>
      <c r="F876" s="192"/>
      <c r="G876" s="9"/>
      <c r="H876" s="10"/>
      <c r="I876" s="19"/>
      <c r="J876" s="142"/>
      <c r="K876" s="142"/>
      <c r="L876" s="142"/>
      <c r="M876" s="142"/>
      <c r="N876" s="142"/>
      <c r="O876" s="61"/>
      <c r="P876" s="168"/>
      <c r="Q8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6" s="36"/>
      <c r="S876" s="90"/>
    </row>
    <row r="877" spans="1:19" ht="36" hidden="1" customHeight="1">
      <c r="A877" s="9"/>
      <c r="B877" s="13" t="e">
        <f>VLOOKUP(Table2[[#This Row],[Location 
(drop-down)]],'List source'!D$2:E$71,2,FALSE)</f>
        <v>#N/A</v>
      </c>
      <c r="C877" s="11" t="s">
        <v>994</v>
      </c>
      <c r="D877" s="183" t="e">
        <f t="shared" si="13"/>
        <v>#N/A</v>
      </c>
      <c r="E877" s="192"/>
      <c r="F877" s="192"/>
      <c r="G877" s="9"/>
      <c r="H877" s="10"/>
      <c r="I877" s="19"/>
      <c r="J877" s="142"/>
      <c r="K877" s="142"/>
      <c r="L877" s="142"/>
      <c r="M877" s="142"/>
      <c r="N877" s="142"/>
      <c r="O877" s="61"/>
      <c r="P877" s="168"/>
      <c r="Q8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7" s="36"/>
      <c r="S877" s="90"/>
    </row>
    <row r="878" spans="1:19" ht="36" hidden="1" customHeight="1">
      <c r="A878" s="9"/>
      <c r="B878" s="13" t="e">
        <f>VLOOKUP(Table2[[#This Row],[Location 
(drop-down)]],'List source'!D$2:E$71,2,FALSE)</f>
        <v>#N/A</v>
      </c>
      <c r="C878" s="11" t="s">
        <v>995</v>
      </c>
      <c r="D878" s="183" t="e">
        <f t="shared" si="13"/>
        <v>#N/A</v>
      </c>
      <c r="E878" s="192"/>
      <c r="F878" s="192"/>
      <c r="G878" s="9"/>
      <c r="H878" s="10"/>
      <c r="I878" s="19"/>
      <c r="J878" s="142"/>
      <c r="K878" s="142"/>
      <c r="L878" s="142"/>
      <c r="M878" s="142"/>
      <c r="N878" s="142"/>
      <c r="O878" s="61"/>
      <c r="P878" s="168"/>
      <c r="Q8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8" s="36"/>
      <c r="S878" s="90"/>
    </row>
    <row r="879" spans="1:19" ht="36" hidden="1" customHeight="1">
      <c r="A879" s="9"/>
      <c r="B879" s="13" t="e">
        <f>VLOOKUP(Table2[[#This Row],[Location 
(drop-down)]],'List source'!D$2:E$71,2,FALSE)</f>
        <v>#N/A</v>
      </c>
      <c r="C879" s="11" t="s">
        <v>996</v>
      </c>
      <c r="D879" s="183" t="e">
        <f t="shared" si="13"/>
        <v>#N/A</v>
      </c>
      <c r="E879" s="192"/>
      <c r="F879" s="192"/>
      <c r="G879" s="9"/>
      <c r="H879" s="10"/>
      <c r="I879" s="19"/>
      <c r="J879" s="142"/>
      <c r="K879" s="142"/>
      <c r="L879" s="142"/>
      <c r="M879" s="142"/>
      <c r="N879" s="142"/>
      <c r="O879" s="61"/>
      <c r="P879" s="168"/>
      <c r="Q8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79" s="36"/>
      <c r="S879" s="90"/>
    </row>
    <row r="880" spans="1:19" ht="36" hidden="1" customHeight="1">
      <c r="A880" s="9"/>
      <c r="B880" s="13" t="e">
        <f>VLOOKUP(Table2[[#This Row],[Location 
(drop-down)]],'List source'!D$2:E$71,2,FALSE)</f>
        <v>#N/A</v>
      </c>
      <c r="C880" s="11" t="s">
        <v>997</v>
      </c>
      <c r="D880" s="183" t="e">
        <f t="shared" si="13"/>
        <v>#N/A</v>
      </c>
      <c r="E880" s="192"/>
      <c r="F880" s="192"/>
      <c r="G880" s="9"/>
      <c r="H880" s="10"/>
      <c r="I880" s="19"/>
      <c r="J880" s="142"/>
      <c r="K880" s="142"/>
      <c r="L880" s="142"/>
      <c r="M880" s="142"/>
      <c r="N880" s="142"/>
      <c r="O880" s="61"/>
      <c r="P880" s="168"/>
      <c r="Q8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0" s="36"/>
      <c r="S880" s="90"/>
    </row>
    <row r="881" spans="1:19" ht="36" hidden="1" customHeight="1">
      <c r="A881" s="9"/>
      <c r="B881" s="13" t="e">
        <f>VLOOKUP(Table2[[#This Row],[Location 
(drop-down)]],'List source'!D$2:E$71,2,FALSE)</f>
        <v>#N/A</v>
      </c>
      <c r="C881" s="11" t="s">
        <v>998</v>
      </c>
      <c r="D881" s="183" t="e">
        <f t="shared" si="13"/>
        <v>#N/A</v>
      </c>
      <c r="E881" s="192"/>
      <c r="F881" s="192"/>
      <c r="G881" s="9"/>
      <c r="H881" s="10"/>
      <c r="I881" s="19"/>
      <c r="J881" s="142"/>
      <c r="K881" s="142"/>
      <c r="L881" s="142"/>
      <c r="M881" s="142"/>
      <c r="N881" s="142"/>
      <c r="O881" s="61"/>
      <c r="P881" s="168"/>
      <c r="Q8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1" s="36"/>
      <c r="S881" s="90"/>
    </row>
    <row r="882" spans="1:19" ht="36" hidden="1" customHeight="1">
      <c r="A882" s="9"/>
      <c r="B882" s="13" t="e">
        <f>VLOOKUP(Table2[[#This Row],[Location 
(drop-down)]],'List source'!D$2:E$71,2,FALSE)</f>
        <v>#N/A</v>
      </c>
      <c r="C882" s="11" t="s">
        <v>999</v>
      </c>
      <c r="D882" s="183" t="e">
        <f t="shared" si="13"/>
        <v>#N/A</v>
      </c>
      <c r="E882" s="192"/>
      <c r="F882" s="192"/>
      <c r="G882" s="9"/>
      <c r="H882" s="10"/>
      <c r="I882" s="19"/>
      <c r="J882" s="142"/>
      <c r="K882" s="142"/>
      <c r="L882" s="142"/>
      <c r="M882" s="142"/>
      <c r="N882" s="142"/>
      <c r="O882" s="61"/>
      <c r="P882" s="168"/>
      <c r="Q8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2" s="36"/>
      <c r="S882" s="90"/>
    </row>
    <row r="883" spans="1:19" ht="36" hidden="1" customHeight="1">
      <c r="A883" s="9"/>
      <c r="B883" s="13" t="e">
        <f>VLOOKUP(Table2[[#This Row],[Location 
(drop-down)]],'List source'!D$2:E$71,2,FALSE)</f>
        <v>#N/A</v>
      </c>
      <c r="C883" s="11" t="s">
        <v>1000</v>
      </c>
      <c r="D883" s="183" t="e">
        <f t="shared" si="13"/>
        <v>#N/A</v>
      </c>
      <c r="E883" s="192"/>
      <c r="F883" s="192"/>
      <c r="G883" s="9"/>
      <c r="H883" s="10"/>
      <c r="I883" s="19"/>
      <c r="J883" s="142"/>
      <c r="K883" s="142"/>
      <c r="L883" s="142"/>
      <c r="M883" s="142"/>
      <c r="N883" s="142"/>
      <c r="O883" s="61"/>
      <c r="P883" s="168"/>
      <c r="Q8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3" s="36"/>
      <c r="S883" s="90"/>
    </row>
    <row r="884" spans="1:19" ht="36" hidden="1" customHeight="1">
      <c r="A884" s="9"/>
      <c r="B884" s="13" t="e">
        <f>VLOOKUP(Table2[[#This Row],[Location 
(drop-down)]],'List source'!D$2:E$71,2,FALSE)</f>
        <v>#N/A</v>
      </c>
      <c r="C884" s="11" t="s">
        <v>1001</v>
      </c>
      <c r="D884" s="183" t="e">
        <f t="shared" si="13"/>
        <v>#N/A</v>
      </c>
      <c r="E884" s="192"/>
      <c r="F884" s="192"/>
      <c r="G884" s="9"/>
      <c r="H884" s="10"/>
      <c r="I884" s="19"/>
      <c r="J884" s="142"/>
      <c r="K884" s="142"/>
      <c r="L884" s="142"/>
      <c r="M884" s="142"/>
      <c r="N884" s="142"/>
      <c r="O884" s="61"/>
      <c r="P884" s="168"/>
      <c r="Q8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4" s="36"/>
      <c r="S884" s="90"/>
    </row>
    <row r="885" spans="1:19" ht="36" hidden="1" customHeight="1">
      <c r="A885" s="9"/>
      <c r="B885" s="13" t="e">
        <f>VLOOKUP(Table2[[#This Row],[Location 
(drop-down)]],'List source'!D$2:E$71,2,FALSE)</f>
        <v>#N/A</v>
      </c>
      <c r="C885" s="11" t="s">
        <v>1002</v>
      </c>
      <c r="D885" s="183" t="e">
        <f t="shared" si="13"/>
        <v>#N/A</v>
      </c>
      <c r="E885" s="192"/>
      <c r="F885" s="192"/>
      <c r="G885" s="9"/>
      <c r="H885" s="10"/>
      <c r="I885" s="19"/>
      <c r="J885" s="142"/>
      <c r="K885" s="142"/>
      <c r="L885" s="142"/>
      <c r="M885" s="142"/>
      <c r="N885" s="142"/>
      <c r="O885" s="61"/>
      <c r="P885" s="168"/>
      <c r="Q8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5" s="36"/>
      <c r="S885" s="90"/>
    </row>
    <row r="886" spans="1:19" ht="36" hidden="1" customHeight="1">
      <c r="A886" s="9"/>
      <c r="B886" s="13" t="e">
        <f>VLOOKUP(Table2[[#This Row],[Location 
(drop-down)]],'List source'!D$2:E$71,2,FALSE)</f>
        <v>#N/A</v>
      </c>
      <c r="C886" s="11" t="s">
        <v>1003</v>
      </c>
      <c r="D886" s="183" t="e">
        <f t="shared" si="13"/>
        <v>#N/A</v>
      </c>
      <c r="E886" s="192"/>
      <c r="F886" s="192"/>
      <c r="G886" s="9"/>
      <c r="H886" s="10"/>
      <c r="I886" s="19"/>
      <c r="J886" s="142"/>
      <c r="K886" s="142"/>
      <c r="L886" s="142"/>
      <c r="M886" s="142"/>
      <c r="N886" s="142"/>
      <c r="O886" s="61"/>
      <c r="P886" s="168"/>
      <c r="Q8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6" s="36"/>
      <c r="S886" s="90"/>
    </row>
    <row r="887" spans="1:19" ht="36" hidden="1" customHeight="1">
      <c r="A887" s="9"/>
      <c r="B887" s="13" t="e">
        <f>VLOOKUP(Table2[[#This Row],[Location 
(drop-down)]],'List source'!D$2:E$71,2,FALSE)</f>
        <v>#N/A</v>
      </c>
      <c r="C887" s="11" t="s">
        <v>1004</v>
      </c>
      <c r="D887" s="183" t="e">
        <f t="shared" si="13"/>
        <v>#N/A</v>
      </c>
      <c r="E887" s="192"/>
      <c r="F887" s="192"/>
      <c r="G887" s="9"/>
      <c r="H887" s="10"/>
      <c r="I887" s="19"/>
      <c r="J887" s="142"/>
      <c r="K887" s="142"/>
      <c r="L887" s="142"/>
      <c r="M887" s="142"/>
      <c r="N887" s="142"/>
      <c r="O887" s="61"/>
      <c r="P887" s="168"/>
      <c r="Q8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7" s="36"/>
      <c r="S887" s="90"/>
    </row>
    <row r="888" spans="1:19" ht="36" hidden="1" customHeight="1">
      <c r="A888" s="9"/>
      <c r="B888" s="13" t="e">
        <f>VLOOKUP(Table2[[#This Row],[Location 
(drop-down)]],'List source'!D$2:E$71,2,FALSE)</f>
        <v>#N/A</v>
      </c>
      <c r="C888" s="11" t="s">
        <v>1005</v>
      </c>
      <c r="D888" s="183" t="e">
        <f t="shared" si="13"/>
        <v>#N/A</v>
      </c>
      <c r="E888" s="192"/>
      <c r="F888" s="192"/>
      <c r="G888" s="9"/>
      <c r="H888" s="10"/>
      <c r="I888" s="19"/>
      <c r="J888" s="142"/>
      <c r="K888" s="142"/>
      <c r="L888" s="142"/>
      <c r="M888" s="142"/>
      <c r="N888" s="142"/>
      <c r="O888" s="61"/>
      <c r="P888" s="168"/>
      <c r="Q8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8" s="36"/>
      <c r="S888" s="90"/>
    </row>
    <row r="889" spans="1:19" ht="36" hidden="1" customHeight="1">
      <c r="A889" s="9"/>
      <c r="B889" s="13" t="e">
        <f>VLOOKUP(Table2[[#This Row],[Location 
(drop-down)]],'List source'!D$2:E$71,2,FALSE)</f>
        <v>#N/A</v>
      </c>
      <c r="C889" s="11" t="s">
        <v>1006</v>
      </c>
      <c r="D889" s="183" t="e">
        <f t="shared" si="13"/>
        <v>#N/A</v>
      </c>
      <c r="E889" s="192"/>
      <c r="F889" s="192"/>
      <c r="G889" s="9"/>
      <c r="H889" s="10"/>
      <c r="I889" s="19"/>
      <c r="J889" s="142"/>
      <c r="K889" s="142"/>
      <c r="L889" s="142"/>
      <c r="M889" s="142"/>
      <c r="N889" s="142"/>
      <c r="O889" s="61"/>
      <c r="P889" s="168"/>
      <c r="Q8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89" s="36"/>
      <c r="S889" s="90"/>
    </row>
    <row r="890" spans="1:19" ht="36" hidden="1" customHeight="1">
      <c r="A890" s="9"/>
      <c r="B890" s="13" t="e">
        <f>VLOOKUP(Table2[[#This Row],[Location 
(drop-down)]],'List source'!D$2:E$71,2,FALSE)</f>
        <v>#N/A</v>
      </c>
      <c r="C890" s="11" t="s">
        <v>1007</v>
      </c>
      <c r="D890" s="183" t="e">
        <f t="shared" si="13"/>
        <v>#N/A</v>
      </c>
      <c r="E890" s="192"/>
      <c r="F890" s="192"/>
      <c r="G890" s="9"/>
      <c r="H890" s="10"/>
      <c r="I890" s="19"/>
      <c r="J890" s="142"/>
      <c r="K890" s="142"/>
      <c r="L890" s="142"/>
      <c r="M890" s="142"/>
      <c r="N890" s="142"/>
      <c r="O890" s="61"/>
      <c r="P890" s="168"/>
      <c r="Q8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0" s="36"/>
      <c r="S890" s="90"/>
    </row>
    <row r="891" spans="1:19" ht="36" hidden="1" customHeight="1">
      <c r="A891" s="9"/>
      <c r="B891" s="13" t="e">
        <f>VLOOKUP(Table2[[#This Row],[Location 
(drop-down)]],'List source'!D$2:E$71,2,FALSE)</f>
        <v>#N/A</v>
      </c>
      <c r="C891" s="11" t="s">
        <v>1008</v>
      </c>
      <c r="D891" s="183" t="e">
        <f t="shared" si="13"/>
        <v>#N/A</v>
      </c>
      <c r="E891" s="192"/>
      <c r="F891" s="192"/>
      <c r="G891" s="9"/>
      <c r="H891" s="10"/>
      <c r="I891" s="19"/>
      <c r="J891" s="142"/>
      <c r="K891" s="142"/>
      <c r="L891" s="142"/>
      <c r="M891" s="142"/>
      <c r="N891" s="142"/>
      <c r="O891" s="61"/>
      <c r="P891" s="168"/>
      <c r="Q8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1" s="36"/>
      <c r="S891" s="90"/>
    </row>
    <row r="892" spans="1:19" ht="36" hidden="1" customHeight="1">
      <c r="A892" s="9"/>
      <c r="B892" s="13" t="e">
        <f>VLOOKUP(Table2[[#This Row],[Location 
(drop-down)]],'List source'!D$2:E$71,2,FALSE)</f>
        <v>#N/A</v>
      </c>
      <c r="C892" s="11" t="s">
        <v>1009</v>
      </c>
      <c r="D892" s="183" t="e">
        <f t="shared" si="13"/>
        <v>#N/A</v>
      </c>
      <c r="E892" s="192"/>
      <c r="F892" s="192"/>
      <c r="G892" s="9"/>
      <c r="H892" s="10"/>
      <c r="I892" s="19"/>
      <c r="J892" s="142"/>
      <c r="K892" s="142"/>
      <c r="L892" s="142"/>
      <c r="M892" s="142"/>
      <c r="N892" s="142"/>
      <c r="O892" s="61"/>
      <c r="P892" s="168"/>
      <c r="Q8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2" s="36"/>
      <c r="S892" s="90"/>
    </row>
    <row r="893" spans="1:19" ht="36" hidden="1" customHeight="1">
      <c r="A893" s="9"/>
      <c r="B893" s="13" t="e">
        <f>VLOOKUP(Table2[[#This Row],[Location 
(drop-down)]],'List source'!D$2:E$71,2,FALSE)</f>
        <v>#N/A</v>
      </c>
      <c r="C893" s="11" t="s">
        <v>1010</v>
      </c>
      <c r="D893" s="183" t="e">
        <f t="shared" si="13"/>
        <v>#N/A</v>
      </c>
      <c r="E893" s="192"/>
      <c r="F893" s="192"/>
      <c r="G893" s="9"/>
      <c r="H893" s="10"/>
      <c r="I893" s="19"/>
      <c r="J893" s="142"/>
      <c r="K893" s="142"/>
      <c r="L893" s="142"/>
      <c r="M893" s="142"/>
      <c r="N893" s="142"/>
      <c r="O893" s="61"/>
      <c r="P893" s="168"/>
      <c r="Q8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3" s="36"/>
      <c r="S893" s="90"/>
    </row>
    <row r="894" spans="1:19" ht="36" hidden="1" customHeight="1">
      <c r="A894" s="9"/>
      <c r="B894" s="13" t="e">
        <f>VLOOKUP(Table2[[#This Row],[Location 
(drop-down)]],'List source'!D$2:E$71,2,FALSE)</f>
        <v>#N/A</v>
      </c>
      <c r="C894" s="11" t="s">
        <v>1011</v>
      </c>
      <c r="D894" s="183" t="e">
        <f t="shared" si="13"/>
        <v>#N/A</v>
      </c>
      <c r="E894" s="192"/>
      <c r="F894" s="192"/>
      <c r="G894" s="9"/>
      <c r="H894" s="10"/>
      <c r="I894" s="19"/>
      <c r="J894" s="142"/>
      <c r="K894" s="142"/>
      <c r="L894" s="142"/>
      <c r="M894" s="142"/>
      <c r="N894" s="142"/>
      <c r="O894" s="61"/>
      <c r="P894" s="168"/>
      <c r="Q8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4" s="36"/>
      <c r="S894" s="90"/>
    </row>
    <row r="895" spans="1:19" ht="36" hidden="1" customHeight="1">
      <c r="A895" s="9"/>
      <c r="B895" s="13" t="e">
        <f>VLOOKUP(Table2[[#This Row],[Location 
(drop-down)]],'List source'!D$2:E$71,2,FALSE)</f>
        <v>#N/A</v>
      </c>
      <c r="C895" s="11" t="s">
        <v>1012</v>
      </c>
      <c r="D895" s="183" t="e">
        <f t="shared" si="13"/>
        <v>#N/A</v>
      </c>
      <c r="E895" s="192"/>
      <c r="F895" s="192"/>
      <c r="G895" s="9"/>
      <c r="H895" s="10"/>
      <c r="I895" s="19"/>
      <c r="J895" s="142"/>
      <c r="K895" s="142"/>
      <c r="L895" s="142"/>
      <c r="M895" s="142"/>
      <c r="N895" s="142"/>
      <c r="O895" s="61"/>
      <c r="P895" s="168"/>
      <c r="Q8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5" s="36"/>
      <c r="S895" s="90"/>
    </row>
    <row r="896" spans="1:19" ht="36" hidden="1" customHeight="1">
      <c r="A896" s="9"/>
      <c r="B896" s="13" t="e">
        <f>VLOOKUP(Table2[[#This Row],[Location 
(drop-down)]],'List source'!D$2:E$71,2,FALSE)</f>
        <v>#N/A</v>
      </c>
      <c r="C896" s="11" t="s">
        <v>1013</v>
      </c>
      <c r="D896" s="183" t="e">
        <f t="shared" si="13"/>
        <v>#N/A</v>
      </c>
      <c r="E896" s="192"/>
      <c r="F896" s="192"/>
      <c r="G896" s="9"/>
      <c r="H896" s="10"/>
      <c r="I896" s="19"/>
      <c r="J896" s="142"/>
      <c r="K896" s="142"/>
      <c r="L896" s="142"/>
      <c r="M896" s="142"/>
      <c r="N896" s="142"/>
      <c r="O896" s="61"/>
      <c r="P896" s="168"/>
      <c r="Q8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6" s="36"/>
      <c r="S896" s="90"/>
    </row>
    <row r="897" spans="1:19" ht="36" hidden="1" customHeight="1">
      <c r="A897" s="9"/>
      <c r="B897" s="13" t="e">
        <f>VLOOKUP(Table2[[#This Row],[Location 
(drop-down)]],'List source'!D$2:E$71,2,FALSE)</f>
        <v>#N/A</v>
      </c>
      <c r="C897" s="11" t="s">
        <v>1014</v>
      </c>
      <c r="D897" s="183" t="e">
        <f t="shared" si="13"/>
        <v>#N/A</v>
      </c>
      <c r="E897" s="192"/>
      <c r="F897" s="192"/>
      <c r="G897" s="9"/>
      <c r="H897" s="10"/>
      <c r="I897" s="19"/>
      <c r="J897" s="142"/>
      <c r="K897" s="142"/>
      <c r="L897" s="142"/>
      <c r="M897" s="142"/>
      <c r="N897" s="142"/>
      <c r="O897" s="61"/>
      <c r="P897" s="168"/>
      <c r="Q8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7" s="36"/>
      <c r="S897" s="90"/>
    </row>
    <row r="898" spans="1:19" ht="36" hidden="1" customHeight="1">
      <c r="A898" s="9"/>
      <c r="B898" s="13" t="e">
        <f>VLOOKUP(Table2[[#This Row],[Location 
(drop-down)]],'List source'!D$2:E$71,2,FALSE)</f>
        <v>#N/A</v>
      </c>
      <c r="C898" s="11" t="s">
        <v>1015</v>
      </c>
      <c r="D898" s="183" t="e">
        <f t="shared" ref="D898:D961" si="14">"C" &amp; C898 &amp;"-" &amp; B898 &amp; "-" &amp; "26"</f>
        <v>#N/A</v>
      </c>
      <c r="E898" s="192"/>
      <c r="F898" s="192"/>
      <c r="G898" s="9"/>
      <c r="H898" s="10"/>
      <c r="I898" s="19"/>
      <c r="J898" s="142"/>
      <c r="K898" s="142"/>
      <c r="L898" s="142"/>
      <c r="M898" s="142"/>
      <c r="N898" s="142"/>
      <c r="O898" s="61"/>
      <c r="P898" s="168"/>
      <c r="Q8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8" s="36"/>
      <c r="S898" s="90"/>
    </row>
    <row r="899" spans="1:19" ht="36" hidden="1" customHeight="1">
      <c r="A899" s="9"/>
      <c r="B899" s="13" t="e">
        <f>VLOOKUP(Table2[[#This Row],[Location 
(drop-down)]],'List source'!D$2:E$71,2,FALSE)</f>
        <v>#N/A</v>
      </c>
      <c r="C899" s="11" t="s">
        <v>1016</v>
      </c>
      <c r="D899" s="183" t="e">
        <f t="shared" si="14"/>
        <v>#N/A</v>
      </c>
      <c r="E899" s="192"/>
      <c r="F899" s="192"/>
      <c r="G899" s="9"/>
      <c r="H899" s="10"/>
      <c r="I899" s="19"/>
      <c r="J899" s="142"/>
      <c r="K899" s="142"/>
      <c r="L899" s="142"/>
      <c r="M899" s="142"/>
      <c r="N899" s="142"/>
      <c r="O899" s="61"/>
      <c r="P899" s="168"/>
      <c r="Q8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899" s="36"/>
      <c r="S899" s="90"/>
    </row>
    <row r="900" spans="1:19" ht="36" hidden="1" customHeight="1">
      <c r="A900" s="9"/>
      <c r="B900" s="13" t="e">
        <f>VLOOKUP(Table2[[#This Row],[Location 
(drop-down)]],'List source'!D$2:E$71,2,FALSE)</f>
        <v>#N/A</v>
      </c>
      <c r="C900" s="11" t="s">
        <v>1017</v>
      </c>
      <c r="D900" s="183" t="e">
        <f t="shared" si="14"/>
        <v>#N/A</v>
      </c>
      <c r="E900" s="192"/>
      <c r="F900" s="192"/>
      <c r="G900" s="9"/>
      <c r="H900" s="10"/>
      <c r="I900" s="19"/>
      <c r="J900" s="142"/>
      <c r="K900" s="142"/>
      <c r="L900" s="142"/>
      <c r="M900" s="142"/>
      <c r="N900" s="142"/>
      <c r="O900" s="61"/>
      <c r="P900" s="168"/>
      <c r="Q9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0" s="36"/>
      <c r="S900" s="90"/>
    </row>
    <row r="901" spans="1:19" ht="36" hidden="1" customHeight="1">
      <c r="A901" s="9"/>
      <c r="B901" s="13" t="e">
        <f>VLOOKUP(Table2[[#This Row],[Location 
(drop-down)]],'List source'!D$2:E$71,2,FALSE)</f>
        <v>#N/A</v>
      </c>
      <c r="C901" s="11" t="s">
        <v>1018</v>
      </c>
      <c r="D901" s="183" t="e">
        <f t="shared" si="14"/>
        <v>#N/A</v>
      </c>
      <c r="E901" s="192"/>
      <c r="F901" s="192"/>
      <c r="G901" s="9"/>
      <c r="H901" s="10"/>
      <c r="I901" s="19"/>
      <c r="J901" s="142"/>
      <c r="K901" s="142"/>
      <c r="L901" s="142"/>
      <c r="M901" s="142"/>
      <c r="N901" s="142"/>
      <c r="O901" s="61"/>
      <c r="P901" s="168"/>
      <c r="Q90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1" s="36"/>
      <c r="S901" s="90"/>
    </row>
    <row r="902" spans="1:19" ht="36" hidden="1" customHeight="1">
      <c r="A902" s="9"/>
      <c r="B902" s="13" t="e">
        <f>VLOOKUP(Table2[[#This Row],[Location 
(drop-down)]],'List source'!D$2:E$71,2,FALSE)</f>
        <v>#N/A</v>
      </c>
      <c r="C902" s="11" t="s">
        <v>1019</v>
      </c>
      <c r="D902" s="183" t="e">
        <f t="shared" si="14"/>
        <v>#N/A</v>
      </c>
      <c r="E902" s="192"/>
      <c r="F902" s="192"/>
      <c r="G902" s="9"/>
      <c r="H902" s="10"/>
      <c r="I902" s="19"/>
      <c r="J902" s="142"/>
      <c r="K902" s="142"/>
      <c r="L902" s="142"/>
      <c r="M902" s="142"/>
      <c r="N902" s="142"/>
      <c r="O902" s="61"/>
      <c r="P902" s="168"/>
      <c r="Q90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2" s="36"/>
      <c r="S902" s="90"/>
    </row>
    <row r="903" spans="1:19" ht="36" hidden="1" customHeight="1">
      <c r="A903" s="9"/>
      <c r="B903" s="13" t="e">
        <f>VLOOKUP(Table2[[#This Row],[Location 
(drop-down)]],'List source'!D$2:E$71,2,FALSE)</f>
        <v>#N/A</v>
      </c>
      <c r="C903" s="11" t="s">
        <v>1020</v>
      </c>
      <c r="D903" s="183" t="e">
        <f t="shared" si="14"/>
        <v>#N/A</v>
      </c>
      <c r="E903" s="192"/>
      <c r="F903" s="192"/>
      <c r="G903" s="9"/>
      <c r="H903" s="10"/>
      <c r="I903" s="19"/>
      <c r="J903" s="142"/>
      <c r="K903" s="142"/>
      <c r="L903" s="142"/>
      <c r="M903" s="142"/>
      <c r="N903" s="142"/>
      <c r="O903" s="61"/>
      <c r="P903" s="168"/>
      <c r="Q90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3" s="36"/>
      <c r="S903" s="90"/>
    </row>
    <row r="904" spans="1:19" ht="36" hidden="1" customHeight="1">
      <c r="A904" s="9"/>
      <c r="B904" s="13" t="e">
        <f>VLOOKUP(Table2[[#This Row],[Location 
(drop-down)]],'List source'!D$2:E$71,2,FALSE)</f>
        <v>#N/A</v>
      </c>
      <c r="C904" s="11" t="s">
        <v>1021</v>
      </c>
      <c r="D904" s="183" t="e">
        <f t="shared" si="14"/>
        <v>#N/A</v>
      </c>
      <c r="E904" s="192"/>
      <c r="F904" s="192"/>
      <c r="G904" s="9"/>
      <c r="H904" s="10"/>
      <c r="I904" s="19"/>
      <c r="J904" s="142"/>
      <c r="K904" s="142"/>
      <c r="L904" s="142"/>
      <c r="M904" s="142"/>
      <c r="N904" s="142"/>
      <c r="O904" s="61"/>
      <c r="P904" s="168"/>
      <c r="Q90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4" s="36"/>
      <c r="S904" s="90"/>
    </row>
    <row r="905" spans="1:19" ht="36" hidden="1" customHeight="1">
      <c r="A905" s="9"/>
      <c r="B905" s="13" t="e">
        <f>VLOOKUP(Table2[[#This Row],[Location 
(drop-down)]],'List source'!D$2:E$71,2,FALSE)</f>
        <v>#N/A</v>
      </c>
      <c r="C905" s="11" t="s">
        <v>1022</v>
      </c>
      <c r="D905" s="183" t="e">
        <f t="shared" si="14"/>
        <v>#N/A</v>
      </c>
      <c r="E905" s="192"/>
      <c r="F905" s="192"/>
      <c r="G905" s="9"/>
      <c r="H905" s="10"/>
      <c r="I905" s="19"/>
      <c r="J905" s="142"/>
      <c r="K905" s="142"/>
      <c r="L905" s="142"/>
      <c r="M905" s="142"/>
      <c r="N905" s="142"/>
      <c r="O905" s="61"/>
      <c r="P905" s="168"/>
      <c r="Q90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5" s="36"/>
      <c r="S905" s="90"/>
    </row>
    <row r="906" spans="1:19" ht="36" hidden="1" customHeight="1">
      <c r="A906" s="9"/>
      <c r="B906" s="13" t="e">
        <f>VLOOKUP(Table2[[#This Row],[Location 
(drop-down)]],'List source'!D$2:E$71,2,FALSE)</f>
        <v>#N/A</v>
      </c>
      <c r="C906" s="11" t="s">
        <v>1023</v>
      </c>
      <c r="D906" s="183" t="e">
        <f t="shared" si="14"/>
        <v>#N/A</v>
      </c>
      <c r="E906" s="192"/>
      <c r="F906" s="192"/>
      <c r="G906" s="9"/>
      <c r="H906" s="10"/>
      <c r="I906" s="19"/>
      <c r="J906" s="142"/>
      <c r="K906" s="142"/>
      <c r="L906" s="142"/>
      <c r="M906" s="142"/>
      <c r="N906" s="142"/>
      <c r="O906" s="61"/>
      <c r="P906" s="168"/>
      <c r="Q90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6" s="36"/>
      <c r="S906" s="90"/>
    </row>
    <row r="907" spans="1:19" ht="36" hidden="1" customHeight="1">
      <c r="A907" s="9"/>
      <c r="B907" s="13" t="e">
        <f>VLOOKUP(Table2[[#This Row],[Location 
(drop-down)]],'List source'!D$2:E$71,2,FALSE)</f>
        <v>#N/A</v>
      </c>
      <c r="C907" s="11" t="s">
        <v>1024</v>
      </c>
      <c r="D907" s="183" t="e">
        <f t="shared" si="14"/>
        <v>#N/A</v>
      </c>
      <c r="E907" s="192"/>
      <c r="F907" s="192"/>
      <c r="G907" s="9"/>
      <c r="H907" s="10"/>
      <c r="I907" s="19"/>
      <c r="J907" s="142"/>
      <c r="K907" s="142"/>
      <c r="L907" s="142"/>
      <c r="M907" s="142"/>
      <c r="N907" s="142"/>
      <c r="O907" s="61"/>
      <c r="P907" s="168"/>
      <c r="Q90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7" s="36"/>
      <c r="S907" s="90"/>
    </row>
    <row r="908" spans="1:19" ht="36" hidden="1" customHeight="1">
      <c r="A908" s="9"/>
      <c r="B908" s="13" t="e">
        <f>VLOOKUP(Table2[[#This Row],[Location 
(drop-down)]],'List source'!D$2:E$71,2,FALSE)</f>
        <v>#N/A</v>
      </c>
      <c r="C908" s="11" t="s">
        <v>1025</v>
      </c>
      <c r="D908" s="183" t="e">
        <f t="shared" si="14"/>
        <v>#N/A</v>
      </c>
      <c r="E908" s="192"/>
      <c r="F908" s="192"/>
      <c r="G908" s="9"/>
      <c r="H908" s="10"/>
      <c r="I908" s="19"/>
      <c r="J908" s="142"/>
      <c r="K908" s="142"/>
      <c r="L908" s="142"/>
      <c r="M908" s="142"/>
      <c r="N908" s="142"/>
      <c r="O908" s="61"/>
      <c r="P908" s="168"/>
      <c r="Q90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8" s="36"/>
      <c r="S908" s="90"/>
    </row>
    <row r="909" spans="1:19" ht="36" hidden="1" customHeight="1">
      <c r="A909" s="9"/>
      <c r="B909" s="13" t="e">
        <f>VLOOKUP(Table2[[#This Row],[Location 
(drop-down)]],'List source'!D$2:E$71,2,FALSE)</f>
        <v>#N/A</v>
      </c>
      <c r="C909" s="11" t="s">
        <v>1026</v>
      </c>
      <c r="D909" s="183" t="e">
        <f t="shared" si="14"/>
        <v>#N/A</v>
      </c>
      <c r="E909" s="192"/>
      <c r="F909" s="192"/>
      <c r="G909" s="9"/>
      <c r="H909" s="10"/>
      <c r="I909" s="19"/>
      <c r="J909" s="142"/>
      <c r="K909" s="142"/>
      <c r="L909" s="142"/>
      <c r="M909" s="142"/>
      <c r="N909" s="142"/>
      <c r="O909" s="61"/>
      <c r="P909" s="168"/>
      <c r="Q90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09" s="36"/>
      <c r="S909" s="90"/>
    </row>
    <row r="910" spans="1:19" ht="36" hidden="1" customHeight="1">
      <c r="A910" s="9"/>
      <c r="B910" s="13" t="e">
        <f>VLOOKUP(Table2[[#This Row],[Location 
(drop-down)]],'List source'!D$2:E$71,2,FALSE)</f>
        <v>#N/A</v>
      </c>
      <c r="C910" s="11" t="s">
        <v>1027</v>
      </c>
      <c r="D910" s="183" t="e">
        <f t="shared" si="14"/>
        <v>#N/A</v>
      </c>
      <c r="E910" s="192"/>
      <c r="F910" s="192"/>
      <c r="G910" s="9"/>
      <c r="H910" s="10"/>
      <c r="I910" s="19"/>
      <c r="J910" s="142"/>
      <c r="K910" s="142"/>
      <c r="L910" s="142"/>
      <c r="M910" s="142"/>
      <c r="N910" s="142"/>
      <c r="O910" s="61"/>
      <c r="P910" s="168"/>
      <c r="Q91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0" s="36"/>
      <c r="S910" s="90"/>
    </row>
    <row r="911" spans="1:19" ht="36" hidden="1" customHeight="1">
      <c r="A911" s="9"/>
      <c r="B911" s="13" t="e">
        <f>VLOOKUP(Table2[[#This Row],[Location 
(drop-down)]],'List source'!D$2:E$71,2,FALSE)</f>
        <v>#N/A</v>
      </c>
      <c r="C911" s="11" t="s">
        <v>1028</v>
      </c>
      <c r="D911" s="183" t="e">
        <f t="shared" si="14"/>
        <v>#N/A</v>
      </c>
      <c r="E911" s="192"/>
      <c r="F911" s="192"/>
      <c r="G911" s="9"/>
      <c r="H911" s="10"/>
      <c r="I911" s="19"/>
      <c r="J911" s="142"/>
      <c r="K911" s="142"/>
      <c r="L911" s="142"/>
      <c r="M911" s="142"/>
      <c r="N911" s="142"/>
      <c r="O911" s="61"/>
      <c r="P911" s="168"/>
      <c r="Q91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1" s="36"/>
      <c r="S911" s="90"/>
    </row>
    <row r="912" spans="1:19" ht="36" hidden="1" customHeight="1">
      <c r="A912" s="9"/>
      <c r="B912" s="13" t="e">
        <f>VLOOKUP(Table2[[#This Row],[Location 
(drop-down)]],'List source'!D$2:E$71,2,FALSE)</f>
        <v>#N/A</v>
      </c>
      <c r="C912" s="11" t="s">
        <v>1029</v>
      </c>
      <c r="D912" s="183" t="e">
        <f t="shared" si="14"/>
        <v>#N/A</v>
      </c>
      <c r="E912" s="192"/>
      <c r="F912" s="192"/>
      <c r="G912" s="9"/>
      <c r="H912" s="10"/>
      <c r="I912" s="19"/>
      <c r="J912" s="142"/>
      <c r="K912" s="142"/>
      <c r="L912" s="142"/>
      <c r="M912" s="142"/>
      <c r="N912" s="142"/>
      <c r="O912" s="61"/>
      <c r="P912" s="168"/>
      <c r="Q91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2" s="36"/>
      <c r="S912" s="90"/>
    </row>
    <row r="913" spans="1:19" ht="36" hidden="1" customHeight="1">
      <c r="A913" s="9"/>
      <c r="B913" s="13" t="e">
        <f>VLOOKUP(Table2[[#This Row],[Location 
(drop-down)]],'List source'!D$2:E$71,2,FALSE)</f>
        <v>#N/A</v>
      </c>
      <c r="C913" s="11" t="s">
        <v>1030</v>
      </c>
      <c r="D913" s="183" t="e">
        <f t="shared" si="14"/>
        <v>#N/A</v>
      </c>
      <c r="E913" s="192"/>
      <c r="F913" s="192"/>
      <c r="G913" s="9"/>
      <c r="H913" s="10"/>
      <c r="I913" s="19"/>
      <c r="J913" s="142"/>
      <c r="K913" s="142"/>
      <c r="L913" s="142"/>
      <c r="M913" s="142"/>
      <c r="N913" s="142"/>
      <c r="O913" s="61"/>
      <c r="P913" s="168"/>
      <c r="Q91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3" s="36"/>
      <c r="S913" s="90"/>
    </row>
    <row r="914" spans="1:19" ht="36" hidden="1" customHeight="1">
      <c r="A914" s="9"/>
      <c r="B914" s="13" t="e">
        <f>VLOOKUP(Table2[[#This Row],[Location 
(drop-down)]],'List source'!D$2:E$71,2,FALSE)</f>
        <v>#N/A</v>
      </c>
      <c r="C914" s="11" t="s">
        <v>1031</v>
      </c>
      <c r="D914" s="183" t="e">
        <f t="shared" si="14"/>
        <v>#N/A</v>
      </c>
      <c r="E914" s="192"/>
      <c r="F914" s="192"/>
      <c r="G914" s="9"/>
      <c r="H914" s="10"/>
      <c r="I914" s="19"/>
      <c r="J914" s="142"/>
      <c r="K914" s="142"/>
      <c r="L914" s="142"/>
      <c r="M914" s="142"/>
      <c r="N914" s="142"/>
      <c r="O914" s="61"/>
      <c r="P914" s="168"/>
      <c r="Q91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4" s="36"/>
      <c r="S914" s="90"/>
    </row>
    <row r="915" spans="1:19" ht="36" hidden="1" customHeight="1">
      <c r="A915" s="9"/>
      <c r="B915" s="13" t="e">
        <f>VLOOKUP(Table2[[#This Row],[Location 
(drop-down)]],'List source'!D$2:E$71,2,FALSE)</f>
        <v>#N/A</v>
      </c>
      <c r="C915" s="11" t="s">
        <v>1032</v>
      </c>
      <c r="D915" s="183" t="e">
        <f t="shared" si="14"/>
        <v>#N/A</v>
      </c>
      <c r="E915" s="192"/>
      <c r="F915" s="192"/>
      <c r="G915" s="9"/>
      <c r="H915" s="10"/>
      <c r="I915" s="19"/>
      <c r="J915" s="142"/>
      <c r="K915" s="142"/>
      <c r="L915" s="142"/>
      <c r="M915" s="142"/>
      <c r="N915" s="142"/>
      <c r="O915" s="61"/>
      <c r="P915" s="168"/>
      <c r="Q91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5" s="36"/>
      <c r="S915" s="90"/>
    </row>
    <row r="916" spans="1:19" ht="36" hidden="1" customHeight="1">
      <c r="A916" s="9"/>
      <c r="B916" s="13" t="e">
        <f>VLOOKUP(Table2[[#This Row],[Location 
(drop-down)]],'List source'!D$2:E$71,2,FALSE)</f>
        <v>#N/A</v>
      </c>
      <c r="C916" s="11" t="s">
        <v>1033</v>
      </c>
      <c r="D916" s="183" t="e">
        <f t="shared" si="14"/>
        <v>#N/A</v>
      </c>
      <c r="E916" s="192"/>
      <c r="F916" s="192"/>
      <c r="G916" s="9"/>
      <c r="H916" s="10"/>
      <c r="I916" s="19"/>
      <c r="J916" s="142"/>
      <c r="K916" s="142"/>
      <c r="L916" s="142"/>
      <c r="M916" s="142"/>
      <c r="N916" s="142"/>
      <c r="O916" s="61"/>
      <c r="P916" s="168"/>
      <c r="Q91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6" s="36"/>
      <c r="S916" s="90"/>
    </row>
    <row r="917" spans="1:19" ht="36" hidden="1" customHeight="1">
      <c r="A917" s="9"/>
      <c r="B917" s="13" t="e">
        <f>VLOOKUP(Table2[[#This Row],[Location 
(drop-down)]],'List source'!D$2:E$71,2,FALSE)</f>
        <v>#N/A</v>
      </c>
      <c r="C917" s="11" t="s">
        <v>1034</v>
      </c>
      <c r="D917" s="183" t="e">
        <f t="shared" si="14"/>
        <v>#N/A</v>
      </c>
      <c r="E917" s="192"/>
      <c r="F917" s="192"/>
      <c r="G917" s="9"/>
      <c r="H917" s="10"/>
      <c r="I917" s="19"/>
      <c r="J917" s="142"/>
      <c r="K917" s="142"/>
      <c r="L917" s="142"/>
      <c r="M917" s="142"/>
      <c r="N917" s="142"/>
      <c r="O917" s="61"/>
      <c r="P917" s="168"/>
      <c r="Q91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7" s="36"/>
      <c r="S917" s="90"/>
    </row>
    <row r="918" spans="1:19" ht="36" hidden="1" customHeight="1">
      <c r="A918" s="9"/>
      <c r="B918" s="13" t="e">
        <f>VLOOKUP(Table2[[#This Row],[Location 
(drop-down)]],'List source'!D$2:E$71,2,FALSE)</f>
        <v>#N/A</v>
      </c>
      <c r="C918" s="11" t="s">
        <v>1035</v>
      </c>
      <c r="D918" s="183" t="e">
        <f t="shared" si="14"/>
        <v>#N/A</v>
      </c>
      <c r="E918" s="192"/>
      <c r="F918" s="192"/>
      <c r="G918" s="9"/>
      <c r="H918" s="10"/>
      <c r="I918" s="19"/>
      <c r="J918" s="142"/>
      <c r="K918" s="142"/>
      <c r="L918" s="142"/>
      <c r="M918" s="142"/>
      <c r="N918" s="142"/>
      <c r="O918" s="61"/>
      <c r="P918" s="168"/>
      <c r="Q91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8" s="36"/>
      <c r="S918" s="90"/>
    </row>
    <row r="919" spans="1:19" ht="36" hidden="1" customHeight="1">
      <c r="A919" s="9"/>
      <c r="B919" s="13" t="e">
        <f>VLOOKUP(Table2[[#This Row],[Location 
(drop-down)]],'List source'!D$2:E$71,2,FALSE)</f>
        <v>#N/A</v>
      </c>
      <c r="C919" s="11" t="s">
        <v>1036</v>
      </c>
      <c r="D919" s="183" t="e">
        <f t="shared" si="14"/>
        <v>#N/A</v>
      </c>
      <c r="E919" s="192"/>
      <c r="F919" s="192"/>
      <c r="G919" s="9"/>
      <c r="H919" s="10"/>
      <c r="I919" s="19"/>
      <c r="J919" s="142"/>
      <c r="K919" s="142"/>
      <c r="L919" s="142"/>
      <c r="M919" s="142"/>
      <c r="N919" s="142"/>
      <c r="O919" s="61"/>
      <c r="P919" s="168"/>
      <c r="Q91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19" s="36"/>
      <c r="S919" s="90"/>
    </row>
    <row r="920" spans="1:19" ht="36" hidden="1" customHeight="1">
      <c r="A920" s="9"/>
      <c r="B920" s="13" t="e">
        <f>VLOOKUP(Table2[[#This Row],[Location 
(drop-down)]],'List source'!D$2:E$71,2,FALSE)</f>
        <v>#N/A</v>
      </c>
      <c r="C920" s="11" t="s">
        <v>1037</v>
      </c>
      <c r="D920" s="183" t="e">
        <f t="shared" si="14"/>
        <v>#N/A</v>
      </c>
      <c r="E920" s="192"/>
      <c r="F920" s="192"/>
      <c r="G920" s="9"/>
      <c r="H920" s="10"/>
      <c r="I920" s="19"/>
      <c r="J920" s="142"/>
      <c r="K920" s="142"/>
      <c r="L920" s="142"/>
      <c r="M920" s="142"/>
      <c r="N920" s="142"/>
      <c r="O920" s="61"/>
      <c r="P920" s="168"/>
      <c r="Q92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0" s="36"/>
      <c r="S920" s="90"/>
    </row>
    <row r="921" spans="1:19" ht="36" hidden="1" customHeight="1">
      <c r="A921" s="9"/>
      <c r="B921" s="13" t="e">
        <f>VLOOKUP(Table2[[#This Row],[Location 
(drop-down)]],'List source'!D$2:E$71,2,FALSE)</f>
        <v>#N/A</v>
      </c>
      <c r="C921" s="11" t="s">
        <v>1038</v>
      </c>
      <c r="D921" s="183" t="e">
        <f t="shared" si="14"/>
        <v>#N/A</v>
      </c>
      <c r="E921" s="192"/>
      <c r="F921" s="192"/>
      <c r="G921" s="9"/>
      <c r="H921" s="10"/>
      <c r="I921" s="19"/>
      <c r="J921" s="142"/>
      <c r="K921" s="142"/>
      <c r="L921" s="142"/>
      <c r="M921" s="142"/>
      <c r="N921" s="142"/>
      <c r="O921" s="61"/>
      <c r="P921" s="168"/>
      <c r="Q92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1" s="36"/>
      <c r="S921" s="90"/>
    </row>
    <row r="922" spans="1:19" ht="36" hidden="1" customHeight="1">
      <c r="A922" s="9"/>
      <c r="B922" s="13" t="e">
        <f>VLOOKUP(Table2[[#This Row],[Location 
(drop-down)]],'List source'!D$2:E$71,2,FALSE)</f>
        <v>#N/A</v>
      </c>
      <c r="C922" s="11" t="s">
        <v>1039</v>
      </c>
      <c r="D922" s="183" t="e">
        <f t="shared" si="14"/>
        <v>#N/A</v>
      </c>
      <c r="E922" s="192"/>
      <c r="F922" s="192"/>
      <c r="G922" s="9"/>
      <c r="H922" s="10"/>
      <c r="I922" s="19"/>
      <c r="J922" s="142"/>
      <c r="K922" s="142"/>
      <c r="L922" s="142"/>
      <c r="M922" s="142"/>
      <c r="N922" s="142"/>
      <c r="O922" s="61"/>
      <c r="P922" s="168"/>
      <c r="Q92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2" s="36"/>
      <c r="S922" s="90"/>
    </row>
    <row r="923" spans="1:19" ht="36" hidden="1" customHeight="1">
      <c r="A923" s="9"/>
      <c r="B923" s="13" t="e">
        <f>VLOOKUP(Table2[[#This Row],[Location 
(drop-down)]],'List source'!D$2:E$71,2,FALSE)</f>
        <v>#N/A</v>
      </c>
      <c r="C923" s="11" t="s">
        <v>1040</v>
      </c>
      <c r="D923" s="183" t="e">
        <f t="shared" si="14"/>
        <v>#N/A</v>
      </c>
      <c r="E923" s="192"/>
      <c r="F923" s="192"/>
      <c r="G923" s="9"/>
      <c r="H923" s="10"/>
      <c r="I923" s="19"/>
      <c r="J923" s="142"/>
      <c r="K923" s="142"/>
      <c r="L923" s="142"/>
      <c r="M923" s="142"/>
      <c r="N923" s="142"/>
      <c r="O923" s="61"/>
      <c r="P923" s="168"/>
      <c r="Q92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3" s="36"/>
      <c r="S923" s="90"/>
    </row>
    <row r="924" spans="1:19" ht="36" hidden="1" customHeight="1">
      <c r="A924" s="9"/>
      <c r="B924" s="13" t="e">
        <f>VLOOKUP(Table2[[#This Row],[Location 
(drop-down)]],'List source'!D$2:E$71,2,FALSE)</f>
        <v>#N/A</v>
      </c>
      <c r="C924" s="11" t="s">
        <v>1041</v>
      </c>
      <c r="D924" s="183" t="e">
        <f t="shared" si="14"/>
        <v>#N/A</v>
      </c>
      <c r="E924" s="192"/>
      <c r="F924" s="192"/>
      <c r="G924" s="9"/>
      <c r="H924" s="10"/>
      <c r="I924" s="19"/>
      <c r="J924" s="142"/>
      <c r="K924" s="142"/>
      <c r="L924" s="142"/>
      <c r="M924" s="142"/>
      <c r="N924" s="142"/>
      <c r="O924" s="61"/>
      <c r="P924" s="168"/>
      <c r="Q92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4" s="36"/>
      <c r="S924" s="90"/>
    </row>
    <row r="925" spans="1:19" ht="36" hidden="1" customHeight="1">
      <c r="A925" s="9"/>
      <c r="B925" s="13" t="e">
        <f>VLOOKUP(Table2[[#This Row],[Location 
(drop-down)]],'List source'!D$2:E$71,2,FALSE)</f>
        <v>#N/A</v>
      </c>
      <c r="C925" s="11" t="s">
        <v>1042</v>
      </c>
      <c r="D925" s="183" t="e">
        <f t="shared" si="14"/>
        <v>#N/A</v>
      </c>
      <c r="E925" s="192"/>
      <c r="F925" s="192"/>
      <c r="G925" s="9"/>
      <c r="H925" s="10"/>
      <c r="I925" s="19"/>
      <c r="J925" s="142"/>
      <c r="K925" s="142"/>
      <c r="L925" s="142"/>
      <c r="M925" s="142"/>
      <c r="N925" s="142"/>
      <c r="O925" s="61"/>
      <c r="P925" s="168"/>
      <c r="Q92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5" s="36"/>
      <c r="S925" s="90"/>
    </row>
    <row r="926" spans="1:19" ht="36" hidden="1" customHeight="1">
      <c r="A926" s="9"/>
      <c r="B926" s="13" t="e">
        <f>VLOOKUP(Table2[[#This Row],[Location 
(drop-down)]],'List source'!D$2:E$71,2,FALSE)</f>
        <v>#N/A</v>
      </c>
      <c r="C926" s="11" t="s">
        <v>1043</v>
      </c>
      <c r="D926" s="183" t="e">
        <f t="shared" si="14"/>
        <v>#N/A</v>
      </c>
      <c r="E926" s="192"/>
      <c r="F926" s="192"/>
      <c r="G926" s="9"/>
      <c r="H926" s="10"/>
      <c r="I926" s="19"/>
      <c r="J926" s="142"/>
      <c r="K926" s="142"/>
      <c r="L926" s="142"/>
      <c r="M926" s="142"/>
      <c r="N926" s="142"/>
      <c r="O926" s="61"/>
      <c r="P926" s="168"/>
      <c r="Q92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6" s="36"/>
      <c r="S926" s="90"/>
    </row>
    <row r="927" spans="1:19" ht="36" hidden="1" customHeight="1">
      <c r="A927" s="9"/>
      <c r="B927" s="13" t="e">
        <f>VLOOKUP(Table2[[#This Row],[Location 
(drop-down)]],'List source'!D$2:E$71,2,FALSE)</f>
        <v>#N/A</v>
      </c>
      <c r="C927" s="11" t="s">
        <v>1044</v>
      </c>
      <c r="D927" s="183" t="e">
        <f t="shared" si="14"/>
        <v>#N/A</v>
      </c>
      <c r="E927" s="192"/>
      <c r="F927" s="192"/>
      <c r="G927" s="9"/>
      <c r="H927" s="10"/>
      <c r="I927" s="19"/>
      <c r="J927" s="142"/>
      <c r="K927" s="142"/>
      <c r="L927" s="142"/>
      <c r="M927" s="142"/>
      <c r="N927" s="142"/>
      <c r="O927" s="61"/>
      <c r="P927" s="168"/>
      <c r="Q92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7" s="36"/>
      <c r="S927" s="90"/>
    </row>
    <row r="928" spans="1:19" ht="36" hidden="1" customHeight="1">
      <c r="A928" s="9"/>
      <c r="B928" s="13" t="e">
        <f>VLOOKUP(Table2[[#This Row],[Location 
(drop-down)]],'List source'!D$2:E$71,2,FALSE)</f>
        <v>#N/A</v>
      </c>
      <c r="C928" s="11" t="s">
        <v>1045</v>
      </c>
      <c r="D928" s="183" t="e">
        <f t="shared" si="14"/>
        <v>#N/A</v>
      </c>
      <c r="E928" s="192"/>
      <c r="F928" s="192"/>
      <c r="G928" s="9"/>
      <c r="H928" s="10"/>
      <c r="I928" s="19"/>
      <c r="J928" s="142"/>
      <c r="K928" s="142"/>
      <c r="L928" s="142"/>
      <c r="M928" s="142"/>
      <c r="N928" s="142"/>
      <c r="O928" s="61"/>
      <c r="P928" s="168"/>
      <c r="Q92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8" s="36"/>
      <c r="S928" s="90"/>
    </row>
    <row r="929" spans="1:19" ht="36" hidden="1" customHeight="1">
      <c r="A929" s="9"/>
      <c r="B929" s="13" t="e">
        <f>VLOOKUP(Table2[[#This Row],[Location 
(drop-down)]],'List source'!D$2:E$71,2,FALSE)</f>
        <v>#N/A</v>
      </c>
      <c r="C929" s="11" t="s">
        <v>1046</v>
      </c>
      <c r="D929" s="183" t="e">
        <f t="shared" si="14"/>
        <v>#N/A</v>
      </c>
      <c r="E929" s="192"/>
      <c r="F929" s="192"/>
      <c r="G929" s="9"/>
      <c r="H929" s="10"/>
      <c r="I929" s="19"/>
      <c r="J929" s="142"/>
      <c r="K929" s="142"/>
      <c r="L929" s="142"/>
      <c r="M929" s="142"/>
      <c r="N929" s="142"/>
      <c r="O929" s="61"/>
      <c r="P929" s="168"/>
      <c r="Q92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29" s="36"/>
      <c r="S929" s="90"/>
    </row>
    <row r="930" spans="1:19" ht="36" hidden="1" customHeight="1">
      <c r="A930" s="9"/>
      <c r="B930" s="13" t="e">
        <f>VLOOKUP(Table2[[#This Row],[Location 
(drop-down)]],'List source'!D$2:E$71,2,FALSE)</f>
        <v>#N/A</v>
      </c>
      <c r="C930" s="11" t="s">
        <v>1047</v>
      </c>
      <c r="D930" s="183" t="e">
        <f t="shared" si="14"/>
        <v>#N/A</v>
      </c>
      <c r="E930" s="192"/>
      <c r="F930" s="192"/>
      <c r="G930" s="9"/>
      <c r="H930" s="10"/>
      <c r="I930" s="19"/>
      <c r="J930" s="142"/>
      <c r="K930" s="142"/>
      <c r="L930" s="142"/>
      <c r="M930" s="142"/>
      <c r="N930" s="142"/>
      <c r="O930" s="61"/>
      <c r="P930" s="168"/>
      <c r="Q93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0" s="36"/>
      <c r="S930" s="90"/>
    </row>
    <row r="931" spans="1:19" ht="36" hidden="1" customHeight="1">
      <c r="A931" s="9"/>
      <c r="B931" s="13" t="e">
        <f>VLOOKUP(Table2[[#This Row],[Location 
(drop-down)]],'List source'!D$2:E$71,2,FALSE)</f>
        <v>#N/A</v>
      </c>
      <c r="C931" s="11" t="s">
        <v>1048</v>
      </c>
      <c r="D931" s="183" t="e">
        <f t="shared" si="14"/>
        <v>#N/A</v>
      </c>
      <c r="E931" s="192"/>
      <c r="F931" s="192"/>
      <c r="G931" s="9"/>
      <c r="H931" s="10"/>
      <c r="I931" s="19"/>
      <c r="J931" s="142"/>
      <c r="K931" s="142"/>
      <c r="L931" s="142"/>
      <c r="M931" s="142"/>
      <c r="N931" s="142"/>
      <c r="O931" s="61"/>
      <c r="P931" s="168"/>
      <c r="Q93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1" s="36"/>
      <c r="S931" s="90"/>
    </row>
    <row r="932" spans="1:19" ht="36" hidden="1" customHeight="1">
      <c r="A932" s="9"/>
      <c r="B932" s="13" t="e">
        <f>VLOOKUP(Table2[[#This Row],[Location 
(drop-down)]],'List source'!D$2:E$71,2,FALSE)</f>
        <v>#N/A</v>
      </c>
      <c r="C932" s="11" t="s">
        <v>1049</v>
      </c>
      <c r="D932" s="183" t="e">
        <f t="shared" si="14"/>
        <v>#N/A</v>
      </c>
      <c r="E932" s="192"/>
      <c r="F932" s="192"/>
      <c r="G932" s="9"/>
      <c r="H932" s="10"/>
      <c r="I932" s="19"/>
      <c r="J932" s="142"/>
      <c r="K932" s="142"/>
      <c r="L932" s="142"/>
      <c r="M932" s="142"/>
      <c r="N932" s="142"/>
      <c r="O932" s="61"/>
      <c r="P932" s="168"/>
      <c r="Q93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2" s="36"/>
      <c r="S932" s="90"/>
    </row>
    <row r="933" spans="1:19" ht="36" hidden="1" customHeight="1">
      <c r="A933" s="9"/>
      <c r="B933" s="13" t="e">
        <f>VLOOKUP(Table2[[#This Row],[Location 
(drop-down)]],'List source'!D$2:E$71,2,FALSE)</f>
        <v>#N/A</v>
      </c>
      <c r="C933" s="11" t="s">
        <v>1050</v>
      </c>
      <c r="D933" s="183" t="e">
        <f t="shared" si="14"/>
        <v>#N/A</v>
      </c>
      <c r="E933" s="192"/>
      <c r="F933" s="192"/>
      <c r="G933" s="9"/>
      <c r="H933" s="10"/>
      <c r="I933" s="19"/>
      <c r="J933" s="142"/>
      <c r="K933" s="142"/>
      <c r="L933" s="142"/>
      <c r="M933" s="142"/>
      <c r="N933" s="142"/>
      <c r="O933" s="61"/>
      <c r="P933" s="168"/>
      <c r="Q93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3" s="36"/>
      <c r="S933" s="90"/>
    </row>
    <row r="934" spans="1:19" ht="36" hidden="1" customHeight="1">
      <c r="A934" s="9"/>
      <c r="B934" s="13" t="e">
        <f>VLOOKUP(Table2[[#This Row],[Location 
(drop-down)]],'List source'!D$2:E$71,2,FALSE)</f>
        <v>#N/A</v>
      </c>
      <c r="C934" s="11" t="s">
        <v>1051</v>
      </c>
      <c r="D934" s="183" t="e">
        <f t="shared" si="14"/>
        <v>#N/A</v>
      </c>
      <c r="E934" s="192"/>
      <c r="F934" s="192"/>
      <c r="G934" s="9"/>
      <c r="H934" s="10"/>
      <c r="I934" s="19"/>
      <c r="J934" s="142"/>
      <c r="K934" s="142"/>
      <c r="L934" s="142"/>
      <c r="M934" s="142"/>
      <c r="N934" s="142"/>
      <c r="O934" s="61"/>
      <c r="P934" s="168"/>
      <c r="Q93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4" s="36"/>
      <c r="S934" s="90"/>
    </row>
    <row r="935" spans="1:19" ht="36" hidden="1" customHeight="1">
      <c r="A935" s="9"/>
      <c r="B935" s="13" t="e">
        <f>VLOOKUP(Table2[[#This Row],[Location 
(drop-down)]],'List source'!D$2:E$71,2,FALSE)</f>
        <v>#N/A</v>
      </c>
      <c r="C935" s="11" t="s">
        <v>1052</v>
      </c>
      <c r="D935" s="183" t="e">
        <f t="shared" si="14"/>
        <v>#N/A</v>
      </c>
      <c r="E935" s="192"/>
      <c r="F935" s="192"/>
      <c r="G935" s="9"/>
      <c r="H935" s="10"/>
      <c r="I935" s="19"/>
      <c r="J935" s="142"/>
      <c r="K935" s="142"/>
      <c r="L935" s="142"/>
      <c r="M935" s="142"/>
      <c r="N935" s="142"/>
      <c r="O935" s="61"/>
      <c r="P935" s="168"/>
      <c r="Q93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5" s="36"/>
      <c r="S935" s="90"/>
    </row>
    <row r="936" spans="1:19" ht="36" hidden="1" customHeight="1">
      <c r="A936" s="9"/>
      <c r="B936" s="13" t="e">
        <f>VLOOKUP(Table2[[#This Row],[Location 
(drop-down)]],'List source'!D$2:E$71,2,FALSE)</f>
        <v>#N/A</v>
      </c>
      <c r="C936" s="11" t="s">
        <v>1053</v>
      </c>
      <c r="D936" s="183" t="e">
        <f t="shared" si="14"/>
        <v>#N/A</v>
      </c>
      <c r="E936" s="192"/>
      <c r="F936" s="192"/>
      <c r="G936" s="9"/>
      <c r="H936" s="10"/>
      <c r="I936" s="19"/>
      <c r="J936" s="142"/>
      <c r="K936" s="142"/>
      <c r="L936" s="142"/>
      <c r="M936" s="142"/>
      <c r="N936" s="142"/>
      <c r="O936" s="61"/>
      <c r="P936" s="168"/>
      <c r="Q93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6" s="36"/>
      <c r="S936" s="90"/>
    </row>
    <row r="937" spans="1:19" ht="36" hidden="1" customHeight="1">
      <c r="A937" s="9"/>
      <c r="B937" s="13" t="e">
        <f>VLOOKUP(Table2[[#This Row],[Location 
(drop-down)]],'List source'!D$2:E$71,2,FALSE)</f>
        <v>#N/A</v>
      </c>
      <c r="C937" s="11" t="s">
        <v>1054</v>
      </c>
      <c r="D937" s="183" t="e">
        <f t="shared" si="14"/>
        <v>#N/A</v>
      </c>
      <c r="E937" s="192"/>
      <c r="F937" s="192"/>
      <c r="G937" s="9"/>
      <c r="H937" s="10"/>
      <c r="I937" s="19"/>
      <c r="J937" s="142"/>
      <c r="K937" s="142"/>
      <c r="L937" s="142"/>
      <c r="M937" s="142"/>
      <c r="N937" s="142"/>
      <c r="O937" s="61"/>
      <c r="P937" s="168"/>
      <c r="Q93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7" s="36"/>
      <c r="S937" s="90"/>
    </row>
    <row r="938" spans="1:19" ht="36" hidden="1" customHeight="1">
      <c r="A938" s="9"/>
      <c r="B938" s="13" t="e">
        <f>VLOOKUP(Table2[[#This Row],[Location 
(drop-down)]],'List source'!D$2:E$71,2,FALSE)</f>
        <v>#N/A</v>
      </c>
      <c r="C938" s="11" t="s">
        <v>1055</v>
      </c>
      <c r="D938" s="183" t="e">
        <f t="shared" si="14"/>
        <v>#N/A</v>
      </c>
      <c r="E938" s="192"/>
      <c r="F938" s="192"/>
      <c r="G938" s="9"/>
      <c r="H938" s="10"/>
      <c r="I938" s="19"/>
      <c r="J938" s="142"/>
      <c r="K938" s="142"/>
      <c r="L938" s="142"/>
      <c r="M938" s="142"/>
      <c r="N938" s="142"/>
      <c r="O938" s="61"/>
      <c r="P938" s="168"/>
      <c r="Q93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8" s="36"/>
      <c r="S938" s="90"/>
    </row>
    <row r="939" spans="1:19" ht="36" hidden="1" customHeight="1">
      <c r="A939" s="9"/>
      <c r="B939" s="13" t="e">
        <f>VLOOKUP(Table2[[#This Row],[Location 
(drop-down)]],'List source'!D$2:E$71,2,FALSE)</f>
        <v>#N/A</v>
      </c>
      <c r="C939" s="11" t="s">
        <v>1056</v>
      </c>
      <c r="D939" s="183" t="e">
        <f t="shared" si="14"/>
        <v>#N/A</v>
      </c>
      <c r="E939" s="192"/>
      <c r="F939" s="192"/>
      <c r="G939" s="9"/>
      <c r="H939" s="10"/>
      <c r="I939" s="19"/>
      <c r="J939" s="142"/>
      <c r="K939" s="142"/>
      <c r="L939" s="142"/>
      <c r="M939" s="142"/>
      <c r="N939" s="142"/>
      <c r="O939" s="61"/>
      <c r="P939" s="168"/>
      <c r="Q93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39" s="36"/>
      <c r="S939" s="90"/>
    </row>
    <row r="940" spans="1:19" ht="36" hidden="1" customHeight="1">
      <c r="A940" s="9"/>
      <c r="B940" s="13" t="e">
        <f>VLOOKUP(Table2[[#This Row],[Location 
(drop-down)]],'List source'!D$2:E$71,2,FALSE)</f>
        <v>#N/A</v>
      </c>
      <c r="C940" s="11" t="s">
        <v>1057</v>
      </c>
      <c r="D940" s="183" t="e">
        <f t="shared" si="14"/>
        <v>#N/A</v>
      </c>
      <c r="E940" s="192"/>
      <c r="F940" s="192"/>
      <c r="G940" s="9"/>
      <c r="H940" s="10"/>
      <c r="I940" s="19"/>
      <c r="J940" s="142"/>
      <c r="K940" s="142"/>
      <c r="L940" s="142"/>
      <c r="M940" s="142"/>
      <c r="N940" s="142"/>
      <c r="O940" s="61"/>
      <c r="P940" s="168"/>
      <c r="Q94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0" s="36"/>
      <c r="S940" s="90"/>
    </row>
    <row r="941" spans="1:19" ht="36" hidden="1" customHeight="1">
      <c r="A941" s="9"/>
      <c r="B941" s="13" t="e">
        <f>VLOOKUP(Table2[[#This Row],[Location 
(drop-down)]],'List source'!D$2:E$71,2,FALSE)</f>
        <v>#N/A</v>
      </c>
      <c r="C941" s="11" t="s">
        <v>1058</v>
      </c>
      <c r="D941" s="183" t="e">
        <f t="shared" si="14"/>
        <v>#N/A</v>
      </c>
      <c r="E941" s="192"/>
      <c r="F941" s="192"/>
      <c r="G941" s="9"/>
      <c r="H941" s="10"/>
      <c r="I941" s="19"/>
      <c r="J941" s="142"/>
      <c r="K941" s="142"/>
      <c r="L941" s="142"/>
      <c r="M941" s="142"/>
      <c r="N941" s="142"/>
      <c r="O941" s="61"/>
      <c r="P941" s="168"/>
      <c r="Q94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1" s="36"/>
      <c r="S941" s="90"/>
    </row>
    <row r="942" spans="1:19" ht="36" hidden="1" customHeight="1">
      <c r="A942" s="9"/>
      <c r="B942" s="13" t="e">
        <f>VLOOKUP(Table2[[#This Row],[Location 
(drop-down)]],'List source'!D$2:E$71,2,FALSE)</f>
        <v>#N/A</v>
      </c>
      <c r="C942" s="11" t="s">
        <v>1059</v>
      </c>
      <c r="D942" s="183" t="e">
        <f t="shared" si="14"/>
        <v>#N/A</v>
      </c>
      <c r="E942" s="192"/>
      <c r="F942" s="192"/>
      <c r="G942" s="9"/>
      <c r="H942" s="10"/>
      <c r="I942" s="19"/>
      <c r="J942" s="142"/>
      <c r="K942" s="142"/>
      <c r="L942" s="142"/>
      <c r="M942" s="142"/>
      <c r="N942" s="142"/>
      <c r="O942" s="61"/>
      <c r="P942" s="168"/>
      <c r="Q94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2" s="36"/>
      <c r="S942" s="90"/>
    </row>
    <row r="943" spans="1:19" ht="36" hidden="1" customHeight="1">
      <c r="A943" s="9"/>
      <c r="B943" s="13" t="e">
        <f>VLOOKUP(Table2[[#This Row],[Location 
(drop-down)]],'List source'!D$2:E$71,2,FALSE)</f>
        <v>#N/A</v>
      </c>
      <c r="C943" s="11" t="s">
        <v>1060</v>
      </c>
      <c r="D943" s="183" t="e">
        <f t="shared" si="14"/>
        <v>#N/A</v>
      </c>
      <c r="E943" s="192"/>
      <c r="F943" s="192"/>
      <c r="G943" s="9"/>
      <c r="H943" s="10"/>
      <c r="I943" s="19"/>
      <c r="J943" s="142"/>
      <c r="K943" s="142"/>
      <c r="L943" s="142"/>
      <c r="M943" s="142"/>
      <c r="N943" s="142"/>
      <c r="O943" s="61"/>
      <c r="P943" s="168"/>
      <c r="Q94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3" s="36"/>
      <c r="S943" s="90"/>
    </row>
    <row r="944" spans="1:19" ht="36" hidden="1" customHeight="1">
      <c r="A944" s="9"/>
      <c r="B944" s="13" t="e">
        <f>VLOOKUP(Table2[[#This Row],[Location 
(drop-down)]],'List source'!D$2:E$71,2,FALSE)</f>
        <v>#N/A</v>
      </c>
      <c r="C944" s="11" t="s">
        <v>1061</v>
      </c>
      <c r="D944" s="183" t="e">
        <f t="shared" si="14"/>
        <v>#N/A</v>
      </c>
      <c r="E944" s="192"/>
      <c r="F944" s="192"/>
      <c r="G944" s="9"/>
      <c r="H944" s="10"/>
      <c r="I944" s="19"/>
      <c r="J944" s="142"/>
      <c r="K944" s="142"/>
      <c r="L944" s="142"/>
      <c r="M944" s="142"/>
      <c r="N944" s="142"/>
      <c r="O944" s="61"/>
      <c r="P944" s="168"/>
      <c r="Q94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4" s="36"/>
      <c r="S944" s="90"/>
    </row>
    <row r="945" spans="1:19" ht="36" hidden="1" customHeight="1">
      <c r="A945" s="9"/>
      <c r="B945" s="13" t="e">
        <f>VLOOKUP(Table2[[#This Row],[Location 
(drop-down)]],'List source'!D$2:E$71,2,FALSE)</f>
        <v>#N/A</v>
      </c>
      <c r="C945" s="11" t="s">
        <v>1062</v>
      </c>
      <c r="D945" s="183" t="e">
        <f t="shared" si="14"/>
        <v>#N/A</v>
      </c>
      <c r="E945" s="192"/>
      <c r="F945" s="192"/>
      <c r="G945" s="9"/>
      <c r="H945" s="10"/>
      <c r="I945" s="19"/>
      <c r="J945" s="142"/>
      <c r="K945" s="142"/>
      <c r="L945" s="142"/>
      <c r="M945" s="142"/>
      <c r="N945" s="142"/>
      <c r="O945" s="61"/>
      <c r="P945" s="168"/>
      <c r="Q94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5" s="36"/>
      <c r="S945" s="90"/>
    </row>
    <row r="946" spans="1:19" ht="36" hidden="1" customHeight="1">
      <c r="A946" s="9"/>
      <c r="B946" s="13" t="e">
        <f>VLOOKUP(Table2[[#This Row],[Location 
(drop-down)]],'List source'!D$2:E$71,2,FALSE)</f>
        <v>#N/A</v>
      </c>
      <c r="C946" s="11" t="s">
        <v>1063</v>
      </c>
      <c r="D946" s="183" t="e">
        <f t="shared" si="14"/>
        <v>#N/A</v>
      </c>
      <c r="E946" s="192"/>
      <c r="F946" s="192"/>
      <c r="G946" s="9"/>
      <c r="H946" s="10"/>
      <c r="I946" s="19"/>
      <c r="J946" s="142"/>
      <c r="K946" s="142"/>
      <c r="L946" s="142"/>
      <c r="M946" s="142"/>
      <c r="N946" s="142"/>
      <c r="O946" s="61"/>
      <c r="P946" s="168"/>
      <c r="Q94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6" s="36"/>
      <c r="S946" s="90"/>
    </row>
    <row r="947" spans="1:19" ht="36" hidden="1" customHeight="1">
      <c r="A947" s="9"/>
      <c r="B947" s="13" t="e">
        <f>VLOOKUP(Table2[[#This Row],[Location 
(drop-down)]],'List source'!D$2:E$71,2,FALSE)</f>
        <v>#N/A</v>
      </c>
      <c r="C947" s="11" t="s">
        <v>1064</v>
      </c>
      <c r="D947" s="183" t="e">
        <f t="shared" si="14"/>
        <v>#N/A</v>
      </c>
      <c r="E947" s="192"/>
      <c r="F947" s="192"/>
      <c r="G947" s="9"/>
      <c r="H947" s="10"/>
      <c r="I947" s="19"/>
      <c r="J947" s="142"/>
      <c r="K947" s="142"/>
      <c r="L947" s="142"/>
      <c r="M947" s="142"/>
      <c r="N947" s="142"/>
      <c r="O947" s="61"/>
      <c r="P947" s="168"/>
      <c r="Q94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7" s="36"/>
      <c r="S947" s="90"/>
    </row>
    <row r="948" spans="1:19" ht="36" hidden="1" customHeight="1">
      <c r="A948" s="9"/>
      <c r="B948" s="13" t="e">
        <f>VLOOKUP(Table2[[#This Row],[Location 
(drop-down)]],'List source'!D$2:E$71,2,FALSE)</f>
        <v>#N/A</v>
      </c>
      <c r="C948" s="11" t="s">
        <v>1065</v>
      </c>
      <c r="D948" s="183" t="e">
        <f t="shared" si="14"/>
        <v>#N/A</v>
      </c>
      <c r="E948" s="192"/>
      <c r="F948" s="192"/>
      <c r="G948" s="9"/>
      <c r="H948" s="10"/>
      <c r="I948" s="19"/>
      <c r="J948" s="142"/>
      <c r="K948" s="142"/>
      <c r="L948" s="142"/>
      <c r="M948" s="142"/>
      <c r="N948" s="142"/>
      <c r="O948" s="61"/>
      <c r="P948" s="168"/>
      <c r="Q94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8" s="36"/>
      <c r="S948" s="90"/>
    </row>
    <row r="949" spans="1:19" ht="36" hidden="1" customHeight="1">
      <c r="A949" s="9"/>
      <c r="B949" s="13" t="e">
        <f>VLOOKUP(Table2[[#This Row],[Location 
(drop-down)]],'List source'!D$2:E$71,2,FALSE)</f>
        <v>#N/A</v>
      </c>
      <c r="C949" s="11" t="s">
        <v>1066</v>
      </c>
      <c r="D949" s="183" t="e">
        <f t="shared" si="14"/>
        <v>#N/A</v>
      </c>
      <c r="E949" s="192"/>
      <c r="F949" s="192"/>
      <c r="G949" s="9"/>
      <c r="H949" s="10"/>
      <c r="I949" s="19"/>
      <c r="J949" s="142"/>
      <c r="K949" s="142"/>
      <c r="L949" s="142"/>
      <c r="M949" s="142"/>
      <c r="N949" s="142"/>
      <c r="O949" s="61"/>
      <c r="P949" s="168"/>
      <c r="Q94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49" s="36"/>
      <c r="S949" s="90"/>
    </row>
    <row r="950" spans="1:19" ht="36" hidden="1" customHeight="1">
      <c r="A950" s="9"/>
      <c r="B950" s="13" t="e">
        <f>VLOOKUP(Table2[[#This Row],[Location 
(drop-down)]],'List source'!D$2:E$71,2,FALSE)</f>
        <v>#N/A</v>
      </c>
      <c r="C950" s="11" t="s">
        <v>1067</v>
      </c>
      <c r="D950" s="183" t="e">
        <f t="shared" si="14"/>
        <v>#N/A</v>
      </c>
      <c r="E950" s="192"/>
      <c r="F950" s="192"/>
      <c r="G950" s="9"/>
      <c r="H950" s="10"/>
      <c r="I950" s="19"/>
      <c r="J950" s="142"/>
      <c r="K950" s="142"/>
      <c r="L950" s="142"/>
      <c r="M950" s="142"/>
      <c r="N950" s="142"/>
      <c r="O950" s="61"/>
      <c r="P950" s="168"/>
      <c r="Q95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0" s="36"/>
      <c r="S950" s="90"/>
    </row>
    <row r="951" spans="1:19" ht="36" hidden="1" customHeight="1">
      <c r="A951" s="9"/>
      <c r="B951" s="13" t="e">
        <f>VLOOKUP(Table2[[#This Row],[Location 
(drop-down)]],'List source'!D$2:E$71,2,FALSE)</f>
        <v>#N/A</v>
      </c>
      <c r="C951" s="11" t="s">
        <v>1068</v>
      </c>
      <c r="D951" s="183" t="e">
        <f t="shared" si="14"/>
        <v>#N/A</v>
      </c>
      <c r="E951" s="192"/>
      <c r="F951" s="192"/>
      <c r="G951" s="9"/>
      <c r="H951" s="10"/>
      <c r="I951" s="19"/>
      <c r="J951" s="142"/>
      <c r="K951" s="142"/>
      <c r="L951" s="142"/>
      <c r="M951" s="142"/>
      <c r="N951" s="142"/>
      <c r="O951" s="61"/>
      <c r="P951" s="168"/>
      <c r="Q95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1" s="36"/>
      <c r="S951" s="90"/>
    </row>
    <row r="952" spans="1:19" ht="36" hidden="1" customHeight="1">
      <c r="A952" s="9"/>
      <c r="B952" s="13" t="e">
        <f>VLOOKUP(Table2[[#This Row],[Location 
(drop-down)]],'List source'!D$2:E$71,2,FALSE)</f>
        <v>#N/A</v>
      </c>
      <c r="C952" s="11" t="s">
        <v>1069</v>
      </c>
      <c r="D952" s="183" t="e">
        <f t="shared" si="14"/>
        <v>#N/A</v>
      </c>
      <c r="E952" s="192"/>
      <c r="F952" s="192"/>
      <c r="G952" s="9"/>
      <c r="H952" s="10"/>
      <c r="I952" s="19"/>
      <c r="J952" s="142"/>
      <c r="K952" s="142"/>
      <c r="L952" s="142"/>
      <c r="M952" s="142"/>
      <c r="N952" s="142"/>
      <c r="O952" s="61"/>
      <c r="P952" s="168"/>
      <c r="Q95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2" s="36"/>
      <c r="S952" s="90"/>
    </row>
    <row r="953" spans="1:19" ht="36" hidden="1" customHeight="1">
      <c r="A953" s="9"/>
      <c r="B953" s="13" t="e">
        <f>VLOOKUP(Table2[[#This Row],[Location 
(drop-down)]],'List source'!D$2:E$71,2,FALSE)</f>
        <v>#N/A</v>
      </c>
      <c r="C953" s="11" t="s">
        <v>1070</v>
      </c>
      <c r="D953" s="183" t="e">
        <f t="shared" si="14"/>
        <v>#N/A</v>
      </c>
      <c r="E953" s="192"/>
      <c r="F953" s="192"/>
      <c r="G953" s="9"/>
      <c r="H953" s="10"/>
      <c r="I953" s="19"/>
      <c r="J953" s="142"/>
      <c r="K953" s="142"/>
      <c r="L953" s="142"/>
      <c r="M953" s="142"/>
      <c r="N953" s="142"/>
      <c r="O953" s="61"/>
      <c r="P953" s="168"/>
      <c r="Q95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3" s="36"/>
      <c r="S953" s="90"/>
    </row>
    <row r="954" spans="1:19" ht="36" hidden="1" customHeight="1">
      <c r="A954" s="9"/>
      <c r="B954" s="13" t="e">
        <f>VLOOKUP(Table2[[#This Row],[Location 
(drop-down)]],'List source'!D$2:E$71,2,FALSE)</f>
        <v>#N/A</v>
      </c>
      <c r="C954" s="11" t="s">
        <v>1071</v>
      </c>
      <c r="D954" s="183" t="e">
        <f t="shared" si="14"/>
        <v>#N/A</v>
      </c>
      <c r="E954" s="192"/>
      <c r="F954" s="192"/>
      <c r="G954" s="9"/>
      <c r="H954" s="10"/>
      <c r="I954" s="19"/>
      <c r="J954" s="142"/>
      <c r="K954" s="142"/>
      <c r="L954" s="142"/>
      <c r="M954" s="142"/>
      <c r="N954" s="142"/>
      <c r="O954" s="61"/>
      <c r="P954" s="168"/>
      <c r="Q95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4" s="36"/>
      <c r="S954" s="90"/>
    </row>
    <row r="955" spans="1:19" ht="36" hidden="1" customHeight="1">
      <c r="A955" s="9"/>
      <c r="B955" s="13" t="e">
        <f>VLOOKUP(Table2[[#This Row],[Location 
(drop-down)]],'List source'!D$2:E$71,2,FALSE)</f>
        <v>#N/A</v>
      </c>
      <c r="C955" s="11" t="s">
        <v>1072</v>
      </c>
      <c r="D955" s="183" t="e">
        <f t="shared" si="14"/>
        <v>#N/A</v>
      </c>
      <c r="E955" s="192"/>
      <c r="F955" s="192"/>
      <c r="G955" s="9"/>
      <c r="H955" s="10"/>
      <c r="I955" s="19"/>
      <c r="J955" s="142"/>
      <c r="K955" s="142"/>
      <c r="L955" s="142"/>
      <c r="M955" s="142"/>
      <c r="N955" s="142"/>
      <c r="O955" s="61"/>
      <c r="P955" s="168"/>
      <c r="Q95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5" s="36"/>
      <c r="S955" s="90"/>
    </row>
    <row r="956" spans="1:19" ht="36" hidden="1" customHeight="1">
      <c r="A956" s="9"/>
      <c r="B956" s="13" t="e">
        <f>VLOOKUP(Table2[[#This Row],[Location 
(drop-down)]],'List source'!D$2:E$71,2,FALSE)</f>
        <v>#N/A</v>
      </c>
      <c r="C956" s="11" t="s">
        <v>1073</v>
      </c>
      <c r="D956" s="183" t="e">
        <f t="shared" si="14"/>
        <v>#N/A</v>
      </c>
      <c r="E956" s="192"/>
      <c r="F956" s="192"/>
      <c r="G956" s="9"/>
      <c r="H956" s="10"/>
      <c r="I956" s="19"/>
      <c r="J956" s="142"/>
      <c r="K956" s="142"/>
      <c r="L956" s="142"/>
      <c r="M956" s="142"/>
      <c r="N956" s="142"/>
      <c r="O956" s="61"/>
      <c r="P956" s="168"/>
      <c r="Q95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6" s="36"/>
      <c r="S956" s="90"/>
    </row>
    <row r="957" spans="1:19" ht="36" hidden="1" customHeight="1">
      <c r="A957" s="9"/>
      <c r="B957" s="13" t="e">
        <f>VLOOKUP(Table2[[#This Row],[Location 
(drop-down)]],'List source'!D$2:E$71,2,FALSE)</f>
        <v>#N/A</v>
      </c>
      <c r="C957" s="11" t="s">
        <v>1074</v>
      </c>
      <c r="D957" s="183" t="e">
        <f t="shared" si="14"/>
        <v>#N/A</v>
      </c>
      <c r="E957" s="192"/>
      <c r="F957" s="192"/>
      <c r="G957" s="9"/>
      <c r="H957" s="10"/>
      <c r="I957" s="19"/>
      <c r="J957" s="142"/>
      <c r="K957" s="142"/>
      <c r="L957" s="142"/>
      <c r="M957" s="142"/>
      <c r="N957" s="142"/>
      <c r="O957" s="61"/>
      <c r="P957" s="168"/>
      <c r="Q95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7" s="36"/>
      <c r="S957" s="90"/>
    </row>
    <row r="958" spans="1:19" ht="36" hidden="1" customHeight="1">
      <c r="A958" s="9"/>
      <c r="B958" s="13" t="e">
        <f>VLOOKUP(Table2[[#This Row],[Location 
(drop-down)]],'List source'!D$2:E$71,2,FALSE)</f>
        <v>#N/A</v>
      </c>
      <c r="C958" s="11" t="s">
        <v>1075</v>
      </c>
      <c r="D958" s="183" t="e">
        <f t="shared" si="14"/>
        <v>#N/A</v>
      </c>
      <c r="E958" s="192"/>
      <c r="F958" s="192"/>
      <c r="G958" s="9"/>
      <c r="H958" s="10"/>
      <c r="I958" s="19"/>
      <c r="J958" s="142"/>
      <c r="K958" s="142"/>
      <c r="L958" s="142"/>
      <c r="M958" s="142"/>
      <c r="N958" s="142"/>
      <c r="O958" s="61"/>
      <c r="P958" s="61"/>
      <c r="Q95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8" s="36"/>
      <c r="S958" s="90"/>
    </row>
    <row r="959" spans="1:19" ht="36" hidden="1" customHeight="1">
      <c r="A959" s="9"/>
      <c r="B959" s="13" t="e">
        <f>VLOOKUP(Table2[[#This Row],[Location 
(drop-down)]],'List source'!D$2:E$71,2,FALSE)</f>
        <v>#N/A</v>
      </c>
      <c r="C959" s="11" t="s">
        <v>1076</v>
      </c>
      <c r="D959" s="183" t="e">
        <f t="shared" si="14"/>
        <v>#N/A</v>
      </c>
      <c r="E959" s="192"/>
      <c r="F959" s="192"/>
      <c r="G959" s="9"/>
      <c r="H959" s="10"/>
      <c r="I959" s="19"/>
      <c r="J959" s="142"/>
      <c r="K959" s="142"/>
      <c r="L959" s="142"/>
      <c r="M959" s="142"/>
      <c r="N959" s="142"/>
      <c r="O959" s="61"/>
      <c r="P959" s="61"/>
      <c r="Q95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59" s="36"/>
      <c r="S959" s="90"/>
    </row>
    <row r="960" spans="1:19" ht="36" hidden="1" customHeight="1">
      <c r="A960" s="9"/>
      <c r="B960" s="13" t="e">
        <f>VLOOKUP(Table2[[#This Row],[Location 
(drop-down)]],'List source'!D$2:E$71,2,FALSE)</f>
        <v>#N/A</v>
      </c>
      <c r="C960" s="11" t="s">
        <v>1077</v>
      </c>
      <c r="D960" s="183" t="e">
        <f t="shared" si="14"/>
        <v>#N/A</v>
      </c>
      <c r="E960" s="192"/>
      <c r="F960" s="192"/>
      <c r="G960" s="9"/>
      <c r="H960" s="10"/>
      <c r="I960" s="19"/>
      <c r="J960" s="142"/>
      <c r="K960" s="142"/>
      <c r="L960" s="142"/>
      <c r="M960" s="142"/>
      <c r="N960" s="142"/>
      <c r="O960" s="61"/>
      <c r="P960" s="61"/>
      <c r="Q96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0" s="36"/>
      <c r="S960" s="90"/>
    </row>
    <row r="961" spans="1:19" ht="36" hidden="1" customHeight="1">
      <c r="A961" s="9"/>
      <c r="B961" s="13" t="e">
        <f>VLOOKUP(Table2[[#This Row],[Location 
(drop-down)]],'List source'!D$2:E$71,2,FALSE)</f>
        <v>#N/A</v>
      </c>
      <c r="C961" s="11" t="s">
        <v>1078</v>
      </c>
      <c r="D961" s="183" t="e">
        <f t="shared" si="14"/>
        <v>#N/A</v>
      </c>
      <c r="E961" s="192"/>
      <c r="F961" s="192"/>
      <c r="G961" s="9"/>
      <c r="H961" s="10"/>
      <c r="I961" s="19"/>
      <c r="J961" s="142"/>
      <c r="K961" s="142"/>
      <c r="L961" s="142"/>
      <c r="M961" s="142"/>
      <c r="N961" s="142"/>
      <c r="O961" s="61"/>
      <c r="P961" s="61"/>
      <c r="Q96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1" s="36"/>
      <c r="S961" s="90"/>
    </row>
    <row r="962" spans="1:19" ht="36" hidden="1" customHeight="1">
      <c r="A962" s="9"/>
      <c r="B962" s="13" t="e">
        <f>VLOOKUP(Table2[[#This Row],[Location 
(drop-down)]],'List source'!D$2:E$71,2,FALSE)</f>
        <v>#N/A</v>
      </c>
      <c r="C962" s="11" t="s">
        <v>1079</v>
      </c>
      <c r="D962" s="183" t="e">
        <f t="shared" ref="D962:D1000" si="15">"C" &amp; C962 &amp;"-" &amp; B962 &amp; "-" &amp; "26"</f>
        <v>#N/A</v>
      </c>
      <c r="E962" s="192"/>
      <c r="F962" s="192"/>
      <c r="G962" s="9"/>
      <c r="H962" s="10"/>
      <c r="I962" s="19"/>
      <c r="J962" s="142"/>
      <c r="K962" s="142"/>
      <c r="L962" s="142"/>
      <c r="M962" s="142"/>
      <c r="N962" s="142"/>
      <c r="O962" s="61"/>
      <c r="P962" s="61"/>
      <c r="Q96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2" s="36"/>
      <c r="S962" s="90"/>
    </row>
    <row r="963" spans="1:19" ht="36" hidden="1" customHeight="1">
      <c r="A963" s="9"/>
      <c r="B963" s="13" t="e">
        <f>VLOOKUP(Table2[[#This Row],[Location 
(drop-down)]],'List source'!D$2:E$71,2,FALSE)</f>
        <v>#N/A</v>
      </c>
      <c r="C963" s="11" t="s">
        <v>1080</v>
      </c>
      <c r="D963" s="183" t="e">
        <f t="shared" si="15"/>
        <v>#N/A</v>
      </c>
      <c r="E963" s="192"/>
      <c r="F963" s="192"/>
      <c r="G963" s="9"/>
      <c r="H963" s="10"/>
      <c r="I963" s="19"/>
      <c r="J963" s="142"/>
      <c r="K963" s="142"/>
      <c r="L963" s="142"/>
      <c r="M963" s="142"/>
      <c r="N963" s="142"/>
      <c r="O963" s="61"/>
      <c r="P963" s="61"/>
      <c r="Q96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3" s="36"/>
      <c r="S963" s="90"/>
    </row>
    <row r="964" spans="1:19" ht="36" hidden="1" customHeight="1">
      <c r="A964" s="9"/>
      <c r="B964" s="13" t="e">
        <f>VLOOKUP(Table2[[#This Row],[Location 
(drop-down)]],'List source'!D$2:E$71,2,FALSE)</f>
        <v>#N/A</v>
      </c>
      <c r="C964" s="11" t="s">
        <v>1081</v>
      </c>
      <c r="D964" s="183" t="e">
        <f t="shared" si="15"/>
        <v>#N/A</v>
      </c>
      <c r="E964" s="192"/>
      <c r="F964" s="192"/>
      <c r="G964" s="9"/>
      <c r="H964" s="10"/>
      <c r="I964" s="19"/>
      <c r="J964" s="142"/>
      <c r="K964" s="142"/>
      <c r="L964" s="142"/>
      <c r="M964" s="142"/>
      <c r="N964" s="142"/>
      <c r="O964" s="61"/>
      <c r="P964" s="61"/>
      <c r="Q96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4" s="36"/>
      <c r="S964" s="90"/>
    </row>
    <row r="965" spans="1:19" ht="36" hidden="1" customHeight="1">
      <c r="A965" s="9"/>
      <c r="B965" s="13" t="e">
        <f>VLOOKUP(Table2[[#This Row],[Location 
(drop-down)]],'List source'!D$2:E$71,2,FALSE)</f>
        <v>#N/A</v>
      </c>
      <c r="C965" s="11" t="s">
        <v>1082</v>
      </c>
      <c r="D965" s="183" t="e">
        <f t="shared" si="15"/>
        <v>#N/A</v>
      </c>
      <c r="E965" s="192"/>
      <c r="F965" s="192"/>
      <c r="G965" s="9"/>
      <c r="H965" s="10"/>
      <c r="I965" s="19"/>
      <c r="J965" s="142"/>
      <c r="K965" s="142"/>
      <c r="L965" s="142"/>
      <c r="M965" s="142"/>
      <c r="N965" s="142"/>
      <c r="O965" s="61"/>
      <c r="P965" s="61"/>
      <c r="Q96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5" s="36"/>
      <c r="S965" s="90"/>
    </row>
    <row r="966" spans="1:19" ht="36" hidden="1" customHeight="1">
      <c r="A966" s="9"/>
      <c r="B966" s="13" t="e">
        <f>VLOOKUP(Table2[[#This Row],[Location 
(drop-down)]],'List source'!D$2:E$71,2,FALSE)</f>
        <v>#N/A</v>
      </c>
      <c r="C966" s="11" t="s">
        <v>1083</v>
      </c>
      <c r="D966" s="183" t="e">
        <f t="shared" si="15"/>
        <v>#N/A</v>
      </c>
      <c r="E966" s="192"/>
      <c r="F966" s="192"/>
      <c r="G966" s="9"/>
      <c r="H966" s="10"/>
      <c r="I966" s="19"/>
      <c r="J966" s="142"/>
      <c r="K966" s="142"/>
      <c r="L966" s="142"/>
      <c r="M966" s="142"/>
      <c r="N966" s="142"/>
      <c r="O966" s="61"/>
      <c r="P966" s="61"/>
      <c r="Q96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6" s="36"/>
      <c r="S966" s="90"/>
    </row>
    <row r="967" spans="1:19" ht="36" hidden="1" customHeight="1">
      <c r="A967" s="9"/>
      <c r="B967" s="13" t="e">
        <f>VLOOKUP(Table2[[#This Row],[Location 
(drop-down)]],'List source'!D$2:E$71,2,FALSE)</f>
        <v>#N/A</v>
      </c>
      <c r="C967" s="11" t="s">
        <v>1084</v>
      </c>
      <c r="D967" s="183" t="e">
        <f t="shared" si="15"/>
        <v>#N/A</v>
      </c>
      <c r="E967" s="192"/>
      <c r="F967" s="192"/>
      <c r="G967" s="9"/>
      <c r="H967" s="10"/>
      <c r="I967" s="19"/>
      <c r="J967" s="142"/>
      <c r="K967" s="142"/>
      <c r="L967" s="142"/>
      <c r="M967" s="142"/>
      <c r="N967" s="142"/>
      <c r="O967" s="61"/>
      <c r="P967" s="61"/>
      <c r="Q96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7" s="36"/>
      <c r="S967" s="90"/>
    </row>
    <row r="968" spans="1:19" ht="36" hidden="1" customHeight="1">
      <c r="A968" s="9"/>
      <c r="B968" s="13" t="e">
        <f>VLOOKUP(Table2[[#This Row],[Location 
(drop-down)]],'List source'!D$2:E$71,2,FALSE)</f>
        <v>#N/A</v>
      </c>
      <c r="C968" s="11" t="s">
        <v>1085</v>
      </c>
      <c r="D968" s="183" t="e">
        <f t="shared" si="15"/>
        <v>#N/A</v>
      </c>
      <c r="E968" s="192"/>
      <c r="F968" s="192"/>
      <c r="G968" s="9"/>
      <c r="H968" s="10"/>
      <c r="I968" s="19"/>
      <c r="J968" s="142"/>
      <c r="K968" s="142"/>
      <c r="L968" s="142"/>
      <c r="M968" s="142"/>
      <c r="N968" s="142"/>
      <c r="O968" s="61"/>
      <c r="P968" s="61"/>
      <c r="Q96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8" s="36"/>
      <c r="S968" s="90"/>
    </row>
    <row r="969" spans="1:19" ht="36" hidden="1" customHeight="1">
      <c r="A969" s="9"/>
      <c r="B969" s="13" t="e">
        <f>VLOOKUP(Table2[[#This Row],[Location 
(drop-down)]],'List source'!D$2:E$71,2,FALSE)</f>
        <v>#N/A</v>
      </c>
      <c r="C969" s="11" t="s">
        <v>1086</v>
      </c>
      <c r="D969" s="183" t="e">
        <f t="shared" si="15"/>
        <v>#N/A</v>
      </c>
      <c r="E969" s="192"/>
      <c r="F969" s="192"/>
      <c r="G969" s="9"/>
      <c r="H969" s="10"/>
      <c r="I969" s="19"/>
      <c r="J969" s="142"/>
      <c r="K969" s="142"/>
      <c r="L969" s="142"/>
      <c r="M969" s="142"/>
      <c r="N969" s="142"/>
      <c r="O969" s="61"/>
      <c r="P969" s="61"/>
      <c r="Q96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69" s="36"/>
      <c r="S969" s="90"/>
    </row>
    <row r="970" spans="1:19" ht="36" hidden="1" customHeight="1">
      <c r="A970" s="9"/>
      <c r="B970" s="13" t="e">
        <f>VLOOKUP(Table2[[#This Row],[Location 
(drop-down)]],'List source'!D$2:E$71,2,FALSE)</f>
        <v>#N/A</v>
      </c>
      <c r="C970" s="11" t="s">
        <v>1087</v>
      </c>
      <c r="D970" s="183" t="e">
        <f t="shared" si="15"/>
        <v>#N/A</v>
      </c>
      <c r="E970" s="192"/>
      <c r="F970" s="192"/>
      <c r="G970" s="9"/>
      <c r="H970" s="10"/>
      <c r="I970" s="19"/>
      <c r="J970" s="142"/>
      <c r="K970" s="142"/>
      <c r="L970" s="142"/>
      <c r="M970" s="142"/>
      <c r="N970" s="142"/>
      <c r="O970" s="61"/>
      <c r="P970" s="61"/>
      <c r="Q97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0" s="36"/>
      <c r="S970" s="90"/>
    </row>
    <row r="971" spans="1:19" ht="36" hidden="1" customHeight="1">
      <c r="A971" s="9"/>
      <c r="B971" s="13" t="e">
        <f>VLOOKUP(Table2[[#This Row],[Location 
(drop-down)]],'List source'!D$2:E$71,2,FALSE)</f>
        <v>#N/A</v>
      </c>
      <c r="C971" s="11" t="s">
        <v>1088</v>
      </c>
      <c r="D971" s="183" t="e">
        <f t="shared" si="15"/>
        <v>#N/A</v>
      </c>
      <c r="E971" s="192"/>
      <c r="F971" s="192"/>
      <c r="G971" s="9"/>
      <c r="H971" s="10"/>
      <c r="I971" s="19"/>
      <c r="J971" s="142"/>
      <c r="K971" s="142"/>
      <c r="L971" s="142"/>
      <c r="M971" s="142"/>
      <c r="N971" s="142"/>
      <c r="O971" s="61"/>
      <c r="P971" s="61"/>
      <c r="Q97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1" s="36"/>
      <c r="S971" s="90"/>
    </row>
    <row r="972" spans="1:19" ht="36" hidden="1" customHeight="1">
      <c r="A972" s="9"/>
      <c r="B972" s="13" t="e">
        <f>VLOOKUP(Table2[[#This Row],[Location 
(drop-down)]],'List source'!D$2:E$71,2,FALSE)</f>
        <v>#N/A</v>
      </c>
      <c r="C972" s="11" t="s">
        <v>1089</v>
      </c>
      <c r="D972" s="183" t="e">
        <f t="shared" si="15"/>
        <v>#N/A</v>
      </c>
      <c r="E972" s="192"/>
      <c r="F972" s="192"/>
      <c r="G972" s="9"/>
      <c r="H972" s="10"/>
      <c r="I972" s="19"/>
      <c r="J972" s="142"/>
      <c r="K972" s="142"/>
      <c r="L972" s="142"/>
      <c r="M972" s="142"/>
      <c r="N972" s="142"/>
      <c r="O972" s="61"/>
      <c r="P972" s="61"/>
      <c r="Q97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2" s="36"/>
      <c r="S972" s="90"/>
    </row>
    <row r="973" spans="1:19" ht="36" hidden="1" customHeight="1">
      <c r="A973" s="9"/>
      <c r="B973" s="13" t="e">
        <f>VLOOKUP(Table2[[#This Row],[Location 
(drop-down)]],'List source'!D$2:E$71,2,FALSE)</f>
        <v>#N/A</v>
      </c>
      <c r="C973" s="11" t="s">
        <v>1090</v>
      </c>
      <c r="D973" s="183" t="e">
        <f t="shared" si="15"/>
        <v>#N/A</v>
      </c>
      <c r="E973" s="192"/>
      <c r="F973" s="192"/>
      <c r="G973" s="9"/>
      <c r="H973" s="10"/>
      <c r="I973" s="19"/>
      <c r="J973" s="142"/>
      <c r="K973" s="142"/>
      <c r="L973" s="142"/>
      <c r="M973" s="142"/>
      <c r="N973" s="142"/>
      <c r="O973" s="61"/>
      <c r="P973" s="61"/>
      <c r="Q97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3" s="36"/>
      <c r="S973" s="90"/>
    </row>
    <row r="974" spans="1:19" ht="36" hidden="1" customHeight="1">
      <c r="A974" s="9"/>
      <c r="B974" s="13" t="e">
        <f>VLOOKUP(Table2[[#This Row],[Location 
(drop-down)]],'List source'!D$2:E$71,2,FALSE)</f>
        <v>#N/A</v>
      </c>
      <c r="C974" s="11" t="s">
        <v>1091</v>
      </c>
      <c r="D974" s="183" t="e">
        <f t="shared" si="15"/>
        <v>#N/A</v>
      </c>
      <c r="E974" s="192"/>
      <c r="F974" s="192"/>
      <c r="G974" s="9"/>
      <c r="H974" s="10"/>
      <c r="I974" s="19"/>
      <c r="J974" s="142"/>
      <c r="K974" s="142"/>
      <c r="L974" s="142"/>
      <c r="M974" s="142"/>
      <c r="N974" s="142"/>
      <c r="O974" s="61"/>
      <c r="P974" s="61"/>
      <c r="Q97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4" s="36"/>
      <c r="S974" s="90"/>
    </row>
    <row r="975" spans="1:19" ht="36" hidden="1" customHeight="1">
      <c r="A975" s="9"/>
      <c r="B975" s="13" t="e">
        <f>VLOOKUP(Table2[[#This Row],[Location 
(drop-down)]],'List source'!D$2:E$71,2,FALSE)</f>
        <v>#N/A</v>
      </c>
      <c r="C975" s="11" t="s">
        <v>1092</v>
      </c>
      <c r="D975" s="183" t="e">
        <f t="shared" si="15"/>
        <v>#N/A</v>
      </c>
      <c r="E975" s="192"/>
      <c r="F975" s="192"/>
      <c r="G975" s="9"/>
      <c r="H975" s="10"/>
      <c r="I975" s="19"/>
      <c r="J975" s="142"/>
      <c r="K975" s="142"/>
      <c r="L975" s="142"/>
      <c r="M975" s="142"/>
      <c r="N975" s="142"/>
      <c r="O975" s="61"/>
      <c r="P975" s="61"/>
      <c r="Q97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5" s="36"/>
      <c r="S975" s="90"/>
    </row>
    <row r="976" spans="1:19" ht="36" hidden="1" customHeight="1">
      <c r="A976" s="9"/>
      <c r="B976" s="13" t="e">
        <f>VLOOKUP(Table2[[#This Row],[Location 
(drop-down)]],'List source'!D$2:E$71,2,FALSE)</f>
        <v>#N/A</v>
      </c>
      <c r="C976" s="11" t="s">
        <v>1093</v>
      </c>
      <c r="D976" s="183" t="e">
        <f t="shared" si="15"/>
        <v>#N/A</v>
      </c>
      <c r="E976" s="192"/>
      <c r="F976" s="192"/>
      <c r="G976" s="9"/>
      <c r="H976" s="10"/>
      <c r="I976" s="19"/>
      <c r="J976" s="142"/>
      <c r="K976" s="142"/>
      <c r="L976" s="142"/>
      <c r="M976" s="142"/>
      <c r="N976" s="142"/>
      <c r="O976" s="61"/>
      <c r="P976" s="61"/>
      <c r="Q97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6" s="36"/>
      <c r="S976" s="90"/>
    </row>
    <row r="977" spans="1:19" ht="36" hidden="1" customHeight="1">
      <c r="A977" s="9"/>
      <c r="B977" s="13" t="e">
        <f>VLOOKUP(Table2[[#This Row],[Location 
(drop-down)]],'List source'!D$2:E$71,2,FALSE)</f>
        <v>#N/A</v>
      </c>
      <c r="C977" s="11" t="s">
        <v>1094</v>
      </c>
      <c r="D977" s="183" t="e">
        <f t="shared" si="15"/>
        <v>#N/A</v>
      </c>
      <c r="E977" s="192"/>
      <c r="F977" s="192"/>
      <c r="G977" s="9"/>
      <c r="H977" s="10"/>
      <c r="I977" s="19"/>
      <c r="J977" s="142"/>
      <c r="K977" s="142"/>
      <c r="L977" s="142"/>
      <c r="M977" s="142"/>
      <c r="N977" s="142"/>
      <c r="O977" s="61"/>
      <c r="P977" s="61"/>
      <c r="Q97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7" s="36"/>
      <c r="S977" s="90"/>
    </row>
    <row r="978" spans="1:19" ht="36" hidden="1" customHeight="1">
      <c r="A978" s="9"/>
      <c r="B978" s="13" t="e">
        <f>VLOOKUP(Table2[[#This Row],[Location 
(drop-down)]],'List source'!D$2:E$71,2,FALSE)</f>
        <v>#N/A</v>
      </c>
      <c r="C978" s="11" t="s">
        <v>1095</v>
      </c>
      <c r="D978" s="183" t="e">
        <f t="shared" si="15"/>
        <v>#N/A</v>
      </c>
      <c r="E978" s="192"/>
      <c r="F978" s="192"/>
      <c r="G978" s="9"/>
      <c r="H978" s="10"/>
      <c r="I978" s="19"/>
      <c r="J978" s="142"/>
      <c r="K978" s="142"/>
      <c r="L978" s="142"/>
      <c r="M978" s="142"/>
      <c r="N978" s="142"/>
      <c r="O978" s="61"/>
      <c r="P978" s="61"/>
      <c r="Q97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8" s="36"/>
      <c r="S978" s="90"/>
    </row>
    <row r="979" spans="1:19" ht="36" hidden="1" customHeight="1">
      <c r="A979" s="9"/>
      <c r="B979" s="13" t="e">
        <f>VLOOKUP(Table2[[#This Row],[Location 
(drop-down)]],'List source'!D$2:E$71,2,FALSE)</f>
        <v>#N/A</v>
      </c>
      <c r="C979" s="11" t="s">
        <v>1096</v>
      </c>
      <c r="D979" s="183" t="e">
        <f t="shared" si="15"/>
        <v>#N/A</v>
      </c>
      <c r="E979" s="192"/>
      <c r="F979" s="192"/>
      <c r="G979" s="9"/>
      <c r="H979" s="10"/>
      <c r="I979" s="19"/>
      <c r="J979" s="142"/>
      <c r="K979" s="142"/>
      <c r="L979" s="142"/>
      <c r="M979" s="142"/>
      <c r="N979" s="142"/>
      <c r="O979" s="61"/>
      <c r="P979" s="61"/>
      <c r="Q97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79" s="36"/>
      <c r="S979" s="90"/>
    </row>
    <row r="980" spans="1:19" ht="36" hidden="1" customHeight="1">
      <c r="A980" s="9"/>
      <c r="B980" s="13" t="e">
        <f>VLOOKUP(Table2[[#This Row],[Location 
(drop-down)]],'List source'!D$2:E$71,2,FALSE)</f>
        <v>#N/A</v>
      </c>
      <c r="C980" s="11" t="s">
        <v>1097</v>
      </c>
      <c r="D980" s="183" t="e">
        <f t="shared" si="15"/>
        <v>#N/A</v>
      </c>
      <c r="E980" s="192"/>
      <c r="F980" s="192"/>
      <c r="G980" s="9"/>
      <c r="H980" s="10"/>
      <c r="I980" s="19"/>
      <c r="J980" s="142"/>
      <c r="K980" s="142"/>
      <c r="L980" s="142"/>
      <c r="M980" s="142"/>
      <c r="N980" s="142"/>
      <c r="O980" s="61"/>
      <c r="P980" s="61"/>
      <c r="Q98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0" s="36"/>
      <c r="S980" s="90"/>
    </row>
    <row r="981" spans="1:19" ht="36" hidden="1" customHeight="1">
      <c r="A981" s="9"/>
      <c r="B981" s="13" t="e">
        <f>VLOOKUP(Table2[[#This Row],[Location 
(drop-down)]],'List source'!D$2:E$71,2,FALSE)</f>
        <v>#N/A</v>
      </c>
      <c r="C981" s="11" t="s">
        <v>1098</v>
      </c>
      <c r="D981" s="183" t="e">
        <f t="shared" si="15"/>
        <v>#N/A</v>
      </c>
      <c r="E981" s="192"/>
      <c r="F981" s="192"/>
      <c r="G981" s="9"/>
      <c r="H981" s="10"/>
      <c r="I981" s="19"/>
      <c r="J981" s="142"/>
      <c r="K981" s="142"/>
      <c r="L981" s="142"/>
      <c r="M981" s="142"/>
      <c r="N981" s="142"/>
      <c r="O981" s="61"/>
      <c r="P981" s="61"/>
      <c r="Q98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1" s="36"/>
      <c r="S981" s="90"/>
    </row>
    <row r="982" spans="1:19" ht="36" hidden="1" customHeight="1">
      <c r="A982" s="9"/>
      <c r="B982" s="13" t="e">
        <f>VLOOKUP(Table2[[#This Row],[Location 
(drop-down)]],'List source'!D$2:E$71,2,FALSE)</f>
        <v>#N/A</v>
      </c>
      <c r="C982" s="11" t="s">
        <v>1099</v>
      </c>
      <c r="D982" s="183" t="e">
        <f t="shared" si="15"/>
        <v>#N/A</v>
      </c>
      <c r="E982" s="192"/>
      <c r="F982" s="192"/>
      <c r="G982" s="9"/>
      <c r="H982" s="10"/>
      <c r="I982" s="19"/>
      <c r="J982" s="142"/>
      <c r="K982" s="142"/>
      <c r="L982" s="142"/>
      <c r="M982" s="142"/>
      <c r="N982" s="142"/>
      <c r="O982" s="61"/>
      <c r="P982" s="61"/>
      <c r="Q98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2" s="36"/>
      <c r="S982" s="90"/>
    </row>
    <row r="983" spans="1:19" ht="36" hidden="1" customHeight="1">
      <c r="A983" s="9"/>
      <c r="B983" s="13" t="e">
        <f>VLOOKUP(Table2[[#This Row],[Location 
(drop-down)]],'List source'!D$2:E$71,2,FALSE)</f>
        <v>#N/A</v>
      </c>
      <c r="C983" s="11" t="s">
        <v>1100</v>
      </c>
      <c r="D983" s="183" t="e">
        <f t="shared" si="15"/>
        <v>#N/A</v>
      </c>
      <c r="E983" s="192"/>
      <c r="F983" s="192"/>
      <c r="G983" s="9"/>
      <c r="H983" s="10"/>
      <c r="I983" s="19"/>
      <c r="J983" s="142"/>
      <c r="K983" s="142"/>
      <c r="L983" s="142"/>
      <c r="M983" s="142"/>
      <c r="N983" s="142"/>
      <c r="O983" s="61"/>
      <c r="P983" s="61"/>
      <c r="Q98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3" s="36"/>
      <c r="S983" s="90"/>
    </row>
    <row r="984" spans="1:19" ht="36" hidden="1" customHeight="1">
      <c r="A984" s="9"/>
      <c r="B984" s="13" t="e">
        <f>VLOOKUP(Table2[[#This Row],[Location 
(drop-down)]],'List source'!D$2:E$71,2,FALSE)</f>
        <v>#N/A</v>
      </c>
      <c r="C984" s="11" t="s">
        <v>1101</v>
      </c>
      <c r="D984" s="183" t="e">
        <f t="shared" si="15"/>
        <v>#N/A</v>
      </c>
      <c r="E984" s="192"/>
      <c r="F984" s="192"/>
      <c r="G984" s="9"/>
      <c r="H984" s="10"/>
      <c r="I984" s="19"/>
      <c r="J984" s="142"/>
      <c r="K984" s="142"/>
      <c r="L984" s="142"/>
      <c r="M984" s="142"/>
      <c r="N984" s="142"/>
      <c r="O984" s="61"/>
      <c r="P984" s="61"/>
      <c r="Q98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4" s="36"/>
      <c r="S984" s="90"/>
    </row>
    <row r="985" spans="1:19" ht="36" hidden="1" customHeight="1">
      <c r="A985" s="9"/>
      <c r="B985" s="13" t="e">
        <f>VLOOKUP(Table2[[#This Row],[Location 
(drop-down)]],'List source'!D$2:E$71,2,FALSE)</f>
        <v>#N/A</v>
      </c>
      <c r="C985" s="11" t="s">
        <v>1102</v>
      </c>
      <c r="D985" s="183" t="e">
        <f t="shared" si="15"/>
        <v>#N/A</v>
      </c>
      <c r="E985" s="192"/>
      <c r="F985" s="192"/>
      <c r="G985" s="9"/>
      <c r="H985" s="10"/>
      <c r="I985" s="19"/>
      <c r="J985" s="142"/>
      <c r="K985" s="142"/>
      <c r="L985" s="142"/>
      <c r="M985" s="142"/>
      <c r="N985" s="142"/>
      <c r="O985" s="61"/>
      <c r="P985" s="61"/>
      <c r="Q98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5" s="36"/>
      <c r="S985" s="90"/>
    </row>
    <row r="986" spans="1:19" ht="36" hidden="1" customHeight="1">
      <c r="A986" s="9"/>
      <c r="B986" s="13" t="e">
        <f>VLOOKUP(Table2[[#This Row],[Location 
(drop-down)]],'List source'!D$2:E$71,2,FALSE)</f>
        <v>#N/A</v>
      </c>
      <c r="C986" s="11" t="s">
        <v>1103</v>
      </c>
      <c r="D986" s="183" t="e">
        <f t="shared" si="15"/>
        <v>#N/A</v>
      </c>
      <c r="E986" s="192"/>
      <c r="F986" s="192"/>
      <c r="G986" s="9"/>
      <c r="H986" s="10"/>
      <c r="I986" s="19"/>
      <c r="J986" s="142"/>
      <c r="K986" s="142"/>
      <c r="L986" s="142"/>
      <c r="M986" s="142"/>
      <c r="N986" s="142"/>
      <c r="O986" s="61"/>
      <c r="P986" s="61"/>
      <c r="Q98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6" s="36"/>
      <c r="S986" s="90"/>
    </row>
    <row r="987" spans="1:19" ht="36" hidden="1" customHeight="1">
      <c r="A987" s="9"/>
      <c r="B987" s="13" t="e">
        <f>VLOOKUP(Table2[[#This Row],[Location 
(drop-down)]],'List source'!D$2:E$71,2,FALSE)</f>
        <v>#N/A</v>
      </c>
      <c r="C987" s="11" t="s">
        <v>1104</v>
      </c>
      <c r="D987" s="183" t="e">
        <f t="shared" si="15"/>
        <v>#N/A</v>
      </c>
      <c r="E987" s="192"/>
      <c r="F987" s="192"/>
      <c r="G987" s="9"/>
      <c r="H987" s="10"/>
      <c r="I987" s="19"/>
      <c r="J987" s="142"/>
      <c r="K987" s="142"/>
      <c r="L987" s="142"/>
      <c r="M987" s="142"/>
      <c r="N987" s="142"/>
      <c r="O987" s="61"/>
      <c r="P987" s="61"/>
      <c r="Q98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7" s="36"/>
      <c r="S987" s="90"/>
    </row>
    <row r="988" spans="1:19" ht="36" hidden="1" customHeight="1">
      <c r="A988" s="9"/>
      <c r="B988" s="13" t="e">
        <f>VLOOKUP(Table2[[#This Row],[Location 
(drop-down)]],'List source'!D$2:E$71,2,FALSE)</f>
        <v>#N/A</v>
      </c>
      <c r="C988" s="11" t="s">
        <v>1105</v>
      </c>
      <c r="D988" s="183" t="e">
        <f t="shared" si="15"/>
        <v>#N/A</v>
      </c>
      <c r="E988" s="192"/>
      <c r="F988" s="192"/>
      <c r="G988" s="9"/>
      <c r="H988" s="10"/>
      <c r="I988" s="19"/>
      <c r="J988" s="142"/>
      <c r="K988" s="142"/>
      <c r="L988" s="142"/>
      <c r="M988" s="142"/>
      <c r="N988" s="142"/>
      <c r="O988" s="61"/>
      <c r="P988" s="61"/>
      <c r="Q98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8" s="36"/>
      <c r="S988" s="90"/>
    </row>
    <row r="989" spans="1:19" ht="36" hidden="1" customHeight="1">
      <c r="A989" s="9"/>
      <c r="B989" s="13" t="e">
        <f>VLOOKUP(Table2[[#This Row],[Location 
(drop-down)]],'List source'!D$2:E$71,2,FALSE)</f>
        <v>#N/A</v>
      </c>
      <c r="C989" s="11" t="s">
        <v>1106</v>
      </c>
      <c r="D989" s="183" t="e">
        <f t="shared" si="15"/>
        <v>#N/A</v>
      </c>
      <c r="E989" s="192"/>
      <c r="F989" s="192"/>
      <c r="G989" s="9"/>
      <c r="H989" s="10"/>
      <c r="I989" s="19"/>
      <c r="J989" s="142"/>
      <c r="K989" s="142"/>
      <c r="L989" s="142"/>
      <c r="M989" s="142"/>
      <c r="N989" s="142"/>
      <c r="O989" s="61"/>
      <c r="P989" s="61"/>
      <c r="Q98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89" s="36"/>
      <c r="S989" s="90"/>
    </row>
    <row r="990" spans="1:19" ht="36" hidden="1" customHeight="1">
      <c r="A990" s="9"/>
      <c r="B990" s="13" t="e">
        <f>VLOOKUP(Table2[[#This Row],[Location 
(drop-down)]],'List source'!D$2:E$71,2,FALSE)</f>
        <v>#N/A</v>
      </c>
      <c r="C990" s="11" t="s">
        <v>1107</v>
      </c>
      <c r="D990" s="183" t="e">
        <f t="shared" si="15"/>
        <v>#N/A</v>
      </c>
      <c r="E990" s="192"/>
      <c r="F990" s="192"/>
      <c r="G990" s="9"/>
      <c r="H990" s="10"/>
      <c r="I990" s="19"/>
      <c r="J990" s="142"/>
      <c r="K990" s="142"/>
      <c r="L990" s="142"/>
      <c r="M990" s="142"/>
      <c r="N990" s="142"/>
      <c r="O990" s="61"/>
      <c r="P990" s="61"/>
      <c r="Q99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0" s="36"/>
      <c r="S990" s="90"/>
    </row>
    <row r="991" spans="1:19" ht="36" hidden="1" customHeight="1">
      <c r="A991" s="9"/>
      <c r="B991" s="13" t="e">
        <f>VLOOKUP(Table2[[#This Row],[Location 
(drop-down)]],'List source'!D$2:E$71,2,FALSE)</f>
        <v>#N/A</v>
      </c>
      <c r="C991" s="11" t="s">
        <v>1108</v>
      </c>
      <c r="D991" s="183" t="e">
        <f t="shared" si="15"/>
        <v>#N/A</v>
      </c>
      <c r="E991" s="192"/>
      <c r="F991" s="192"/>
      <c r="G991" s="9"/>
      <c r="H991" s="10"/>
      <c r="I991" s="19"/>
      <c r="J991" s="142"/>
      <c r="K991" s="142"/>
      <c r="L991" s="142"/>
      <c r="M991" s="142"/>
      <c r="N991" s="142"/>
      <c r="O991" s="61"/>
      <c r="P991" s="61"/>
      <c r="Q991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1" s="36"/>
      <c r="S991" s="90"/>
    </row>
    <row r="992" spans="1:19" ht="36" hidden="1" customHeight="1">
      <c r="A992" s="9"/>
      <c r="B992" s="13" t="e">
        <f>VLOOKUP(Table2[[#This Row],[Location 
(drop-down)]],'List source'!D$2:E$71,2,FALSE)</f>
        <v>#N/A</v>
      </c>
      <c r="C992" s="11" t="s">
        <v>1109</v>
      </c>
      <c r="D992" s="183" t="e">
        <f t="shared" si="15"/>
        <v>#N/A</v>
      </c>
      <c r="E992" s="192"/>
      <c r="F992" s="192"/>
      <c r="G992" s="9"/>
      <c r="H992" s="10"/>
      <c r="I992" s="19"/>
      <c r="J992" s="142"/>
      <c r="K992" s="142"/>
      <c r="L992" s="142"/>
      <c r="M992" s="142"/>
      <c r="N992" s="142"/>
      <c r="O992" s="61"/>
      <c r="P992" s="61"/>
      <c r="Q992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2" s="36"/>
      <c r="S992" s="90"/>
    </row>
    <row r="993" spans="1:19" ht="36" hidden="1" customHeight="1">
      <c r="A993" s="9"/>
      <c r="B993" s="13" t="e">
        <f>VLOOKUP(Table2[[#This Row],[Location 
(drop-down)]],'List source'!D$2:E$71,2,FALSE)</f>
        <v>#N/A</v>
      </c>
      <c r="C993" s="11" t="s">
        <v>1110</v>
      </c>
      <c r="D993" s="183" t="e">
        <f t="shared" si="15"/>
        <v>#N/A</v>
      </c>
      <c r="E993" s="192"/>
      <c r="F993" s="192"/>
      <c r="G993" s="9"/>
      <c r="H993" s="10"/>
      <c r="I993" s="19"/>
      <c r="J993" s="142"/>
      <c r="K993" s="142"/>
      <c r="L993" s="142"/>
      <c r="M993" s="142"/>
      <c r="N993" s="142"/>
      <c r="O993" s="61"/>
      <c r="P993" s="61"/>
      <c r="Q993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3" s="36"/>
      <c r="S993" s="90"/>
    </row>
    <row r="994" spans="1:19" ht="36" hidden="1" customHeight="1">
      <c r="A994" s="9"/>
      <c r="B994" s="13" t="e">
        <f>VLOOKUP(Table2[[#This Row],[Location 
(drop-down)]],'List source'!D$2:E$71,2,FALSE)</f>
        <v>#N/A</v>
      </c>
      <c r="C994" s="11" t="s">
        <v>1111</v>
      </c>
      <c r="D994" s="183" t="e">
        <f t="shared" si="15"/>
        <v>#N/A</v>
      </c>
      <c r="E994" s="192"/>
      <c r="F994" s="192"/>
      <c r="G994" s="9"/>
      <c r="H994" s="10"/>
      <c r="I994" s="19"/>
      <c r="J994" s="142"/>
      <c r="K994" s="142"/>
      <c r="L994" s="142"/>
      <c r="M994" s="142"/>
      <c r="N994" s="142"/>
      <c r="O994" s="61"/>
      <c r="P994" s="61"/>
      <c r="Q994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4" s="36"/>
      <c r="S994" s="90"/>
    </row>
    <row r="995" spans="1:19" ht="36" hidden="1" customHeight="1">
      <c r="A995" s="9"/>
      <c r="B995" s="13" t="e">
        <f>VLOOKUP(Table2[[#This Row],[Location 
(drop-down)]],'List source'!D$2:E$71,2,FALSE)</f>
        <v>#N/A</v>
      </c>
      <c r="C995" s="11" t="s">
        <v>1112</v>
      </c>
      <c r="D995" s="183" t="e">
        <f t="shared" si="15"/>
        <v>#N/A</v>
      </c>
      <c r="E995" s="192"/>
      <c r="F995" s="192"/>
      <c r="G995" s="9"/>
      <c r="H995" s="10"/>
      <c r="I995" s="19"/>
      <c r="J995" s="142"/>
      <c r="K995" s="142"/>
      <c r="L995" s="142"/>
      <c r="M995" s="142"/>
      <c r="N995" s="142"/>
      <c r="O995" s="61"/>
      <c r="P995" s="61"/>
      <c r="Q995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5" s="36"/>
      <c r="S995" s="90"/>
    </row>
    <row r="996" spans="1:19" ht="36" hidden="1" customHeight="1">
      <c r="A996" s="9"/>
      <c r="B996" s="13" t="e">
        <f>VLOOKUP(Table2[[#This Row],[Location 
(drop-down)]],'List source'!D$2:E$71,2,FALSE)</f>
        <v>#N/A</v>
      </c>
      <c r="C996" s="11" t="s">
        <v>1113</v>
      </c>
      <c r="D996" s="183" t="e">
        <f t="shared" si="15"/>
        <v>#N/A</v>
      </c>
      <c r="E996" s="192"/>
      <c r="F996" s="192"/>
      <c r="G996" s="9"/>
      <c r="H996" s="10"/>
      <c r="I996" s="19"/>
      <c r="J996" s="142"/>
      <c r="K996" s="142"/>
      <c r="L996" s="142"/>
      <c r="M996" s="142"/>
      <c r="N996" s="142"/>
      <c r="O996" s="61"/>
      <c r="P996" s="61"/>
      <c r="Q996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6" s="36"/>
      <c r="S996" s="90"/>
    </row>
    <row r="997" spans="1:19" ht="36" hidden="1" customHeight="1">
      <c r="A997" s="9"/>
      <c r="B997" s="13" t="e">
        <f>VLOOKUP(Table2[[#This Row],[Location 
(drop-down)]],'List source'!D$2:E$71,2,FALSE)</f>
        <v>#N/A</v>
      </c>
      <c r="C997" s="11" t="s">
        <v>1114</v>
      </c>
      <c r="D997" s="183" t="e">
        <f t="shared" si="15"/>
        <v>#N/A</v>
      </c>
      <c r="E997" s="192"/>
      <c r="F997" s="192"/>
      <c r="G997" s="9"/>
      <c r="H997" s="10"/>
      <c r="I997" s="19"/>
      <c r="J997" s="142"/>
      <c r="K997" s="142"/>
      <c r="L997" s="142"/>
      <c r="M997" s="142"/>
      <c r="N997" s="142"/>
      <c r="O997" s="61"/>
      <c r="P997" s="61"/>
      <c r="Q997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7" s="36"/>
      <c r="S997" s="90"/>
    </row>
    <row r="998" spans="1:19" ht="36" hidden="1" customHeight="1">
      <c r="A998" s="9"/>
      <c r="B998" s="13" t="e">
        <f>VLOOKUP(Table2[[#This Row],[Location 
(drop-down)]],'List source'!D$2:E$71,2,FALSE)</f>
        <v>#N/A</v>
      </c>
      <c r="C998" s="11" t="s">
        <v>1115</v>
      </c>
      <c r="D998" s="183" t="e">
        <f t="shared" si="15"/>
        <v>#N/A</v>
      </c>
      <c r="E998" s="192"/>
      <c r="F998" s="192"/>
      <c r="G998" s="9"/>
      <c r="H998" s="10"/>
      <c r="I998" s="19"/>
      <c r="J998" s="142"/>
      <c r="K998" s="142"/>
      <c r="L998" s="142"/>
      <c r="M998" s="142"/>
      <c r="N998" s="142"/>
      <c r="O998" s="61"/>
      <c r="P998" s="61"/>
      <c r="Q998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8" s="36"/>
      <c r="S998" s="90"/>
    </row>
    <row r="999" spans="1:19" ht="36" hidden="1" customHeight="1">
      <c r="A999" s="9"/>
      <c r="B999" s="13" t="e">
        <f>VLOOKUP(Table2[[#This Row],[Location 
(drop-down)]],'List source'!D$2:E$71,2,FALSE)</f>
        <v>#N/A</v>
      </c>
      <c r="C999" s="11" t="s">
        <v>1116</v>
      </c>
      <c r="D999" s="183" t="e">
        <f t="shared" si="15"/>
        <v>#N/A</v>
      </c>
      <c r="E999" s="192"/>
      <c r="F999" s="192"/>
      <c r="G999" s="9"/>
      <c r="H999" s="10"/>
      <c r="I999" s="19"/>
      <c r="J999" s="142"/>
      <c r="K999" s="142"/>
      <c r="L999" s="142"/>
      <c r="M999" s="142"/>
      <c r="N999" s="142"/>
      <c r="O999" s="61"/>
      <c r="P999" s="61"/>
      <c r="Q999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999" s="36"/>
      <c r="S999" s="90"/>
    </row>
    <row r="1000" spans="1:19" ht="36" hidden="1" customHeight="1">
      <c r="A1000" s="9"/>
      <c r="B1000" s="13" t="e">
        <f>VLOOKUP(Table2[[#This Row],[Location 
(drop-down)]],'List source'!D$2:E$71,2,FALSE)</f>
        <v>#N/A</v>
      </c>
      <c r="C1000" s="11" t="s">
        <v>1117</v>
      </c>
      <c r="D1000" s="183" t="e">
        <f t="shared" si="15"/>
        <v>#N/A</v>
      </c>
      <c r="E1000" s="192"/>
      <c r="F1000" s="192"/>
      <c r="G1000" s="9"/>
      <c r="H1000" s="10"/>
      <c r="I1000" s="19"/>
      <c r="J1000" s="142"/>
      <c r="K1000" s="142"/>
      <c r="L1000" s="142"/>
      <c r="M1000" s="142"/>
      <c r="N1000" s="142"/>
      <c r="O1000" s="61"/>
      <c r="P1000" s="61"/>
      <c r="Q1000" s="13">
        <f ca="1">IF(ISBLANK(Table2[[#This Row],[Corrective Action Completion Date]]), TODAY()-Table2[[#This Row],[CAR initialized date]], Table2[[#This Row],[Corrective Action Completion Date]]-Table2[[#This Row],[CAR initialized date]])</f>
        <v>46067</v>
      </c>
      <c r="R1000" s="36"/>
      <c r="S1000" s="90"/>
    </row>
  </sheetData>
  <phoneticPr fontId="4" type="noConversion"/>
  <conditionalFormatting sqref="Q2:Q1000">
    <cfRule type="expression" dxfId="127" priority="3">
      <formula>ISBLANK(L4)=TRUE</formula>
    </cfRule>
  </conditionalFormatting>
  <pageMargins left="0.7" right="0.7" top="0.75" bottom="0.75" header="0.3" footer="0.3"/>
  <pageSetup scale="36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'List source'!$C$2:$C$6</xm:f>
          </x14:formula1>
          <xm:sqref>H453:H567 H569:H1000 H281:H451 H135:H279 H2:H133</xm:sqref>
        </x14:dataValidation>
        <x14:dataValidation type="list" allowBlank="1" showInputMessage="1" showErrorMessage="1" xr:uid="{00000000-0002-0000-0200-000004000000}">
          <x14:formula1>
            <xm:f>'List source'!$A$14:$A$19</xm:f>
          </x14:formula1>
          <xm:sqref>E438:E1000 E2:E436</xm:sqref>
        </x14:dataValidation>
        <x14:dataValidation type="list" allowBlank="1" showInputMessage="1" showErrorMessage="1" xr:uid="{27F6E9CB-AF00-4D7A-B0C2-AB9BFFEEEE6C}">
          <x14:formula1>
            <xm:f>'List source'!$D$6:$D$71</xm:f>
          </x14:formula1>
          <xm:sqref>A1 A1001:A1048576</xm:sqref>
        </x14:dataValidation>
        <x14:dataValidation type="list" allowBlank="1" showInputMessage="1" showErrorMessage="1" xr:uid="{DCEC84A8-08E5-4B19-AB4A-0A3B2E7A9D79}">
          <x14:formula1>
            <xm:f>'List source'!$I$2:$I$3</xm:f>
          </x14:formula1>
          <xm:sqref>K2:K1000 P2:P1000 N2:N1000</xm:sqref>
        </x14:dataValidation>
        <x14:dataValidation type="list" allowBlank="1" showInputMessage="1" showErrorMessage="1" xr:uid="{90F2BD43-99A9-423F-92EF-16AB475FEBDD}">
          <x14:formula1>
            <xm:f>'List source'!$B$12:$B$16</xm:f>
          </x14:formula1>
          <xm:sqref>S2:S1000</xm:sqref>
        </x14:dataValidation>
        <x14:dataValidation type="list" allowBlank="1" showInputMessage="1" showErrorMessage="1" xr:uid="{CADECC81-07D0-41BE-AB9E-B7903154C8A5}">
          <x14:formula1>
            <xm:f>'List source'!$D$2:$D$71</xm:f>
          </x14:formula1>
          <xm:sqref>A2:A1000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7030A0"/>
    <pageSetUpPr fitToPage="1"/>
  </sheetPr>
  <dimension ref="A1:K501"/>
  <sheetViews>
    <sheetView showGridLines="0" zoomScale="90" zoomScaleNormal="90" workbookViewId="0">
      <pane ySplit="1" topLeftCell="F2" activePane="bottomLeft" state="frozen"/>
      <selection pane="bottomLeft" activeCell="I2" sqref="I2"/>
      <selection activeCell="D1" sqref="D1"/>
    </sheetView>
  </sheetViews>
  <sheetFormatPr defaultRowHeight="14.45"/>
  <cols>
    <col min="1" max="1" width="26.5703125" style="5" customWidth="1"/>
    <col min="2" max="2" width="9.5703125" customWidth="1"/>
    <col min="3" max="3" width="7.28515625" bestFit="1" customWidth="1"/>
    <col min="4" max="4" width="28" customWidth="1"/>
    <col min="5" max="5" width="21.28515625" customWidth="1"/>
    <col min="6" max="6" width="85.85546875" style="92" customWidth="1"/>
    <col min="7" max="7" width="16.5703125" style="6" customWidth="1"/>
    <col min="8" max="8" width="17" style="6" customWidth="1"/>
    <col min="9" max="9" width="13.28515625" style="6" customWidth="1"/>
    <col min="10" max="10" width="17.5703125" style="6" customWidth="1"/>
    <col min="11" max="11" width="36.5703125" customWidth="1"/>
  </cols>
  <sheetData>
    <row r="1" spans="1:11" s="2" customFormat="1" ht="45" customHeight="1">
      <c r="A1" s="51" t="s">
        <v>242</v>
      </c>
      <c r="B1" s="52" t="s">
        <v>1</v>
      </c>
      <c r="C1" s="52" t="s">
        <v>2</v>
      </c>
      <c r="D1" s="52" t="s">
        <v>1118</v>
      </c>
      <c r="E1" s="52" t="s">
        <v>1119</v>
      </c>
      <c r="F1" s="53" t="s">
        <v>1120</v>
      </c>
      <c r="G1" s="53" t="s">
        <v>1121</v>
      </c>
      <c r="H1" s="53" t="s">
        <v>248</v>
      </c>
      <c r="I1" s="93" t="s">
        <v>1122</v>
      </c>
      <c r="J1" s="53" t="s">
        <v>1123</v>
      </c>
      <c r="K1" s="52" t="s">
        <v>257</v>
      </c>
    </row>
    <row r="2" spans="1:11" s="4" customFormat="1" ht="30" customHeight="1">
      <c r="A2" s="9" t="s">
        <v>1124</v>
      </c>
      <c r="B2" s="13">
        <f>VLOOKUP(Table24[[#This Row],[Location 
(drop-down)]],'List source'!D$2:E$71,2,FALSE)</f>
        <v>150</v>
      </c>
      <c r="C2" s="17" t="s">
        <v>15</v>
      </c>
      <c r="D2" s="20" t="str">
        <f>"P" &amp; C2 &amp; "-" &amp; B2 &amp; "-" &amp; "26"</f>
        <v>P001-150-26</v>
      </c>
      <c r="E2" s="11" t="s">
        <v>260</v>
      </c>
      <c r="F2" s="352" t="s">
        <v>1125</v>
      </c>
      <c r="G2" s="12">
        <v>46062</v>
      </c>
      <c r="H2" s="123" t="s">
        <v>263</v>
      </c>
      <c r="I2" s="123">
        <v>46064</v>
      </c>
      <c r="J2" s="124" t="s">
        <v>262</v>
      </c>
      <c r="K2" s="124" t="s">
        <v>1126</v>
      </c>
    </row>
    <row r="3" spans="1:11" s="4" customFormat="1" ht="30" customHeight="1">
      <c r="A3" s="9"/>
      <c r="B3" s="13" t="e">
        <f>VLOOKUP(Table24[[#This Row],[Location 
(drop-down)]],'List source'!D$2:E$71,2,FALSE)</f>
        <v>#N/A</v>
      </c>
      <c r="C3" s="17" t="s">
        <v>22</v>
      </c>
      <c r="D3" s="20" t="e">
        <f t="shared" ref="D3:D65" si="0">"P" &amp; C3 &amp; "-" &amp; B3 &amp; "-" &amp; "26"</f>
        <v>#N/A</v>
      </c>
      <c r="E3" s="11"/>
      <c r="F3" s="125"/>
      <c r="G3" s="12"/>
      <c r="H3" s="12"/>
      <c r="I3" s="12"/>
      <c r="J3" s="10"/>
      <c r="K3" s="10"/>
    </row>
    <row r="4" spans="1:11" s="4" customFormat="1" ht="30" customHeight="1">
      <c r="A4" s="9"/>
      <c r="B4" s="13" t="e">
        <f>VLOOKUP(Table24[[#This Row],[Location 
(drop-down)]],'List source'!D$2:E$71,2,FALSE)</f>
        <v>#N/A</v>
      </c>
      <c r="C4" s="17" t="s">
        <v>26</v>
      </c>
      <c r="D4" s="20" t="e">
        <f t="shared" si="0"/>
        <v>#N/A</v>
      </c>
      <c r="E4" s="11"/>
      <c r="F4" s="88"/>
      <c r="G4" s="12"/>
      <c r="H4" s="12"/>
      <c r="I4" s="12"/>
      <c r="J4" s="10"/>
      <c r="K4" s="10"/>
    </row>
    <row r="5" spans="1:11" s="4" customFormat="1" ht="30" customHeight="1">
      <c r="A5" s="9"/>
      <c r="B5" s="13" t="e">
        <f>VLOOKUP(Table24[[#This Row],[Location 
(drop-down)]],'List source'!D$2:E$71,2,FALSE)</f>
        <v>#N/A</v>
      </c>
      <c r="C5" s="17" t="s">
        <v>30</v>
      </c>
      <c r="D5" s="20" t="e">
        <f t="shared" si="0"/>
        <v>#N/A</v>
      </c>
      <c r="E5" s="11"/>
      <c r="F5" s="88"/>
      <c r="G5" s="12"/>
      <c r="H5" s="12"/>
      <c r="I5" s="12"/>
      <c r="J5" s="10"/>
      <c r="K5" s="10"/>
    </row>
    <row r="6" spans="1:11" s="4" customFormat="1" ht="30" customHeight="1">
      <c r="A6" s="9"/>
      <c r="B6" s="13" t="e">
        <f>VLOOKUP(Table24[[#This Row],[Location 
(drop-down)]],'List source'!D$2:E$71,2,FALSE)</f>
        <v>#N/A</v>
      </c>
      <c r="C6" s="17" t="s">
        <v>33</v>
      </c>
      <c r="D6" s="20" t="e">
        <f t="shared" si="0"/>
        <v>#N/A</v>
      </c>
      <c r="E6" s="11"/>
      <c r="F6" s="126"/>
      <c r="G6" s="12"/>
      <c r="H6" s="12"/>
      <c r="I6" s="12"/>
      <c r="J6" s="10"/>
      <c r="K6" s="10"/>
    </row>
    <row r="7" spans="1:11" s="4" customFormat="1" ht="18">
      <c r="A7" s="9"/>
      <c r="B7" s="13" t="e">
        <f>VLOOKUP(Table24[[#This Row],[Location 
(drop-down)]],'List source'!D$2:E$71,2,FALSE)</f>
        <v>#N/A</v>
      </c>
      <c r="C7" s="17" t="s">
        <v>35</v>
      </c>
      <c r="D7" s="20" t="e">
        <f t="shared" si="0"/>
        <v>#N/A</v>
      </c>
      <c r="E7" s="11"/>
      <c r="F7" s="127"/>
      <c r="G7" s="12"/>
      <c r="H7" s="12"/>
      <c r="I7" s="12"/>
      <c r="J7" s="10"/>
      <c r="K7" s="10"/>
    </row>
    <row r="8" spans="1:11" s="4" customFormat="1" ht="30" customHeight="1">
      <c r="A8" s="9"/>
      <c r="B8" s="13" t="e">
        <f>VLOOKUP(Table24[[#This Row],[Location 
(drop-down)]],'List source'!D$2:E$71,2,FALSE)</f>
        <v>#N/A</v>
      </c>
      <c r="C8" s="17" t="s">
        <v>37</v>
      </c>
      <c r="D8" s="20" t="e">
        <f t="shared" si="0"/>
        <v>#N/A</v>
      </c>
      <c r="E8" s="11"/>
      <c r="F8" s="88"/>
      <c r="G8" s="12"/>
      <c r="H8" s="12"/>
      <c r="I8" s="12"/>
      <c r="J8" s="10"/>
      <c r="K8" s="10"/>
    </row>
    <row r="9" spans="1:11" s="4" customFormat="1" ht="30" customHeight="1">
      <c r="A9" s="9"/>
      <c r="B9" s="13" t="e">
        <f>VLOOKUP(Table24[[#This Row],[Location 
(drop-down)]],'List source'!D$2:E$71,2,FALSE)</f>
        <v>#N/A</v>
      </c>
      <c r="C9" s="17" t="s">
        <v>39</v>
      </c>
      <c r="D9" s="20" t="e">
        <f t="shared" si="0"/>
        <v>#N/A</v>
      </c>
      <c r="E9" s="11"/>
      <c r="F9" s="88"/>
      <c r="G9" s="12"/>
      <c r="H9" s="12"/>
      <c r="I9" s="12"/>
      <c r="J9" s="10"/>
      <c r="K9" s="10"/>
    </row>
    <row r="10" spans="1:11" s="4" customFormat="1" ht="30" customHeight="1">
      <c r="A10" s="9"/>
      <c r="B10" s="13" t="e">
        <f>VLOOKUP(Table24[[#This Row],[Location 
(drop-down)]],'List source'!D$2:E$71,2,FALSE)</f>
        <v>#N/A</v>
      </c>
      <c r="C10" s="17" t="s">
        <v>41</v>
      </c>
      <c r="D10" s="20" t="e">
        <f t="shared" si="0"/>
        <v>#N/A</v>
      </c>
      <c r="E10" s="11"/>
      <c r="F10" s="88"/>
      <c r="G10" s="12"/>
      <c r="H10" s="12"/>
      <c r="I10" s="12"/>
      <c r="J10" s="10"/>
      <c r="K10" s="10"/>
    </row>
    <row r="11" spans="1:11" s="4" customFormat="1" ht="18">
      <c r="A11" s="9"/>
      <c r="B11" s="13" t="e">
        <f>VLOOKUP(Table24[[#This Row],[Location 
(drop-down)]],'List source'!D$2:E$71,2,FALSE)</f>
        <v>#N/A</v>
      </c>
      <c r="C11" s="17" t="s">
        <v>42</v>
      </c>
      <c r="D11" s="20" t="e">
        <f t="shared" si="0"/>
        <v>#N/A</v>
      </c>
      <c r="E11" s="11"/>
      <c r="F11" s="88"/>
      <c r="G11" s="12"/>
      <c r="H11" s="12"/>
      <c r="I11" s="12"/>
      <c r="J11" s="10"/>
      <c r="K11" s="10"/>
    </row>
    <row r="12" spans="1:11" s="4" customFormat="1" ht="41.1" customHeight="1">
      <c r="A12" s="9"/>
      <c r="B12" s="13" t="e">
        <f>VLOOKUP(Table24[[#This Row],[Location 
(drop-down)]],'List source'!D$2:E$71,2,FALSE)</f>
        <v>#N/A</v>
      </c>
      <c r="C12" s="17" t="s">
        <v>44</v>
      </c>
      <c r="D12" s="20" t="e">
        <f t="shared" si="0"/>
        <v>#N/A</v>
      </c>
      <c r="E12" s="11"/>
      <c r="F12" s="88"/>
      <c r="G12" s="12"/>
      <c r="H12" s="12"/>
      <c r="I12" s="12"/>
      <c r="J12" s="10"/>
      <c r="K12" s="10"/>
    </row>
    <row r="13" spans="1:11" s="4" customFormat="1" ht="44.1" customHeight="1">
      <c r="A13" s="9"/>
      <c r="B13" s="13" t="e">
        <f>VLOOKUP(Table24[[#This Row],[Location 
(drop-down)]],'List source'!D$2:E$71,2,FALSE)</f>
        <v>#N/A</v>
      </c>
      <c r="C13" s="17" t="s">
        <v>51</v>
      </c>
      <c r="D13" s="20" t="e">
        <f t="shared" si="0"/>
        <v>#N/A</v>
      </c>
      <c r="E13" s="11"/>
      <c r="F13" s="88"/>
      <c r="G13" s="12"/>
      <c r="H13" s="12"/>
      <c r="I13" s="12"/>
      <c r="J13" s="10"/>
      <c r="K13" s="10"/>
    </row>
    <row r="14" spans="1:11" s="4" customFormat="1" ht="30" customHeight="1">
      <c r="A14" s="9"/>
      <c r="B14" s="13" t="e">
        <f>VLOOKUP(Table24[[#This Row],[Location 
(drop-down)]],'List source'!D$2:E$71,2,FALSE)</f>
        <v>#N/A</v>
      </c>
      <c r="C14" s="17" t="s">
        <v>53</v>
      </c>
      <c r="D14" s="20" t="e">
        <f t="shared" si="0"/>
        <v>#N/A</v>
      </c>
      <c r="E14" s="11"/>
      <c r="F14" s="128"/>
      <c r="G14" s="12"/>
      <c r="H14" s="12"/>
      <c r="I14" s="12"/>
      <c r="J14" s="10"/>
      <c r="K14" s="10"/>
    </row>
    <row r="15" spans="1:11" s="4" customFormat="1" ht="30" customHeight="1">
      <c r="A15" s="9"/>
      <c r="B15" s="13" t="e">
        <f>VLOOKUP(Table24[[#This Row],[Location 
(drop-down)]],'List source'!D$2:E$71,2,FALSE)</f>
        <v>#N/A</v>
      </c>
      <c r="C15" s="17" t="s">
        <v>55</v>
      </c>
      <c r="D15" s="20" t="e">
        <f t="shared" si="0"/>
        <v>#N/A</v>
      </c>
      <c r="E15" s="11"/>
      <c r="F15" s="88"/>
      <c r="G15" s="12"/>
      <c r="H15" s="12"/>
      <c r="I15" s="12"/>
      <c r="J15" s="10"/>
      <c r="K15" s="10"/>
    </row>
    <row r="16" spans="1:11" s="4" customFormat="1" ht="30" customHeight="1">
      <c r="A16" s="9"/>
      <c r="B16" s="13" t="e">
        <f>VLOOKUP(Table24[[#This Row],[Location 
(drop-down)]],'List source'!D$2:E$71,2,FALSE)</f>
        <v>#N/A</v>
      </c>
      <c r="C16" s="17" t="s">
        <v>56</v>
      </c>
      <c r="D16" s="20" t="e">
        <f t="shared" si="0"/>
        <v>#N/A</v>
      </c>
      <c r="E16" s="11"/>
      <c r="F16" s="184"/>
      <c r="G16" s="12"/>
      <c r="H16" s="12"/>
      <c r="I16" s="12"/>
      <c r="J16" s="10"/>
      <c r="K16" s="10"/>
    </row>
    <row r="17" spans="1:11" s="4" customFormat="1" ht="30" customHeight="1">
      <c r="A17" s="9"/>
      <c r="B17" s="13" t="e">
        <f>VLOOKUP(Table24[[#This Row],[Location 
(drop-down)]],'List source'!D$2:E$71,2,FALSE)</f>
        <v>#N/A</v>
      </c>
      <c r="C17" s="17" t="s">
        <v>57</v>
      </c>
      <c r="D17" s="20" t="e">
        <f t="shared" si="0"/>
        <v>#N/A</v>
      </c>
      <c r="E17" s="11"/>
      <c r="F17" s="88"/>
      <c r="G17" s="12"/>
      <c r="H17" s="12"/>
      <c r="I17" s="12"/>
      <c r="J17" s="10"/>
      <c r="K17" s="10"/>
    </row>
    <row r="18" spans="1:11" s="4" customFormat="1" ht="30" customHeight="1">
      <c r="A18" s="9"/>
      <c r="B18" s="13" t="e">
        <f>VLOOKUP(Table24[[#This Row],[Location 
(drop-down)]],'List source'!D$2:E$71,2,FALSE)</f>
        <v>#N/A</v>
      </c>
      <c r="C18" s="17" t="s">
        <v>58</v>
      </c>
      <c r="D18" s="20" t="e">
        <f t="shared" si="0"/>
        <v>#N/A</v>
      </c>
      <c r="E18" s="11"/>
      <c r="F18" s="88"/>
      <c r="G18" s="12"/>
      <c r="H18" s="12"/>
      <c r="I18" s="12"/>
      <c r="J18" s="10"/>
      <c r="K18" s="10"/>
    </row>
    <row r="19" spans="1:11" s="4" customFormat="1" ht="30" customHeight="1">
      <c r="A19" s="9"/>
      <c r="B19" s="13" t="e">
        <f>VLOOKUP(Table24[[#This Row],[Location 
(drop-down)]],'List source'!D$2:E$71,2,FALSE)</f>
        <v>#N/A</v>
      </c>
      <c r="C19" s="17" t="s">
        <v>59</v>
      </c>
      <c r="D19" s="20" t="e">
        <f t="shared" si="0"/>
        <v>#N/A</v>
      </c>
      <c r="E19" s="11"/>
      <c r="F19" s="88"/>
      <c r="G19" s="12"/>
      <c r="H19" s="12"/>
      <c r="I19" s="12"/>
      <c r="J19" s="10"/>
      <c r="K19" s="10"/>
    </row>
    <row r="20" spans="1:11" s="4" customFormat="1" ht="30" customHeight="1">
      <c r="A20" s="9"/>
      <c r="B20" s="13" t="e">
        <f>VLOOKUP(Table24[[#This Row],[Location 
(drop-down)]],'List source'!D$2:E$71,2,FALSE)</f>
        <v>#N/A</v>
      </c>
      <c r="C20" s="17" t="s">
        <v>60</v>
      </c>
      <c r="D20" s="20" t="e">
        <f t="shared" si="0"/>
        <v>#N/A</v>
      </c>
      <c r="E20" s="11"/>
      <c r="F20" s="88"/>
      <c r="G20" s="12"/>
      <c r="H20" s="12"/>
      <c r="I20" s="12"/>
      <c r="J20" s="10"/>
      <c r="K20" s="10"/>
    </row>
    <row r="21" spans="1:11" s="4" customFormat="1" ht="30" customHeight="1">
      <c r="A21" s="9"/>
      <c r="B21" s="13" t="e">
        <f>VLOOKUP(Table24[[#This Row],[Location 
(drop-down)]],'List source'!D$2:E$71,2,FALSE)</f>
        <v>#N/A</v>
      </c>
      <c r="C21" s="17" t="s">
        <v>61</v>
      </c>
      <c r="D21" s="41" t="e">
        <f t="shared" si="0"/>
        <v>#N/A</v>
      </c>
      <c r="E21" s="11"/>
      <c r="F21" s="88"/>
      <c r="G21" s="12"/>
      <c r="H21" s="12"/>
      <c r="I21" s="12"/>
      <c r="J21" s="10"/>
      <c r="K21" s="10"/>
    </row>
    <row r="22" spans="1:11" s="4" customFormat="1" ht="30" customHeight="1">
      <c r="A22" s="9"/>
      <c r="B22" s="13" t="e">
        <f>VLOOKUP(Table24[[#This Row],[Location 
(drop-down)]],'List source'!D$2:E$71,2,FALSE)</f>
        <v>#N/A</v>
      </c>
      <c r="C22" s="17" t="s">
        <v>62</v>
      </c>
      <c r="D22" s="20" t="e">
        <f t="shared" si="0"/>
        <v>#N/A</v>
      </c>
      <c r="E22" s="11"/>
      <c r="F22" s="67"/>
      <c r="G22" s="12"/>
      <c r="H22" s="12"/>
      <c r="I22" s="12"/>
      <c r="J22" s="10"/>
      <c r="K22" s="10"/>
    </row>
    <row r="23" spans="1:11" s="4" customFormat="1" ht="30" customHeight="1">
      <c r="A23" s="9"/>
      <c r="B23" s="13" t="e">
        <f>VLOOKUP(Table24[[#This Row],[Location 
(drop-down)]],'List source'!D$2:E$71,2,FALSE)</f>
        <v>#N/A</v>
      </c>
      <c r="C23" s="17" t="s">
        <v>63</v>
      </c>
      <c r="D23" s="20" t="e">
        <f t="shared" si="0"/>
        <v>#N/A</v>
      </c>
      <c r="E23" s="10"/>
      <c r="F23" s="88"/>
      <c r="G23" s="12"/>
      <c r="H23" s="12"/>
      <c r="I23" s="12"/>
      <c r="J23" s="10"/>
      <c r="K23" s="10"/>
    </row>
    <row r="24" spans="1:11" s="4" customFormat="1" ht="30" customHeight="1">
      <c r="A24" s="9"/>
      <c r="B24" s="13" t="e">
        <f>VLOOKUP(Table24[[#This Row],[Location 
(drop-down)]],'List source'!D$2:E$71,2,FALSE)</f>
        <v>#N/A</v>
      </c>
      <c r="C24" s="17" t="s">
        <v>64</v>
      </c>
      <c r="D24" s="20" t="e">
        <f t="shared" si="0"/>
        <v>#N/A</v>
      </c>
      <c r="E24" s="11"/>
      <c r="F24" s="88"/>
      <c r="G24" s="12"/>
      <c r="H24" s="12"/>
      <c r="I24" s="12"/>
      <c r="J24" s="10"/>
      <c r="K24" s="10"/>
    </row>
    <row r="25" spans="1:11" s="4" customFormat="1" ht="30" customHeight="1">
      <c r="A25" s="9"/>
      <c r="B25" s="13" t="e">
        <f>VLOOKUP(Table24[[#This Row],[Location 
(drop-down)]],'List source'!D$2:E$71,2,FALSE)</f>
        <v>#N/A</v>
      </c>
      <c r="C25" s="17" t="s">
        <v>65</v>
      </c>
      <c r="D25" s="20" t="e">
        <f t="shared" si="0"/>
        <v>#N/A</v>
      </c>
      <c r="E25" s="11"/>
      <c r="F25" s="88"/>
      <c r="G25" s="12"/>
      <c r="H25" s="12"/>
      <c r="I25" s="12"/>
      <c r="J25" s="10"/>
      <c r="K25" s="10"/>
    </row>
    <row r="26" spans="1:11" s="4" customFormat="1" ht="30" customHeight="1">
      <c r="A26" s="9"/>
      <c r="B26" s="13" t="e">
        <f>VLOOKUP(Table24[[#This Row],[Location 
(drop-down)]],'List source'!D$2:E$71,2,FALSE)</f>
        <v>#N/A</v>
      </c>
      <c r="C26" s="17" t="s">
        <v>66</v>
      </c>
      <c r="D26" s="20" t="e">
        <f t="shared" si="0"/>
        <v>#N/A</v>
      </c>
      <c r="E26" s="11"/>
      <c r="F26" s="90"/>
      <c r="G26" s="12"/>
      <c r="H26" s="12"/>
      <c r="I26" s="12"/>
      <c r="J26" s="10"/>
      <c r="K26" s="10"/>
    </row>
    <row r="27" spans="1:11" s="4" customFormat="1" ht="30" customHeight="1">
      <c r="A27" s="9"/>
      <c r="B27" s="13" t="e">
        <f>VLOOKUP(Table24[[#This Row],[Location 
(drop-down)]],'List source'!D$2:E$71,2,FALSE)</f>
        <v>#N/A</v>
      </c>
      <c r="C27" s="17" t="s">
        <v>67</v>
      </c>
      <c r="D27" s="20" t="e">
        <f t="shared" si="0"/>
        <v>#N/A</v>
      </c>
      <c r="E27" s="11"/>
      <c r="F27" s="88"/>
      <c r="G27" s="12"/>
      <c r="H27" s="12"/>
      <c r="I27" s="70"/>
      <c r="J27" s="10"/>
      <c r="K27" s="10"/>
    </row>
    <row r="28" spans="1:11" s="4" customFormat="1" ht="39.75" customHeight="1">
      <c r="A28" s="9"/>
      <c r="B28" s="13" t="e">
        <f>VLOOKUP(Table24[[#This Row],[Location 
(drop-down)]],'List source'!D$2:E$71,2,FALSE)</f>
        <v>#N/A</v>
      </c>
      <c r="C28" s="17" t="s">
        <v>68</v>
      </c>
      <c r="D28" s="20" t="e">
        <f t="shared" si="0"/>
        <v>#N/A</v>
      </c>
      <c r="E28" s="11"/>
      <c r="F28" s="88"/>
      <c r="G28" s="12"/>
      <c r="H28" s="162"/>
      <c r="I28" s="198"/>
      <c r="J28" s="161"/>
      <c r="K28" s="10"/>
    </row>
    <row r="29" spans="1:11" s="4" customFormat="1" ht="37.35" customHeight="1">
      <c r="A29" s="9"/>
      <c r="B29" s="13" t="e">
        <f>VLOOKUP(Table24[[#This Row],[Location 
(drop-down)]],'List source'!D$2:E$71,2,FALSE)</f>
        <v>#N/A</v>
      </c>
      <c r="C29" s="17" t="s">
        <v>69</v>
      </c>
      <c r="D29" s="20" t="e">
        <f t="shared" si="0"/>
        <v>#N/A</v>
      </c>
      <c r="E29" s="11"/>
      <c r="F29" s="88"/>
      <c r="G29" s="12"/>
      <c r="H29" s="162"/>
      <c r="I29" s="199"/>
      <c r="J29" s="161"/>
      <c r="K29" s="10"/>
    </row>
    <row r="30" spans="1:11" s="4" customFormat="1" ht="30" customHeight="1">
      <c r="A30" s="9"/>
      <c r="B30" s="13" t="e">
        <f>VLOOKUP(Table24[[#This Row],[Location 
(drop-down)]],'List source'!D$2:E$71,2,FALSE)</f>
        <v>#N/A</v>
      </c>
      <c r="C30" s="17" t="s">
        <v>70</v>
      </c>
      <c r="D30" s="20" t="e">
        <f t="shared" si="0"/>
        <v>#N/A</v>
      </c>
      <c r="E30" s="11"/>
      <c r="F30" s="88"/>
      <c r="G30" s="12"/>
      <c r="H30" s="12"/>
      <c r="I30" s="123"/>
      <c r="J30" s="10"/>
      <c r="K30" s="10"/>
    </row>
    <row r="31" spans="1:11" s="4" customFormat="1" ht="30" customHeight="1">
      <c r="A31" s="9"/>
      <c r="B31" s="13" t="e">
        <f>VLOOKUP(Table24[[#This Row],[Location 
(drop-down)]],'List source'!D$2:E$71,2,FALSE)</f>
        <v>#N/A</v>
      </c>
      <c r="C31" s="17" t="s">
        <v>71</v>
      </c>
      <c r="D31" s="20" t="e">
        <f t="shared" si="0"/>
        <v>#N/A</v>
      </c>
      <c r="E31" s="11"/>
      <c r="F31" s="88"/>
      <c r="G31" s="12"/>
      <c r="H31" s="12"/>
      <c r="I31" s="12"/>
      <c r="J31" s="10"/>
      <c r="K31" s="10"/>
    </row>
    <row r="32" spans="1:11" s="4" customFormat="1" ht="30" customHeight="1">
      <c r="A32" s="9"/>
      <c r="B32" s="13" t="e">
        <f>VLOOKUP(Table24[[#This Row],[Location 
(drop-down)]],'List source'!D$2:E$71,2,FALSE)</f>
        <v>#N/A</v>
      </c>
      <c r="C32" s="17" t="s">
        <v>72</v>
      </c>
      <c r="D32" s="20" t="e">
        <f t="shared" si="0"/>
        <v>#N/A</v>
      </c>
      <c r="E32" s="11"/>
      <c r="F32" s="88"/>
      <c r="G32" s="12"/>
      <c r="H32" s="12"/>
      <c r="I32" s="12"/>
      <c r="J32" s="10"/>
      <c r="K32" s="10"/>
    </row>
    <row r="33" spans="1:11" s="4" customFormat="1" ht="30" customHeight="1">
      <c r="A33" s="9"/>
      <c r="B33" s="13" t="e">
        <f>VLOOKUP(Table24[[#This Row],[Location 
(drop-down)]],'List source'!D$2:E$71,2,FALSE)</f>
        <v>#N/A</v>
      </c>
      <c r="C33" s="17" t="s">
        <v>73</v>
      </c>
      <c r="D33" s="41" t="e">
        <f t="shared" si="0"/>
        <v>#N/A</v>
      </c>
      <c r="E33" s="11"/>
      <c r="F33" s="88"/>
      <c r="G33" s="12"/>
      <c r="H33" s="12"/>
      <c r="I33" s="12"/>
      <c r="J33" s="10"/>
      <c r="K33" s="10"/>
    </row>
    <row r="34" spans="1:11" s="4" customFormat="1" ht="30" customHeight="1">
      <c r="A34" s="9"/>
      <c r="B34" s="13" t="e">
        <f>VLOOKUP(Table24[[#This Row],[Location 
(drop-down)]],'List source'!D$2:E$71,2,FALSE)</f>
        <v>#N/A</v>
      </c>
      <c r="C34" s="17" t="s">
        <v>74</v>
      </c>
      <c r="D34" s="20" t="e">
        <f t="shared" si="0"/>
        <v>#N/A</v>
      </c>
      <c r="E34" s="11"/>
      <c r="F34" s="88"/>
      <c r="G34" s="12"/>
      <c r="H34" s="12"/>
      <c r="I34" s="12"/>
      <c r="J34" s="10"/>
      <c r="K34" s="10"/>
    </row>
    <row r="35" spans="1:11" s="4" customFormat="1" ht="30" customHeight="1">
      <c r="A35" s="9"/>
      <c r="B35" s="13" t="e">
        <f>VLOOKUP(Table24[[#This Row],[Location 
(drop-down)]],'List source'!D$2:E$71,2,FALSE)</f>
        <v>#N/A</v>
      </c>
      <c r="C35" s="17" t="s">
        <v>75</v>
      </c>
      <c r="D35" s="41" t="e">
        <f t="shared" si="0"/>
        <v>#N/A</v>
      </c>
      <c r="E35" s="11"/>
      <c r="F35" s="88"/>
      <c r="G35" s="12"/>
      <c r="H35" s="12"/>
      <c r="I35" s="12"/>
      <c r="J35" s="10"/>
      <c r="K35" s="10"/>
    </row>
    <row r="36" spans="1:11" s="4" customFormat="1" ht="30" customHeight="1">
      <c r="A36" s="9"/>
      <c r="B36" s="13" t="e">
        <f>VLOOKUP(Table24[[#This Row],[Location 
(drop-down)]],'List source'!D$2:E$71,2,FALSE)</f>
        <v>#N/A</v>
      </c>
      <c r="C36" s="17" t="s">
        <v>76</v>
      </c>
      <c r="D36" s="20" t="e">
        <f t="shared" si="0"/>
        <v>#N/A</v>
      </c>
      <c r="E36" s="11"/>
      <c r="F36" s="88"/>
      <c r="G36" s="12"/>
      <c r="H36" s="12"/>
      <c r="I36" s="12"/>
      <c r="J36" s="10"/>
      <c r="K36" s="10"/>
    </row>
    <row r="37" spans="1:11" s="4" customFormat="1" ht="30" customHeight="1">
      <c r="A37" s="9"/>
      <c r="B37" s="13" t="e">
        <f>VLOOKUP(Table24[[#This Row],[Location 
(drop-down)]],'List source'!D$2:E$71,2,FALSE)</f>
        <v>#N/A</v>
      </c>
      <c r="C37" s="17" t="s">
        <v>77</v>
      </c>
      <c r="D37" s="20" t="e">
        <f t="shared" si="0"/>
        <v>#N/A</v>
      </c>
      <c r="E37" s="11"/>
      <c r="F37" s="88"/>
      <c r="G37" s="12"/>
      <c r="H37" s="12"/>
      <c r="I37" s="12"/>
      <c r="J37" s="10"/>
      <c r="K37" s="10"/>
    </row>
    <row r="38" spans="1:11" s="4" customFormat="1" ht="30" customHeight="1">
      <c r="A38" s="9"/>
      <c r="B38" s="13" t="e">
        <f>VLOOKUP(Table24[[#This Row],[Location 
(drop-down)]],'List source'!D$2:E$71,2,FALSE)</f>
        <v>#N/A</v>
      </c>
      <c r="C38" s="17" t="s">
        <v>78</v>
      </c>
      <c r="D38" s="20" t="e">
        <f t="shared" si="0"/>
        <v>#N/A</v>
      </c>
      <c r="E38" s="11"/>
      <c r="F38" s="88"/>
      <c r="G38" s="12"/>
      <c r="H38" s="12"/>
      <c r="I38" s="12"/>
      <c r="J38" s="10"/>
      <c r="K38" s="10"/>
    </row>
    <row r="39" spans="1:11" s="4" customFormat="1" ht="30" customHeight="1">
      <c r="A39" s="9"/>
      <c r="B39" s="13" t="e">
        <f>VLOOKUP(Table24[[#This Row],[Location 
(drop-down)]],'List source'!D$2:E$71,2,FALSE)</f>
        <v>#N/A</v>
      </c>
      <c r="C39" s="17" t="s">
        <v>79</v>
      </c>
      <c r="D39" s="20" t="e">
        <f t="shared" si="0"/>
        <v>#N/A</v>
      </c>
      <c r="E39" s="11"/>
      <c r="F39" s="88"/>
      <c r="G39" s="12"/>
      <c r="H39" s="12"/>
      <c r="I39" s="12"/>
      <c r="J39" s="10"/>
      <c r="K39" s="10"/>
    </row>
    <row r="40" spans="1:11" s="4" customFormat="1" ht="30" customHeight="1">
      <c r="A40" s="9"/>
      <c r="B40" s="13" t="e">
        <f>VLOOKUP(Table24[[#This Row],[Location 
(drop-down)]],'List source'!D$2:E$71,2,FALSE)</f>
        <v>#N/A</v>
      </c>
      <c r="C40" s="17" t="s">
        <v>80</v>
      </c>
      <c r="D40" s="20" t="e">
        <f t="shared" si="0"/>
        <v>#N/A</v>
      </c>
      <c r="E40" s="11"/>
      <c r="F40" s="88"/>
      <c r="G40" s="12"/>
      <c r="H40" s="12"/>
      <c r="I40" s="12"/>
      <c r="J40" s="10"/>
      <c r="K40" s="10"/>
    </row>
    <row r="41" spans="1:11" s="4" customFormat="1" ht="30" customHeight="1">
      <c r="A41" s="9"/>
      <c r="B41" s="13" t="e">
        <f>VLOOKUP(Table24[[#This Row],[Location 
(drop-down)]],'List source'!D$2:E$71,2,FALSE)</f>
        <v>#N/A</v>
      </c>
      <c r="C41" s="17" t="s">
        <v>81</v>
      </c>
      <c r="D41" s="20" t="e">
        <f t="shared" si="0"/>
        <v>#N/A</v>
      </c>
      <c r="E41" s="11"/>
      <c r="F41" s="88"/>
      <c r="G41" s="12"/>
      <c r="H41" s="12"/>
      <c r="I41" s="12"/>
      <c r="J41" s="10"/>
      <c r="K41" s="10"/>
    </row>
    <row r="42" spans="1:11" s="4" customFormat="1" ht="30" customHeight="1">
      <c r="A42" s="9"/>
      <c r="B42" s="13" t="e">
        <f>VLOOKUP(Table24[[#This Row],[Location 
(drop-down)]],'List source'!D$2:E$71,2,FALSE)</f>
        <v>#N/A</v>
      </c>
      <c r="C42" s="17" t="s">
        <v>82</v>
      </c>
      <c r="D42" s="20" t="e">
        <f t="shared" si="0"/>
        <v>#N/A</v>
      </c>
      <c r="E42" s="11"/>
      <c r="F42" s="88"/>
      <c r="G42" s="12"/>
      <c r="H42" s="12"/>
      <c r="I42" s="12"/>
      <c r="J42" s="10"/>
      <c r="K42" s="10"/>
    </row>
    <row r="43" spans="1:11" s="4" customFormat="1" ht="30" customHeight="1">
      <c r="A43" s="9"/>
      <c r="B43" s="13" t="e">
        <f>VLOOKUP(Table24[[#This Row],[Location 
(drop-down)]],'List source'!D$2:E$71,2,FALSE)</f>
        <v>#N/A</v>
      </c>
      <c r="C43" s="17" t="s">
        <v>83</v>
      </c>
      <c r="D43" s="20" t="e">
        <f t="shared" si="0"/>
        <v>#N/A</v>
      </c>
      <c r="E43" s="11"/>
      <c r="F43" s="88"/>
      <c r="G43" s="12"/>
      <c r="H43" s="12"/>
      <c r="I43" s="12"/>
      <c r="J43" s="10"/>
      <c r="K43" s="10"/>
    </row>
    <row r="44" spans="1:11" s="4" customFormat="1" ht="30" customHeight="1">
      <c r="A44" s="9"/>
      <c r="B44" s="13" t="e">
        <f>VLOOKUP(Table24[[#This Row],[Location 
(drop-down)]],'List source'!D$2:E$71,2,FALSE)</f>
        <v>#N/A</v>
      </c>
      <c r="C44" s="17" t="s">
        <v>84</v>
      </c>
      <c r="D44" s="20" t="e">
        <f t="shared" si="0"/>
        <v>#N/A</v>
      </c>
      <c r="E44" s="11"/>
      <c r="F44" s="88"/>
      <c r="G44" s="12"/>
      <c r="H44" s="12"/>
      <c r="I44" s="12"/>
      <c r="J44" s="10"/>
      <c r="K44" s="10"/>
    </row>
    <row r="45" spans="1:11" s="4" customFormat="1" ht="30" customHeight="1">
      <c r="A45" s="9"/>
      <c r="B45" s="13" t="e">
        <f>VLOOKUP(Table24[[#This Row],[Location 
(drop-down)]],'List source'!D$2:E$71,2,FALSE)</f>
        <v>#N/A</v>
      </c>
      <c r="C45" s="17" t="s">
        <v>85</v>
      </c>
      <c r="D45" s="20" t="e">
        <f t="shared" si="0"/>
        <v>#N/A</v>
      </c>
      <c r="E45" s="11"/>
      <c r="F45" s="88"/>
      <c r="G45" s="12"/>
      <c r="H45" s="12"/>
      <c r="I45" s="12"/>
      <c r="J45" s="10"/>
      <c r="K45" s="10"/>
    </row>
    <row r="46" spans="1:11" s="4" customFormat="1" ht="30" customHeight="1">
      <c r="A46" s="9"/>
      <c r="B46" s="13" t="e">
        <f>VLOOKUP(Table24[[#This Row],[Location 
(drop-down)]],'List source'!D$2:E$71,2,FALSE)</f>
        <v>#N/A</v>
      </c>
      <c r="C46" s="17" t="s">
        <v>86</v>
      </c>
      <c r="D46" s="20" t="e">
        <f t="shared" si="0"/>
        <v>#N/A</v>
      </c>
      <c r="E46" s="11"/>
      <c r="F46" s="88"/>
      <c r="G46" s="12"/>
      <c r="H46" s="12"/>
      <c r="I46" s="12"/>
      <c r="J46" s="10"/>
      <c r="K46" s="10"/>
    </row>
    <row r="47" spans="1:11" s="4" customFormat="1" ht="30" customHeight="1">
      <c r="A47" s="9"/>
      <c r="B47" s="13" t="e">
        <f>VLOOKUP(Table24[[#This Row],[Location 
(drop-down)]],'List source'!D$2:E$71,2,FALSE)</f>
        <v>#N/A</v>
      </c>
      <c r="C47" s="17" t="s">
        <v>87</v>
      </c>
      <c r="D47" s="20" t="e">
        <f t="shared" si="0"/>
        <v>#N/A</v>
      </c>
      <c r="E47" s="11"/>
      <c r="F47" s="88"/>
      <c r="G47" s="12"/>
      <c r="H47" s="12"/>
      <c r="I47" s="12"/>
      <c r="J47" s="10"/>
      <c r="K47" s="10"/>
    </row>
    <row r="48" spans="1:11" s="4" customFormat="1" ht="30" customHeight="1">
      <c r="A48" s="9"/>
      <c r="B48" s="13" t="e">
        <f>VLOOKUP(Table24[[#This Row],[Location 
(drop-down)]],'List source'!D$2:E$71,2,FALSE)</f>
        <v>#N/A</v>
      </c>
      <c r="C48" s="17" t="s">
        <v>88</v>
      </c>
      <c r="D48" s="20" t="e">
        <f t="shared" si="0"/>
        <v>#N/A</v>
      </c>
      <c r="E48" s="11"/>
      <c r="F48" s="88"/>
      <c r="G48" s="12"/>
      <c r="H48" s="12"/>
      <c r="I48" s="12"/>
      <c r="J48" s="10"/>
      <c r="K48" s="10"/>
    </row>
    <row r="49" spans="1:11" s="4" customFormat="1" ht="30" customHeight="1">
      <c r="A49" s="9"/>
      <c r="B49" s="13" t="e">
        <f>VLOOKUP(Table24[[#This Row],[Location 
(drop-down)]],'List source'!D$2:E$71,2,FALSE)</f>
        <v>#N/A</v>
      </c>
      <c r="C49" s="17" t="s">
        <v>89</v>
      </c>
      <c r="D49" s="20" t="e">
        <f t="shared" si="0"/>
        <v>#N/A</v>
      </c>
      <c r="E49" s="11"/>
      <c r="F49" s="88"/>
      <c r="G49" s="12"/>
      <c r="H49" s="12"/>
      <c r="I49" s="12"/>
      <c r="J49" s="10"/>
      <c r="K49" s="10"/>
    </row>
    <row r="50" spans="1:11" s="4" customFormat="1" ht="30" customHeight="1">
      <c r="A50" s="9"/>
      <c r="B50" s="13" t="e">
        <f>VLOOKUP(Table24[[#This Row],[Location 
(drop-down)]],'List source'!D$2:E$71,2,FALSE)</f>
        <v>#N/A</v>
      </c>
      <c r="C50" s="17" t="s">
        <v>90</v>
      </c>
      <c r="D50" s="20" t="e">
        <f t="shared" si="0"/>
        <v>#N/A</v>
      </c>
      <c r="E50" s="11"/>
      <c r="F50" s="88"/>
      <c r="G50" s="12"/>
      <c r="H50" s="12"/>
      <c r="I50" s="12"/>
      <c r="J50" s="10"/>
      <c r="K50" s="10"/>
    </row>
    <row r="51" spans="1:11" s="4" customFormat="1" ht="30" customHeight="1">
      <c r="A51" s="9"/>
      <c r="B51" s="13" t="e">
        <f>VLOOKUP(Table24[[#This Row],[Location 
(drop-down)]],'List source'!D$2:E$71,2,FALSE)</f>
        <v>#N/A</v>
      </c>
      <c r="C51" s="17" t="s">
        <v>91</v>
      </c>
      <c r="D51" s="20" t="e">
        <f t="shared" si="0"/>
        <v>#N/A</v>
      </c>
      <c r="E51" s="11"/>
      <c r="F51" s="88"/>
      <c r="G51" s="12"/>
      <c r="H51" s="12"/>
      <c r="I51" s="12"/>
      <c r="J51" s="10"/>
      <c r="K51" s="10"/>
    </row>
    <row r="52" spans="1:11" s="4" customFormat="1" ht="30" customHeight="1">
      <c r="A52" s="9"/>
      <c r="B52" s="13" t="e">
        <f>VLOOKUP(Table24[[#This Row],[Location 
(drop-down)]],'List source'!D$2:E$71,2,FALSE)</f>
        <v>#N/A</v>
      </c>
      <c r="C52" s="17" t="s">
        <v>92</v>
      </c>
      <c r="D52" s="20" t="e">
        <f t="shared" si="0"/>
        <v>#N/A</v>
      </c>
      <c r="E52" s="11"/>
      <c r="F52" s="88"/>
      <c r="G52" s="12"/>
      <c r="H52" s="12"/>
      <c r="I52" s="12"/>
      <c r="J52" s="10"/>
      <c r="K52" s="10"/>
    </row>
    <row r="53" spans="1:11" s="4" customFormat="1" ht="30" customHeight="1">
      <c r="A53" s="9"/>
      <c r="B53" s="13" t="e">
        <f>VLOOKUP(Table24[[#This Row],[Location 
(drop-down)]],'List source'!D$2:E$71,2,FALSE)</f>
        <v>#N/A</v>
      </c>
      <c r="C53" s="17" t="s">
        <v>93</v>
      </c>
      <c r="D53" s="20" t="e">
        <f t="shared" si="0"/>
        <v>#N/A</v>
      </c>
      <c r="E53" s="11"/>
      <c r="F53" s="88"/>
      <c r="G53" s="12"/>
      <c r="H53" s="12"/>
      <c r="I53" s="12"/>
      <c r="J53" s="10"/>
      <c r="K53" s="10"/>
    </row>
    <row r="54" spans="1:11" s="4" customFormat="1" ht="30" customHeight="1">
      <c r="A54" s="9"/>
      <c r="B54" s="13" t="e">
        <f>VLOOKUP(Table24[[#This Row],[Location 
(drop-down)]],'List source'!D$2:E$71,2,FALSE)</f>
        <v>#N/A</v>
      </c>
      <c r="C54" s="17" t="s">
        <v>94</v>
      </c>
      <c r="D54" s="20" t="e">
        <f t="shared" si="0"/>
        <v>#N/A</v>
      </c>
      <c r="E54" s="11"/>
      <c r="F54" s="234"/>
      <c r="G54" s="12"/>
      <c r="H54" s="12"/>
      <c r="I54" s="12"/>
      <c r="J54" s="10"/>
      <c r="K54" s="10"/>
    </row>
    <row r="55" spans="1:11" s="4" customFormat="1" ht="30" customHeight="1">
      <c r="A55" s="9"/>
      <c r="B55" s="13" t="e">
        <f>VLOOKUP(Table24[[#This Row],[Location 
(drop-down)]],'List source'!D$2:E$71,2,FALSE)</f>
        <v>#N/A</v>
      </c>
      <c r="C55" s="17" t="s">
        <v>95</v>
      </c>
      <c r="D55" s="20" t="e">
        <f t="shared" si="0"/>
        <v>#N/A</v>
      </c>
      <c r="E55" s="11"/>
      <c r="F55" s="88"/>
      <c r="G55" s="12"/>
      <c r="H55" s="12"/>
      <c r="I55" s="12"/>
      <c r="J55" s="10"/>
      <c r="K55" s="10"/>
    </row>
    <row r="56" spans="1:11" s="4" customFormat="1" ht="30" customHeight="1">
      <c r="A56" s="9"/>
      <c r="B56" s="13" t="e">
        <f>VLOOKUP(Table24[[#This Row],[Location 
(drop-down)]],'List source'!D$2:E$71,2,FALSE)</f>
        <v>#N/A</v>
      </c>
      <c r="C56" s="17" t="s">
        <v>96</v>
      </c>
      <c r="D56" s="20" t="e">
        <f t="shared" si="0"/>
        <v>#N/A</v>
      </c>
      <c r="E56" s="11"/>
      <c r="F56" s="88"/>
      <c r="G56" s="12"/>
      <c r="H56" s="12"/>
      <c r="I56" s="12"/>
      <c r="J56" s="10"/>
      <c r="K56" s="10"/>
    </row>
    <row r="57" spans="1:11" s="4" customFormat="1" ht="30" customHeight="1">
      <c r="A57" s="9"/>
      <c r="B57" s="13" t="e">
        <f>VLOOKUP(Table24[[#This Row],[Location 
(drop-down)]],'List source'!D$2:E$71,2,FALSE)</f>
        <v>#N/A</v>
      </c>
      <c r="C57" s="17" t="s">
        <v>97</v>
      </c>
      <c r="D57" s="20" t="e">
        <f t="shared" si="0"/>
        <v>#N/A</v>
      </c>
      <c r="E57" s="11"/>
      <c r="F57" s="88"/>
      <c r="G57" s="12"/>
      <c r="H57" s="12"/>
      <c r="I57" s="12"/>
      <c r="J57" s="10"/>
      <c r="K57" s="10"/>
    </row>
    <row r="58" spans="1:11" s="4" customFormat="1" ht="30" customHeight="1">
      <c r="A58" s="9"/>
      <c r="B58" s="13" t="e">
        <f>VLOOKUP(Table24[[#This Row],[Location 
(drop-down)]],'List source'!D$2:E$71,2,FALSE)</f>
        <v>#N/A</v>
      </c>
      <c r="C58" s="17" t="s">
        <v>98</v>
      </c>
      <c r="D58" s="20" t="e">
        <f t="shared" si="0"/>
        <v>#N/A</v>
      </c>
      <c r="E58" s="11"/>
      <c r="F58" s="88"/>
      <c r="G58" s="12"/>
      <c r="H58" s="12"/>
      <c r="I58" s="12"/>
      <c r="J58" s="10"/>
      <c r="K58" s="10"/>
    </row>
    <row r="59" spans="1:11" s="4" customFormat="1" ht="30" customHeight="1">
      <c r="A59" s="9"/>
      <c r="B59" s="13" t="e">
        <f>VLOOKUP(Table24[[#This Row],[Location 
(drop-down)]],'List source'!D$2:E$71,2,FALSE)</f>
        <v>#N/A</v>
      </c>
      <c r="C59" s="17" t="s">
        <v>99</v>
      </c>
      <c r="D59" s="20" t="e">
        <f t="shared" si="0"/>
        <v>#N/A</v>
      </c>
      <c r="E59" s="11"/>
      <c r="F59" s="88"/>
      <c r="G59" s="12"/>
      <c r="H59" s="12"/>
      <c r="I59" s="12"/>
      <c r="J59" s="10"/>
      <c r="K59" s="10"/>
    </row>
    <row r="60" spans="1:11" s="4" customFormat="1" ht="30" customHeight="1">
      <c r="A60" s="9"/>
      <c r="B60" s="13" t="e">
        <f>VLOOKUP(Table24[[#This Row],[Location 
(drop-down)]],'List source'!D$2:E$71,2,FALSE)</f>
        <v>#N/A</v>
      </c>
      <c r="C60" s="17" t="s">
        <v>100</v>
      </c>
      <c r="D60" s="20" t="e">
        <f t="shared" si="0"/>
        <v>#N/A</v>
      </c>
      <c r="E60" s="11"/>
      <c r="F60" s="88"/>
      <c r="G60" s="12"/>
      <c r="H60" s="12"/>
      <c r="I60" s="12"/>
      <c r="J60" s="10"/>
      <c r="K60" s="10"/>
    </row>
    <row r="61" spans="1:11" s="4" customFormat="1" ht="30" customHeight="1">
      <c r="A61" s="9"/>
      <c r="B61" s="13" t="e">
        <f>VLOOKUP(Table24[[#This Row],[Location 
(drop-down)]],'List source'!D$2:E$71,2,FALSE)</f>
        <v>#N/A</v>
      </c>
      <c r="C61" s="17" t="s">
        <v>101</v>
      </c>
      <c r="D61" s="20" t="e">
        <f t="shared" si="0"/>
        <v>#N/A</v>
      </c>
      <c r="E61" s="11"/>
      <c r="F61" s="88"/>
      <c r="G61" s="12"/>
      <c r="H61" s="12"/>
      <c r="I61" s="12"/>
      <c r="J61" s="10"/>
      <c r="K61" s="10"/>
    </row>
    <row r="62" spans="1:11" s="4" customFormat="1" ht="30" customHeight="1">
      <c r="A62" s="9"/>
      <c r="B62" s="13" t="e">
        <f>VLOOKUP(Table24[[#This Row],[Location 
(drop-down)]],'List source'!D$2:E$71,2,FALSE)</f>
        <v>#N/A</v>
      </c>
      <c r="C62" s="17" t="s">
        <v>102</v>
      </c>
      <c r="D62" s="20" t="e">
        <f t="shared" si="0"/>
        <v>#N/A</v>
      </c>
      <c r="E62" s="11"/>
      <c r="F62" s="88"/>
      <c r="G62" s="12"/>
      <c r="H62" s="12"/>
      <c r="I62" s="12"/>
      <c r="J62" s="10"/>
      <c r="K62" s="10"/>
    </row>
    <row r="63" spans="1:11" s="4" customFormat="1" ht="30" customHeight="1">
      <c r="A63" s="9"/>
      <c r="B63" s="13" t="e">
        <f>VLOOKUP(Table24[[#This Row],[Location 
(drop-down)]],'List source'!D$2:E$71,2,FALSE)</f>
        <v>#N/A</v>
      </c>
      <c r="C63" s="17" t="s">
        <v>103</v>
      </c>
      <c r="D63" s="20" t="e">
        <f t="shared" si="0"/>
        <v>#N/A</v>
      </c>
      <c r="E63" s="11"/>
      <c r="F63" s="88"/>
      <c r="G63" s="12"/>
      <c r="H63" s="12"/>
      <c r="I63" s="12"/>
      <c r="J63" s="10"/>
      <c r="K63" s="10"/>
    </row>
    <row r="64" spans="1:11" s="4" customFormat="1" ht="30" customHeight="1">
      <c r="A64" s="9"/>
      <c r="B64" s="13" t="e">
        <f>VLOOKUP(Table24[[#This Row],[Location 
(drop-down)]],'List source'!D$2:E$71,2,FALSE)</f>
        <v>#N/A</v>
      </c>
      <c r="C64" s="17" t="s">
        <v>104</v>
      </c>
      <c r="D64" s="20" t="e">
        <f t="shared" si="0"/>
        <v>#N/A</v>
      </c>
      <c r="E64" s="11"/>
      <c r="F64" s="88"/>
      <c r="G64" s="12"/>
      <c r="H64" s="12"/>
      <c r="I64" s="12"/>
      <c r="J64" s="10"/>
      <c r="K64" s="10"/>
    </row>
    <row r="65" spans="1:11" s="4" customFormat="1" ht="30" customHeight="1">
      <c r="A65" s="9"/>
      <c r="B65" s="13" t="e">
        <f>VLOOKUP(Table24[[#This Row],[Location 
(drop-down)]],'List source'!D$2:E$71,2,FALSE)</f>
        <v>#N/A</v>
      </c>
      <c r="C65" s="17" t="s">
        <v>105</v>
      </c>
      <c r="D65" s="20" t="e">
        <f t="shared" si="0"/>
        <v>#N/A</v>
      </c>
      <c r="E65" s="11"/>
      <c r="F65" s="88"/>
      <c r="G65" s="12"/>
      <c r="H65" s="12"/>
      <c r="I65" s="12"/>
      <c r="J65" s="10"/>
      <c r="K65" s="10"/>
    </row>
    <row r="66" spans="1:11" s="4" customFormat="1" ht="30" customHeight="1">
      <c r="A66" s="9"/>
      <c r="B66" s="13" t="e">
        <f>VLOOKUP(Table24[[#This Row],[Location 
(drop-down)]],'List source'!D$2:E$71,2,FALSE)</f>
        <v>#N/A</v>
      </c>
      <c r="C66" s="17" t="s">
        <v>106</v>
      </c>
      <c r="D66" s="20" t="e">
        <f t="shared" ref="D66:D129" si="1">"P" &amp; C66 &amp; "-" &amp; B66 &amp; "-" &amp; "26"</f>
        <v>#N/A</v>
      </c>
      <c r="E66" s="11"/>
      <c r="F66" s="88"/>
      <c r="G66" s="12"/>
      <c r="H66" s="12"/>
      <c r="I66" s="12"/>
      <c r="J66" s="10"/>
      <c r="K66" s="10"/>
    </row>
    <row r="67" spans="1:11" s="4" customFormat="1" ht="30" customHeight="1">
      <c r="A67" s="9"/>
      <c r="B67" s="13" t="e">
        <f>VLOOKUP(Table24[[#This Row],[Location 
(drop-down)]],'List source'!D$2:E$71,2,FALSE)</f>
        <v>#N/A</v>
      </c>
      <c r="C67" s="17" t="s">
        <v>107</v>
      </c>
      <c r="D67" s="20" t="e">
        <f t="shared" si="1"/>
        <v>#N/A</v>
      </c>
      <c r="E67" s="11"/>
      <c r="F67" s="88"/>
      <c r="G67" s="12"/>
      <c r="H67" s="12"/>
      <c r="I67" s="12"/>
      <c r="J67" s="10"/>
      <c r="K67" s="10"/>
    </row>
    <row r="68" spans="1:11" s="4" customFormat="1" ht="30" customHeight="1">
      <c r="A68" s="9"/>
      <c r="B68" s="13" t="e">
        <f>VLOOKUP(Table24[[#This Row],[Location 
(drop-down)]],'List source'!D$2:E$71,2,FALSE)</f>
        <v>#N/A</v>
      </c>
      <c r="C68" s="17" t="s">
        <v>108</v>
      </c>
      <c r="D68" s="20" t="e">
        <f t="shared" si="1"/>
        <v>#N/A</v>
      </c>
      <c r="E68" s="11"/>
      <c r="F68" s="88"/>
      <c r="G68" s="12"/>
      <c r="H68" s="12"/>
      <c r="I68" s="12"/>
      <c r="J68" s="10"/>
      <c r="K68" s="10"/>
    </row>
    <row r="69" spans="1:11" s="4" customFormat="1" ht="30" customHeight="1">
      <c r="A69" s="9"/>
      <c r="B69" s="13" t="e">
        <f>VLOOKUP(Table24[[#This Row],[Location 
(drop-down)]],'List source'!D$2:E$71,2,FALSE)</f>
        <v>#N/A</v>
      </c>
      <c r="C69" s="17" t="s">
        <v>109</v>
      </c>
      <c r="D69" s="20" t="e">
        <f t="shared" si="1"/>
        <v>#N/A</v>
      </c>
      <c r="E69" s="11"/>
      <c r="F69" s="88"/>
      <c r="G69" s="12"/>
      <c r="H69" s="12"/>
      <c r="I69" s="12"/>
      <c r="J69" s="10"/>
      <c r="K69" s="10"/>
    </row>
    <row r="70" spans="1:11" s="4" customFormat="1" ht="30" customHeight="1">
      <c r="A70" s="9"/>
      <c r="B70" s="13" t="e">
        <f>VLOOKUP(Table24[[#This Row],[Location 
(drop-down)]],'List source'!D$2:E$71,2,FALSE)</f>
        <v>#N/A</v>
      </c>
      <c r="C70" s="17" t="s">
        <v>110</v>
      </c>
      <c r="D70" s="20" t="e">
        <f t="shared" si="1"/>
        <v>#N/A</v>
      </c>
      <c r="E70" s="11"/>
      <c r="F70" s="88"/>
      <c r="G70" s="12"/>
      <c r="H70" s="12"/>
      <c r="I70" s="12"/>
      <c r="J70" s="10"/>
      <c r="K70" s="10"/>
    </row>
    <row r="71" spans="1:11" s="4" customFormat="1" ht="30" customHeight="1">
      <c r="A71" s="9"/>
      <c r="B71" s="13" t="e">
        <f>VLOOKUP(Table24[[#This Row],[Location 
(drop-down)]],'List source'!D$2:E$71,2,FALSE)</f>
        <v>#N/A</v>
      </c>
      <c r="C71" s="17" t="s">
        <v>111</v>
      </c>
      <c r="D71" s="20" t="e">
        <f t="shared" si="1"/>
        <v>#N/A</v>
      </c>
      <c r="E71" s="11"/>
      <c r="F71" s="88"/>
      <c r="G71" s="12"/>
      <c r="H71" s="12"/>
      <c r="I71" s="12"/>
      <c r="J71" s="10"/>
      <c r="K71" s="10"/>
    </row>
    <row r="72" spans="1:11" s="4" customFormat="1" ht="30" customHeight="1">
      <c r="A72" s="9"/>
      <c r="B72" s="13" t="e">
        <f>VLOOKUP(Table24[[#This Row],[Location 
(drop-down)]],'List source'!D$2:E$71,2,FALSE)</f>
        <v>#N/A</v>
      </c>
      <c r="C72" s="17" t="s">
        <v>112</v>
      </c>
      <c r="D72" s="20" t="e">
        <f t="shared" si="1"/>
        <v>#N/A</v>
      </c>
      <c r="E72" s="11"/>
      <c r="F72" s="88"/>
      <c r="G72" s="12"/>
      <c r="H72" s="12"/>
      <c r="I72" s="12"/>
      <c r="J72" s="10"/>
      <c r="K72" s="10"/>
    </row>
    <row r="73" spans="1:11" s="4" customFormat="1" ht="30" customHeight="1">
      <c r="A73" s="9"/>
      <c r="B73" s="13" t="e">
        <f>VLOOKUP(Table24[[#This Row],[Location 
(drop-down)]],'List source'!D$2:E$71,2,FALSE)</f>
        <v>#N/A</v>
      </c>
      <c r="C73" s="17" t="s">
        <v>113</v>
      </c>
      <c r="D73" s="20" t="e">
        <f t="shared" si="1"/>
        <v>#N/A</v>
      </c>
      <c r="E73" s="11"/>
      <c r="F73" s="88"/>
      <c r="G73" s="12"/>
      <c r="H73" s="12"/>
      <c r="I73" s="12"/>
      <c r="J73" s="10"/>
      <c r="K73" s="10"/>
    </row>
    <row r="74" spans="1:11" s="4" customFormat="1" ht="30" customHeight="1">
      <c r="A74" s="9"/>
      <c r="B74" s="13" t="e">
        <f>VLOOKUP(Table24[[#This Row],[Location 
(drop-down)]],'List source'!D$2:E$71,2,FALSE)</f>
        <v>#N/A</v>
      </c>
      <c r="C74" s="17" t="s">
        <v>114</v>
      </c>
      <c r="D74" s="20" t="e">
        <f t="shared" si="1"/>
        <v>#N/A</v>
      </c>
      <c r="E74" s="11"/>
      <c r="F74" s="88"/>
      <c r="G74" s="12"/>
      <c r="H74" s="12"/>
      <c r="I74" s="12"/>
      <c r="J74" s="10"/>
      <c r="K74" s="10"/>
    </row>
    <row r="75" spans="1:11" s="4" customFormat="1" ht="30" customHeight="1">
      <c r="A75" s="9"/>
      <c r="B75" s="13" t="e">
        <f>VLOOKUP(Table24[[#This Row],[Location 
(drop-down)]],'List source'!D$2:E$71,2,FALSE)</f>
        <v>#N/A</v>
      </c>
      <c r="C75" s="17" t="s">
        <v>115</v>
      </c>
      <c r="D75" s="20" t="e">
        <f t="shared" si="1"/>
        <v>#N/A</v>
      </c>
      <c r="E75" s="11"/>
      <c r="F75" s="88"/>
      <c r="G75" s="12"/>
      <c r="H75" s="12"/>
      <c r="I75" s="12"/>
      <c r="J75" s="10"/>
      <c r="K75" s="10"/>
    </row>
    <row r="76" spans="1:11" s="4" customFormat="1" ht="30" customHeight="1">
      <c r="A76" s="9"/>
      <c r="B76" s="13" t="e">
        <f>VLOOKUP(Table24[[#This Row],[Location 
(drop-down)]],'List source'!D$2:E$71,2,FALSE)</f>
        <v>#N/A</v>
      </c>
      <c r="C76" s="17" t="s">
        <v>116</v>
      </c>
      <c r="D76" s="20" t="e">
        <f t="shared" si="1"/>
        <v>#N/A</v>
      </c>
      <c r="E76" s="11"/>
      <c r="F76" s="88"/>
      <c r="G76" s="12"/>
      <c r="H76" s="12"/>
      <c r="I76" s="12"/>
      <c r="J76" s="10"/>
      <c r="K76" s="10"/>
    </row>
    <row r="77" spans="1:11" s="4" customFormat="1" ht="30" customHeight="1">
      <c r="A77" s="9"/>
      <c r="B77" s="13" t="e">
        <f>VLOOKUP(Table24[[#This Row],[Location 
(drop-down)]],'List source'!D$2:E$71,2,FALSE)</f>
        <v>#N/A</v>
      </c>
      <c r="C77" s="17" t="s">
        <v>117</v>
      </c>
      <c r="D77" s="20" t="e">
        <f t="shared" si="1"/>
        <v>#N/A</v>
      </c>
      <c r="E77" s="11"/>
      <c r="F77" s="88"/>
      <c r="G77" s="12"/>
      <c r="H77" s="12"/>
      <c r="I77" s="12"/>
      <c r="J77" s="10"/>
      <c r="K77" s="10"/>
    </row>
    <row r="78" spans="1:11" s="4" customFormat="1" ht="30" customHeight="1">
      <c r="A78" s="9"/>
      <c r="B78" s="13" t="e">
        <f>VLOOKUP(Table24[[#This Row],[Location 
(drop-down)]],'List source'!D$2:E$71,2,FALSE)</f>
        <v>#N/A</v>
      </c>
      <c r="C78" s="17" t="s">
        <v>118</v>
      </c>
      <c r="D78" s="20" t="e">
        <f t="shared" si="1"/>
        <v>#N/A</v>
      </c>
      <c r="E78" s="11"/>
      <c r="F78" s="88"/>
      <c r="G78" s="12"/>
      <c r="H78" s="12"/>
      <c r="I78" s="12"/>
      <c r="J78" s="10"/>
      <c r="K78" s="10"/>
    </row>
    <row r="79" spans="1:11" s="4" customFormat="1" ht="30" customHeight="1">
      <c r="A79" s="9"/>
      <c r="B79" s="13" t="e">
        <f>VLOOKUP(Table24[[#This Row],[Location 
(drop-down)]],'List source'!D$2:E$71,2,FALSE)</f>
        <v>#N/A</v>
      </c>
      <c r="C79" s="17" t="s">
        <v>119</v>
      </c>
      <c r="D79" s="20" t="e">
        <f t="shared" si="1"/>
        <v>#N/A</v>
      </c>
      <c r="E79" s="11"/>
      <c r="F79" s="88"/>
      <c r="G79" s="12"/>
      <c r="H79" s="12"/>
      <c r="I79" s="12"/>
      <c r="J79" s="10"/>
      <c r="K79" s="10"/>
    </row>
    <row r="80" spans="1:11" s="4" customFormat="1" ht="30" customHeight="1">
      <c r="A80" s="9"/>
      <c r="B80" s="13" t="e">
        <f>VLOOKUP(Table24[[#This Row],[Location 
(drop-down)]],'List source'!D$2:E$71,2,FALSE)</f>
        <v>#N/A</v>
      </c>
      <c r="C80" s="17" t="s">
        <v>120</v>
      </c>
      <c r="D80" s="20" t="e">
        <f t="shared" si="1"/>
        <v>#N/A</v>
      </c>
      <c r="E80" s="11"/>
      <c r="F80" s="88"/>
      <c r="G80" s="12"/>
      <c r="H80" s="12"/>
      <c r="I80" s="12"/>
      <c r="J80" s="10"/>
      <c r="K80" s="10"/>
    </row>
    <row r="81" spans="1:11" s="4" customFormat="1" ht="30" customHeight="1">
      <c r="A81" s="9"/>
      <c r="B81" s="13" t="e">
        <f>VLOOKUP(Table24[[#This Row],[Location 
(drop-down)]],'List source'!D$2:E$71,2,FALSE)</f>
        <v>#N/A</v>
      </c>
      <c r="C81" s="17" t="s">
        <v>121</v>
      </c>
      <c r="D81" s="41" t="e">
        <f t="shared" si="1"/>
        <v>#N/A</v>
      </c>
      <c r="E81" s="11"/>
      <c r="F81" s="88"/>
      <c r="G81" s="12"/>
      <c r="H81" s="12"/>
      <c r="I81" s="12"/>
      <c r="J81" s="10"/>
      <c r="K81" s="10"/>
    </row>
    <row r="82" spans="1:11" s="4" customFormat="1" ht="30" customHeight="1">
      <c r="A82" s="9"/>
      <c r="B82" s="13" t="e">
        <f>VLOOKUP(Table24[[#This Row],[Location 
(drop-down)]],'List source'!D$2:E$71,2,FALSE)</f>
        <v>#N/A</v>
      </c>
      <c r="C82" s="17" t="s">
        <v>122</v>
      </c>
      <c r="D82" s="20" t="e">
        <f t="shared" si="1"/>
        <v>#N/A</v>
      </c>
      <c r="E82" s="11"/>
      <c r="F82" s="88"/>
      <c r="G82" s="12"/>
      <c r="H82" s="12"/>
      <c r="I82" s="12"/>
      <c r="J82" s="10"/>
      <c r="K82" s="10"/>
    </row>
    <row r="83" spans="1:11" s="4" customFormat="1" ht="30" customHeight="1">
      <c r="A83" s="9"/>
      <c r="B83" s="13" t="e">
        <f>VLOOKUP(Table24[[#This Row],[Location 
(drop-down)]],'List source'!D$2:E$71,2,FALSE)</f>
        <v>#N/A</v>
      </c>
      <c r="C83" s="17" t="s">
        <v>123</v>
      </c>
      <c r="D83" s="20" t="e">
        <f t="shared" si="1"/>
        <v>#N/A</v>
      </c>
      <c r="E83" s="11"/>
      <c r="F83" s="89"/>
      <c r="G83" s="12"/>
      <c r="H83" s="12"/>
      <c r="I83" s="12"/>
      <c r="J83" s="10"/>
      <c r="K83" s="10"/>
    </row>
    <row r="84" spans="1:11" s="4" customFormat="1" ht="30" customHeight="1">
      <c r="A84" s="9"/>
      <c r="B84" s="13" t="e">
        <f>VLOOKUP(Table24[[#This Row],[Location 
(drop-down)]],'List source'!D$2:E$71,2,FALSE)</f>
        <v>#N/A</v>
      </c>
      <c r="C84" s="17" t="s">
        <v>124</v>
      </c>
      <c r="D84" s="20" t="e">
        <f t="shared" si="1"/>
        <v>#N/A</v>
      </c>
      <c r="E84" s="11"/>
      <c r="F84" s="88"/>
      <c r="G84" s="12"/>
      <c r="H84" s="12"/>
      <c r="I84" s="12"/>
      <c r="J84" s="10"/>
      <c r="K84" s="10"/>
    </row>
    <row r="85" spans="1:11" s="4" customFormat="1" ht="30" customHeight="1">
      <c r="A85" s="9"/>
      <c r="B85" s="13" t="e">
        <f>VLOOKUP(Table24[[#This Row],[Location 
(drop-down)]],'List source'!D$2:E$71,2,FALSE)</f>
        <v>#N/A</v>
      </c>
      <c r="C85" s="17" t="s">
        <v>125</v>
      </c>
      <c r="D85" s="20" t="e">
        <f t="shared" si="1"/>
        <v>#N/A</v>
      </c>
      <c r="E85" s="11"/>
      <c r="F85" s="88"/>
      <c r="G85" s="12"/>
      <c r="H85" s="12"/>
      <c r="I85" s="12"/>
      <c r="J85" s="10"/>
      <c r="K85" s="10"/>
    </row>
    <row r="86" spans="1:11" s="4" customFormat="1" ht="30" customHeight="1">
      <c r="A86" s="9"/>
      <c r="B86" s="13" t="e">
        <f>VLOOKUP(Table24[[#This Row],[Location 
(drop-down)]],'List source'!D$2:E$71,2,FALSE)</f>
        <v>#N/A</v>
      </c>
      <c r="C86" s="17" t="s">
        <v>126</v>
      </c>
      <c r="D86" s="20" t="e">
        <f t="shared" si="1"/>
        <v>#N/A</v>
      </c>
      <c r="E86" s="11"/>
      <c r="F86" s="88"/>
      <c r="G86" s="12"/>
      <c r="H86" s="12"/>
      <c r="I86" s="12"/>
      <c r="J86" s="10"/>
      <c r="K86" s="10"/>
    </row>
    <row r="87" spans="1:11" s="4" customFormat="1" ht="30" customHeight="1">
      <c r="A87" s="9"/>
      <c r="B87" s="13" t="e">
        <f>VLOOKUP(Table24[[#This Row],[Location 
(drop-down)]],'List source'!D$2:E$71,2,FALSE)</f>
        <v>#N/A</v>
      </c>
      <c r="C87" s="17" t="s">
        <v>127</v>
      </c>
      <c r="D87" s="20" t="e">
        <f t="shared" si="1"/>
        <v>#N/A</v>
      </c>
      <c r="E87" s="11"/>
      <c r="F87" s="88"/>
      <c r="G87" s="12"/>
      <c r="H87" s="12"/>
      <c r="I87" s="12"/>
      <c r="J87" s="10"/>
      <c r="K87" s="10"/>
    </row>
    <row r="88" spans="1:11" s="4" customFormat="1" ht="30" customHeight="1">
      <c r="A88" s="9"/>
      <c r="B88" s="13" t="e">
        <f>VLOOKUP(Table24[[#This Row],[Location 
(drop-down)]],'List source'!D$2:E$71,2,FALSE)</f>
        <v>#N/A</v>
      </c>
      <c r="C88" s="17" t="s">
        <v>128</v>
      </c>
      <c r="D88" s="20" t="e">
        <f t="shared" si="1"/>
        <v>#N/A</v>
      </c>
      <c r="E88" s="11"/>
      <c r="F88" s="88"/>
      <c r="G88" s="12"/>
      <c r="H88" s="12"/>
      <c r="I88" s="12"/>
      <c r="J88" s="10"/>
      <c r="K88" s="10"/>
    </row>
    <row r="89" spans="1:11" s="4" customFormat="1" ht="30" customHeight="1">
      <c r="A89" s="9"/>
      <c r="B89" s="13" t="e">
        <f>VLOOKUP(Table24[[#This Row],[Location 
(drop-down)]],'List source'!D$2:E$71,2,FALSE)</f>
        <v>#N/A</v>
      </c>
      <c r="C89" s="17" t="s">
        <v>129</v>
      </c>
      <c r="D89" s="20" t="e">
        <f t="shared" si="1"/>
        <v>#N/A</v>
      </c>
      <c r="E89" s="11"/>
      <c r="F89" s="88"/>
      <c r="G89" s="12"/>
      <c r="H89" s="12"/>
      <c r="I89" s="12"/>
      <c r="J89" s="10"/>
      <c r="K89" s="10"/>
    </row>
    <row r="90" spans="1:11" s="4" customFormat="1" ht="30" customHeight="1">
      <c r="A90" s="9"/>
      <c r="B90" s="13" t="e">
        <f>VLOOKUP(Table24[[#This Row],[Location 
(drop-down)]],'List source'!D$2:E$71,2,FALSE)</f>
        <v>#N/A</v>
      </c>
      <c r="C90" s="17" t="s">
        <v>130</v>
      </c>
      <c r="D90" s="41" t="e">
        <f t="shared" si="1"/>
        <v>#N/A</v>
      </c>
      <c r="E90" s="11"/>
      <c r="F90" s="88"/>
      <c r="G90" s="12"/>
      <c r="H90" s="12"/>
      <c r="I90" s="12"/>
      <c r="J90" s="10"/>
      <c r="K90" s="10"/>
    </row>
    <row r="91" spans="1:11" s="4" customFormat="1" ht="30" customHeight="1">
      <c r="A91" s="9"/>
      <c r="B91" s="13" t="e">
        <f>VLOOKUP(Table24[[#This Row],[Location 
(drop-down)]],'List source'!D$2:E$71,2,FALSE)</f>
        <v>#N/A</v>
      </c>
      <c r="C91" s="17" t="s">
        <v>131</v>
      </c>
      <c r="D91" s="20" t="e">
        <f t="shared" si="1"/>
        <v>#N/A</v>
      </c>
      <c r="E91" s="11"/>
      <c r="F91" s="88"/>
      <c r="G91" s="12"/>
      <c r="H91" s="12"/>
      <c r="I91" s="12"/>
      <c r="J91" s="10"/>
      <c r="K91" s="10"/>
    </row>
    <row r="92" spans="1:11" s="4" customFormat="1" ht="30" customHeight="1">
      <c r="A92" s="9"/>
      <c r="B92" s="13" t="e">
        <f>VLOOKUP(Table24[[#This Row],[Location 
(drop-down)]],'List source'!D$2:E$71,2,FALSE)</f>
        <v>#N/A</v>
      </c>
      <c r="C92" s="17" t="s">
        <v>132</v>
      </c>
      <c r="D92" s="20" t="e">
        <f t="shared" si="1"/>
        <v>#N/A</v>
      </c>
      <c r="E92" s="11"/>
      <c r="F92" s="88"/>
      <c r="G92" s="12"/>
      <c r="H92" s="12"/>
      <c r="I92" s="12"/>
      <c r="J92" s="10"/>
      <c r="K92" s="10"/>
    </row>
    <row r="93" spans="1:11" s="4" customFormat="1" ht="30" customHeight="1">
      <c r="A93" s="9"/>
      <c r="B93" s="13" t="e">
        <f>VLOOKUP(Table24[[#This Row],[Location 
(drop-down)]],'List source'!D$2:E$71,2,FALSE)</f>
        <v>#N/A</v>
      </c>
      <c r="C93" s="17" t="s">
        <v>133</v>
      </c>
      <c r="D93" s="20" t="e">
        <f t="shared" si="1"/>
        <v>#N/A</v>
      </c>
      <c r="E93" s="11"/>
      <c r="F93" s="88"/>
      <c r="G93" s="12"/>
      <c r="H93" s="12"/>
      <c r="I93" s="12"/>
      <c r="J93" s="10"/>
      <c r="K93" s="10"/>
    </row>
    <row r="94" spans="1:11" s="4" customFormat="1" ht="30" customHeight="1">
      <c r="A94" s="9"/>
      <c r="B94" s="13" t="e">
        <f>VLOOKUP(Table24[[#This Row],[Location 
(drop-down)]],'List source'!D$2:E$71,2,FALSE)</f>
        <v>#N/A</v>
      </c>
      <c r="C94" s="17" t="s">
        <v>134</v>
      </c>
      <c r="D94" s="20" t="e">
        <f t="shared" si="1"/>
        <v>#N/A</v>
      </c>
      <c r="E94" s="11"/>
      <c r="F94" s="88"/>
      <c r="G94" s="12"/>
      <c r="H94" s="12"/>
      <c r="I94" s="12"/>
      <c r="J94" s="10"/>
      <c r="K94" s="10"/>
    </row>
    <row r="95" spans="1:11" s="4" customFormat="1" ht="30" customHeight="1">
      <c r="A95" s="9"/>
      <c r="B95" s="13" t="e">
        <f>VLOOKUP(Table24[[#This Row],[Location 
(drop-down)]],'List source'!D$2:E$71,2,FALSE)</f>
        <v>#N/A</v>
      </c>
      <c r="C95" s="17" t="s">
        <v>135</v>
      </c>
      <c r="D95" s="20" t="e">
        <f t="shared" si="1"/>
        <v>#N/A</v>
      </c>
      <c r="E95" s="11"/>
      <c r="F95" s="88"/>
      <c r="G95" s="12"/>
      <c r="H95" s="12"/>
      <c r="I95" s="12"/>
      <c r="J95" s="10"/>
      <c r="K95" s="10"/>
    </row>
    <row r="96" spans="1:11" s="4" customFormat="1" ht="30" customHeight="1">
      <c r="A96" s="9"/>
      <c r="B96" s="13" t="e">
        <f>VLOOKUP(Table24[[#This Row],[Location 
(drop-down)]],'List source'!D$2:E$71,2,FALSE)</f>
        <v>#N/A</v>
      </c>
      <c r="C96" s="17" t="s">
        <v>136</v>
      </c>
      <c r="D96" s="20" t="e">
        <f t="shared" si="1"/>
        <v>#N/A</v>
      </c>
      <c r="E96" s="11"/>
      <c r="F96" s="88"/>
      <c r="G96" s="12"/>
      <c r="H96" s="12"/>
      <c r="I96" s="12"/>
      <c r="J96" s="10"/>
      <c r="K96" s="10"/>
    </row>
    <row r="97" spans="1:11" s="4" customFormat="1" ht="30" customHeight="1">
      <c r="A97" s="9"/>
      <c r="B97" s="13" t="e">
        <f>VLOOKUP(Table24[[#This Row],[Location 
(drop-down)]],'List source'!D$2:E$71,2,FALSE)</f>
        <v>#N/A</v>
      </c>
      <c r="C97" s="17" t="s">
        <v>137</v>
      </c>
      <c r="D97" s="20" t="e">
        <f t="shared" si="1"/>
        <v>#N/A</v>
      </c>
      <c r="E97" s="11"/>
      <c r="F97" s="88"/>
      <c r="G97" s="12"/>
      <c r="H97" s="12"/>
      <c r="I97" s="12"/>
      <c r="J97" s="10"/>
      <c r="K97" s="10"/>
    </row>
    <row r="98" spans="1:11" s="4" customFormat="1" ht="30" customHeight="1">
      <c r="A98" s="9"/>
      <c r="B98" s="13" t="e">
        <f>VLOOKUP(Table24[[#This Row],[Location 
(drop-down)]],'List source'!D$2:E$71,2,FALSE)</f>
        <v>#N/A</v>
      </c>
      <c r="C98" s="17" t="s">
        <v>138</v>
      </c>
      <c r="D98" s="20" t="e">
        <f t="shared" si="1"/>
        <v>#N/A</v>
      </c>
      <c r="E98" s="11"/>
      <c r="F98" s="88"/>
      <c r="G98" s="12"/>
      <c r="H98" s="12"/>
      <c r="I98" s="12"/>
      <c r="J98" s="10"/>
      <c r="K98" s="10"/>
    </row>
    <row r="99" spans="1:11" s="4" customFormat="1" ht="30" customHeight="1">
      <c r="A99" s="9"/>
      <c r="B99" s="13" t="e">
        <f>VLOOKUP(Table24[[#This Row],[Location 
(drop-down)]],'List source'!D$2:E$71,2,FALSE)</f>
        <v>#N/A</v>
      </c>
      <c r="C99" s="17" t="s">
        <v>139</v>
      </c>
      <c r="D99" s="20" t="e">
        <f t="shared" si="1"/>
        <v>#N/A</v>
      </c>
      <c r="E99" s="11"/>
      <c r="F99" s="88"/>
      <c r="G99" s="12"/>
      <c r="H99" s="12"/>
      <c r="I99" s="12"/>
      <c r="J99" s="10"/>
      <c r="K99" s="10"/>
    </row>
    <row r="100" spans="1:11" s="4" customFormat="1" ht="30" customHeight="1">
      <c r="A100" s="9"/>
      <c r="B100" s="13" t="e">
        <f>VLOOKUP(Table24[[#This Row],[Location 
(drop-down)]],'List source'!D$2:E$71,2,FALSE)</f>
        <v>#N/A</v>
      </c>
      <c r="C100" s="17" t="s">
        <v>140</v>
      </c>
      <c r="D100" s="20" t="e">
        <f t="shared" si="1"/>
        <v>#N/A</v>
      </c>
      <c r="E100" s="11"/>
      <c r="F100" s="88"/>
      <c r="G100" s="12"/>
      <c r="H100" s="12"/>
      <c r="I100" s="12"/>
      <c r="J100" s="10"/>
      <c r="K100" s="10"/>
    </row>
    <row r="101" spans="1:11" s="4" customFormat="1" ht="30" customHeight="1">
      <c r="A101" s="9"/>
      <c r="B101" s="13" t="e">
        <f>VLOOKUP(Table24[[#This Row],[Location 
(drop-down)]],'List source'!D$2:E$71,2,FALSE)</f>
        <v>#N/A</v>
      </c>
      <c r="C101" s="17" t="s">
        <v>141</v>
      </c>
      <c r="D101" s="20" t="e">
        <f t="shared" si="1"/>
        <v>#N/A</v>
      </c>
      <c r="E101" s="11"/>
      <c r="F101" s="88"/>
      <c r="G101" s="12"/>
      <c r="H101" s="12"/>
      <c r="I101" s="12"/>
      <c r="J101" s="10"/>
      <c r="K101" s="10"/>
    </row>
    <row r="102" spans="1:11" s="4" customFormat="1" ht="30" customHeight="1">
      <c r="A102" s="9"/>
      <c r="B102" s="13" t="e">
        <f>VLOOKUP(Table24[[#This Row],[Location 
(drop-down)]],'List source'!D$2:E$71,2,FALSE)</f>
        <v>#N/A</v>
      </c>
      <c r="C102" s="17" t="s">
        <v>142</v>
      </c>
      <c r="D102" s="20" t="e">
        <f t="shared" si="1"/>
        <v>#N/A</v>
      </c>
      <c r="E102" s="11"/>
      <c r="F102" s="88"/>
      <c r="G102" s="12"/>
      <c r="H102" s="12"/>
      <c r="I102" s="12"/>
      <c r="J102" s="10"/>
      <c r="K102" s="10"/>
    </row>
    <row r="103" spans="1:11" s="4" customFormat="1" ht="30" customHeight="1">
      <c r="A103" s="9"/>
      <c r="B103" s="13" t="e">
        <f>VLOOKUP(Table24[[#This Row],[Location 
(drop-down)]],'List source'!D$2:E$71,2,FALSE)</f>
        <v>#N/A</v>
      </c>
      <c r="C103" s="17" t="s">
        <v>143</v>
      </c>
      <c r="D103" s="20" t="e">
        <f t="shared" si="1"/>
        <v>#N/A</v>
      </c>
      <c r="E103" s="11"/>
      <c r="F103" s="88"/>
      <c r="G103" s="12"/>
      <c r="H103" s="12"/>
      <c r="I103" s="12"/>
      <c r="J103" s="10"/>
      <c r="K103" s="10"/>
    </row>
    <row r="104" spans="1:11" s="4" customFormat="1" ht="30" customHeight="1">
      <c r="A104" s="9"/>
      <c r="B104" s="13" t="e">
        <f>VLOOKUP(Table24[[#This Row],[Location 
(drop-down)]],'List source'!D$2:E$71,2,FALSE)</f>
        <v>#N/A</v>
      </c>
      <c r="C104" s="17" t="s">
        <v>144</v>
      </c>
      <c r="D104" s="20" t="e">
        <f t="shared" si="1"/>
        <v>#N/A</v>
      </c>
      <c r="E104" s="11"/>
      <c r="F104" s="88"/>
      <c r="G104" s="12"/>
      <c r="H104" s="12"/>
      <c r="I104" s="12"/>
      <c r="J104" s="10"/>
      <c r="K104" s="10"/>
    </row>
    <row r="105" spans="1:11" s="4" customFormat="1" ht="30" customHeight="1">
      <c r="A105" s="9"/>
      <c r="B105" s="13" t="e">
        <f>VLOOKUP(Table24[[#This Row],[Location 
(drop-down)]],'List source'!D$2:E$71,2,FALSE)</f>
        <v>#N/A</v>
      </c>
      <c r="C105" s="17" t="s">
        <v>145</v>
      </c>
      <c r="D105" s="20" t="e">
        <f t="shared" si="1"/>
        <v>#N/A</v>
      </c>
      <c r="E105" s="11"/>
      <c r="F105" s="88"/>
      <c r="G105" s="12"/>
      <c r="H105" s="12"/>
      <c r="I105" s="12"/>
      <c r="J105" s="10"/>
      <c r="K105" s="10"/>
    </row>
    <row r="106" spans="1:11" s="4" customFormat="1" ht="30" customHeight="1">
      <c r="A106" s="9"/>
      <c r="B106" s="13" t="e">
        <f>VLOOKUP(Table24[[#This Row],[Location 
(drop-down)]],'List source'!D$2:E$71,2,FALSE)</f>
        <v>#N/A</v>
      </c>
      <c r="C106" s="17" t="s">
        <v>146</v>
      </c>
      <c r="D106" s="20" t="e">
        <f t="shared" si="1"/>
        <v>#N/A</v>
      </c>
      <c r="E106" s="11"/>
      <c r="F106" s="88"/>
      <c r="G106" s="12"/>
      <c r="H106" s="12"/>
      <c r="I106" s="12"/>
      <c r="J106" s="10"/>
      <c r="K106" s="10"/>
    </row>
    <row r="107" spans="1:11" s="4" customFormat="1" ht="30" customHeight="1">
      <c r="A107" s="9"/>
      <c r="B107" s="13" t="e">
        <f>VLOOKUP(Table24[[#This Row],[Location 
(drop-down)]],'List source'!D$2:E$71,2,FALSE)</f>
        <v>#N/A</v>
      </c>
      <c r="C107" s="17" t="s">
        <v>147</v>
      </c>
      <c r="D107" s="20" t="e">
        <f t="shared" si="1"/>
        <v>#N/A</v>
      </c>
      <c r="E107" s="11"/>
      <c r="F107" s="88"/>
      <c r="G107" s="12"/>
      <c r="H107" s="12"/>
      <c r="I107" s="12"/>
      <c r="J107" s="10"/>
      <c r="K107" s="10"/>
    </row>
    <row r="108" spans="1:11" s="4" customFormat="1" ht="30" customHeight="1">
      <c r="A108" s="9"/>
      <c r="B108" s="13" t="e">
        <f>VLOOKUP(Table24[[#This Row],[Location 
(drop-down)]],'List source'!D$2:E$71,2,FALSE)</f>
        <v>#N/A</v>
      </c>
      <c r="C108" s="17" t="s">
        <v>148</v>
      </c>
      <c r="D108" s="20" t="e">
        <f t="shared" si="1"/>
        <v>#N/A</v>
      </c>
      <c r="E108" s="11"/>
      <c r="F108" s="89"/>
      <c r="G108" s="12"/>
      <c r="H108" s="12"/>
      <c r="I108" s="12"/>
      <c r="J108" s="10"/>
      <c r="K108" s="10"/>
    </row>
    <row r="109" spans="1:11" s="4" customFormat="1" ht="30" customHeight="1">
      <c r="A109" s="9"/>
      <c r="B109" s="13" t="e">
        <f>VLOOKUP(Table24[[#This Row],[Location 
(drop-down)]],'List source'!D$2:E$71,2,FALSE)</f>
        <v>#N/A</v>
      </c>
      <c r="C109" s="17" t="s">
        <v>149</v>
      </c>
      <c r="D109" s="20" t="e">
        <f t="shared" si="1"/>
        <v>#N/A</v>
      </c>
      <c r="E109" s="11"/>
      <c r="F109" s="88"/>
      <c r="G109" s="12"/>
      <c r="H109" s="12"/>
      <c r="I109" s="12"/>
      <c r="J109" s="10"/>
      <c r="K109" s="10"/>
    </row>
    <row r="110" spans="1:11" s="4" customFormat="1" ht="30" customHeight="1">
      <c r="A110" s="9"/>
      <c r="B110" s="13" t="e">
        <f>VLOOKUP(Table24[[#This Row],[Location 
(drop-down)]],'List source'!D$2:E$71,2,FALSE)</f>
        <v>#N/A</v>
      </c>
      <c r="C110" s="17" t="s">
        <v>150</v>
      </c>
      <c r="D110" s="20" t="e">
        <f t="shared" si="1"/>
        <v>#N/A</v>
      </c>
      <c r="E110" s="11"/>
      <c r="F110" s="88"/>
      <c r="G110" s="12"/>
      <c r="H110" s="12"/>
      <c r="I110" s="12"/>
      <c r="J110" s="10"/>
      <c r="K110" s="10"/>
    </row>
    <row r="111" spans="1:11" s="4" customFormat="1" ht="30" customHeight="1">
      <c r="A111" s="9"/>
      <c r="B111" s="13" t="e">
        <f>VLOOKUP(Table24[[#This Row],[Location 
(drop-down)]],'List source'!D$2:E$71,2,FALSE)</f>
        <v>#N/A</v>
      </c>
      <c r="C111" s="17" t="s">
        <v>151</v>
      </c>
      <c r="D111" s="20" t="e">
        <f t="shared" si="1"/>
        <v>#N/A</v>
      </c>
      <c r="E111" s="11"/>
      <c r="F111" s="88"/>
      <c r="G111" s="12"/>
      <c r="H111" s="12"/>
      <c r="I111" s="12"/>
      <c r="J111" s="10"/>
      <c r="K111" s="10"/>
    </row>
    <row r="112" spans="1:11" s="4" customFormat="1" ht="30" customHeight="1">
      <c r="A112" s="9"/>
      <c r="B112" s="13" t="e">
        <f>VLOOKUP(Table24[[#This Row],[Location 
(drop-down)]],'List source'!D$2:E$71,2,FALSE)</f>
        <v>#N/A</v>
      </c>
      <c r="C112" s="17" t="s">
        <v>152</v>
      </c>
      <c r="D112" s="20" t="e">
        <f t="shared" si="1"/>
        <v>#N/A</v>
      </c>
      <c r="E112" s="11"/>
      <c r="F112" s="88"/>
      <c r="G112" s="12"/>
      <c r="H112" s="12"/>
      <c r="I112" s="12"/>
      <c r="J112" s="10"/>
      <c r="K112" s="10"/>
    </row>
    <row r="113" spans="1:11" s="4" customFormat="1" ht="30" customHeight="1">
      <c r="A113" s="9"/>
      <c r="B113" s="13" t="e">
        <f>VLOOKUP(Table24[[#This Row],[Location 
(drop-down)]],'List source'!D$2:E$71,2,FALSE)</f>
        <v>#N/A</v>
      </c>
      <c r="C113" s="17" t="s">
        <v>153</v>
      </c>
      <c r="D113" s="20" t="e">
        <f t="shared" si="1"/>
        <v>#N/A</v>
      </c>
      <c r="E113" s="11"/>
      <c r="F113" s="88"/>
      <c r="G113" s="12"/>
      <c r="H113" s="12"/>
      <c r="I113" s="12"/>
      <c r="J113" s="10"/>
      <c r="K113" s="10"/>
    </row>
    <row r="114" spans="1:11" s="4" customFormat="1" ht="30" customHeight="1">
      <c r="A114" s="9"/>
      <c r="B114" s="13" t="e">
        <f>VLOOKUP(Table24[[#This Row],[Location 
(drop-down)]],'List source'!D$2:E$71,2,FALSE)</f>
        <v>#N/A</v>
      </c>
      <c r="C114" s="17" t="s">
        <v>154</v>
      </c>
      <c r="D114" s="20" t="e">
        <f t="shared" si="1"/>
        <v>#N/A</v>
      </c>
      <c r="E114" s="11"/>
      <c r="F114" s="88"/>
      <c r="G114" s="12"/>
      <c r="H114" s="12"/>
      <c r="I114" s="12"/>
      <c r="J114" s="10"/>
      <c r="K114" s="10"/>
    </row>
    <row r="115" spans="1:11" s="4" customFormat="1" ht="30" customHeight="1">
      <c r="A115" s="9"/>
      <c r="B115" s="13" t="e">
        <f>VLOOKUP(Table24[[#This Row],[Location 
(drop-down)]],'List source'!D$2:E$71,2,FALSE)</f>
        <v>#N/A</v>
      </c>
      <c r="C115" s="17" t="s">
        <v>155</v>
      </c>
      <c r="D115" s="20" t="e">
        <f t="shared" si="1"/>
        <v>#N/A</v>
      </c>
      <c r="E115" s="11"/>
      <c r="F115" s="88"/>
      <c r="G115" s="12"/>
      <c r="H115" s="12"/>
      <c r="I115" s="12"/>
      <c r="J115" s="10"/>
      <c r="K115" s="10"/>
    </row>
    <row r="116" spans="1:11" s="4" customFormat="1" ht="30" customHeight="1">
      <c r="A116" s="9"/>
      <c r="B116" s="13" t="e">
        <f>VLOOKUP(Table24[[#This Row],[Location 
(drop-down)]],'List source'!D$2:E$71,2,FALSE)</f>
        <v>#N/A</v>
      </c>
      <c r="C116" s="17" t="s">
        <v>156</v>
      </c>
      <c r="D116" s="20" t="e">
        <f t="shared" si="1"/>
        <v>#N/A</v>
      </c>
      <c r="E116" s="11"/>
      <c r="F116" s="88"/>
      <c r="G116" s="12"/>
      <c r="H116" s="12"/>
      <c r="I116" s="12"/>
      <c r="J116" s="10"/>
      <c r="K116" s="10"/>
    </row>
    <row r="117" spans="1:11" s="4" customFormat="1" ht="30" customHeight="1">
      <c r="A117" s="9"/>
      <c r="B117" s="13" t="e">
        <f>VLOOKUP(Table24[[#This Row],[Location 
(drop-down)]],'List source'!D$2:E$71,2,FALSE)</f>
        <v>#N/A</v>
      </c>
      <c r="C117" s="17" t="s">
        <v>157</v>
      </c>
      <c r="D117" s="20" t="e">
        <f t="shared" si="1"/>
        <v>#N/A</v>
      </c>
      <c r="E117" s="11"/>
      <c r="F117" s="88"/>
      <c r="G117" s="12"/>
      <c r="H117" s="12"/>
      <c r="I117" s="12"/>
      <c r="J117" s="10"/>
      <c r="K117" s="10"/>
    </row>
    <row r="118" spans="1:11" s="4" customFormat="1" ht="30" customHeight="1">
      <c r="A118" s="9"/>
      <c r="B118" s="13" t="e">
        <f>VLOOKUP(Table24[[#This Row],[Location 
(drop-down)]],'List source'!D$2:E$71,2,FALSE)</f>
        <v>#N/A</v>
      </c>
      <c r="C118" s="17" t="s">
        <v>158</v>
      </c>
      <c r="D118" s="20" t="e">
        <f t="shared" si="1"/>
        <v>#N/A</v>
      </c>
      <c r="E118" s="11"/>
      <c r="F118" s="88"/>
      <c r="G118" s="12"/>
      <c r="H118" s="12"/>
      <c r="I118" s="12"/>
      <c r="J118" s="10"/>
      <c r="K118" s="10"/>
    </row>
    <row r="119" spans="1:11" s="4" customFormat="1" ht="30" customHeight="1">
      <c r="A119" s="9"/>
      <c r="B119" s="13" t="e">
        <f>VLOOKUP(Table24[[#This Row],[Location 
(drop-down)]],'List source'!D$2:E$71,2,FALSE)</f>
        <v>#N/A</v>
      </c>
      <c r="C119" s="17" t="s">
        <v>159</v>
      </c>
      <c r="D119" s="20" t="e">
        <f t="shared" si="1"/>
        <v>#N/A</v>
      </c>
      <c r="E119" s="11"/>
      <c r="F119" s="88"/>
      <c r="G119" s="12"/>
      <c r="H119" s="12"/>
      <c r="I119" s="12"/>
      <c r="J119" s="10"/>
      <c r="K119" s="10"/>
    </row>
    <row r="120" spans="1:11" s="4" customFormat="1" ht="30" customHeight="1">
      <c r="A120" s="9"/>
      <c r="B120" s="13" t="e">
        <f>VLOOKUP(Table24[[#This Row],[Location 
(drop-down)]],'List source'!D$2:E$71,2,FALSE)</f>
        <v>#N/A</v>
      </c>
      <c r="C120" s="17" t="s">
        <v>160</v>
      </c>
      <c r="D120" s="20" t="e">
        <f t="shared" si="1"/>
        <v>#N/A</v>
      </c>
      <c r="E120" s="11"/>
      <c r="F120" s="88"/>
      <c r="G120" s="12"/>
      <c r="H120" s="12"/>
      <c r="I120" s="12"/>
      <c r="J120" s="10"/>
      <c r="K120" s="10"/>
    </row>
    <row r="121" spans="1:11" s="4" customFormat="1" ht="30" customHeight="1">
      <c r="A121" s="9"/>
      <c r="B121" s="13" t="e">
        <f>VLOOKUP(Table24[[#This Row],[Location 
(drop-down)]],'List source'!D$2:E$71,2,FALSE)</f>
        <v>#N/A</v>
      </c>
      <c r="C121" s="17" t="s">
        <v>161</v>
      </c>
      <c r="D121" s="20" t="e">
        <f t="shared" si="1"/>
        <v>#N/A</v>
      </c>
      <c r="E121" s="11"/>
      <c r="F121" s="88"/>
      <c r="G121" s="12"/>
      <c r="H121" s="12"/>
      <c r="I121" s="12"/>
      <c r="J121" s="10"/>
      <c r="K121" s="10"/>
    </row>
    <row r="122" spans="1:11" s="4" customFormat="1" ht="30" customHeight="1">
      <c r="A122" s="9"/>
      <c r="B122" s="13" t="e">
        <f>VLOOKUP(Table24[[#This Row],[Location 
(drop-down)]],'List source'!D$2:E$71,2,FALSE)</f>
        <v>#N/A</v>
      </c>
      <c r="C122" s="17" t="s">
        <v>162</v>
      </c>
      <c r="D122" s="20" t="e">
        <f t="shared" si="1"/>
        <v>#N/A</v>
      </c>
      <c r="E122" s="11"/>
      <c r="F122" s="88"/>
      <c r="G122" s="12"/>
      <c r="H122" s="12"/>
      <c r="I122" s="12"/>
      <c r="J122" s="10"/>
      <c r="K122" s="10"/>
    </row>
    <row r="123" spans="1:11" s="4" customFormat="1" ht="30" customHeight="1">
      <c r="A123" s="9"/>
      <c r="B123" s="13" t="e">
        <f>VLOOKUP(Table24[[#This Row],[Location 
(drop-down)]],'List source'!D$2:E$71,2,FALSE)</f>
        <v>#N/A</v>
      </c>
      <c r="C123" s="17" t="s">
        <v>163</v>
      </c>
      <c r="D123" s="20" t="e">
        <f t="shared" si="1"/>
        <v>#N/A</v>
      </c>
      <c r="E123" s="11"/>
      <c r="F123" s="88"/>
      <c r="G123" s="12"/>
      <c r="H123" s="12"/>
      <c r="I123" s="12"/>
      <c r="J123" s="10"/>
      <c r="K123" s="10"/>
    </row>
    <row r="124" spans="1:11" s="4" customFormat="1" ht="30" customHeight="1">
      <c r="A124" s="9"/>
      <c r="B124" s="13" t="e">
        <f>VLOOKUP(Table24[[#This Row],[Location 
(drop-down)]],'List source'!D$2:E$71,2,FALSE)</f>
        <v>#N/A</v>
      </c>
      <c r="C124" s="17" t="s">
        <v>164</v>
      </c>
      <c r="D124" s="20" t="e">
        <f t="shared" si="1"/>
        <v>#N/A</v>
      </c>
      <c r="E124" s="11"/>
      <c r="F124" s="88"/>
      <c r="G124" s="12"/>
      <c r="H124" s="12"/>
      <c r="I124" s="12"/>
      <c r="J124" s="10"/>
      <c r="K124" s="10"/>
    </row>
    <row r="125" spans="1:11" s="4" customFormat="1" ht="30" customHeight="1">
      <c r="A125" s="9"/>
      <c r="B125" s="13" t="e">
        <f>VLOOKUP(Table24[[#This Row],[Location 
(drop-down)]],'List source'!D$2:E$71,2,FALSE)</f>
        <v>#N/A</v>
      </c>
      <c r="C125" s="17" t="s">
        <v>165</v>
      </c>
      <c r="D125" s="41" t="e">
        <f t="shared" si="1"/>
        <v>#N/A</v>
      </c>
      <c r="E125" s="11"/>
      <c r="F125" s="88"/>
      <c r="G125" s="12"/>
      <c r="H125" s="12"/>
      <c r="I125" s="12"/>
      <c r="J125" s="10"/>
      <c r="K125" s="10"/>
    </row>
    <row r="126" spans="1:11" s="4" customFormat="1" ht="30" customHeight="1">
      <c r="A126" s="9"/>
      <c r="B126" s="13" t="e">
        <f>VLOOKUP(Table24[[#This Row],[Location 
(drop-down)]],'List source'!D$2:E$71,2,FALSE)</f>
        <v>#N/A</v>
      </c>
      <c r="C126" s="17" t="s">
        <v>166</v>
      </c>
      <c r="D126" s="20" t="e">
        <f t="shared" si="1"/>
        <v>#N/A</v>
      </c>
      <c r="E126" s="11"/>
      <c r="F126" s="88"/>
      <c r="G126" s="12"/>
      <c r="H126" s="12"/>
      <c r="I126" s="12"/>
      <c r="J126" s="10"/>
      <c r="K126" s="10"/>
    </row>
    <row r="127" spans="1:11" s="4" customFormat="1" ht="30" customHeight="1">
      <c r="A127" s="9"/>
      <c r="B127" s="13" t="e">
        <f>VLOOKUP(Table24[[#This Row],[Location 
(drop-down)]],'List source'!D$2:E$71,2,FALSE)</f>
        <v>#N/A</v>
      </c>
      <c r="C127" s="17" t="s">
        <v>167</v>
      </c>
      <c r="D127" s="20" t="e">
        <f t="shared" si="1"/>
        <v>#N/A</v>
      </c>
      <c r="E127" s="11"/>
      <c r="F127" s="88"/>
      <c r="G127" s="12"/>
      <c r="H127" s="12"/>
      <c r="I127" s="12"/>
      <c r="J127" s="10"/>
      <c r="K127" s="10"/>
    </row>
    <row r="128" spans="1:11" s="4" customFormat="1" ht="30" customHeight="1">
      <c r="A128" s="9"/>
      <c r="B128" s="13" t="e">
        <f>VLOOKUP(Table24[[#This Row],[Location 
(drop-down)]],'List source'!D$2:E$71,2,FALSE)</f>
        <v>#N/A</v>
      </c>
      <c r="C128" s="17" t="s">
        <v>168</v>
      </c>
      <c r="D128" s="20" t="e">
        <f t="shared" si="1"/>
        <v>#N/A</v>
      </c>
      <c r="E128" s="11"/>
      <c r="F128" s="88"/>
      <c r="G128" s="12"/>
      <c r="H128" s="12"/>
      <c r="I128" s="12"/>
      <c r="J128" s="10"/>
      <c r="K128" s="10"/>
    </row>
    <row r="129" spans="1:11" s="4" customFormat="1" ht="30" customHeight="1">
      <c r="A129" s="9"/>
      <c r="B129" s="13" t="e">
        <f>VLOOKUP(Table24[[#This Row],[Location 
(drop-down)]],'List source'!D$2:E$71,2,FALSE)</f>
        <v>#N/A</v>
      </c>
      <c r="C129" s="17" t="s">
        <v>169</v>
      </c>
      <c r="D129" s="20" t="e">
        <f t="shared" si="1"/>
        <v>#N/A</v>
      </c>
      <c r="E129" s="11"/>
      <c r="F129" s="88"/>
      <c r="G129" s="12"/>
      <c r="H129" s="12"/>
      <c r="I129" s="12"/>
      <c r="J129" s="10"/>
      <c r="K129" s="10"/>
    </row>
    <row r="130" spans="1:11" s="4" customFormat="1" ht="30" customHeight="1">
      <c r="A130" s="9"/>
      <c r="B130" s="13" t="e">
        <f>VLOOKUP(Table24[[#This Row],[Location 
(drop-down)]],'List source'!D$2:E$71,2,FALSE)</f>
        <v>#N/A</v>
      </c>
      <c r="C130" s="17" t="s">
        <v>170</v>
      </c>
      <c r="D130" s="20" t="e">
        <f t="shared" ref="D130:D193" si="2">"P" &amp; C130 &amp; "-" &amp; B130 &amp; "-" &amp; "26"</f>
        <v>#N/A</v>
      </c>
      <c r="E130" s="11"/>
      <c r="F130" s="88"/>
      <c r="G130" s="12"/>
      <c r="H130" s="12"/>
      <c r="I130" s="12"/>
      <c r="J130" s="10"/>
      <c r="K130" s="10"/>
    </row>
    <row r="131" spans="1:11" s="4" customFormat="1" ht="30" customHeight="1">
      <c r="A131" s="9"/>
      <c r="B131" s="13" t="e">
        <f>VLOOKUP(Table24[[#This Row],[Location 
(drop-down)]],'List source'!D$2:E$71,2,FALSE)</f>
        <v>#N/A</v>
      </c>
      <c r="C131" s="17" t="s">
        <v>171</v>
      </c>
      <c r="D131" s="20" t="e">
        <f t="shared" si="2"/>
        <v>#N/A</v>
      </c>
      <c r="E131" s="11"/>
      <c r="F131" s="88"/>
      <c r="G131" s="12"/>
      <c r="H131" s="12"/>
      <c r="I131" s="12"/>
      <c r="J131" s="10"/>
      <c r="K131" s="10"/>
    </row>
    <row r="132" spans="1:11" s="4" customFormat="1" ht="30" customHeight="1">
      <c r="A132" s="9"/>
      <c r="B132" s="13" t="e">
        <f>VLOOKUP(Table24[[#This Row],[Location 
(drop-down)]],'List source'!D$2:E$71,2,FALSE)</f>
        <v>#N/A</v>
      </c>
      <c r="C132" s="17" t="s">
        <v>172</v>
      </c>
      <c r="D132" s="20" t="e">
        <f t="shared" si="2"/>
        <v>#N/A</v>
      </c>
      <c r="E132" s="11"/>
      <c r="F132" s="88"/>
      <c r="G132" s="12"/>
      <c r="H132" s="12"/>
      <c r="I132" s="12"/>
      <c r="J132" s="10"/>
      <c r="K132" s="10"/>
    </row>
    <row r="133" spans="1:11" s="4" customFormat="1" ht="30" customHeight="1">
      <c r="A133" s="9"/>
      <c r="B133" s="13" t="e">
        <f>VLOOKUP(Table24[[#This Row],[Location 
(drop-down)]],'List source'!D$2:E$71,2,FALSE)</f>
        <v>#N/A</v>
      </c>
      <c r="C133" s="17" t="s">
        <v>173</v>
      </c>
      <c r="D133" s="20" t="e">
        <f t="shared" si="2"/>
        <v>#N/A</v>
      </c>
      <c r="E133" s="11"/>
      <c r="F133" s="88"/>
      <c r="G133" s="12"/>
      <c r="H133" s="12"/>
      <c r="I133" s="12"/>
      <c r="J133" s="10"/>
      <c r="K133" s="10"/>
    </row>
    <row r="134" spans="1:11" s="4" customFormat="1" ht="30" customHeight="1">
      <c r="A134" s="9"/>
      <c r="B134" s="13" t="e">
        <f>VLOOKUP(Table24[[#This Row],[Location 
(drop-down)]],'List source'!D$2:E$71,2,FALSE)</f>
        <v>#N/A</v>
      </c>
      <c r="C134" s="17" t="s">
        <v>174</v>
      </c>
      <c r="D134" s="20" t="e">
        <f t="shared" si="2"/>
        <v>#N/A</v>
      </c>
      <c r="E134" s="11"/>
      <c r="F134" s="88"/>
      <c r="G134" s="12"/>
      <c r="H134" s="12"/>
      <c r="I134" s="12"/>
      <c r="J134" s="10"/>
      <c r="K134" s="10"/>
    </row>
    <row r="135" spans="1:11" s="4" customFormat="1" ht="30" customHeight="1">
      <c r="A135" s="9"/>
      <c r="B135" s="13" t="e">
        <f>VLOOKUP(Table24[[#This Row],[Location 
(drop-down)]],'List source'!D$2:E$71,2,FALSE)</f>
        <v>#N/A</v>
      </c>
      <c r="C135" s="17" t="s">
        <v>175</v>
      </c>
      <c r="D135" s="20" t="e">
        <f t="shared" si="2"/>
        <v>#N/A</v>
      </c>
      <c r="E135" s="11"/>
      <c r="F135" s="88"/>
      <c r="G135" s="12"/>
      <c r="H135" s="12"/>
      <c r="I135" s="12"/>
      <c r="J135" s="10"/>
      <c r="K135" s="10"/>
    </row>
    <row r="136" spans="1:11" s="4" customFormat="1" ht="30" customHeight="1">
      <c r="A136" s="9"/>
      <c r="B136" s="13" t="e">
        <f>VLOOKUP(Table24[[#This Row],[Location 
(drop-down)]],'List source'!D$2:E$71,2,FALSE)</f>
        <v>#N/A</v>
      </c>
      <c r="C136" s="17" t="s">
        <v>176</v>
      </c>
      <c r="D136" s="20" t="e">
        <f t="shared" si="2"/>
        <v>#N/A</v>
      </c>
      <c r="E136" s="11"/>
      <c r="F136" s="88"/>
      <c r="G136" s="12"/>
      <c r="H136" s="12"/>
      <c r="I136" s="12"/>
      <c r="J136" s="10"/>
      <c r="K136" s="10"/>
    </row>
    <row r="137" spans="1:11" s="4" customFormat="1" ht="30" customHeight="1">
      <c r="A137" s="9"/>
      <c r="B137" s="13" t="e">
        <f>VLOOKUP(Table24[[#This Row],[Location 
(drop-down)]],'List source'!D$2:E$71,2,FALSE)</f>
        <v>#N/A</v>
      </c>
      <c r="C137" s="17" t="s">
        <v>177</v>
      </c>
      <c r="D137" s="20" t="e">
        <f t="shared" si="2"/>
        <v>#N/A</v>
      </c>
      <c r="E137" s="11"/>
      <c r="F137" s="88"/>
      <c r="G137" s="12"/>
      <c r="H137" s="12"/>
      <c r="I137" s="12"/>
      <c r="J137" s="10"/>
      <c r="K137" s="10"/>
    </row>
    <row r="138" spans="1:11" s="4" customFormat="1" ht="30" customHeight="1">
      <c r="A138" s="9"/>
      <c r="B138" s="13" t="e">
        <f>VLOOKUP(Table24[[#This Row],[Location 
(drop-down)]],'List source'!D$2:E$71,2,FALSE)</f>
        <v>#N/A</v>
      </c>
      <c r="C138" s="17" t="s">
        <v>178</v>
      </c>
      <c r="D138" s="20" t="e">
        <f t="shared" si="2"/>
        <v>#N/A</v>
      </c>
      <c r="E138" s="11"/>
      <c r="F138" s="88"/>
      <c r="G138" s="12"/>
      <c r="H138" s="12"/>
      <c r="I138" s="12"/>
      <c r="J138" s="10"/>
      <c r="K138" s="10"/>
    </row>
    <row r="139" spans="1:11" s="4" customFormat="1" ht="30" customHeight="1">
      <c r="A139" s="9"/>
      <c r="B139" s="13" t="e">
        <f>VLOOKUP(Table24[[#This Row],[Location 
(drop-down)]],'List source'!D$2:E$71,2,FALSE)</f>
        <v>#N/A</v>
      </c>
      <c r="C139" s="17" t="s">
        <v>179</v>
      </c>
      <c r="D139" s="20" t="e">
        <f t="shared" si="2"/>
        <v>#N/A</v>
      </c>
      <c r="E139" s="11"/>
      <c r="F139" s="88"/>
      <c r="G139" s="12"/>
      <c r="H139" s="12"/>
      <c r="I139" s="12"/>
      <c r="J139" s="10"/>
      <c r="K139" s="10"/>
    </row>
    <row r="140" spans="1:11" s="4" customFormat="1" ht="30" customHeight="1">
      <c r="A140" s="9"/>
      <c r="B140" s="13" t="e">
        <f>VLOOKUP(Table24[[#This Row],[Location 
(drop-down)]],'List source'!D$2:E$71,2,FALSE)</f>
        <v>#N/A</v>
      </c>
      <c r="C140" s="17" t="s">
        <v>180</v>
      </c>
      <c r="D140" s="20" t="e">
        <f t="shared" si="2"/>
        <v>#N/A</v>
      </c>
      <c r="E140" s="11"/>
      <c r="F140" s="88"/>
      <c r="G140" s="12"/>
      <c r="H140" s="12"/>
      <c r="I140" s="12"/>
      <c r="J140" s="10"/>
      <c r="K140" s="10"/>
    </row>
    <row r="141" spans="1:11" s="4" customFormat="1" ht="30" customHeight="1">
      <c r="A141" s="9"/>
      <c r="B141" s="13" t="e">
        <f>VLOOKUP(Table24[[#This Row],[Location 
(drop-down)]],'List source'!D$2:E$71,2,FALSE)</f>
        <v>#N/A</v>
      </c>
      <c r="C141" s="17" t="s">
        <v>181</v>
      </c>
      <c r="D141" s="20" t="e">
        <f t="shared" si="2"/>
        <v>#N/A</v>
      </c>
      <c r="E141" s="11"/>
      <c r="F141" s="88"/>
      <c r="G141" s="12"/>
      <c r="H141" s="12"/>
      <c r="I141" s="12"/>
      <c r="J141" s="10"/>
      <c r="K141" s="10"/>
    </row>
    <row r="142" spans="1:11" s="4" customFormat="1" ht="30" customHeight="1">
      <c r="A142" s="9"/>
      <c r="B142" s="13" t="e">
        <f>VLOOKUP(Table24[[#This Row],[Location 
(drop-down)]],'List source'!D$2:E$71,2,FALSE)</f>
        <v>#N/A</v>
      </c>
      <c r="C142" s="17" t="s">
        <v>182</v>
      </c>
      <c r="D142" s="20" t="e">
        <f t="shared" si="2"/>
        <v>#N/A</v>
      </c>
      <c r="E142" s="11"/>
      <c r="F142" s="88"/>
      <c r="G142" s="12"/>
      <c r="H142" s="12"/>
      <c r="I142" s="12"/>
      <c r="J142" s="10"/>
      <c r="K142" s="10"/>
    </row>
    <row r="143" spans="1:11" s="4" customFormat="1" ht="30" customHeight="1">
      <c r="A143" s="9"/>
      <c r="B143" s="13" t="e">
        <f>VLOOKUP(Table24[[#This Row],[Location 
(drop-down)]],'List source'!D$2:E$71,2,FALSE)</f>
        <v>#N/A</v>
      </c>
      <c r="C143" s="17" t="s">
        <v>183</v>
      </c>
      <c r="D143" s="20" t="e">
        <f t="shared" si="2"/>
        <v>#N/A</v>
      </c>
      <c r="E143" s="11"/>
      <c r="F143" s="88"/>
      <c r="G143" s="12"/>
      <c r="H143" s="12"/>
      <c r="I143" s="12"/>
      <c r="J143" s="10"/>
      <c r="K143" s="10"/>
    </row>
    <row r="144" spans="1:11" s="4" customFormat="1" ht="30" customHeight="1">
      <c r="A144" s="9"/>
      <c r="B144" s="13" t="e">
        <f>VLOOKUP(Table24[[#This Row],[Location 
(drop-down)]],'List source'!D$2:E$71,2,FALSE)</f>
        <v>#N/A</v>
      </c>
      <c r="C144" s="17" t="s">
        <v>184</v>
      </c>
      <c r="D144" s="20" t="e">
        <f t="shared" si="2"/>
        <v>#N/A</v>
      </c>
      <c r="E144" s="11"/>
      <c r="F144" s="88"/>
      <c r="G144" s="12"/>
      <c r="H144" s="12"/>
      <c r="I144" s="12"/>
      <c r="J144" s="10"/>
      <c r="K144" s="10"/>
    </row>
    <row r="145" spans="1:11" s="4" customFormat="1" ht="30" customHeight="1">
      <c r="A145" s="9"/>
      <c r="B145" s="13" t="e">
        <f>VLOOKUP(Table24[[#This Row],[Location 
(drop-down)]],'List source'!D$2:E$71,2,FALSE)</f>
        <v>#N/A</v>
      </c>
      <c r="C145" s="17" t="s">
        <v>185</v>
      </c>
      <c r="D145" s="20" t="e">
        <f t="shared" si="2"/>
        <v>#N/A</v>
      </c>
      <c r="E145" s="11"/>
      <c r="F145" s="88"/>
      <c r="G145" s="12"/>
      <c r="H145" s="12"/>
      <c r="I145" s="12"/>
      <c r="J145" s="10"/>
      <c r="K145" s="10"/>
    </row>
    <row r="146" spans="1:11" s="4" customFormat="1" ht="30" customHeight="1">
      <c r="A146" s="9"/>
      <c r="B146" s="13" t="e">
        <f>VLOOKUP(Table24[[#This Row],[Location 
(drop-down)]],'List source'!D$2:E$71,2,FALSE)</f>
        <v>#N/A</v>
      </c>
      <c r="C146" s="17" t="s">
        <v>186</v>
      </c>
      <c r="D146" s="20" t="e">
        <f t="shared" si="2"/>
        <v>#N/A</v>
      </c>
      <c r="E146" s="11"/>
      <c r="F146" s="88"/>
      <c r="G146" s="12"/>
      <c r="H146" s="12"/>
      <c r="I146" s="12"/>
      <c r="J146" s="10"/>
      <c r="K146" s="10"/>
    </row>
    <row r="147" spans="1:11" s="4" customFormat="1" ht="30" customHeight="1">
      <c r="A147" s="9"/>
      <c r="B147" s="13" t="e">
        <f>VLOOKUP(Table24[[#This Row],[Location 
(drop-down)]],'List source'!D$2:E$71,2,FALSE)</f>
        <v>#N/A</v>
      </c>
      <c r="C147" s="17" t="s">
        <v>187</v>
      </c>
      <c r="D147" s="20" t="e">
        <f t="shared" si="2"/>
        <v>#N/A</v>
      </c>
      <c r="E147" s="11"/>
      <c r="F147" s="90"/>
      <c r="G147" s="12"/>
      <c r="H147" s="12"/>
      <c r="I147" s="16"/>
      <c r="J147" s="13"/>
      <c r="K147" s="10"/>
    </row>
    <row r="148" spans="1:11" s="4" customFormat="1" ht="30" customHeight="1">
      <c r="A148" s="9"/>
      <c r="B148" s="13" t="e">
        <f>VLOOKUP(Table24[[#This Row],[Location 
(drop-down)]],'List source'!D$2:E$71,2,FALSE)</f>
        <v>#N/A</v>
      </c>
      <c r="C148" s="17" t="s">
        <v>188</v>
      </c>
      <c r="D148" s="20" t="e">
        <f t="shared" si="2"/>
        <v>#N/A</v>
      </c>
      <c r="E148" s="11"/>
      <c r="F148" s="91"/>
      <c r="G148" s="12"/>
      <c r="H148" s="12"/>
      <c r="I148" s="78"/>
      <c r="J148" s="79"/>
      <c r="K148" s="81"/>
    </row>
    <row r="149" spans="1:11" s="4" customFormat="1" ht="30" customHeight="1">
      <c r="A149" s="9"/>
      <c r="B149" s="13" t="e">
        <f>VLOOKUP(Table24[[#This Row],[Location 
(drop-down)]],'List source'!D$2:E$71,2,FALSE)</f>
        <v>#N/A</v>
      </c>
      <c r="C149" s="17" t="s">
        <v>189</v>
      </c>
      <c r="D149" s="20" t="e">
        <f t="shared" si="2"/>
        <v>#N/A</v>
      </c>
      <c r="E149" s="11"/>
      <c r="F149" s="90"/>
      <c r="G149" s="12"/>
      <c r="H149" s="12"/>
      <c r="I149" s="16"/>
      <c r="J149" s="13"/>
      <c r="K149" s="10"/>
    </row>
    <row r="150" spans="1:11" s="4" customFormat="1" ht="30" customHeight="1">
      <c r="A150" s="9"/>
      <c r="B150" s="13" t="e">
        <f>VLOOKUP(Table24[[#This Row],[Location 
(drop-down)]],'List source'!D$2:E$71,2,FALSE)</f>
        <v>#N/A</v>
      </c>
      <c r="C150" s="17" t="s">
        <v>190</v>
      </c>
      <c r="D150" s="20" t="e">
        <f t="shared" si="2"/>
        <v>#N/A</v>
      </c>
      <c r="E150" s="11"/>
      <c r="F150" s="91"/>
      <c r="G150" s="12"/>
      <c r="H150" s="12"/>
      <c r="I150" s="78"/>
      <c r="J150" s="79"/>
      <c r="K150" s="81"/>
    </row>
    <row r="151" spans="1:11" s="4" customFormat="1" ht="30" customHeight="1">
      <c r="A151" s="9"/>
      <c r="B151" s="13" t="e">
        <f>VLOOKUP(Table24[[#This Row],[Location 
(drop-down)]],'List source'!D$2:E$71,2,FALSE)</f>
        <v>#N/A</v>
      </c>
      <c r="C151" s="17" t="s">
        <v>191</v>
      </c>
      <c r="D151" s="20" t="e">
        <f t="shared" si="2"/>
        <v>#N/A</v>
      </c>
      <c r="E151" s="11"/>
      <c r="F151" s="90"/>
      <c r="G151" s="12"/>
      <c r="H151" s="12"/>
      <c r="I151" s="16"/>
      <c r="J151" s="13"/>
      <c r="K151" s="10"/>
    </row>
    <row r="152" spans="1:11" s="4" customFormat="1" ht="30" customHeight="1">
      <c r="A152" s="9"/>
      <c r="B152" s="13" t="e">
        <f>VLOOKUP(Table24[[#This Row],[Location 
(drop-down)]],'List source'!D$2:E$71,2,FALSE)</f>
        <v>#N/A</v>
      </c>
      <c r="C152" s="17" t="s">
        <v>192</v>
      </c>
      <c r="D152" s="20" t="e">
        <f t="shared" si="2"/>
        <v>#N/A</v>
      </c>
      <c r="E152" s="11"/>
      <c r="F152" s="91"/>
      <c r="G152" s="12"/>
      <c r="H152" s="12"/>
      <c r="I152" s="16"/>
      <c r="J152" s="79"/>
      <c r="K152" s="81"/>
    </row>
    <row r="153" spans="1:11" s="4" customFormat="1" ht="30" customHeight="1">
      <c r="A153" s="9"/>
      <c r="B153" s="13" t="e">
        <f>VLOOKUP(Table24[[#This Row],[Location 
(drop-down)]],'List source'!D$2:E$71,2,FALSE)</f>
        <v>#N/A</v>
      </c>
      <c r="C153" s="17" t="s">
        <v>193</v>
      </c>
      <c r="D153" s="20" t="e">
        <f t="shared" si="2"/>
        <v>#N/A</v>
      </c>
      <c r="E153" s="11"/>
      <c r="F153" s="90"/>
      <c r="G153" s="12"/>
      <c r="H153" s="12"/>
      <c r="I153" s="16"/>
      <c r="J153" s="13"/>
      <c r="K153" s="10"/>
    </row>
    <row r="154" spans="1:11" s="4" customFormat="1" ht="30" customHeight="1">
      <c r="A154" s="9"/>
      <c r="B154" s="13" t="e">
        <f>VLOOKUP(Table24[[#This Row],[Location 
(drop-down)]],'List source'!D$2:E$71,2,FALSE)</f>
        <v>#N/A</v>
      </c>
      <c r="C154" s="17" t="s">
        <v>194</v>
      </c>
      <c r="D154" s="20" t="e">
        <f t="shared" si="2"/>
        <v>#N/A</v>
      </c>
      <c r="E154" s="11"/>
      <c r="F154" s="91"/>
      <c r="G154" s="78"/>
      <c r="H154" s="82"/>
      <c r="I154" s="78"/>
      <c r="J154" s="10"/>
      <c r="K154" s="81"/>
    </row>
    <row r="155" spans="1:11" s="4" customFormat="1" ht="30" customHeight="1">
      <c r="A155" s="9"/>
      <c r="B155" s="13" t="e">
        <f>VLOOKUP(Table24[[#This Row],[Location 
(drop-down)]],'List source'!D$2:E$71,2,FALSE)</f>
        <v>#N/A</v>
      </c>
      <c r="C155" s="17" t="s">
        <v>195</v>
      </c>
      <c r="D155" s="20" t="e">
        <f t="shared" si="2"/>
        <v>#N/A</v>
      </c>
      <c r="E155" s="11"/>
      <c r="F155" s="90"/>
      <c r="G155" s="16"/>
      <c r="H155" s="14"/>
      <c r="I155" s="16"/>
      <c r="J155" s="10"/>
      <c r="K155" s="10"/>
    </row>
    <row r="156" spans="1:11" s="4" customFormat="1" ht="30" customHeight="1">
      <c r="A156" s="9"/>
      <c r="B156" s="13" t="e">
        <f>VLOOKUP(Table24[[#This Row],[Location 
(drop-down)]],'List source'!D$2:E$71,2,FALSE)</f>
        <v>#N/A</v>
      </c>
      <c r="C156" s="17" t="s">
        <v>196</v>
      </c>
      <c r="D156" s="20" t="e">
        <f t="shared" si="2"/>
        <v>#N/A</v>
      </c>
      <c r="E156" s="11"/>
      <c r="F156" s="91"/>
      <c r="G156" s="78"/>
      <c r="H156" s="82"/>
      <c r="I156" s="78"/>
      <c r="J156" s="10"/>
      <c r="K156" s="81"/>
    </row>
    <row r="157" spans="1:11" s="4" customFormat="1" ht="30" customHeight="1">
      <c r="A157" s="9"/>
      <c r="B157" s="13" t="e">
        <f>VLOOKUP(Table24[[#This Row],[Location 
(drop-down)]],'List source'!D$2:E$71,2,FALSE)</f>
        <v>#N/A</v>
      </c>
      <c r="C157" s="17" t="s">
        <v>197</v>
      </c>
      <c r="D157" s="20" t="e">
        <f t="shared" si="2"/>
        <v>#N/A</v>
      </c>
      <c r="E157" s="11"/>
      <c r="F157" s="90"/>
      <c r="G157" s="16"/>
      <c r="H157" s="14"/>
      <c r="I157" s="16"/>
      <c r="J157" s="10"/>
      <c r="K157" s="10"/>
    </row>
    <row r="158" spans="1:11" s="4" customFormat="1" ht="30" customHeight="1">
      <c r="A158" s="9"/>
      <c r="B158" s="13" t="e">
        <f>VLOOKUP(Table24[[#This Row],[Location 
(drop-down)]],'List source'!D$2:E$71,2,FALSE)</f>
        <v>#N/A</v>
      </c>
      <c r="C158" s="17" t="s">
        <v>198</v>
      </c>
      <c r="D158" s="20" t="e">
        <f t="shared" si="2"/>
        <v>#N/A</v>
      </c>
      <c r="E158" s="11"/>
      <c r="F158" s="91"/>
      <c r="G158" s="78"/>
      <c r="H158" s="83"/>
      <c r="I158" s="80"/>
      <c r="J158" s="79"/>
      <c r="K158" s="81"/>
    </row>
    <row r="159" spans="1:11" s="4" customFormat="1" ht="30" customHeight="1">
      <c r="A159" s="9"/>
      <c r="B159" s="13" t="e">
        <f>VLOOKUP(Table24[[#This Row],[Location 
(drop-down)]],'List source'!D$2:E$71,2,FALSE)</f>
        <v>#N/A</v>
      </c>
      <c r="C159" s="17" t="s">
        <v>199</v>
      </c>
      <c r="D159" s="20" t="e">
        <f t="shared" si="2"/>
        <v>#N/A</v>
      </c>
      <c r="E159" s="11"/>
      <c r="F159" s="90"/>
      <c r="G159" s="16"/>
      <c r="H159" s="11"/>
      <c r="I159" s="16"/>
      <c r="J159" s="13"/>
      <c r="K159" s="10"/>
    </row>
    <row r="160" spans="1:11" s="4" customFormat="1" ht="30" customHeight="1">
      <c r="A160" s="9"/>
      <c r="B160" s="13" t="e">
        <f>VLOOKUP(Table24[[#This Row],[Location 
(drop-down)]],'List source'!D$2:E$71,2,FALSE)</f>
        <v>#N/A</v>
      </c>
      <c r="C160" s="17" t="s">
        <v>200</v>
      </c>
      <c r="D160" s="20" t="e">
        <f t="shared" si="2"/>
        <v>#N/A</v>
      </c>
      <c r="E160" s="11"/>
      <c r="F160" s="91"/>
      <c r="G160" s="78"/>
      <c r="H160" s="83"/>
      <c r="I160" s="78"/>
      <c r="J160" s="79"/>
      <c r="K160" s="81"/>
    </row>
    <row r="161" spans="1:11" s="4" customFormat="1" ht="30" customHeight="1">
      <c r="A161" s="9"/>
      <c r="B161" s="13" t="e">
        <f>VLOOKUP(Table24[[#This Row],[Location 
(drop-down)]],'List source'!D$2:E$71,2,FALSE)</f>
        <v>#N/A</v>
      </c>
      <c r="C161" s="17" t="s">
        <v>201</v>
      </c>
      <c r="D161" s="20" t="e">
        <f t="shared" si="2"/>
        <v>#N/A</v>
      </c>
      <c r="E161" s="11"/>
      <c r="F161" s="90"/>
      <c r="G161" s="16"/>
      <c r="H161" s="11"/>
      <c r="I161" s="16"/>
      <c r="J161" s="13"/>
      <c r="K161" s="10"/>
    </row>
    <row r="162" spans="1:11" s="4" customFormat="1" ht="30" customHeight="1">
      <c r="A162" s="9"/>
      <c r="B162" s="13" t="e">
        <f>VLOOKUP(Table24[[#This Row],[Location 
(drop-down)]],'List source'!D$2:E$71,2,FALSE)</f>
        <v>#N/A</v>
      </c>
      <c r="C162" s="17" t="s">
        <v>202</v>
      </c>
      <c r="D162" s="20" t="e">
        <f t="shared" si="2"/>
        <v>#N/A</v>
      </c>
      <c r="E162" s="11"/>
      <c r="F162" s="91"/>
      <c r="G162" s="78"/>
      <c r="H162" s="83"/>
      <c r="I162" s="78"/>
      <c r="J162" s="79"/>
      <c r="K162" s="81"/>
    </row>
    <row r="163" spans="1:11" s="4" customFormat="1" ht="30" customHeight="1">
      <c r="A163" s="9"/>
      <c r="B163" s="13" t="e">
        <f>VLOOKUP(Table24[[#This Row],[Location 
(drop-down)]],'List source'!D$2:E$71,2,FALSE)</f>
        <v>#N/A</v>
      </c>
      <c r="C163" s="17" t="s">
        <v>203</v>
      </c>
      <c r="D163" s="20" t="e">
        <f t="shared" si="2"/>
        <v>#N/A</v>
      </c>
      <c r="E163" s="11"/>
      <c r="F163" s="90"/>
      <c r="G163" s="16"/>
      <c r="H163" s="11"/>
      <c r="I163" s="16"/>
      <c r="J163" s="13"/>
      <c r="K163" s="10"/>
    </row>
    <row r="164" spans="1:11" s="4" customFormat="1" ht="30" customHeight="1">
      <c r="A164" s="9"/>
      <c r="B164" s="13" t="e">
        <f>VLOOKUP(Table24[[#This Row],[Location 
(drop-down)]],'List source'!D$2:E$71,2,FALSE)</f>
        <v>#N/A</v>
      </c>
      <c r="C164" s="17" t="s">
        <v>204</v>
      </c>
      <c r="D164" s="20" t="e">
        <f t="shared" si="2"/>
        <v>#N/A</v>
      </c>
      <c r="E164" s="11"/>
      <c r="F164" s="91"/>
      <c r="G164" s="16"/>
      <c r="H164" s="83"/>
      <c r="I164" s="84"/>
      <c r="J164" s="79"/>
      <c r="K164" s="81"/>
    </row>
    <row r="165" spans="1:11" s="4" customFormat="1" ht="30" customHeight="1">
      <c r="A165" s="9"/>
      <c r="B165" s="13" t="e">
        <f>VLOOKUP(Table24[[#This Row],[Location 
(drop-down)]],'List source'!D$2:E$71,2,FALSE)</f>
        <v>#N/A</v>
      </c>
      <c r="C165" s="17" t="s">
        <v>205</v>
      </c>
      <c r="D165" s="20" t="e">
        <f t="shared" si="2"/>
        <v>#N/A</v>
      </c>
      <c r="E165" s="11"/>
      <c r="F165" s="90"/>
      <c r="G165" s="12"/>
      <c r="H165" s="11"/>
      <c r="I165" s="12"/>
      <c r="J165" s="13"/>
      <c r="K165" s="10"/>
    </row>
    <row r="166" spans="1:11" s="4" customFormat="1" ht="30" customHeight="1">
      <c r="A166" s="9"/>
      <c r="B166" s="13" t="e">
        <f>VLOOKUP(Table24[[#This Row],[Location 
(drop-down)]],'List source'!D$2:E$71,2,FALSE)</f>
        <v>#N/A</v>
      </c>
      <c r="C166" s="17" t="s">
        <v>206</v>
      </c>
      <c r="D166" s="20" t="e">
        <f t="shared" si="2"/>
        <v>#N/A</v>
      </c>
      <c r="E166" s="11"/>
      <c r="F166" s="91"/>
      <c r="G166" s="16"/>
      <c r="H166" s="83"/>
      <c r="I166" s="78"/>
      <c r="J166" s="79"/>
      <c r="K166" s="81"/>
    </row>
    <row r="167" spans="1:11" s="4" customFormat="1" ht="30" customHeight="1">
      <c r="A167" s="9"/>
      <c r="B167" s="13" t="e">
        <f>VLOOKUP(Table24[[#This Row],[Location 
(drop-down)]],'List source'!D$2:E$71,2,FALSE)</f>
        <v>#N/A</v>
      </c>
      <c r="C167" s="17" t="s">
        <v>207</v>
      </c>
      <c r="D167" s="20" t="e">
        <f t="shared" si="2"/>
        <v>#N/A</v>
      </c>
      <c r="E167" s="11"/>
      <c r="F167" s="90"/>
      <c r="G167" s="16"/>
      <c r="H167" s="11"/>
      <c r="I167" s="13"/>
      <c r="J167" s="13"/>
      <c r="K167" s="10"/>
    </row>
    <row r="168" spans="1:11" s="4" customFormat="1" ht="30" customHeight="1">
      <c r="A168" s="9"/>
      <c r="B168" s="13" t="e">
        <f>VLOOKUP(Table24[[#This Row],[Location 
(drop-down)]],'List source'!D$2:E$71,2,FALSE)</f>
        <v>#N/A</v>
      </c>
      <c r="C168" s="17" t="s">
        <v>208</v>
      </c>
      <c r="D168" s="20" t="e">
        <f t="shared" si="2"/>
        <v>#N/A</v>
      </c>
      <c r="E168" s="11"/>
      <c r="F168" s="91"/>
      <c r="G168" s="16"/>
      <c r="H168" s="83"/>
      <c r="I168" s="78"/>
      <c r="J168" s="79"/>
      <c r="K168" s="81"/>
    </row>
    <row r="169" spans="1:11" s="4" customFormat="1" ht="30" customHeight="1">
      <c r="A169" s="9"/>
      <c r="B169" s="13" t="e">
        <f>VLOOKUP(Table24[[#This Row],[Location 
(drop-down)]],'List source'!D$2:E$71,2,FALSE)</f>
        <v>#N/A</v>
      </c>
      <c r="C169" s="17" t="s">
        <v>209</v>
      </c>
      <c r="D169" s="20" t="e">
        <f t="shared" si="2"/>
        <v>#N/A</v>
      </c>
      <c r="E169" s="11"/>
      <c r="F169" s="88"/>
      <c r="G169" s="16"/>
      <c r="H169" s="12"/>
      <c r="I169" s="12"/>
      <c r="J169" s="10"/>
      <c r="K169" s="10"/>
    </row>
    <row r="170" spans="1:11" s="4" customFormat="1" ht="30" customHeight="1">
      <c r="A170" s="9"/>
      <c r="B170" s="13" t="e">
        <f>VLOOKUP(Table24[[#This Row],[Location 
(drop-down)]],'List source'!D$2:E$71,2,FALSE)</f>
        <v>#N/A</v>
      </c>
      <c r="C170" s="17" t="s">
        <v>210</v>
      </c>
      <c r="D170" s="20" t="e">
        <f t="shared" si="2"/>
        <v>#N/A</v>
      </c>
      <c r="E170" s="11"/>
      <c r="F170" s="88"/>
      <c r="G170" s="16"/>
      <c r="H170" s="12"/>
      <c r="I170" s="12"/>
      <c r="J170" s="10"/>
      <c r="K170" s="10"/>
    </row>
    <row r="171" spans="1:11" s="4" customFormat="1" ht="30" customHeight="1">
      <c r="A171" s="9"/>
      <c r="B171" s="13" t="e">
        <f>VLOOKUP(Table24[[#This Row],[Location 
(drop-down)]],'List source'!D$2:E$71,2,FALSE)</f>
        <v>#N/A</v>
      </c>
      <c r="C171" s="17" t="s">
        <v>211</v>
      </c>
      <c r="D171" s="20" t="e">
        <f t="shared" si="2"/>
        <v>#N/A</v>
      </c>
      <c r="E171" s="11"/>
      <c r="F171" s="88"/>
      <c r="G171" s="16"/>
      <c r="H171" s="12"/>
      <c r="I171" s="12"/>
      <c r="J171" s="10"/>
      <c r="K171" s="10"/>
    </row>
    <row r="172" spans="1:11" s="4" customFormat="1" ht="30" customHeight="1">
      <c r="A172" s="9"/>
      <c r="B172" s="13" t="e">
        <f>VLOOKUP(Table24[[#This Row],[Location 
(drop-down)]],'List source'!D$2:E$71,2,FALSE)</f>
        <v>#N/A</v>
      </c>
      <c r="C172" s="17" t="s">
        <v>212</v>
      </c>
      <c r="D172" s="20" t="e">
        <f t="shared" si="2"/>
        <v>#N/A</v>
      </c>
      <c r="E172" s="11"/>
      <c r="F172" s="88"/>
      <c r="G172" s="16"/>
      <c r="H172" s="12"/>
      <c r="I172" s="12"/>
      <c r="J172" s="10"/>
      <c r="K172" s="10"/>
    </row>
    <row r="173" spans="1:11" s="4" customFormat="1" ht="30" customHeight="1">
      <c r="A173" s="9"/>
      <c r="B173" s="13" t="e">
        <f>VLOOKUP(Table24[[#This Row],[Location 
(drop-down)]],'List source'!D$2:E$71,2,FALSE)</f>
        <v>#N/A</v>
      </c>
      <c r="C173" s="17" t="s">
        <v>213</v>
      </c>
      <c r="D173" s="20" t="e">
        <f t="shared" si="2"/>
        <v>#N/A</v>
      </c>
      <c r="E173" s="11"/>
      <c r="F173" s="88"/>
      <c r="G173" s="16"/>
      <c r="H173" s="12"/>
      <c r="I173" s="12"/>
      <c r="J173" s="10"/>
      <c r="K173" s="10"/>
    </row>
    <row r="174" spans="1:11" s="4" customFormat="1" ht="30" customHeight="1">
      <c r="A174" s="9"/>
      <c r="B174" s="13" t="e">
        <f>VLOOKUP(Table24[[#This Row],[Location 
(drop-down)]],'List source'!D$2:E$71,2,FALSE)</f>
        <v>#N/A</v>
      </c>
      <c r="C174" s="17" t="s">
        <v>214</v>
      </c>
      <c r="D174" s="20" t="e">
        <f t="shared" si="2"/>
        <v>#N/A</v>
      </c>
      <c r="E174" s="11"/>
      <c r="F174" s="88"/>
      <c r="G174" s="16"/>
      <c r="H174" s="12"/>
      <c r="I174" s="12"/>
      <c r="J174" s="10"/>
      <c r="K174" s="10"/>
    </row>
    <row r="175" spans="1:11" s="4" customFormat="1" ht="30" customHeight="1">
      <c r="A175" s="9"/>
      <c r="B175" s="13" t="e">
        <f>VLOOKUP(Table24[[#This Row],[Location 
(drop-down)]],'List source'!D$2:E$71,2,FALSE)</f>
        <v>#N/A</v>
      </c>
      <c r="C175" s="17" t="s">
        <v>215</v>
      </c>
      <c r="D175" s="20" t="e">
        <f t="shared" si="2"/>
        <v>#N/A</v>
      </c>
      <c r="E175" s="11"/>
      <c r="F175" s="88"/>
      <c r="G175" s="16"/>
      <c r="H175" s="12"/>
      <c r="I175" s="12"/>
      <c r="J175" s="10"/>
      <c r="K175" s="10"/>
    </row>
    <row r="176" spans="1:11" s="4" customFormat="1" ht="30" customHeight="1">
      <c r="A176" s="9"/>
      <c r="B176" s="13" t="e">
        <f>VLOOKUP(Table24[[#This Row],[Location 
(drop-down)]],'List source'!D$2:E$71,2,FALSE)</f>
        <v>#N/A</v>
      </c>
      <c r="C176" s="17" t="s">
        <v>216</v>
      </c>
      <c r="D176" s="20" t="e">
        <f t="shared" si="2"/>
        <v>#N/A</v>
      </c>
      <c r="E176" s="11"/>
      <c r="F176" s="88"/>
      <c r="G176" s="16"/>
      <c r="H176" s="12"/>
      <c r="I176" s="12"/>
      <c r="J176" s="10"/>
      <c r="K176" s="10"/>
    </row>
    <row r="177" spans="1:11" s="4" customFormat="1" ht="30" customHeight="1">
      <c r="A177" s="9"/>
      <c r="B177" s="13" t="e">
        <f>VLOOKUP(Table24[[#This Row],[Location 
(drop-down)]],'List source'!D$2:E$71,2,FALSE)</f>
        <v>#N/A</v>
      </c>
      <c r="C177" s="17" t="s">
        <v>217</v>
      </c>
      <c r="D177" s="20" t="e">
        <f t="shared" si="2"/>
        <v>#N/A</v>
      </c>
      <c r="E177" s="11"/>
      <c r="F177" s="88"/>
      <c r="G177" s="16"/>
      <c r="H177" s="12"/>
      <c r="I177" s="12"/>
      <c r="J177" s="10"/>
      <c r="K177" s="10"/>
    </row>
    <row r="178" spans="1:11" s="4" customFormat="1" ht="30" customHeight="1">
      <c r="A178" s="9"/>
      <c r="B178" s="13" t="e">
        <f>VLOOKUP(Table24[[#This Row],[Location 
(drop-down)]],'List source'!D$2:E$71,2,FALSE)</f>
        <v>#N/A</v>
      </c>
      <c r="C178" s="17" t="s">
        <v>218</v>
      </c>
      <c r="D178" s="20" t="e">
        <f t="shared" si="2"/>
        <v>#N/A</v>
      </c>
      <c r="E178" s="11"/>
      <c r="F178" s="88"/>
      <c r="G178" s="16"/>
      <c r="H178" s="12"/>
      <c r="I178" s="12"/>
      <c r="J178" s="10"/>
      <c r="K178" s="10"/>
    </row>
    <row r="179" spans="1:11" s="4" customFormat="1" ht="30" customHeight="1">
      <c r="A179" s="9"/>
      <c r="B179" s="13" t="e">
        <f>VLOOKUP(Table24[[#This Row],[Location 
(drop-down)]],'List source'!D$2:E$71,2,FALSE)</f>
        <v>#N/A</v>
      </c>
      <c r="C179" s="17" t="s">
        <v>219</v>
      </c>
      <c r="D179" s="20" t="e">
        <f t="shared" si="2"/>
        <v>#N/A</v>
      </c>
      <c r="E179" s="11"/>
      <c r="F179" s="88"/>
      <c r="G179" s="16"/>
      <c r="H179" s="12"/>
      <c r="I179" s="12"/>
      <c r="J179" s="10"/>
      <c r="K179" s="10"/>
    </row>
    <row r="180" spans="1:11" s="4" customFormat="1" ht="30" customHeight="1">
      <c r="A180" s="9"/>
      <c r="B180" s="13" t="e">
        <f>VLOOKUP(Table24[[#This Row],[Location 
(drop-down)]],'List source'!D$2:E$71,2,FALSE)</f>
        <v>#N/A</v>
      </c>
      <c r="C180" s="17" t="s">
        <v>220</v>
      </c>
      <c r="D180" s="20" t="e">
        <f t="shared" si="2"/>
        <v>#N/A</v>
      </c>
      <c r="E180" s="11"/>
      <c r="F180" s="88"/>
      <c r="G180" s="16"/>
      <c r="H180" s="12"/>
      <c r="I180" s="12"/>
      <c r="J180" s="10"/>
      <c r="K180" s="10"/>
    </row>
    <row r="181" spans="1:11" s="4" customFormat="1" ht="30" customHeight="1">
      <c r="A181" s="9"/>
      <c r="B181" s="13" t="e">
        <f>VLOOKUP(Table24[[#This Row],[Location 
(drop-down)]],'List source'!D$2:E$71,2,FALSE)</f>
        <v>#N/A</v>
      </c>
      <c r="C181" s="17" t="s">
        <v>221</v>
      </c>
      <c r="D181" s="20" t="e">
        <f t="shared" si="2"/>
        <v>#N/A</v>
      </c>
      <c r="E181" s="11"/>
      <c r="F181" s="88"/>
      <c r="G181" s="16"/>
      <c r="H181" s="12"/>
      <c r="I181" s="12"/>
      <c r="J181" s="10"/>
      <c r="K181" s="10"/>
    </row>
    <row r="182" spans="1:11" s="4" customFormat="1" ht="30" customHeight="1">
      <c r="A182" s="9"/>
      <c r="B182" s="13" t="e">
        <f>VLOOKUP(Table24[[#This Row],[Location 
(drop-down)]],'List source'!D$2:E$71,2,FALSE)</f>
        <v>#N/A</v>
      </c>
      <c r="C182" s="17" t="s">
        <v>222</v>
      </c>
      <c r="D182" s="20" t="e">
        <f t="shared" si="2"/>
        <v>#N/A</v>
      </c>
      <c r="E182" s="11"/>
      <c r="F182" s="88"/>
      <c r="G182" s="16"/>
      <c r="H182" s="12"/>
      <c r="I182" s="12"/>
      <c r="J182" s="10"/>
      <c r="K182" s="10"/>
    </row>
    <row r="183" spans="1:11" s="4" customFormat="1" ht="30" customHeight="1">
      <c r="A183" s="9"/>
      <c r="B183" s="13" t="e">
        <f>VLOOKUP(Table24[[#This Row],[Location 
(drop-down)]],'List source'!D$2:E$71,2,FALSE)</f>
        <v>#N/A</v>
      </c>
      <c r="C183" s="17" t="s">
        <v>223</v>
      </c>
      <c r="D183" s="20" t="e">
        <f t="shared" si="2"/>
        <v>#N/A</v>
      </c>
      <c r="E183" s="11"/>
      <c r="F183" s="88"/>
      <c r="G183" s="16"/>
      <c r="H183" s="12"/>
      <c r="I183" s="12"/>
      <c r="J183" s="10"/>
      <c r="K183" s="10"/>
    </row>
    <row r="184" spans="1:11" s="4" customFormat="1" ht="30" customHeight="1">
      <c r="A184" s="9"/>
      <c r="B184" s="13" t="e">
        <f>VLOOKUP(Table24[[#This Row],[Location 
(drop-down)]],'List source'!D$2:E$71,2,FALSE)</f>
        <v>#N/A</v>
      </c>
      <c r="C184" s="17" t="s">
        <v>224</v>
      </c>
      <c r="D184" s="20" t="e">
        <f t="shared" si="2"/>
        <v>#N/A</v>
      </c>
      <c r="E184" s="11"/>
      <c r="F184" s="88"/>
      <c r="G184" s="16"/>
      <c r="H184" s="12"/>
      <c r="I184" s="12"/>
      <c r="J184" s="10"/>
      <c r="K184" s="10"/>
    </row>
    <row r="185" spans="1:11" s="4" customFormat="1" ht="30" customHeight="1">
      <c r="A185" s="9"/>
      <c r="B185" s="13" t="e">
        <f>VLOOKUP(Table24[[#This Row],[Location 
(drop-down)]],'List source'!D$2:E$71,2,FALSE)</f>
        <v>#N/A</v>
      </c>
      <c r="C185" s="17" t="s">
        <v>225</v>
      </c>
      <c r="D185" s="20" t="e">
        <f t="shared" si="2"/>
        <v>#N/A</v>
      </c>
      <c r="E185" s="11"/>
      <c r="F185" s="88"/>
      <c r="G185" s="16"/>
      <c r="H185" s="12"/>
      <c r="I185" s="12"/>
      <c r="J185" s="10"/>
      <c r="K185" s="10"/>
    </row>
    <row r="186" spans="1:11" s="4" customFormat="1" ht="30" customHeight="1">
      <c r="A186" s="9"/>
      <c r="B186" s="13" t="e">
        <f>VLOOKUP(Table24[[#This Row],[Location 
(drop-down)]],'List source'!D$2:E$71,2,FALSE)</f>
        <v>#N/A</v>
      </c>
      <c r="C186" s="17" t="s">
        <v>226</v>
      </c>
      <c r="D186" s="20" t="e">
        <f t="shared" si="2"/>
        <v>#N/A</v>
      </c>
      <c r="E186" s="11"/>
      <c r="F186" s="88"/>
      <c r="G186" s="16"/>
      <c r="H186" s="12"/>
      <c r="I186" s="12"/>
      <c r="J186" s="10"/>
      <c r="K186" s="10"/>
    </row>
    <row r="187" spans="1:11" s="4" customFormat="1" ht="30" customHeight="1">
      <c r="A187" s="9"/>
      <c r="B187" s="13" t="e">
        <f>VLOOKUP(Table24[[#This Row],[Location 
(drop-down)]],'List source'!D$2:E$71,2,FALSE)</f>
        <v>#N/A</v>
      </c>
      <c r="C187" s="17" t="s">
        <v>227</v>
      </c>
      <c r="D187" s="20" t="e">
        <f t="shared" si="2"/>
        <v>#N/A</v>
      </c>
      <c r="E187" s="11"/>
      <c r="F187" s="88"/>
      <c r="G187" s="16"/>
      <c r="H187" s="12"/>
      <c r="I187" s="12"/>
      <c r="J187" s="10"/>
      <c r="K187" s="10"/>
    </row>
    <row r="188" spans="1:11" s="4" customFormat="1" ht="30" customHeight="1">
      <c r="A188" s="9"/>
      <c r="B188" s="13" t="e">
        <f>VLOOKUP(Table24[[#This Row],[Location 
(drop-down)]],'List source'!D$2:E$71,2,FALSE)</f>
        <v>#N/A</v>
      </c>
      <c r="C188" s="17" t="s">
        <v>228</v>
      </c>
      <c r="D188" s="20" t="e">
        <f t="shared" si="2"/>
        <v>#N/A</v>
      </c>
      <c r="E188" s="11"/>
      <c r="F188" s="88"/>
      <c r="G188" s="16"/>
      <c r="H188" s="12"/>
      <c r="I188" s="12"/>
      <c r="J188" s="10"/>
      <c r="K188" s="10"/>
    </row>
    <row r="189" spans="1:11" s="4" customFormat="1" ht="30" customHeight="1">
      <c r="A189" s="9"/>
      <c r="B189" s="13" t="e">
        <f>VLOOKUP(Table24[[#This Row],[Location 
(drop-down)]],'List source'!D$2:E$71,2,FALSE)</f>
        <v>#N/A</v>
      </c>
      <c r="C189" s="17" t="s">
        <v>229</v>
      </c>
      <c r="D189" s="20" t="e">
        <f t="shared" si="2"/>
        <v>#N/A</v>
      </c>
      <c r="E189" s="11"/>
      <c r="F189" s="88"/>
      <c r="G189" s="16"/>
      <c r="H189" s="12"/>
      <c r="I189" s="12"/>
      <c r="J189" s="10"/>
      <c r="K189" s="10"/>
    </row>
    <row r="190" spans="1:11" s="4" customFormat="1" ht="30" customHeight="1">
      <c r="A190" s="9"/>
      <c r="B190" s="13" t="e">
        <f>VLOOKUP(Table24[[#This Row],[Location 
(drop-down)]],'List source'!D$2:E$71,2,FALSE)</f>
        <v>#N/A</v>
      </c>
      <c r="C190" s="17" t="s">
        <v>230</v>
      </c>
      <c r="D190" s="20" t="e">
        <f t="shared" si="2"/>
        <v>#N/A</v>
      </c>
      <c r="E190" s="11"/>
      <c r="F190" s="88"/>
      <c r="G190" s="16"/>
      <c r="H190" s="12"/>
      <c r="I190" s="12"/>
      <c r="J190" s="10"/>
      <c r="K190" s="10"/>
    </row>
    <row r="191" spans="1:11" s="4" customFormat="1" ht="30" customHeight="1">
      <c r="A191" s="9"/>
      <c r="B191" s="13" t="e">
        <f>VLOOKUP(Table24[[#This Row],[Location 
(drop-down)]],'List source'!D$2:E$71,2,FALSE)</f>
        <v>#N/A</v>
      </c>
      <c r="C191" s="17" t="s">
        <v>231</v>
      </c>
      <c r="D191" s="20" t="e">
        <f t="shared" si="2"/>
        <v>#N/A</v>
      </c>
      <c r="E191" s="11"/>
      <c r="F191" s="88"/>
      <c r="G191" s="16"/>
      <c r="H191" s="12"/>
      <c r="I191" s="12"/>
      <c r="J191" s="10"/>
      <c r="K191" s="10"/>
    </row>
    <row r="192" spans="1:11" s="4" customFormat="1" ht="30" customHeight="1">
      <c r="A192" s="9"/>
      <c r="B192" s="13" t="e">
        <f>VLOOKUP(Table24[[#This Row],[Location 
(drop-down)]],'List source'!D$2:E$71,2,FALSE)</f>
        <v>#N/A</v>
      </c>
      <c r="C192" s="17" t="s">
        <v>232</v>
      </c>
      <c r="D192" s="20" t="e">
        <f t="shared" si="2"/>
        <v>#N/A</v>
      </c>
      <c r="E192" s="11"/>
      <c r="F192" s="88"/>
      <c r="G192" s="16"/>
      <c r="H192" s="12"/>
      <c r="I192" s="12"/>
      <c r="J192" s="10"/>
      <c r="K192" s="10"/>
    </row>
    <row r="193" spans="1:11" s="4" customFormat="1" ht="30" customHeight="1">
      <c r="A193" s="9"/>
      <c r="B193" s="13" t="e">
        <f>VLOOKUP(Table24[[#This Row],[Location 
(drop-down)]],'List source'!D$2:E$71,2,FALSE)</f>
        <v>#N/A</v>
      </c>
      <c r="C193" s="17" t="s">
        <v>233</v>
      </c>
      <c r="D193" s="20" t="e">
        <f t="shared" si="2"/>
        <v>#N/A</v>
      </c>
      <c r="E193" s="11"/>
      <c r="F193" s="88"/>
      <c r="G193" s="16"/>
      <c r="H193" s="12"/>
      <c r="I193" s="12"/>
      <c r="J193" s="10"/>
      <c r="K193" s="10"/>
    </row>
    <row r="194" spans="1:11" s="4" customFormat="1" ht="30" customHeight="1">
      <c r="A194" s="9"/>
      <c r="B194" s="13" t="e">
        <f>VLOOKUP(Table24[[#This Row],[Location 
(drop-down)]],'List source'!D$2:E$71,2,FALSE)</f>
        <v>#N/A</v>
      </c>
      <c r="C194" s="17" t="s">
        <v>234</v>
      </c>
      <c r="D194" s="20" t="e">
        <f t="shared" ref="D194:D257" si="3">"P" &amp; C194 &amp; "-" &amp; B194 &amp; "-" &amp; "26"</f>
        <v>#N/A</v>
      </c>
      <c r="E194" s="11"/>
      <c r="F194" s="88"/>
      <c r="G194" s="16"/>
      <c r="H194" s="12"/>
      <c r="I194" s="12"/>
      <c r="J194" s="10"/>
      <c r="K194" s="10"/>
    </row>
    <row r="195" spans="1:11" s="4" customFormat="1" ht="30" customHeight="1">
      <c r="A195" s="9"/>
      <c r="B195" s="13" t="e">
        <f>VLOOKUP(Table24[[#This Row],[Location 
(drop-down)]],'List source'!D$2:E$71,2,FALSE)</f>
        <v>#N/A</v>
      </c>
      <c r="C195" s="17" t="s">
        <v>235</v>
      </c>
      <c r="D195" s="20" t="e">
        <f t="shared" si="3"/>
        <v>#N/A</v>
      </c>
      <c r="E195" s="11"/>
      <c r="F195" s="88"/>
      <c r="G195" s="16"/>
      <c r="H195" s="12"/>
      <c r="I195" s="12"/>
      <c r="J195" s="10"/>
      <c r="K195" s="10"/>
    </row>
    <row r="196" spans="1:11" s="4" customFormat="1" ht="30" customHeight="1">
      <c r="A196" s="9"/>
      <c r="B196" s="13" t="e">
        <f>VLOOKUP(Table24[[#This Row],[Location 
(drop-down)]],'List source'!D$2:E$71,2,FALSE)</f>
        <v>#N/A</v>
      </c>
      <c r="C196" s="17" t="s">
        <v>236</v>
      </c>
      <c r="D196" s="20" t="e">
        <f t="shared" si="3"/>
        <v>#N/A</v>
      </c>
      <c r="E196" s="11"/>
      <c r="F196" s="88"/>
      <c r="G196" s="16"/>
      <c r="H196" s="12"/>
      <c r="I196" s="12"/>
      <c r="J196" s="10"/>
      <c r="K196" s="10"/>
    </row>
    <row r="197" spans="1:11" s="4" customFormat="1" ht="30" customHeight="1">
      <c r="A197" s="9"/>
      <c r="B197" s="13" t="e">
        <f>VLOOKUP(Table24[[#This Row],[Location 
(drop-down)]],'List source'!D$2:E$71,2,FALSE)</f>
        <v>#N/A</v>
      </c>
      <c r="C197" s="17" t="s">
        <v>237</v>
      </c>
      <c r="D197" s="20" t="e">
        <f t="shared" si="3"/>
        <v>#N/A</v>
      </c>
      <c r="E197" s="11"/>
      <c r="F197" s="88"/>
      <c r="G197" s="16"/>
      <c r="H197" s="12"/>
      <c r="I197" s="12"/>
      <c r="J197" s="10"/>
      <c r="K197" s="10"/>
    </row>
    <row r="198" spans="1:11" s="4" customFormat="1" ht="30" customHeight="1">
      <c r="A198" s="9"/>
      <c r="B198" s="13" t="e">
        <f>VLOOKUP(Table24[[#This Row],[Location 
(drop-down)]],'List source'!D$2:E$71,2,FALSE)</f>
        <v>#N/A</v>
      </c>
      <c r="C198" s="17" t="s">
        <v>238</v>
      </c>
      <c r="D198" s="20" t="e">
        <f t="shared" si="3"/>
        <v>#N/A</v>
      </c>
      <c r="E198" s="11"/>
      <c r="F198" s="88"/>
      <c r="G198" s="16"/>
      <c r="H198" s="12"/>
      <c r="I198" s="12"/>
      <c r="J198" s="10"/>
      <c r="K198" s="10"/>
    </row>
    <row r="199" spans="1:11" s="4" customFormat="1" ht="30" customHeight="1">
      <c r="A199" s="9"/>
      <c r="B199" s="13" t="e">
        <f>VLOOKUP(Table24[[#This Row],[Location 
(drop-down)]],'List source'!D$2:E$71,2,FALSE)</f>
        <v>#N/A</v>
      </c>
      <c r="C199" s="17" t="s">
        <v>239</v>
      </c>
      <c r="D199" s="20" t="e">
        <f t="shared" si="3"/>
        <v>#N/A</v>
      </c>
      <c r="E199" s="11"/>
      <c r="F199" s="88"/>
      <c r="G199" s="16"/>
      <c r="H199" s="12"/>
      <c r="I199" s="12"/>
      <c r="J199" s="10"/>
      <c r="K199" s="10"/>
    </row>
    <row r="200" spans="1:11" s="4" customFormat="1" ht="30" customHeight="1">
      <c r="A200" s="9"/>
      <c r="B200" s="13" t="e">
        <f>VLOOKUP(Table24[[#This Row],[Location 
(drop-down)]],'List source'!D$2:E$71,2,FALSE)</f>
        <v>#N/A</v>
      </c>
      <c r="C200" s="17" t="s">
        <v>240</v>
      </c>
      <c r="D200" s="20" t="e">
        <f t="shared" si="3"/>
        <v>#N/A</v>
      </c>
      <c r="E200" s="11"/>
      <c r="F200" s="88"/>
      <c r="G200" s="16"/>
      <c r="H200" s="12"/>
      <c r="I200" s="12"/>
      <c r="J200" s="10"/>
      <c r="K200" s="10"/>
    </row>
    <row r="201" spans="1:11" s="4" customFormat="1" ht="30" customHeight="1">
      <c r="A201" s="9"/>
      <c r="B201" s="13" t="e">
        <f>VLOOKUP(Table24[[#This Row],[Location 
(drop-down)]],'List source'!D$2:E$71,2,FALSE)</f>
        <v>#N/A</v>
      </c>
      <c r="C201" s="17" t="s">
        <v>241</v>
      </c>
      <c r="D201" s="20" t="e">
        <f t="shared" si="3"/>
        <v>#N/A</v>
      </c>
      <c r="E201" s="11"/>
      <c r="F201" s="88"/>
      <c r="G201" s="16"/>
      <c r="H201" s="12"/>
      <c r="I201" s="12"/>
      <c r="J201" s="10"/>
      <c r="K201" s="10"/>
    </row>
    <row r="202" spans="1:11" s="4" customFormat="1" ht="30" customHeight="1">
      <c r="A202" s="9"/>
      <c r="B202" s="13" t="e">
        <f>VLOOKUP(Table24[[#This Row],[Location 
(drop-down)]],'List source'!D$2:E$71,2,FALSE)</f>
        <v>#N/A</v>
      </c>
      <c r="C202" s="17" t="s">
        <v>319</v>
      </c>
      <c r="D202" s="20" t="e">
        <f t="shared" si="3"/>
        <v>#N/A</v>
      </c>
      <c r="E202" s="11"/>
      <c r="F202" s="88"/>
      <c r="G202" s="16"/>
      <c r="H202" s="12"/>
      <c r="I202" s="12"/>
      <c r="J202" s="10"/>
      <c r="K202" s="10"/>
    </row>
    <row r="203" spans="1:11" s="4" customFormat="1" ht="30" customHeight="1">
      <c r="A203" s="9"/>
      <c r="B203" s="13" t="e">
        <f>VLOOKUP(Table24[[#This Row],[Location 
(drop-down)]],'List source'!D$2:E$71,2,FALSE)</f>
        <v>#N/A</v>
      </c>
      <c r="C203" s="17" t="s">
        <v>320</v>
      </c>
      <c r="D203" s="20" t="e">
        <f t="shared" si="3"/>
        <v>#N/A</v>
      </c>
      <c r="E203" s="11"/>
      <c r="F203" s="88"/>
      <c r="G203" s="16"/>
      <c r="H203" s="12"/>
      <c r="I203" s="12"/>
      <c r="J203" s="10"/>
      <c r="K203" s="10"/>
    </row>
    <row r="204" spans="1:11" s="4" customFormat="1" ht="30" customHeight="1">
      <c r="A204" s="9"/>
      <c r="B204" s="13" t="e">
        <f>VLOOKUP(Table24[[#This Row],[Location 
(drop-down)]],'List source'!D$2:E$71,2,FALSE)</f>
        <v>#N/A</v>
      </c>
      <c r="C204" s="17" t="s">
        <v>321</v>
      </c>
      <c r="D204" s="20" t="e">
        <f t="shared" si="3"/>
        <v>#N/A</v>
      </c>
      <c r="E204" s="11"/>
      <c r="F204" s="88"/>
      <c r="G204" s="14"/>
      <c r="H204" s="12"/>
      <c r="I204" s="12"/>
      <c r="J204" s="10"/>
      <c r="K204" s="10"/>
    </row>
    <row r="205" spans="1:11" s="4" customFormat="1" ht="30" customHeight="1">
      <c r="A205" s="9"/>
      <c r="B205" s="13" t="e">
        <f>VLOOKUP(Table24[[#This Row],[Location 
(drop-down)]],'List source'!D$2:E$71,2,FALSE)</f>
        <v>#N/A</v>
      </c>
      <c r="C205" s="17" t="s">
        <v>322</v>
      </c>
      <c r="D205" s="20" t="e">
        <f t="shared" si="3"/>
        <v>#N/A</v>
      </c>
      <c r="E205" s="11"/>
      <c r="F205" s="88"/>
      <c r="G205" s="16"/>
      <c r="H205" s="12"/>
      <c r="I205" s="12"/>
      <c r="J205" s="10"/>
      <c r="K205" s="10"/>
    </row>
    <row r="206" spans="1:11" s="4" customFormat="1" ht="30" customHeight="1">
      <c r="A206" s="9"/>
      <c r="B206" s="13" t="e">
        <f>VLOOKUP(Table24[[#This Row],[Location 
(drop-down)]],'List source'!D$2:E$71,2,FALSE)</f>
        <v>#N/A</v>
      </c>
      <c r="C206" s="17" t="s">
        <v>323</v>
      </c>
      <c r="D206" s="20" t="e">
        <f t="shared" si="3"/>
        <v>#N/A</v>
      </c>
      <c r="E206" s="11"/>
      <c r="F206" s="88"/>
      <c r="G206" s="16"/>
      <c r="H206" s="12"/>
      <c r="I206" s="12"/>
      <c r="J206" s="10"/>
      <c r="K206" s="10"/>
    </row>
    <row r="207" spans="1:11" s="4" customFormat="1" ht="30" customHeight="1">
      <c r="A207" s="9"/>
      <c r="B207" s="13" t="e">
        <f>VLOOKUP(Table24[[#This Row],[Location 
(drop-down)]],'List source'!D$2:E$71,2,FALSE)</f>
        <v>#N/A</v>
      </c>
      <c r="C207" s="17" t="s">
        <v>324</v>
      </c>
      <c r="D207" s="20" t="e">
        <f t="shared" si="3"/>
        <v>#N/A</v>
      </c>
      <c r="E207" s="11"/>
      <c r="F207" s="88"/>
      <c r="G207" s="16"/>
      <c r="H207" s="12"/>
      <c r="I207" s="12"/>
      <c r="J207" s="10"/>
      <c r="K207" s="10"/>
    </row>
    <row r="208" spans="1:11" s="4" customFormat="1" ht="30" customHeight="1">
      <c r="A208" s="9"/>
      <c r="B208" s="13" t="e">
        <f>VLOOKUP(Table24[[#This Row],[Location 
(drop-down)]],'List source'!D$2:E$71,2,FALSE)</f>
        <v>#N/A</v>
      </c>
      <c r="C208" s="17" t="s">
        <v>325</v>
      </c>
      <c r="D208" s="20" t="e">
        <f t="shared" si="3"/>
        <v>#N/A</v>
      </c>
      <c r="E208" s="11"/>
      <c r="F208" s="88"/>
      <c r="G208" s="12"/>
      <c r="H208" s="12"/>
      <c r="I208" s="12"/>
      <c r="J208" s="10"/>
      <c r="K208" s="10"/>
    </row>
    <row r="209" spans="1:11" s="4" customFormat="1" ht="30" customHeight="1">
      <c r="A209" s="9"/>
      <c r="B209" s="13" t="e">
        <f>VLOOKUP(Table24[[#This Row],[Location 
(drop-down)]],'List source'!D$2:E$71,2,FALSE)</f>
        <v>#N/A</v>
      </c>
      <c r="C209" s="17" t="s">
        <v>326</v>
      </c>
      <c r="D209" s="20" t="e">
        <f t="shared" si="3"/>
        <v>#N/A</v>
      </c>
      <c r="E209" s="11"/>
      <c r="F209" s="88"/>
      <c r="G209" s="12"/>
      <c r="H209" s="12"/>
      <c r="I209" s="12"/>
      <c r="J209" s="10"/>
      <c r="K209" s="10"/>
    </row>
    <row r="210" spans="1:11" s="4" customFormat="1" ht="30" customHeight="1">
      <c r="A210" s="9"/>
      <c r="B210" s="13" t="e">
        <f>VLOOKUP(Table24[[#This Row],[Location 
(drop-down)]],'List source'!D$2:E$71,2,FALSE)</f>
        <v>#N/A</v>
      </c>
      <c r="C210" s="17" t="s">
        <v>327</v>
      </c>
      <c r="D210" s="20" t="e">
        <f t="shared" si="3"/>
        <v>#N/A</v>
      </c>
      <c r="E210" s="11"/>
      <c r="F210" s="88"/>
      <c r="G210" s="16"/>
      <c r="H210" s="12"/>
      <c r="I210" s="12"/>
      <c r="J210" s="10"/>
      <c r="K210" s="10"/>
    </row>
    <row r="211" spans="1:11" s="4" customFormat="1" ht="30" customHeight="1">
      <c r="A211" s="9"/>
      <c r="B211" s="13" t="e">
        <f>VLOOKUP(Table24[[#This Row],[Location 
(drop-down)]],'List source'!D$2:E$71,2,FALSE)</f>
        <v>#N/A</v>
      </c>
      <c r="C211" s="17" t="s">
        <v>328</v>
      </c>
      <c r="D211" s="20" t="e">
        <f t="shared" si="3"/>
        <v>#N/A</v>
      </c>
      <c r="E211" s="11"/>
      <c r="F211" s="88"/>
      <c r="G211" s="16"/>
      <c r="H211" s="12"/>
      <c r="I211" s="12"/>
      <c r="J211" s="10"/>
      <c r="K211" s="10"/>
    </row>
    <row r="212" spans="1:11" s="4" customFormat="1" ht="30" customHeight="1">
      <c r="A212" s="9"/>
      <c r="B212" s="13" t="e">
        <f>VLOOKUP(Table24[[#This Row],[Location 
(drop-down)]],'List source'!D$2:E$71,2,FALSE)</f>
        <v>#N/A</v>
      </c>
      <c r="C212" s="17" t="s">
        <v>329</v>
      </c>
      <c r="D212" s="20" t="e">
        <f t="shared" si="3"/>
        <v>#N/A</v>
      </c>
      <c r="E212" s="11"/>
      <c r="F212" s="88"/>
      <c r="G212" s="16"/>
      <c r="H212" s="12"/>
      <c r="I212" s="12"/>
      <c r="J212" s="10"/>
      <c r="K212" s="10"/>
    </row>
    <row r="213" spans="1:11" s="4" customFormat="1" ht="30" customHeight="1">
      <c r="A213" s="9"/>
      <c r="B213" s="13" t="e">
        <f>VLOOKUP(Table24[[#This Row],[Location 
(drop-down)]],'List source'!D$2:E$71,2,FALSE)</f>
        <v>#N/A</v>
      </c>
      <c r="C213" s="17" t="s">
        <v>330</v>
      </c>
      <c r="D213" s="20" t="e">
        <f t="shared" si="3"/>
        <v>#N/A</v>
      </c>
      <c r="E213" s="11"/>
      <c r="F213" s="88"/>
      <c r="G213" s="16"/>
      <c r="H213" s="12"/>
      <c r="I213" s="12"/>
      <c r="J213" s="10"/>
      <c r="K213" s="10"/>
    </row>
    <row r="214" spans="1:11" s="4" customFormat="1" ht="30" customHeight="1">
      <c r="A214" s="9"/>
      <c r="B214" s="13" t="e">
        <f>VLOOKUP(Table24[[#This Row],[Location 
(drop-down)]],'List source'!D$2:E$71,2,FALSE)</f>
        <v>#N/A</v>
      </c>
      <c r="C214" s="17" t="s">
        <v>331</v>
      </c>
      <c r="D214" s="20" t="e">
        <f t="shared" si="3"/>
        <v>#N/A</v>
      </c>
      <c r="E214" s="11"/>
      <c r="F214" s="88"/>
      <c r="G214" s="16"/>
      <c r="H214" s="12"/>
      <c r="I214" s="12"/>
      <c r="J214" s="10"/>
      <c r="K214" s="10"/>
    </row>
    <row r="215" spans="1:11" s="4" customFormat="1" ht="30" customHeight="1">
      <c r="A215" s="9"/>
      <c r="B215" s="13" t="e">
        <f>VLOOKUP(Table24[[#This Row],[Location 
(drop-down)]],'List source'!D$2:E$71,2,FALSE)</f>
        <v>#N/A</v>
      </c>
      <c r="C215" s="17" t="s">
        <v>332</v>
      </c>
      <c r="D215" s="20" t="e">
        <f t="shared" si="3"/>
        <v>#N/A</v>
      </c>
      <c r="E215" s="11"/>
      <c r="F215" s="88"/>
      <c r="G215" s="16"/>
      <c r="H215" s="12"/>
      <c r="I215" s="12"/>
      <c r="J215" s="10"/>
      <c r="K215" s="10"/>
    </row>
    <row r="216" spans="1:11" s="4" customFormat="1" ht="30" customHeight="1">
      <c r="A216" s="9"/>
      <c r="B216" s="13" t="e">
        <f>VLOOKUP(Table24[[#This Row],[Location 
(drop-down)]],'List source'!D$2:E$71,2,FALSE)</f>
        <v>#N/A</v>
      </c>
      <c r="C216" s="17" t="s">
        <v>333</v>
      </c>
      <c r="D216" s="20" t="e">
        <f t="shared" si="3"/>
        <v>#N/A</v>
      </c>
      <c r="E216" s="11"/>
      <c r="F216" s="88"/>
      <c r="G216" s="16"/>
      <c r="H216" s="12"/>
      <c r="I216" s="12"/>
      <c r="J216" s="10"/>
      <c r="K216" s="10"/>
    </row>
    <row r="217" spans="1:11" s="4" customFormat="1" ht="30" customHeight="1">
      <c r="A217" s="9"/>
      <c r="B217" s="13" t="e">
        <f>VLOOKUP(Table24[[#This Row],[Location 
(drop-down)]],'List source'!D$2:E$71,2,FALSE)</f>
        <v>#N/A</v>
      </c>
      <c r="C217" s="17" t="s">
        <v>334</v>
      </c>
      <c r="D217" s="20" t="e">
        <f t="shared" si="3"/>
        <v>#N/A</v>
      </c>
      <c r="E217" s="11"/>
      <c r="F217" s="88"/>
      <c r="G217" s="16"/>
      <c r="H217" s="12"/>
      <c r="I217" s="12"/>
      <c r="J217" s="10"/>
      <c r="K217" s="10"/>
    </row>
    <row r="218" spans="1:11" s="4" customFormat="1" ht="30" customHeight="1">
      <c r="A218" s="9"/>
      <c r="B218" s="13" t="e">
        <f>VLOOKUP(Table24[[#This Row],[Location 
(drop-down)]],'List source'!D$2:E$71,2,FALSE)</f>
        <v>#N/A</v>
      </c>
      <c r="C218" s="17" t="s">
        <v>335</v>
      </c>
      <c r="D218" s="20" t="e">
        <f t="shared" si="3"/>
        <v>#N/A</v>
      </c>
      <c r="E218" s="11"/>
      <c r="F218" s="88"/>
      <c r="G218" s="16"/>
      <c r="H218" s="12"/>
      <c r="I218" s="12"/>
      <c r="J218" s="10"/>
      <c r="K218" s="10"/>
    </row>
    <row r="219" spans="1:11" s="4" customFormat="1" ht="30" customHeight="1">
      <c r="A219" s="9"/>
      <c r="B219" s="13" t="e">
        <f>VLOOKUP(Table24[[#This Row],[Location 
(drop-down)]],'List source'!D$2:E$71,2,FALSE)</f>
        <v>#N/A</v>
      </c>
      <c r="C219" s="17" t="s">
        <v>336</v>
      </c>
      <c r="D219" s="20" t="e">
        <f t="shared" si="3"/>
        <v>#N/A</v>
      </c>
      <c r="E219" s="11"/>
      <c r="F219" s="88"/>
      <c r="G219" s="16"/>
      <c r="H219" s="12"/>
      <c r="I219" s="12"/>
      <c r="J219" s="10"/>
      <c r="K219" s="10"/>
    </row>
    <row r="220" spans="1:11" s="4" customFormat="1" ht="30" customHeight="1">
      <c r="A220" s="9"/>
      <c r="B220" s="13" t="e">
        <f>VLOOKUP(Table24[[#This Row],[Location 
(drop-down)]],'List source'!D$2:E$71,2,FALSE)</f>
        <v>#N/A</v>
      </c>
      <c r="C220" s="17" t="s">
        <v>337</v>
      </c>
      <c r="D220" s="20" t="e">
        <f t="shared" si="3"/>
        <v>#N/A</v>
      </c>
      <c r="E220" s="11"/>
      <c r="G220" s="16"/>
      <c r="H220" s="12"/>
      <c r="I220" s="12"/>
      <c r="J220" s="10"/>
      <c r="K220" s="10"/>
    </row>
    <row r="221" spans="1:11" s="4" customFormat="1" ht="30" customHeight="1">
      <c r="A221" s="9"/>
      <c r="B221" s="13" t="e">
        <f>VLOOKUP(Table24[[#This Row],[Location 
(drop-down)]],'List source'!D$2:E$71,2,FALSE)</f>
        <v>#N/A</v>
      </c>
      <c r="C221" s="17" t="s">
        <v>338</v>
      </c>
      <c r="D221" s="20" t="e">
        <f t="shared" si="3"/>
        <v>#N/A</v>
      </c>
      <c r="E221" s="11"/>
      <c r="F221" s="88"/>
      <c r="G221" s="16"/>
      <c r="H221" s="12"/>
      <c r="I221" s="12"/>
      <c r="J221" s="10"/>
      <c r="K221" s="10"/>
    </row>
    <row r="222" spans="1:11" s="4" customFormat="1" ht="30" customHeight="1">
      <c r="A222" s="9"/>
      <c r="B222" s="13" t="e">
        <f>VLOOKUP(Table24[[#This Row],[Location 
(drop-down)]],'List source'!D$2:E$71,2,FALSE)</f>
        <v>#N/A</v>
      </c>
      <c r="C222" s="17" t="s">
        <v>339</v>
      </c>
      <c r="D222" s="20" t="e">
        <f t="shared" si="3"/>
        <v>#N/A</v>
      </c>
      <c r="E222" s="11"/>
      <c r="F222" s="88"/>
      <c r="G222" s="16"/>
      <c r="H222" s="12"/>
      <c r="I222" s="12"/>
      <c r="J222" s="10"/>
      <c r="K222" s="10"/>
    </row>
    <row r="223" spans="1:11" s="4" customFormat="1" ht="30" customHeight="1">
      <c r="A223" s="9"/>
      <c r="B223" s="13" t="e">
        <f>VLOOKUP(Table24[[#This Row],[Location 
(drop-down)]],'List source'!D$2:E$71,2,FALSE)</f>
        <v>#N/A</v>
      </c>
      <c r="C223" s="17" t="s">
        <v>340</v>
      </c>
      <c r="D223" s="20" t="e">
        <f t="shared" si="3"/>
        <v>#N/A</v>
      </c>
      <c r="E223" s="11"/>
      <c r="F223" s="88"/>
      <c r="G223" s="16"/>
      <c r="H223" s="12"/>
      <c r="I223" s="12"/>
      <c r="J223" s="10"/>
      <c r="K223" s="10"/>
    </row>
    <row r="224" spans="1:11" s="4" customFormat="1" ht="30" customHeight="1">
      <c r="A224" s="9"/>
      <c r="B224" s="13" t="e">
        <f>VLOOKUP(Table24[[#This Row],[Location 
(drop-down)]],'List source'!D$2:E$71,2,FALSE)</f>
        <v>#N/A</v>
      </c>
      <c r="C224" s="17" t="s">
        <v>341</v>
      </c>
      <c r="D224" s="20" t="e">
        <f t="shared" si="3"/>
        <v>#N/A</v>
      </c>
      <c r="E224" s="11"/>
      <c r="F224" s="88"/>
      <c r="G224" s="16"/>
      <c r="H224" s="12"/>
      <c r="I224" s="12"/>
      <c r="J224" s="10"/>
      <c r="K224" s="10"/>
    </row>
    <row r="225" spans="1:11" s="4" customFormat="1" ht="30" customHeight="1">
      <c r="A225" s="9"/>
      <c r="B225" s="13" t="e">
        <f>VLOOKUP(Table24[[#This Row],[Location 
(drop-down)]],'List source'!D$2:E$71,2,FALSE)</f>
        <v>#N/A</v>
      </c>
      <c r="C225" s="17" t="s">
        <v>342</v>
      </c>
      <c r="D225" s="20" t="e">
        <f t="shared" si="3"/>
        <v>#N/A</v>
      </c>
      <c r="E225" s="11"/>
      <c r="F225" s="88"/>
      <c r="G225" s="16"/>
      <c r="H225" s="12"/>
      <c r="I225" s="12"/>
      <c r="J225" s="10"/>
      <c r="K225" s="10"/>
    </row>
    <row r="226" spans="1:11" s="4" customFormat="1" ht="30" customHeight="1">
      <c r="A226" s="9"/>
      <c r="B226" s="13" t="e">
        <f>VLOOKUP(Table24[[#This Row],[Location 
(drop-down)]],'List source'!D$2:E$71,2,FALSE)</f>
        <v>#N/A</v>
      </c>
      <c r="C226" s="17" t="s">
        <v>343</v>
      </c>
      <c r="D226" s="20" t="e">
        <f t="shared" si="3"/>
        <v>#N/A</v>
      </c>
      <c r="E226" s="11"/>
      <c r="F226" s="88"/>
      <c r="G226" s="16"/>
      <c r="H226" s="12"/>
      <c r="I226" s="12"/>
      <c r="J226" s="10"/>
      <c r="K226" s="10"/>
    </row>
    <row r="227" spans="1:11" s="4" customFormat="1" ht="30" customHeight="1">
      <c r="A227" s="9"/>
      <c r="B227" s="13" t="e">
        <f>VLOOKUP(Table24[[#This Row],[Location 
(drop-down)]],'List source'!D$2:E$71,2,FALSE)</f>
        <v>#N/A</v>
      </c>
      <c r="C227" s="17" t="s">
        <v>344</v>
      </c>
      <c r="D227" s="20" t="e">
        <f t="shared" si="3"/>
        <v>#N/A</v>
      </c>
      <c r="E227" s="11"/>
      <c r="F227" s="88"/>
      <c r="G227" s="16"/>
      <c r="H227" s="12"/>
      <c r="I227" s="12"/>
      <c r="J227" s="10"/>
      <c r="K227" s="10"/>
    </row>
    <row r="228" spans="1:11" s="4" customFormat="1" ht="30" customHeight="1">
      <c r="A228" s="9"/>
      <c r="B228" s="13" t="e">
        <f>VLOOKUP(Table24[[#This Row],[Location 
(drop-down)]],'List source'!D$2:E$71,2,FALSE)</f>
        <v>#N/A</v>
      </c>
      <c r="C228" s="17" t="s">
        <v>345</v>
      </c>
      <c r="D228" s="20" t="e">
        <f t="shared" si="3"/>
        <v>#N/A</v>
      </c>
      <c r="E228" s="11"/>
      <c r="F228" s="88"/>
      <c r="G228" s="16"/>
      <c r="H228" s="12"/>
      <c r="I228" s="12"/>
      <c r="J228" s="10"/>
      <c r="K228" s="10"/>
    </row>
    <row r="229" spans="1:11" s="4" customFormat="1" ht="30" customHeight="1">
      <c r="A229" s="9"/>
      <c r="B229" s="13" t="e">
        <f>VLOOKUP(Table24[[#This Row],[Location 
(drop-down)]],'List source'!D$2:E$71,2,FALSE)</f>
        <v>#N/A</v>
      </c>
      <c r="C229" s="17" t="s">
        <v>346</v>
      </c>
      <c r="D229" s="20" t="e">
        <f t="shared" si="3"/>
        <v>#N/A</v>
      </c>
      <c r="E229" s="11"/>
      <c r="F229" s="88"/>
      <c r="G229" s="16"/>
      <c r="H229" s="12"/>
      <c r="I229" s="12"/>
      <c r="J229" s="10"/>
      <c r="K229" s="10"/>
    </row>
    <row r="230" spans="1:11" s="4" customFormat="1" ht="30" customHeight="1">
      <c r="A230" s="9"/>
      <c r="B230" s="13" t="e">
        <f>VLOOKUP(Table24[[#This Row],[Location 
(drop-down)]],'List source'!D$2:E$71,2,FALSE)</f>
        <v>#N/A</v>
      </c>
      <c r="C230" s="17" t="s">
        <v>347</v>
      </c>
      <c r="D230" s="20" t="e">
        <f t="shared" si="3"/>
        <v>#N/A</v>
      </c>
      <c r="E230" s="11"/>
      <c r="F230" s="88"/>
      <c r="G230" s="16"/>
      <c r="H230" s="12"/>
      <c r="I230" s="12"/>
      <c r="J230" s="10"/>
      <c r="K230" s="10"/>
    </row>
    <row r="231" spans="1:11" s="4" customFormat="1" ht="30" customHeight="1">
      <c r="A231" s="9"/>
      <c r="B231" s="13" t="e">
        <f>VLOOKUP(Table24[[#This Row],[Location 
(drop-down)]],'List source'!D$2:E$71,2,FALSE)</f>
        <v>#N/A</v>
      </c>
      <c r="C231" s="17" t="s">
        <v>348</v>
      </c>
      <c r="D231" s="20" t="e">
        <f t="shared" si="3"/>
        <v>#N/A</v>
      </c>
      <c r="E231" s="11"/>
      <c r="F231" s="88"/>
      <c r="G231" s="16"/>
      <c r="H231" s="12"/>
      <c r="I231" s="12"/>
      <c r="J231" s="10"/>
      <c r="K231" s="10"/>
    </row>
    <row r="232" spans="1:11" s="4" customFormat="1" ht="30" customHeight="1">
      <c r="A232" s="9"/>
      <c r="B232" s="13" t="e">
        <f>VLOOKUP(Table24[[#This Row],[Location 
(drop-down)]],'List source'!D$2:E$71,2,FALSE)</f>
        <v>#N/A</v>
      </c>
      <c r="C232" s="17" t="s">
        <v>349</v>
      </c>
      <c r="D232" s="20" t="e">
        <f t="shared" si="3"/>
        <v>#N/A</v>
      </c>
      <c r="E232" s="11"/>
      <c r="F232" s="88"/>
      <c r="G232" s="16"/>
      <c r="H232" s="12"/>
      <c r="I232" s="12"/>
      <c r="J232" s="10"/>
      <c r="K232" s="10"/>
    </row>
    <row r="233" spans="1:11" s="4" customFormat="1" ht="30" customHeight="1">
      <c r="A233" s="9"/>
      <c r="B233" s="13" t="e">
        <f>VLOOKUP(Table24[[#This Row],[Location 
(drop-down)]],'List source'!D$2:E$71,2,FALSE)</f>
        <v>#N/A</v>
      </c>
      <c r="C233" s="17" t="s">
        <v>350</v>
      </c>
      <c r="D233" s="20" t="e">
        <f t="shared" si="3"/>
        <v>#N/A</v>
      </c>
      <c r="E233" s="11"/>
      <c r="F233" s="88"/>
      <c r="G233" s="16"/>
      <c r="H233" s="12"/>
      <c r="I233" s="12"/>
      <c r="J233" s="10"/>
      <c r="K233" s="10"/>
    </row>
    <row r="234" spans="1:11" s="4" customFormat="1" ht="30" customHeight="1">
      <c r="A234" s="9"/>
      <c r="B234" s="13" t="e">
        <f>VLOOKUP(Table24[[#This Row],[Location 
(drop-down)]],'List source'!D$2:E$71,2,FALSE)</f>
        <v>#N/A</v>
      </c>
      <c r="C234" s="17" t="s">
        <v>351</v>
      </c>
      <c r="D234" s="20" t="e">
        <f t="shared" si="3"/>
        <v>#N/A</v>
      </c>
      <c r="E234" s="11"/>
      <c r="F234" s="88"/>
      <c r="G234" s="16"/>
      <c r="H234" s="12"/>
      <c r="I234" s="12"/>
      <c r="J234" s="10"/>
      <c r="K234" s="10"/>
    </row>
    <row r="235" spans="1:11" s="4" customFormat="1" ht="30" customHeight="1">
      <c r="A235" s="9"/>
      <c r="B235" s="13" t="e">
        <f>VLOOKUP(Table24[[#This Row],[Location 
(drop-down)]],'List source'!D$2:E$71,2,FALSE)</f>
        <v>#N/A</v>
      </c>
      <c r="C235" s="17" t="s">
        <v>352</v>
      </c>
      <c r="D235" s="20" t="e">
        <f t="shared" si="3"/>
        <v>#N/A</v>
      </c>
      <c r="E235" s="11"/>
      <c r="F235" s="88"/>
      <c r="G235" s="16"/>
      <c r="H235" s="12"/>
      <c r="I235" s="12"/>
      <c r="J235" s="10"/>
      <c r="K235" s="10"/>
    </row>
    <row r="236" spans="1:11" s="4" customFormat="1" ht="30" customHeight="1">
      <c r="A236" s="9"/>
      <c r="B236" s="13" t="e">
        <f>VLOOKUP(Table24[[#This Row],[Location 
(drop-down)]],'List source'!D$2:E$71,2,FALSE)</f>
        <v>#N/A</v>
      </c>
      <c r="C236" s="17" t="s">
        <v>353</v>
      </c>
      <c r="D236" s="20" t="e">
        <f t="shared" si="3"/>
        <v>#N/A</v>
      </c>
      <c r="E236" s="11"/>
      <c r="F236" s="88"/>
      <c r="G236" s="16"/>
      <c r="H236" s="12"/>
      <c r="I236" s="12"/>
      <c r="J236" s="10"/>
      <c r="K236" s="10"/>
    </row>
    <row r="237" spans="1:11" s="4" customFormat="1" ht="30" customHeight="1">
      <c r="A237" s="9"/>
      <c r="B237" s="13" t="e">
        <f>VLOOKUP(Table24[[#This Row],[Location 
(drop-down)]],'List source'!D$2:E$71,2,FALSE)</f>
        <v>#N/A</v>
      </c>
      <c r="C237" s="17" t="s">
        <v>354</v>
      </c>
      <c r="D237" s="20" t="e">
        <f t="shared" si="3"/>
        <v>#N/A</v>
      </c>
      <c r="E237" s="11"/>
      <c r="F237" s="88"/>
      <c r="G237" s="12"/>
      <c r="H237" s="12"/>
      <c r="I237" s="12"/>
      <c r="J237" s="10"/>
      <c r="K237" s="10"/>
    </row>
    <row r="238" spans="1:11" s="4" customFormat="1" ht="30" customHeight="1">
      <c r="A238" s="9"/>
      <c r="B238" s="13" t="e">
        <f>VLOOKUP(Table24[[#This Row],[Location 
(drop-down)]],'List source'!D$2:E$71,2,FALSE)</f>
        <v>#N/A</v>
      </c>
      <c r="C238" s="17" t="s">
        <v>355</v>
      </c>
      <c r="D238" s="20" t="e">
        <f t="shared" si="3"/>
        <v>#N/A</v>
      </c>
      <c r="E238" s="11"/>
      <c r="F238" s="88"/>
      <c r="G238" s="12"/>
      <c r="H238" s="12"/>
      <c r="I238" s="12"/>
      <c r="J238" s="10"/>
      <c r="K238" s="10"/>
    </row>
    <row r="239" spans="1:11" s="4" customFormat="1" ht="30" customHeight="1">
      <c r="A239" s="9"/>
      <c r="B239" s="13" t="e">
        <f>VLOOKUP(Table24[[#This Row],[Location 
(drop-down)]],'List source'!D$2:E$71,2,FALSE)</f>
        <v>#N/A</v>
      </c>
      <c r="C239" s="17" t="s">
        <v>356</v>
      </c>
      <c r="D239" s="20" t="e">
        <f t="shared" si="3"/>
        <v>#N/A</v>
      </c>
      <c r="E239" s="11"/>
      <c r="F239" s="88"/>
      <c r="G239" s="12"/>
      <c r="H239" s="12"/>
      <c r="I239" s="12"/>
      <c r="J239" s="10"/>
      <c r="K239" s="10"/>
    </row>
    <row r="240" spans="1:11" s="4" customFormat="1" ht="30" customHeight="1">
      <c r="A240" s="9"/>
      <c r="B240" s="13" t="e">
        <f>VLOOKUP(Table24[[#This Row],[Location 
(drop-down)]],'List source'!D$2:E$71,2,FALSE)</f>
        <v>#N/A</v>
      </c>
      <c r="C240" s="17" t="s">
        <v>357</v>
      </c>
      <c r="D240" s="20" t="e">
        <f t="shared" si="3"/>
        <v>#N/A</v>
      </c>
      <c r="E240" s="11"/>
      <c r="F240" s="88"/>
      <c r="G240" s="12"/>
      <c r="H240" s="12"/>
      <c r="I240" s="12"/>
      <c r="J240" s="10"/>
      <c r="K240" s="10"/>
    </row>
    <row r="241" spans="1:11" s="4" customFormat="1" ht="30" customHeight="1">
      <c r="A241" s="9"/>
      <c r="B241" s="13" t="e">
        <f>VLOOKUP(Table24[[#This Row],[Location 
(drop-down)]],'List source'!D$2:E$71,2,FALSE)</f>
        <v>#N/A</v>
      </c>
      <c r="C241" s="17" t="s">
        <v>358</v>
      </c>
      <c r="D241" s="20" t="e">
        <f t="shared" si="3"/>
        <v>#N/A</v>
      </c>
      <c r="E241" s="11"/>
      <c r="F241" s="88"/>
      <c r="G241" s="12"/>
      <c r="H241" s="12"/>
      <c r="I241" s="12"/>
      <c r="J241" s="10"/>
      <c r="K241" s="10"/>
    </row>
    <row r="242" spans="1:11" s="4" customFormat="1" ht="30" customHeight="1">
      <c r="A242" s="9"/>
      <c r="B242" s="13" t="e">
        <f>VLOOKUP(Table24[[#This Row],[Location 
(drop-down)]],'List source'!D$2:E$71,2,FALSE)</f>
        <v>#N/A</v>
      </c>
      <c r="C242" s="17" t="s">
        <v>359</v>
      </c>
      <c r="D242" s="20" t="e">
        <f t="shared" si="3"/>
        <v>#N/A</v>
      </c>
      <c r="E242" s="11"/>
      <c r="F242" s="88"/>
      <c r="G242" s="12"/>
      <c r="H242" s="12"/>
      <c r="I242" s="12"/>
      <c r="J242" s="10"/>
      <c r="K242" s="10"/>
    </row>
    <row r="243" spans="1:11" s="4" customFormat="1" ht="30" customHeight="1">
      <c r="A243" s="9"/>
      <c r="B243" s="13" t="e">
        <f>VLOOKUP(Table24[[#This Row],[Location 
(drop-down)]],'List source'!D$2:E$71,2,FALSE)</f>
        <v>#N/A</v>
      </c>
      <c r="C243" s="17" t="s">
        <v>360</v>
      </c>
      <c r="D243" s="20" t="e">
        <f t="shared" si="3"/>
        <v>#N/A</v>
      </c>
      <c r="E243" s="11"/>
      <c r="F243" s="88"/>
      <c r="G243" s="12"/>
      <c r="H243" s="12"/>
      <c r="I243" s="12"/>
      <c r="J243" s="10"/>
      <c r="K243" s="10"/>
    </row>
    <row r="244" spans="1:11" s="4" customFormat="1" ht="30" customHeight="1">
      <c r="A244" s="9"/>
      <c r="B244" s="13" t="e">
        <f>VLOOKUP(Table24[[#This Row],[Location 
(drop-down)]],'List source'!D$2:E$71,2,FALSE)</f>
        <v>#N/A</v>
      </c>
      <c r="C244" s="17" t="s">
        <v>361</v>
      </c>
      <c r="D244" s="20" t="e">
        <f t="shared" si="3"/>
        <v>#N/A</v>
      </c>
      <c r="E244" s="11"/>
      <c r="F244" s="88"/>
      <c r="G244" s="12"/>
      <c r="H244" s="12"/>
      <c r="I244" s="12"/>
      <c r="J244" s="10"/>
      <c r="K244" s="10"/>
    </row>
    <row r="245" spans="1:11" s="4" customFormat="1" ht="30" customHeight="1">
      <c r="A245" s="9"/>
      <c r="B245" s="13" t="e">
        <f>VLOOKUP(Table24[[#This Row],[Location 
(drop-down)]],'List source'!D$2:E$71,2,FALSE)</f>
        <v>#N/A</v>
      </c>
      <c r="C245" s="17" t="s">
        <v>362</v>
      </c>
      <c r="D245" s="20" t="e">
        <f t="shared" si="3"/>
        <v>#N/A</v>
      </c>
      <c r="E245" s="11"/>
      <c r="F245" s="88"/>
      <c r="G245" s="12"/>
      <c r="H245" s="12"/>
      <c r="I245" s="12"/>
      <c r="J245" s="10"/>
      <c r="K245" s="10"/>
    </row>
    <row r="246" spans="1:11" s="4" customFormat="1" ht="30" customHeight="1">
      <c r="A246" s="9"/>
      <c r="B246" s="13" t="e">
        <f>VLOOKUP(Table24[[#This Row],[Location 
(drop-down)]],'List source'!D$2:E$71,2,FALSE)</f>
        <v>#N/A</v>
      </c>
      <c r="C246" s="17" t="s">
        <v>363</v>
      </c>
      <c r="D246" s="20" t="e">
        <f t="shared" si="3"/>
        <v>#N/A</v>
      </c>
      <c r="E246" s="11"/>
      <c r="F246" s="88"/>
      <c r="G246" s="12"/>
      <c r="H246" s="12"/>
      <c r="I246" s="12"/>
      <c r="J246" s="10"/>
      <c r="K246" s="10"/>
    </row>
    <row r="247" spans="1:11" s="4" customFormat="1" ht="30" customHeight="1">
      <c r="A247" s="9"/>
      <c r="B247" s="13" t="e">
        <f>VLOOKUP(Table24[[#This Row],[Location 
(drop-down)]],'List source'!D$2:E$71,2,FALSE)</f>
        <v>#N/A</v>
      </c>
      <c r="C247" s="17" t="s">
        <v>364</v>
      </c>
      <c r="D247" s="20" t="e">
        <f t="shared" si="3"/>
        <v>#N/A</v>
      </c>
      <c r="E247" s="11"/>
      <c r="F247" s="88"/>
      <c r="G247" s="12"/>
      <c r="H247" s="12"/>
      <c r="I247" s="12"/>
      <c r="J247" s="10"/>
      <c r="K247" s="10"/>
    </row>
    <row r="248" spans="1:11" s="4" customFormat="1" ht="30" customHeight="1">
      <c r="A248" s="9"/>
      <c r="B248" s="13" t="e">
        <f>VLOOKUP(Table24[[#This Row],[Location 
(drop-down)]],'List source'!D$2:E$71,2,FALSE)</f>
        <v>#N/A</v>
      </c>
      <c r="C248" s="17" t="s">
        <v>365</v>
      </c>
      <c r="D248" s="20" t="e">
        <f t="shared" si="3"/>
        <v>#N/A</v>
      </c>
      <c r="E248" s="11"/>
      <c r="F248" s="88"/>
      <c r="G248" s="12"/>
      <c r="H248" s="12"/>
      <c r="I248" s="12"/>
      <c r="J248" s="10"/>
      <c r="K248" s="10"/>
    </row>
    <row r="249" spans="1:11" s="4" customFormat="1" ht="30" customHeight="1">
      <c r="A249" s="9"/>
      <c r="B249" s="13" t="e">
        <f>VLOOKUP(Table24[[#This Row],[Location 
(drop-down)]],'List source'!D$2:E$71,2,FALSE)</f>
        <v>#N/A</v>
      </c>
      <c r="C249" s="17" t="s">
        <v>366</v>
      </c>
      <c r="D249" s="20" t="e">
        <f t="shared" si="3"/>
        <v>#N/A</v>
      </c>
      <c r="E249" s="11"/>
      <c r="F249" s="88"/>
      <c r="G249" s="12"/>
      <c r="H249" s="12"/>
      <c r="I249" s="12"/>
      <c r="J249" s="10"/>
      <c r="K249" s="10"/>
    </row>
    <row r="250" spans="1:11" s="4" customFormat="1" ht="30" customHeight="1">
      <c r="A250" s="9"/>
      <c r="B250" s="13" t="e">
        <f>VLOOKUP(Table24[[#This Row],[Location 
(drop-down)]],'List source'!D$2:E$71,2,FALSE)</f>
        <v>#N/A</v>
      </c>
      <c r="C250" s="17" t="s">
        <v>367</v>
      </c>
      <c r="D250" s="20" t="e">
        <f t="shared" si="3"/>
        <v>#N/A</v>
      </c>
      <c r="E250" s="11"/>
      <c r="F250" s="88"/>
      <c r="G250" s="12"/>
      <c r="H250" s="12"/>
      <c r="I250" s="12"/>
      <c r="J250" s="10"/>
      <c r="K250" s="10"/>
    </row>
    <row r="251" spans="1:11" s="4" customFormat="1" ht="30" customHeight="1">
      <c r="A251" s="9"/>
      <c r="B251" s="13" t="e">
        <f>VLOOKUP(Table24[[#This Row],[Location 
(drop-down)]],'List source'!D$2:E$71,2,FALSE)</f>
        <v>#N/A</v>
      </c>
      <c r="C251" s="17" t="s">
        <v>368</v>
      </c>
      <c r="D251" s="20" t="e">
        <f t="shared" si="3"/>
        <v>#N/A</v>
      </c>
      <c r="E251" s="11"/>
      <c r="F251" s="88"/>
      <c r="G251" s="12"/>
      <c r="H251" s="12"/>
      <c r="I251" s="12"/>
      <c r="J251" s="10"/>
      <c r="K251" s="10"/>
    </row>
    <row r="252" spans="1:11" s="4" customFormat="1" ht="30" customHeight="1">
      <c r="A252" s="9"/>
      <c r="B252" s="13" t="e">
        <f>VLOOKUP(Table24[[#This Row],[Location 
(drop-down)]],'List source'!D$2:E$71,2,FALSE)</f>
        <v>#N/A</v>
      </c>
      <c r="C252" s="17" t="s">
        <v>369</v>
      </c>
      <c r="D252" s="20" t="e">
        <f t="shared" si="3"/>
        <v>#N/A</v>
      </c>
      <c r="E252" s="11"/>
      <c r="F252" s="88"/>
      <c r="G252" s="12"/>
      <c r="H252" s="12"/>
      <c r="I252" s="12"/>
      <c r="J252" s="10"/>
      <c r="K252" s="10"/>
    </row>
    <row r="253" spans="1:11" s="4" customFormat="1" ht="30" customHeight="1">
      <c r="A253" s="9"/>
      <c r="B253" s="13" t="e">
        <f>VLOOKUP(Table24[[#This Row],[Location 
(drop-down)]],'List source'!D$2:E$71,2,FALSE)</f>
        <v>#N/A</v>
      </c>
      <c r="C253" s="17" t="s">
        <v>370</v>
      </c>
      <c r="D253" s="20" t="e">
        <f t="shared" si="3"/>
        <v>#N/A</v>
      </c>
      <c r="E253" s="11"/>
      <c r="F253" s="88"/>
      <c r="G253" s="12"/>
      <c r="H253" s="12"/>
      <c r="I253" s="12"/>
      <c r="J253" s="10"/>
      <c r="K253" s="10"/>
    </row>
    <row r="254" spans="1:11" s="4" customFormat="1" ht="30" customHeight="1">
      <c r="A254" s="9"/>
      <c r="B254" s="13" t="e">
        <f>VLOOKUP(Table24[[#This Row],[Location 
(drop-down)]],'List source'!D$2:E$71,2,FALSE)</f>
        <v>#N/A</v>
      </c>
      <c r="C254" s="17" t="s">
        <v>371</v>
      </c>
      <c r="D254" s="20" t="e">
        <f t="shared" si="3"/>
        <v>#N/A</v>
      </c>
      <c r="E254" s="11"/>
      <c r="F254" s="88"/>
      <c r="G254" s="12"/>
      <c r="H254" s="12"/>
      <c r="I254" s="12"/>
      <c r="J254" s="10"/>
      <c r="K254" s="10"/>
    </row>
    <row r="255" spans="1:11" s="4" customFormat="1" ht="30" customHeight="1">
      <c r="A255" s="9"/>
      <c r="B255" s="13" t="e">
        <f>VLOOKUP(Table24[[#This Row],[Location 
(drop-down)]],'List source'!D$2:E$71,2,FALSE)</f>
        <v>#N/A</v>
      </c>
      <c r="C255" s="17" t="s">
        <v>372</v>
      </c>
      <c r="D255" s="20" t="e">
        <f t="shared" si="3"/>
        <v>#N/A</v>
      </c>
      <c r="E255" s="11"/>
      <c r="F255" s="88"/>
      <c r="G255" s="12"/>
      <c r="H255" s="12"/>
      <c r="I255" s="12"/>
      <c r="J255" s="10"/>
      <c r="K255" s="10"/>
    </row>
    <row r="256" spans="1:11" s="4" customFormat="1" ht="30" customHeight="1">
      <c r="A256" s="9"/>
      <c r="B256" s="13" t="e">
        <f>VLOOKUP(Table24[[#This Row],[Location 
(drop-down)]],'List source'!D$2:E$71,2,FALSE)</f>
        <v>#N/A</v>
      </c>
      <c r="C256" s="17" t="s">
        <v>373</v>
      </c>
      <c r="D256" s="20" t="e">
        <f t="shared" si="3"/>
        <v>#N/A</v>
      </c>
      <c r="E256" s="11"/>
      <c r="F256" s="88"/>
      <c r="G256" s="12"/>
      <c r="H256" s="12"/>
      <c r="I256" s="12"/>
      <c r="J256" s="10"/>
      <c r="K256" s="10"/>
    </row>
    <row r="257" spans="1:11" s="4" customFormat="1" ht="30" customHeight="1">
      <c r="A257" s="9"/>
      <c r="B257" s="13" t="e">
        <f>VLOOKUP(Table24[[#This Row],[Location 
(drop-down)]],'List source'!D$2:E$71,2,FALSE)</f>
        <v>#N/A</v>
      </c>
      <c r="C257" s="17" t="s">
        <v>374</v>
      </c>
      <c r="D257" s="20" t="e">
        <f t="shared" si="3"/>
        <v>#N/A</v>
      </c>
      <c r="E257" s="11"/>
      <c r="F257" s="88"/>
      <c r="G257" s="12"/>
      <c r="H257" s="12"/>
      <c r="I257" s="12"/>
      <c r="J257" s="10"/>
      <c r="K257" s="10"/>
    </row>
    <row r="258" spans="1:11" s="4" customFormat="1" ht="30" customHeight="1">
      <c r="A258" s="9"/>
      <c r="B258" s="13" t="e">
        <f>VLOOKUP(Table24[[#This Row],[Location 
(drop-down)]],'List source'!D$2:E$71,2,FALSE)</f>
        <v>#N/A</v>
      </c>
      <c r="C258" s="17" t="s">
        <v>375</v>
      </c>
      <c r="D258" s="20" t="e">
        <f t="shared" ref="D258:D321" si="4">"P" &amp; C258 &amp; "-" &amp; B258 &amp; "-" &amp; "26"</f>
        <v>#N/A</v>
      </c>
      <c r="E258" s="11"/>
      <c r="F258" s="88"/>
      <c r="G258" s="12"/>
      <c r="H258" s="12"/>
      <c r="I258" s="12"/>
      <c r="J258" s="10"/>
      <c r="K258" s="10"/>
    </row>
    <row r="259" spans="1:11" s="4" customFormat="1" ht="30" customHeight="1">
      <c r="A259" s="9"/>
      <c r="B259" s="13" t="e">
        <f>VLOOKUP(Table24[[#This Row],[Location 
(drop-down)]],'List source'!D$2:E$71,2,FALSE)</f>
        <v>#N/A</v>
      </c>
      <c r="C259" s="17" t="s">
        <v>376</v>
      </c>
      <c r="D259" s="20" t="e">
        <f t="shared" si="4"/>
        <v>#N/A</v>
      </c>
      <c r="E259" s="11"/>
      <c r="F259" s="88"/>
      <c r="G259" s="12"/>
      <c r="H259" s="12"/>
      <c r="I259" s="12"/>
      <c r="J259" s="10"/>
      <c r="K259" s="10"/>
    </row>
    <row r="260" spans="1:11" s="4" customFormat="1" ht="30" customHeight="1">
      <c r="A260" s="9"/>
      <c r="B260" s="13" t="e">
        <f>VLOOKUP(Table24[[#This Row],[Location 
(drop-down)]],'List source'!D$2:E$71,2,FALSE)</f>
        <v>#N/A</v>
      </c>
      <c r="C260" s="17" t="s">
        <v>377</v>
      </c>
      <c r="D260" s="20" t="e">
        <f t="shared" si="4"/>
        <v>#N/A</v>
      </c>
      <c r="E260" s="11"/>
      <c r="F260" s="88"/>
      <c r="G260" s="12"/>
      <c r="H260" s="12"/>
      <c r="I260" s="12"/>
      <c r="J260" s="10"/>
      <c r="K260" s="10"/>
    </row>
    <row r="261" spans="1:11" s="4" customFormat="1" ht="30" customHeight="1">
      <c r="A261" s="9"/>
      <c r="B261" s="13" t="e">
        <f>VLOOKUP(Table24[[#This Row],[Location 
(drop-down)]],'List source'!D$2:E$71,2,FALSE)</f>
        <v>#N/A</v>
      </c>
      <c r="C261" s="17" t="s">
        <v>378</v>
      </c>
      <c r="D261" s="20" t="e">
        <f t="shared" si="4"/>
        <v>#N/A</v>
      </c>
      <c r="E261" s="11"/>
      <c r="F261" s="88"/>
      <c r="G261" s="12"/>
      <c r="H261" s="12"/>
      <c r="I261" s="12"/>
      <c r="J261" s="10"/>
      <c r="K261" s="10"/>
    </row>
    <row r="262" spans="1:11" s="4" customFormat="1" ht="30" customHeight="1">
      <c r="A262" s="9"/>
      <c r="B262" s="13" t="e">
        <f>VLOOKUP(Table24[[#This Row],[Location 
(drop-down)]],'List source'!D$2:E$71,2,FALSE)</f>
        <v>#N/A</v>
      </c>
      <c r="C262" s="17" t="s">
        <v>379</v>
      </c>
      <c r="D262" s="20" t="e">
        <f t="shared" si="4"/>
        <v>#N/A</v>
      </c>
      <c r="E262" s="11"/>
      <c r="F262" s="88"/>
      <c r="G262" s="12"/>
      <c r="H262" s="12"/>
      <c r="I262" s="12"/>
      <c r="J262" s="10"/>
      <c r="K262" s="10"/>
    </row>
    <row r="263" spans="1:11" s="4" customFormat="1" ht="30" customHeight="1">
      <c r="A263" s="9"/>
      <c r="B263" s="13" t="e">
        <f>VLOOKUP(Table24[[#This Row],[Location 
(drop-down)]],'List source'!D$2:E$71,2,FALSE)</f>
        <v>#N/A</v>
      </c>
      <c r="C263" s="17" t="s">
        <v>380</v>
      </c>
      <c r="D263" s="20" t="e">
        <f t="shared" si="4"/>
        <v>#N/A</v>
      </c>
      <c r="E263" s="11"/>
      <c r="F263" s="88"/>
      <c r="G263" s="12"/>
      <c r="H263" s="12"/>
      <c r="I263" s="12"/>
      <c r="J263" s="10"/>
      <c r="K263" s="10"/>
    </row>
    <row r="264" spans="1:11" s="4" customFormat="1" ht="30" customHeight="1">
      <c r="A264" s="9"/>
      <c r="B264" s="13" t="e">
        <f>VLOOKUP(Table24[[#This Row],[Location 
(drop-down)]],'List source'!D$2:E$71,2,FALSE)</f>
        <v>#N/A</v>
      </c>
      <c r="C264" s="17" t="s">
        <v>381</v>
      </c>
      <c r="D264" s="20" t="e">
        <f t="shared" si="4"/>
        <v>#N/A</v>
      </c>
      <c r="E264" s="11"/>
      <c r="F264" s="88"/>
      <c r="G264" s="12"/>
      <c r="H264" s="12"/>
      <c r="I264" s="12"/>
      <c r="J264" s="10"/>
      <c r="K264" s="10"/>
    </row>
    <row r="265" spans="1:11" s="4" customFormat="1" ht="30" customHeight="1">
      <c r="A265" s="9"/>
      <c r="B265" s="13" t="e">
        <f>VLOOKUP(Table24[[#This Row],[Location 
(drop-down)]],'List source'!D$2:E$71,2,FALSE)</f>
        <v>#N/A</v>
      </c>
      <c r="C265" s="17" t="s">
        <v>382</v>
      </c>
      <c r="D265" s="20" t="e">
        <f t="shared" si="4"/>
        <v>#N/A</v>
      </c>
      <c r="E265" s="11"/>
      <c r="F265" s="88"/>
      <c r="G265" s="12"/>
      <c r="H265" s="12"/>
      <c r="I265" s="12"/>
      <c r="J265" s="10"/>
      <c r="K265" s="10"/>
    </row>
    <row r="266" spans="1:11" s="4" customFormat="1" ht="30" customHeight="1">
      <c r="A266" s="9"/>
      <c r="B266" s="13" t="e">
        <f>VLOOKUP(Table24[[#This Row],[Location 
(drop-down)]],'List source'!D$2:E$71,2,FALSE)</f>
        <v>#N/A</v>
      </c>
      <c r="C266" s="17" t="s">
        <v>383</v>
      </c>
      <c r="D266" s="20" t="e">
        <f t="shared" si="4"/>
        <v>#N/A</v>
      </c>
      <c r="E266" s="11"/>
      <c r="F266" s="88"/>
      <c r="G266" s="12"/>
      <c r="H266" s="12"/>
      <c r="I266" s="12"/>
      <c r="J266" s="10"/>
      <c r="K266" s="10"/>
    </row>
    <row r="267" spans="1:11" s="4" customFormat="1" ht="30" customHeight="1">
      <c r="A267" s="9"/>
      <c r="B267" s="13" t="e">
        <f>VLOOKUP(Table24[[#This Row],[Location 
(drop-down)]],'List source'!D$2:E$71,2,FALSE)</f>
        <v>#N/A</v>
      </c>
      <c r="C267" s="17" t="s">
        <v>384</v>
      </c>
      <c r="D267" s="20" t="e">
        <f t="shared" si="4"/>
        <v>#N/A</v>
      </c>
      <c r="E267" s="11"/>
      <c r="F267" s="88"/>
      <c r="G267" s="12"/>
      <c r="H267" s="12"/>
      <c r="I267" s="12"/>
      <c r="J267" s="10"/>
      <c r="K267" s="10"/>
    </row>
    <row r="268" spans="1:11" s="4" customFormat="1" ht="30" customHeight="1">
      <c r="A268" s="9"/>
      <c r="B268" s="13" t="e">
        <f>VLOOKUP(Table24[[#This Row],[Location 
(drop-down)]],'List source'!D$2:E$71,2,FALSE)</f>
        <v>#N/A</v>
      </c>
      <c r="C268" s="17" t="s">
        <v>385</v>
      </c>
      <c r="D268" s="20" t="e">
        <f t="shared" si="4"/>
        <v>#N/A</v>
      </c>
      <c r="E268" s="11"/>
      <c r="F268" s="88"/>
      <c r="G268" s="12"/>
      <c r="H268" s="12"/>
      <c r="I268" s="12"/>
      <c r="J268" s="10"/>
      <c r="K268" s="10"/>
    </row>
    <row r="269" spans="1:11" s="4" customFormat="1" ht="30" customHeight="1">
      <c r="A269" s="9"/>
      <c r="B269" s="13" t="e">
        <f>VLOOKUP(Table24[[#This Row],[Location 
(drop-down)]],'List source'!D$2:E$71,2,FALSE)</f>
        <v>#N/A</v>
      </c>
      <c r="C269" s="17" t="s">
        <v>386</v>
      </c>
      <c r="D269" s="20" t="e">
        <f t="shared" si="4"/>
        <v>#N/A</v>
      </c>
      <c r="E269" s="11"/>
      <c r="F269" s="88"/>
      <c r="G269" s="12"/>
      <c r="H269" s="12"/>
      <c r="I269" s="12"/>
      <c r="J269" s="10"/>
      <c r="K269" s="10"/>
    </row>
    <row r="270" spans="1:11" s="4" customFormat="1" ht="30" customHeight="1">
      <c r="A270" s="9"/>
      <c r="B270" s="13" t="e">
        <f>VLOOKUP(Table24[[#This Row],[Location 
(drop-down)]],'List source'!D$2:E$71,2,FALSE)</f>
        <v>#N/A</v>
      </c>
      <c r="C270" s="17" t="s">
        <v>387</v>
      </c>
      <c r="D270" s="20" t="e">
        <f t="shared" si="4"/>
        <v>#N/A</v>
      </c>
      <c r="E270" s="11"/>
      <c r="F270" s="88"/>
      <c r="G270" s="12"/>
      <c r="H270" s="12"/>
      <c r="I270" s="12"/>
      <c r="J270" s="10"/>
      <c r="K270" s="10"/>
    </row>
    <row r="271" spans="1:11" s="4" customFormat="1" ht="30" customHeight="1">
      <c r="A271" s="9"/>
      <c r="B271" s="13" t="e">
        <f>VLOOKUP(Table24[[#This Row],[Location 
(drop-down)]],'List source'!D$2:E$71,2,FALSE)</f>
        <v>#N/A</v>
      </c>
      <c r="C271" s="17" t="s">
        <v>388</v>
      </c>
      <c r="D271" s="20" t="e">
        <f t="shared" si="4"/>
        <v>#N/A</v>
      </c>
      <c r="E271" s="11"/>
      <c r="F271" s="88"/>
      <c r="G271" s="12"/>
      <c r="H271" s="12"/>
      <c r="I271" s="12"/>
      <c r="J271" s="10"/>
      <c r="K271" s="10"/>
    </row>
    <row r="272" spans="1:11" s="4" customFormat="1" ht="30" customHeight="1">
      <c r="A272" s="9"/>
      <c r="B272" s="13" t="e">
        <f>VLOOKUP(Table24[[#This Row],[Location 
(drop-down)]],'List source'!D$2:E$71,2,FALSE)</f>
        <v>#N/A</v>
      </c>
      <c r="C272" s="17" t="s">
        <v>389</v>
      </c>
      <c r="D272" s="20" t="e">
        <f t="shared" si="4"/>
        <v>#N/A</v>
      </c>
      <c r="E272" s="11"/>
      <c r="F272" s="88"/>
      <c r="G272" s="12"/>
      <c r="H272" s="12"/>
      <c r="I272" s="12"/>
      <c r="J272" s="10"/>
      <c r="K272" s="10"/>
    </row>
    <row r="273" spans="1:11" s="4" customFormat="1" ht="30" customHeight="1">
      <c r="A273" s="9"/>
      <c r="B273" s="13" t="e">
        <f>VLOOKUP(Table24[[#This Row],[Location 
(drop-down)]],'List source'!D$2:E$71,2,FALSE)</f>
        <v>#N/A</v>
      </c>
      <c r="C273" s="17" t="s">
        <v>390</v>
      </c>
      <c r="D273" s="20" t="e">
        <f t="shared" si="4"/>
        <v>#N/A</v>
      </c>
      <c r="E273" s="11"/>
      <c r="F273" s="88"/>
      <c r="G273" s="12"/>
      <c r="H273" s="12"/>
      <c r="I273" s="12"/>
      <c r="J273" s="10"/>
      <c r="K273" s="10"/>
    </row>
    <row r="274" spans="1:11" s="4" customFormat="1" ht="30" customHeight="1">
      <c r="A274" s="9"/>
      <c r="B274" s="13" t="e">
        <f>VLOOKUP(Table24[[#This Row],[Location 
(drop-down)]],'List source'!D$2:E$71,2,FALSE)</f>
        <v>#N/A</v>
      </c>
      <c r="C274" s="17" t="s">
        <v>391</v>
      </c>
      <c r="D274" s="20" t="e">
        <f t="shared" si="4"/>
        <v>#N/A</v>
      </c>
      <c r="E274" s="11"/>
      <c r="F274" s="88"/>
      <c r="G274" s="12"/>
      <c r="H274" s="12"/>
      <c r="I274" s="12"/>
      <c r="J274" s="10"/>
      <c r="K274" s="10"/>
    </row>
    <row r="275" spans="1:11" s="4" customFormat="1" ht="30" customHeight="1">
      <c r="A275" s="9"/>
      <c r="B275" s="13" t="e">
        <f>VLOOKUP(Table24[[#This Row],[Location 
(drop-down)]],'List source'!D$2:E$71,2,FALSE)</f>
        <v>#N/A</v>
      </c>
      <c r="C275" s="17" t="s">
        <v>392</v>
      </c>
      <c r="D275" s="20" t="e">
        <f t="shared" si="4"/>
        <v>#N/A</v>
      </c>
      <c r="E275" s="11"/>
      <c r="F275" s="88"/>
      <c r="G275" s="12"/>
      <c r="H275" s="12"/>
      <c r="I275" s="12"/>
      <c r="J275" s="10"/>
      <c r="K275" s="10"/>
    </row>
    <row r="276" spans="1:11" s="4" customFormat="1" ht="30" customHeight="1">
      <c r="A276" s="9"/>
      <c r="B276" s="13" t="e">
        <f>VLOOKUP(Table24[[#This Row],[Location 
(drop-down)]],'List source'!D$2:E$71,2,FALSE)</f>
        <v>#N/A</v>
      </c>
      <c r="C276" s="17" t="s">
        <v>393</v>
      </c>
      <c r="D276" s="20" t="e">
        <f t="shared" si="4"/>
        <v>#N/A</v>
      </c>
      <c r="E276" s="11"/>
      <c r="F276" s="88"/>
      <c r="G276" s="12"/>
      <c r="H276" s="12"/>
      <c r="I276" s="12"/>
      <c r="J276" s="10"/>
      <c r="K276" s="10"/>
    </row>
    <row r="277" spans="1:11" s="4" customFormat="1" ht="30" customHeight="1">
      <c r="A277" s="9"/>
      <c r="B277" s="13" t="e">
        <f>VLOOKUP(Table24[[#This Row],[Location 
(drop-down)]],'List source'!D$2:E$71,2,FALSE)</f>
        <v>#N/A</v>
      </c>
      <c r="C277" s="17" t="s">
        <v>394</v>
      </c>
      <c r="D277" s="20" t="e">
        <f t="shared" si="4"/>
        <v>#N/A</v>
      </c>
      <c r="E277" s="11"/>
      <c r="F277" s="88"/>
      <c r="G277" s="12"/>
      <c r="H277" s="12"/>
      <c r="I277" s="12"/>
      <c r="J277" s="10"/>
      <c r="K277" s="10"/>
    </row>
    <row r="278" spans="1:11" s="4" customFormat="1" ht="30" customHeight="1">
      <c r="A278" s="9"/>
      <c r="B278" s="13" t="e">
        <f>VLOOKUP(Table24[[#This Row],[Location 
(drop-down)]],'List source'!D$2:E$71,2,FALSE)</f>
        <v>#N/A</v>
      </c>
      <c r="C278" s="17" t="s">
        <v>395</v>
      </c>
      <c r="D278" s="20" t="e">
        <f t="shared" si="4"/>
        <v>#N/A</v>
      </c>
      <c r="E278" s="11"/>
      <c r="F278" s="88"/>
      <c r="G278" s="12"/>
      <c r="H278" s="12"/>
      <c r="I278" s="12"/>
      <c r="J278" s="10"/>
      <c r="K278" s="10"/>
    </row>
    <row r="279" spans="1:11" s="4" customFormat="1" ht="30" customHeight="1">
      <c r="A279" s="9"/>
      <c r="B279" s="13" t="e">
        <f>VLOOKUP(Table24[[#This Row],[Location 
(drop-down)]],'List source'!D$2:E$71,2,FALSE)</f>
        <v>#N/A</v>
      </c>
      <c r="C279" s="17" t="s">
        <v>396</v>
      </c>
      <c r="D279" s="20" t="e">
        <f t="shared" si="4"/>
        <v>#N/A</v>
      </c>
      <c r="E279" s="11"/>
      <c r="F279" s="88"/>
      <c r="G279" s="12"/>
      <c r="H279" s="12"/>
      <c r="I279" s="12"/>
      <c r="J279" s="10"/>
      <c r="K279" s="10"/>
    </row>
    <row r="280" spans="1:11" s="4" customFormat="1" ht="30" customHeight="1">
      <c r="A280" s="9"/>
      <c r="B280" s="13" t="e">
        <f>VLOOKUP(Table24[[#This Row],[Location 
(drop-down)]],'List source'!D$2:E$71,2,FALSE)</f>
        <v>#N/A</v>
      </c>
      <c r="C280" s="17" t="s">
        <v>397</v>
      </c>
      <c r="D280" s="20" t="e">
        <f t="shared" si="4"/>
        <v>#N/A</v>
      </c>
      <c r="E280" s="11"/>
      <c r="F280" s="88"/>
      <c r="G280" s="12"/>
      <c r="H280" s="12"/>
      <c r="I280" s="12"/>
      <c r="J280" s="10"/>
      <c r="K280" s="10"/>
    </row>
    <row r="281" spans="1:11" s="4" customFormat="1" ht="30" customHeight="1">
      <c r="A281" s="9"/>
      <c r="B281" s="13" t="e">
        <f>VLOOKUP(Table24[[#This Row],[Location 
(drop-down)]],'List source'!D$2:E$71,2,FALSE)</f>
        <v>#N/A</v>
      </c>
      <c r="C281" s="17" t="s">
        <v>398</v>
      </c>
      <c r="D281" s="20" t="e">
        <f t="shared" si="4"/>
        <v>#N/A</v>
      </c>
      <c r="E281" s="11"/>
      <c r="F281" s="88"/>
      <c r="G281" s="12"/>
      <c r="H281" s="12"/>
      <c r="I281" s="12"/>
      <c r="J281" s="10"/>
      <c r="K281" s="10"/>
    </row>
    <row r="282" spans="1:11" s="4" customFormat="1" ht="30" customHeight="1">
      <c r="A282" s="9"/>
      <c r="B282" s="13" t="e">
        <f>VLOOKUP(Table24[[#This Row],[Location 
(drop-down)]],'List source'!D$2:E$71,2,FALSE)</f>
        <v>#N/A</v>
      </c>
      <c r="C282" s="17" t="s">
        <v>399</v>
      </c>
      <c r="D282" s="20" t="e">
        <f t="shared" si="4"/>
        <v>#N/A</v>
      </c>
      <c r="E282" s="11"/>
      <c r="F282" s="88"/>
      <c r="G282" s="12"/>
      <c r="H282" s="12"/>
      <c r="I282" s="12"/>
      <c r="J282" s="10"/>
      <c r="K282" s="10"/>
    </row>
    <row r="283" spans="1:11" s="4" customFormat="1" ht="30" customHeight="1">
      <c r="A283" s="9"/>
      <c r="B283" s="13" t="e">
        <f>VLOOKUP(Table24[[#This Row],[Location 
(drop-down)]],'List source'!D$2:E$71,2,FALSE)</f>
        <v>#N/A</v>
      </c>
      <c r="C283" s="17" t="s">
        <v>400</v>
      </c>
      <c r="D283" s="20" t="e">
        <f t="shared" si="4"/>
        <v>#N/A</v>
      </c>
      <c r="E283" s="11"/>
      <c r="F283" s="88"/>
      <c r="G283" s="12"/>
      <c r="H283" s="12"/>
      <c r="I283" s="12"/>
      <c r="J283" s="10"/>
      <c r="K283" s="10"/>
    </row>
    <row r="284" spans="1:11" s="4" customFormat="1" ht="30" customHeight="1">
      <c r="A284" s="9"/>
      <c r="B284" s="13" t="e">
        <f>VLOOKUP(Table24[[#This Row],[Location 
(drop-down)]],'List source'!D$2:E$71,2,FALSE)</f>
        <v>#N/A</v>
      </c>
      <c r="C284" s="17" t="s">
        <v>401</v>
      </c>
      <c r="D284" s="20" t="e">
        <f t="shared" si="4"/>
        <v>#N/A</v>
      </c>
      <c r="E284" s="11"/>
      <c r="F284" s="88"/>
      <c r="G284" s="12"/>
      <c r="H284" s="12"/>
      <c r="I284" s="12"/>
      <c r="J284" s="10"/>
      <c r="K284" s="10"/>
    </row>
    <row r="285" spans="1:11" s="4" customFormat="1" ht="30" customHeight="1">
      <c r="A285" s="9"/>
      <c r="B285" s="13" t="e">
        <f>VLOOKUP(Table24[[#This Row],[Location 
(drop-down)]],'List source'!D$2:E$71,2,FALSE)</f>
        <v>#N/A</v>
      </c>
      <c r="C285" s="17" t="s">
        <v>402</v>
      </c>
      <c r="D285" s="20" t="e">
        <f t="shared" si="4"/>
        <v>#N/A</v>
      </c>
      <c r="E285" s="11"/>
      <c r="F285" s="88"/>
      <c r="G285" s="12"/>
      <c r="H285" s="12"/>
      <c r="I285" s="12"/>
      <c r="J285" s="10"/>
      <c r="K285" s="10"/>
    </row>
    <row r="286" spans="1:11" s="4" customFormat="1" ht="30" customHeight="1">
      <c r="A286" s="9"/>
      <c r="B286" s="13" t="e">
        <f>VLOOKUP(Table24[[#This Row],[Location 
(drop-down)]],'List source'!D$2:E$71,2,FALSE)</f>
        <v>#N/A</v>
      </c>
      <c r="C286" s="17" t="s">
        <v>403</v>
      </c>
      <c r="D286" s="20" t="e">
        <f t="shared" si="4"/>
        <v>#N/A</v>
      </c>
      <c r="E286" s="11"/>
      <c r="F286" s="88"/>
      <c r="G286" s="12"/>
      <c r="H286" s="12"/>
      <c r="I286" s="12"/>
      <c r="J286" s="10"/>
      <c r="K286" s="10"/>
    </row>
    <row r="287" spans="1:11" s="4" customFormat="1" ht="30" customHeight="1">
      <c r="A287" s="9"/>
      <c r="B287" s="13" t="e">
        <f>VLOOKUP(Table24[[#This Row],[Location 
(drop-down)]],'List source'!D$2:E$71,2,FALSE)</f>
        <v>#N/A</v>
      </c>
      <c r="C287" s="17" t="s">
        <v>404</v>
      </c>
      <c r="D287" s="20" t="e">
        <f t="shared" si="4"/>
        <v>#N/A</v>
      </c>
      <c r="E287" s="11"/>
      <c r="F287" s="88"/>
      <c r="G287" s="12"/>
      <c r="H287" s="12"/>
      <c r="I287" s="12"/>
      <c r="J287" s="10"/>
      <c r="K287" s="10"/>
    </row>
    <row r="288" spans="1:11" s="4" customFormat="1" ht="30" customHeight="1">
      <c r="A288" s="9"/>
      <c r="B288" s="13" t="e">
        <f>VLOOKUP(Table24[[#This Row],[Location 
(drop-down)]],'List source'!D$2:E$71,2,FALSE)</f>
        <v>#N/A</v>
      </c>
      <c r="C288" s="17" t="s">
        <v>405</v>
      </c>
      <c r="D288" s="20" t="e">
        <f t="shared" si="4"/>
        <v>#N/A</v>
      </c>
      <c r="E288" s="11"/>
      <c r="F288" s="88"/>
      <c r="G288" s="12"/>
      <c r="H288" s="12"/>
      <c r="I288" s="12"/>
      <c r="J288" s="10"/>
      <c r="K288" s="10"/>
    </row>
    <row r="289" spans="1:11" s="4" customFormat="1" ht="30" customHeight="1">
      <c r="A289" s="9"/>
      <c r="B289" s="13" t="e">
        <f>VLOOKUP(Table24[[#This Row],[Location 
(drop-down)]],'List source'!D$2:E$71,2,FALSE)</f>
        <v>#N/A</v>
      </c>
      <c r="C289" s="17" t="s">
        <v>406</v>
      </c>
      <c r="D289" s="20" t="e">
        <f t="shared" si="4"/>
        <v>#N/A</v>
      </c>
      <c r="E289" s="11"/>
      <c r="F289" s="88"/>
      <c r="G289" s="12"/>
      <c r="H289" s="12"/>
      <c r="I289" s="12"/>
      <c r="J289" s="10"/>
      <c r="K289" s="10"/>
    </row>
    <row r="290" spans="1:11" s="4" customFormat="1" ht="30" customHeight="1">
      <c r="A290" s="9"/>
      <c r="B290" s="13" t="e">
        <f>VLOOKUP(Table24[[#This Row],[Location 
(drop-down)]],'List source'!D$2:E$71,2,FALSE)</f>
        <v>#N/A</v>
      </c>
      <c r="C290" s="17" t="s">
        <v>407</v>
      </c>
      <c r="D290" s="20" t="e">
        <f t="shared" si="4"/>
        <v>#N/A</v>
      </c>
      <c r="E290" s="11"/>
      <c r="F290" s="88"/>
      <c r="G290" s="12"/>
      <c r="H290" s="12"/>
      <c r="I290" s="12"/>
      <c r="J290" s="10"/>
      <c r="K290" s="10"/>
    </row>
    <row r="291" spans="1:11" s="4" customFormat="1" ht="30" customHeight="1">
      <c r="A291" s="9"/>
      <c r="B291" s="13" t="e">
        <f>VLOOKUP(Table24[[#This Row],[Location 
(drop-down)]],'List source'!D$2:E$71,2,FALSE)</f>
        <v>#N/A</v>
      </c>
      <c r="C291" s="17" t="s">
        <v>408</v>
      </c>
      <c r="D291" s="20" t="e">
        <f t="shared" si="4"/>
        <v>#N/A</v>
      </c>
      <c r="E291" s="11"/>
      <c r="F291" s="88"/>
      <c r="G291" s="12"/>
      <c r="H291" s="12"/>
      <c r="I291" s="12"/>
      <c r="J291" s="10"/>
      <c r="K291" s="10"/>
    </row>
    <row r="292" spans="1:11" s="4" customFormat="1" ht="30" customHeight="1">
      <c r="A292" s="9"/>
      <c r="B292" s="13" t="e">
        <f>VLOOKUP(Table24[[#This Row],[Location 
(drop-down)]],'List source'!D$2:E$71,2,FALSE)</f>
        <v>#N/A</v>
      </c>
      <c r="C292" s="17" t="s">
        <v>409</v>
      </c>
      <c r="D292" s="20" t="e">
        <f t="shared" si="4"/>
        <v>#N/A</v>
      </c>
      <c r="E292" s="11"/>
      <c r="F292" s="88"/>
      <c r="G292" s="12"/>
      <c r="H292" s="12"/>
      <c r="I292" s="12"/>
      <c r="J292" s="10"/>
      <c r="K292" s="10"/>
    </row>
    <row r="293" spans="1:11" s="4" customFormat="1" ht="30" customHeight="1">
      <c r="A293" s="9"/>
      <c r="B293" s="13" t="e">
        <f>VLOOKUP(Table24[[#This Row],[Location 
(drop-down)]],'List source'!D$2:E$71,2,FALSE)</f>
        <v>#N/A</v>
      </c>
      <c r="C293" s="17" t="s">
        <v>410</v>
      </c>
      <c r="D293" s="20" t="e">
        <f t="shared" si="4"/>
        <v>#N/A</v>
      </c>
      <c r="E293" s="11"/>
      <c r="F293" s="88"/>
      <c r="G293" s="12"/>
      <c r="H293" s="12"/>
      <c r="I293" s="12"/>
      <c r="J293" s="10"/>
      <c r="K293" s="10"/>
    </row>
    <row r="294" spans="1:11" s="4" customFormat="1" ht="30" customHeight="1">
      <c r="A294" s="9"/>
      <c r="B294" s="13" t="e">
        <f>VLOOKUP(Table24[[#This Row],[Location 
(drop-down)]],'List source'!D$2:E$71,2,FALSE)</f>
        <v>#N/A</v>
      </c>
      <c r="C294" s="17" t="s">
        <v>411</v>
      </c>
      <c r="D294" s="20" t="e">
        <f t="shared" si="4"/>
        <v>#N/A</v>
      </c>
      <c r="E294" s="11"/>
      <c r="F294" s="88"/>
      <c r="G294" s="12"/>
      <c r="H294" s="12"/>
      <c r="I294" s="12"/>
      <c r="J294" s="10"/>
      <c r="K294" s="10"/>
    </row>
    <row r="295" spans="1:11" s="4" customFormat="1" ht="30" customHeight="1">
      <c r="A295" s="9"/>
      <c r="B295" s="13" t="e">
        <f>VLOOKUP(Table24[[#This Row],[Location 
(drop-down)]],'List source'!D$2:E$71,2,FALSE)</f>
        <v>#N/A</v>
      </c>
      <c r="C295" s="17" t="s">
        <v>412</v>
      </c>
      <c r="D295" s="20" t="e">
        <f t="shared" si="4"/>
        <v>#N/A</v>
      </c>
      <c r="E295" s="11"/>
      <c r="F295" s="88"/>
      <c r="G295" s="12"/>
      <c r="H295" s="12"/>
      <c r="I295" s="12"/>
      <c r="J295" s="10"/>
      <c r="K295" s="10"/>
    </row>
    <row r="296" spans="1:11" s="4" customFormat="1" ht="30" customHeight="1">
      <c r="A296" s="9"/>
      <c r="B296" s="13" t="e">
        <f>VLOOKUP(Table24[[#This Row],[Location 
(drop-down)]],'List source'!D$2:E$71,2,FALSE)</f>
        <v>#N/A</v>
      </c>
      <c r="C296" s="17" t="s">
        <v>413</v>
      </c>
      <c r="D296" s="20" t="e">
        <f t="shared" si="4"/>
        <v>#N/A</v>
      </c>
      <c r="E296" s="11"/>
      <c r="F296" s="88"/>
      <c r="G296" s="12"/>
      <c r="H296" s="12"/>
      <c r="I296" s="12"/>
      <c r="J296" s="10"/>
      <c r="K296" s="10"/>
    </row>
    <row r="297" spans="1:11" s="4" customFormat="1" ht="30" customHeight="1">
      <c r="A297" s="9"/>
      <c r="B297" s="13" t="e">
        <f>VLOOKUP(Table24[[#This Row],[Location 
(drop-down)]],'List source'!D$2:E$71,2,FALSE)</f>
        <v>#N/A</v>
      </c>
      <c r="C297" s="17" t="s">
        <v>414</v>
      </c>
      <c r="D297" s="20" t="e">
        <f t="shared" si="4"/>
        <v>#N/A</v>
      </c>
      <c r="E297" s="11"/>
      <c r="F297" s="88"/>
      <c r="G297" s="12"/>
      <c r="H297" s="12"/>
      <c r="I297" s="12"/>
      <c r="J297" s="10"/>
      <c r="K297" s="10"/>
    </row>
    <row r="298" spans="1:11" s="4" customFormat="1" ht="30" customHeight="1">
      <c r="A298" s="9"/>
      <c r="B298" s="13" t="e">
        <f>VLOOKUP(Table24[[#This Row],[Location 
(drop-down)]],'List source'!D$2:E$71,2,FALSE)</f>
        <v>#N/A</v>
      </c>
      <c r="C298" s="17" t="s">
        <v>415</v>
      </c>
      <c r="D298" s="20" t="e">
        <f t="shared" si="4"/>
        <v>#N/A</v>
      </c>
      <c r="E298" s="11"/>
      <c r="F298" s="88"/>
      <c r="G298" s="12"/>
      <c r="H298" s="12"/>
      <c r="I298" s="12"/>
      <c r="J298" s="10"/>
      <c r="K298" s="10"/>
    </row>
    <row r="299" spans="1:11" s="4" customFormat="1" ht="30" customHeight="1">
      <c r="A299" s="9"/>
      <c r="B299" s="13" t="e">
        <f>VLOOKUP(Table24[[#This Row],[Location 
(drop-down)]],'List source'!D$2:E$71,2,FALSE)</f>
        <v>#N/A</v>
      </c>
      <c r="C299" s="17" t="s">
        <v>416</v>
      </c>
      <c r="D299" s="20" t="e">
        <f t="shared" si="4"/>
        <v>#N/A</v>
      </c>
      <c r="E299" s="11"/>
      <c r="F299" s="88"/>
      <c r="G299" s="12"/>
      <c r="H299" s="12"/>
      <c r="I299" s="12"/>
      <c r="J299" s="10"/>
      <c r="K299" s="10"/>
    </row>
    <row r="300" spans="1:11" s="4" customFormat="1" ht="30" customHeight="1">
      <c r="A300" s="9"/>
      <c r="B300" s="13" t="e">
        <f>VLOOKUP(Table24[[#This Row],[Location 
(drop-down)]],'List source'!D$2:E$71,2,FALSE)</f>
        <v>#N/A</v>
      </c>
      <c r="C300" s="17" t="s">
        <v>417</v>
      </c>
      <c r="D300" s="20" t="e">
        <f t="shared" si="4"/>
        <v>#N/A</v>
      </c>
      <c r="E300" s="11"/>
      <c r="F300" s="88"/>
      <c r="G300" s="12"/>
      <c r="H300" s="12"/>
      <c r="I300" s="12"/>
      <c r="J300" s="10"/>
      <c r="K300" s="10"/>
    </row>
    <row r="301" spans="1:11" s="4" customFormat="1" ht="30" customHeight="1">
      <c r="A301" s="9"/>
      <c r="B301" s="13" t="e">
        <f>VLOOKUP(Table24[[#This Row],[Location 
(drop-down)]],'List source'!D$2:E$71,2,FALSE)</f>
        <v>#N/A</v>
      </c>
      <c r="C301" s="17" t="s">
        <v>418</v>
      </c>
      <c r="D301" s="20" t="e">
        <f t="shared" si="4"/>
        <v>#N/A</v>
      </c>
      <c r="E301" s="11"/>
      <c r="F301" s="88"/>
      <c r="G301" s="12"/>
      <c r="H301" s="12"/>
      <c r="I301" s="12"/>
      <c r="J301" s="10"/>
      <c r="K301" s="10"/>
    </row>
    <row r="302" spans="1:11" s="4" customFormat="1" ht="30" customHeight="1">
      <c r="A302" s="9"/>
      <c r="B302" s="13" t="e">
        <f>VLOOKUP(Table24[[#This Row],[Location 
(drop-down)]],'List source'!D$2:E$71,2,FALSE)</f>
        <v>#N/A</v>
      </c>
      <c r="C302" s="17" t="s">
        <v>419</v>
      </c>
      <c r="D302" s="20" t="e">
        <f t="shared" si="4"/>
        <v>#N/A</v>
      </c>
      <c r="E302" s="11"/>
      <c r="F302" s="88"/>
      <c r="G302" s="12"/>
      <c r="H302" s="12"/>
      <c r="I302" s="12"/>
      <c r="J302" s="10"/>
      <c r="K302" s="10"/>
    </row>
    <row r="303" spans="1:11" s="4" customFormat="1" ht="30" customHeight="1">
      <c r="A303" s="9"/>
      <c r="B303" s="13" t="e">
        <f>VLOOKUP(Table24[[#This Row],[Location 
(drop-down)]],'List source'!D$2:E$71,2,FALSE)</f>
        <v>#N/A</v>
      </c>
      <c r="C303" s="17" t="s">
        <v>420</v>
      </c>
      <c r="D303" s="20" t="e">
        <f t="shared" si="4"/>
        <v>#N/A</v>
      </c>
      <c r="E303" s="11"/>
      <c r="F303" s="88"/>
      <c r="G303" s="12"/>
      <c r="H303" s="12"/>
      <c r="I303" s="12"/>
      <c r="J303" s="10"/>
      <c r="K303" s="10"/>
    </row>
    <row r="304" spans="1:11" s="4" customFormat="1" ht="30" customHeight="1">
      <c r="A304" s="9"/>
      <c r="B304" s="13" t="e">
        <f>VLOOKUP(Table24[[#This Row],[Location 
(drop-down)]],'List source'!D$2:E$71,2,FALSE)</f>
        <v>#N/A</v>
      </c>
      <c r="C304" s="17" t="s">
        <v>421</v>
      </c>
      <c r="D304" s="20" t="e">
        <f t="shared" si="4"/>
        <v>#N/A</v>
      </c>
      <c r="E304" s="11"/>
      <c r="F304" s="88"/>
      <c r="G304" s="12"/>
      <c r="H304" s="12"/>
      <c r="I304" s="12"/>
      <c r="J304" s="10"/>
      <c r="K304" s="10"/>
    </row>
    <row r="305" spans="1:11" s="4" customFormat="1" ht="30" customHeight="1">
      <c r="A305" s="9"/>
      <c r="B305" s="13" t="e">
        <f>VLOOKUP(Table24[[#This Row],[Location 
(drop-down)]],'List source'!D$2:E$71,2,FALSE)</f>
        <v>#N/A</v>
      </c>
      <c r="C305" s="17" t="s">
        <v>422</v>
      </c>
      <c r="D305" s="20" t="e">
        <f t="shared" si="4"/>
        <v>#N/A</v>
      </c>
      <c r="E305" s="11"/>
      <c r="F305" s="88"/>
      <c r="G305" s="12"/>
      <c r="H305" s="12"/>
      <c r="I305" s="12"/>
      <c r="J305" s="10"/>
      <c r="K305" s="10"/>
    </row>
    <row r="306" spans="1:11" s="4" customFormat="1" ht="30" customHeight="1">
      <c r="A306" s="9"/>
      <c r="B306" s="13" t="e">
        <f>VLOOKUP(Table24[[#This Row],[Location 
(drop-down)]],'List source'!D$2:E$71,2,FALSE)</f>
        <v>#N/A</v>
      </c>
      <c r="C306" s="17" t="s">
        <v>423</v>
      </c>
      <c r="D306" s="20" t="e">
        <f t="shared" si="4"/>
        <v>#N/A</v>
      </c>
      <c r="E306" s="11"/>
      <c r="F306" s="88"/>
      <c r="G306" s="12"/>
      <c r="H306" s="12"/>
      <c r="I306" s="12"/>
      <c r="J306" s="10"/>
      <c r="K306" s="10"/>
    </row>
    <row r="307" spans="1:11" s="4" customFormat="1" ht="30" customHeight="1">
      <c r="A307" s="9"/>
      <c r="B307" s="13" t="e">
        <f>VLOOKUP(Table24[[#This Row],[Location 
(drop-down)]],'List source'!D$2:E$71,2,FALSE)</f>
        <v>#N/A</v>
      </c>
      <c r="C307" s="17" t="s">
        <v>424</v>
      </c>
      <c r="D307" s="20" t="e">
        <f t="shared" si="4"/>
        <v>#N/A</v>
      </c>
      <c r="E307" s="11"/>
      <c r="F307" s="88"/>
      <c r="G307" s="12"/>
      <c r="H307" s="12"/>
      <c r="I307" s="12"/>
      <c r="J307" s="10"/>
      <c r="K307" s="10"/>
    </row>
    <row r="308" spans="1:11" s="4" customFormat="1" ht="30" customHeight="1">
      <c r="A308" s="9"/>
      <c r="B308" s="13" t="e">
        <f>VLOOKUP(Table24[[#This Row],[Location 
(drop-down)]],'List source'!D$2:E$71,2,FALSE)</f>
        <v>#N/A</v>
      </c>
      <c r="C308" s="17" t="s">
        <v>425</v>
      </c>
      <c r="D308" s="20" t="e">
        <f t="shared" si="4"/>
        <v>#N/A</v>
      </c>
      <c r="E308" s="11"/>
      <c r="F308" s="88"/>
      <c r="G308" s="12"/>
      <c r="H308" s="12"/>
      <c r="I308" s="12"/>
      <c r="J308" s="10"/>
      <c r="K308" s="10"/>
    </row>
    <row r="309" spans="1:11" s="4" customFormat="1" ht="30" customHeight="1">
      <c r="A309" s="9"/>
      <c r="B309" s="13" t="e">
        <f>VLOOKUP(Table24[[#This Row],[Location 
(drop-down)]],'List source'!D$2:E$71,2,FALSE)</f>
        <v>#N/A</v>
      </c>
      <c r="C309" s="17" t="s">
        <v>426</v>
      </c>
      <c r="D309" s="20" t="e">
        <f t="shared" si="4"/>
        <v>#N/A</v>
      </c>
      <c r="E309" s="11"/>
      <c r="F309" s="88"/>
      <c r="G309" s="12"/>
      <c r="H309" s="12"/>
      <c r="I309" s="12"/>
      <c r="J309" s="10"/>
      <c r="K309" s="10"/>
    </row>
    <row r="310" spans="1:11" s="4" customFormat="1" ht="30" customHeight="1">
      <c r="A310" s="9"/>
      <c r="B310" s="13" t="e">
        <f>VLOOKUP(Table24[[#This Row],[Location 
(drop-down)]],'List source'!D$2:E$71,2,FALSE)</f>
        <v>#N/A</v>
      </c>
      <c r="C310" s="17" t="s">
        <v>427</v>
      </c>
      <c r="D310" s="20" t="e">
        <f t="shared" si="4"/>
        <v>#N/A</v>
      </c>
      <c r="E310" s="11"/>
      <c r="F310" s="88"/>
      <c r="G310" s="12"/>
      <c r="H310" s="12"/>
      <c r="I310" s="12"/>
      <c r="J310" s="10"/>
      <c r="K310" s="10"/>
    </row>
    <row r="311" spans="1:11" s="4" customFormat="1" ht="30" customHeight="1">
      <c r="A311" s="9"/>
      <c r="B311" s="13" t="e">
        <f>VLOOKUP(Table24[[#This Row],[Location 
(drop-down)]],'List source'!D$2:E$71,2,FALSE)</f>
        <v>#N/A</v>
      </c>
      <c r="C311" s="17" t="s">
        <v>428</v>
      </c>
      <c r="D311" s="20" t="e">
        <f t="shared" si="4"/>
        <v>#N/A</v>
      </c>
      <c r="E311" s="11"/>
      <c r="F311" s="88"/>
      <c r="G311" s="12"/>
      <c r="H311" s="12"/>
      <c r="I311" s="12"/>
      <c r="J311" s="10"/>
      <c r="K311" s="10"/>
    </row>
    <row r="312" spans="1:11" s="4" customFormat="1" ht="30" customHeight="1">
      <c r="A312" s="9"/>
      <c r="B312" s="13" t="e">
        <f>VLOOKUP(Table24[[#This Row],[Location 
(drop-down)]],'List source'!D$2:E$71,2,FALSE)</f>
        <v>#N/A</v>
      </c>
      <c r="C312" s="17" t="s">
        <v>429</v>
      </c>
      <c r="D312" s="20" t="e">
        <f t="shared" si="4"/>
        <v>#N/A</v>
      </c>
      <c r="E312" s="11"/>
      <c r="F312" s="88"/>
      <c r="G312" s="12"/>
      <c r="H312" s="12"/>
      <c r="I312" s="12"/>
      <c r="J312" s="10"/>
      <c r="K312" s="10"/>
    </row>
    <row r="313" spans="1:11" s="4" customFormat="1" ht="30" customHeight="1">
      <c r="A313" s="9"/>
      <c r="B313" s="13" t="e">
        <f>VLOOKUP(Table24[[#This Row],[Location 
(drop-down)]],'List source'!D$2:E$71,2,FALSE)</f>
        <v>#N/A</v>
      </c>
      <c r="C313" s="17" t="s">
        <v>430</v>
      </c>
      <c r="D313" s="20" t="e">
        <f t="shared" si="4"/>
        <v>#N/A</v>
      </c>
      <c r="E313" s="11"/>
      <c r="F313" s="88"/>
      <c r="G313" s="12"/>
      <c r="H313" s="12"/>
      <c r="I313" s="12"/>
      <c r="J313" s="10"/>
      <c r="K313" s="10"/>
    </row>
    <row r="314" spans="1:11" s="4" customFormat="1" ht="30" customHeight="1">
      <c r="A314" s="9"/>
      <c r="B314" s="13" t="e">
        <f>VLOOKUP(Table24[[#This Row],[Location 
(drop-down)]],'List source'!D$2:E$71,2,FALSE)</f>
        <v>#N/A</v>
      </c>
      <c r="C314" s="17" t="s">
        <v>431</v>
      </c>
      <c r="D314" s="20" t="e">
        <f t="shared" si="4"/>
        <v>#N/A</v>
      </c>
      <c r="E314" s="11"/>
      <c r="F314" s="88"/>
      <c r="G314" s="12"/>
      <c r="H314" s="12"/>
      <c r="I314" s="12"/>
      <c r="J314" s="10"/>
      <c r="K314" s="10"/>
    </row>
    <row r="315" spans="1:11" s="4" customFormat="1" ht="30" customHeight="1">
      <c r="A315" s="9"/>
      <c r="B315" s="13" t="e">
        <f>VLOOKUP(Table24[[#This Row],[Location 
(drop-down)]],'List source'!D$2:E$71,2,FALSE)</f>
        <v>#N/A</v>
      </c>
      <c r="C315" s="17" t="s">
        <v>432</v>
      </c>
      <c r="D315" s="20" t="e">
        <f t="shared" si="4"/>
        <v>#N/A</v>
      </c>
      <c r="E315" s="11"/>
      <c r="F315" s="88"/>
      <c r="G315" s="12"/>
      <c r="H315" s="12"/>
      <c r="I315" s="12"/>
      <c r="J315" s="10"/>
      <c r="K315" s="10"/>
    </row>
    <row r="316" spans="1:11" s="4" customFormat="1" ht="30" customHeight="1">
      <c r="A316" s="9"/>
      <c r="B316" s="13" t="e">
        <f>VLOOKUP(Table24[[#This Row],[Location 
(drop-down)]],'List source'!D$2:E$71,2,FALSE)</f>
        <v>#N/A</v>
      </c>
      <c r="C316" s="17" t="s">
        <v>433</v>
      </c>
      <c r="D316" s="20" t="e">
        <f t="shared" si="4"/>
        <v>#N/A</v>
      </c>
      <c r="E316" s="11"/>
      <c r="F316" s="88"/>
      <c r="G316" s="12"/>
      <c r="H316" s="12"/>
      <c r="I316" s="12"/>
      <c r="J316" s="10"/>
      <c r="K316" s="10"/>
    </row>
    <row r="317" spans="1:11" s="4" customFormat="1" ht="30" customHeight="1">
      <c r="A317" s="9"/>
      <c r="B317" s="13" t="e">
        <f>VLOOKUP(Table24[[#This Row],[Location 
(drop-down)]],'List source'!D$2:E$71,2,FALSE)</f>
        <v>#N/A</v>
      </c>
      <c r="C317" s="17" t="s">
        <v>434</v>
      </c>
      <c r="D317" s="20" t="e">
        <f t="shared" si="4"/>
        <v>#N/A</v>
      </c>
      <c r="E317" s="11"/>
      <c r="F317" s="88"/>
      <c r="G317" s="12"/>
      <c r="H317" s="12"/>
      <c r="I317" s="12"/>
      <c r="J317" s="10"/>
      <c r="K317" s="10"/>
    </row>
    <row r="318" spans="1:11" s="4" customFormat="1" ht="30" customHeight="1">
      <c r="A318" s="9"/>
      <c r="B318" s="13" t="e">
        <f>VLOOKUP(Table24[[#This Row],[Location 
(drop-down)]],'List source'!D$2:E$71,2,FALSE)</f>
        <v>#N/A</v>
      </c>
      <c r="C318" s="17" t="s">
        <v>435</v>
      </c>
      <c r="D318" s="20" t="e">
        <f t="shared" si="4"/>
        <v>#N/A</v>
      </c>
      <c r="E318" s="11"/>
      <c r="F318" s="88"/>
      <c r="G318" s="12"/>
      <c r="H318" s="12"/>
      <c r="I318" s="12"/>
      <c r="J318" s="10"/>
      <c r="K318" s="10"/>
    </row>
    <row r="319" spans="1:11" s="4" customFormat="1" ht="30" customHeight="1">
      <c r="A319" s="9"/>
      <c r="B319" s="13" t="e">
        <f>VLOOKUP(Table24[[#This Row],[Location 
(drop-down)]],'List source'!D$2:E$71,2,FALSE)</f>
        <v>#N/A</v>
      </c>
      <c r="C319" s="17" t="s">
        <v>436</v>
      </c>
      <c r="D319" s="20" t="e">
        <f t="shared" si="4"/>
        <v>#N/A</v>
      </c>
      <c r="E319" s="11"/>
      <c r="F319" s="88"/>
      <c r="G319" s="12"/>
      <c r="H319" s="12"/>
      <c r="I319" s="12"/>
      <c r="J319" s="10"/>
      <c r="K319" s="10"/>
    </row>
    <row r="320" spans="1:11" s="4" customFormat="1" ht="30" customHeight="1">
      <c r="A320" s="9"/>
      <c r="B320" s="13" t="e">
        <f>VLOOKUP(Table24[[#This Row],[Location 
(drop-down)]],'List source'!D$2:E$71,2,FALSE)</f>
        <v>#N/A</v>
      </c>
      <c r="C320" s="17" t="s">
        <v>437</v>
      </c>
      <c r="D320" s="20" t="e">
        <f t="shared" si="4"/>
        <v>#N/A</v>
      </c>
      <c r="E320" s="11"/>
      <c r="F320" s="88"/>
      <c r="G320" s="12"/>
      <c r="H320" s="12"/>
      <c r="I320" s="12"/>
      <c r="J320" s="10"/>
      <c r="K320" s="10"/>
    </row>
    <row r="321" spans="1:11" s="4" customFormat="1" ht="30" customHeight="1">
      <c r="A321" s="9"/>
      <c r="B321" s="13" t="e">
        <f>VLOOKUP(Table24[[#This Row],[Location 
(drop-down)]],'List source'!D$2:E$71,2,FALSE)</f>
        <v>#N/A</v>
      </c>
      <c r="C321" s="17" t="s">
        <v>438</v>
      </c>
      <c r="D321" s="20" t="e">
        <f t="shared" si="4"/>
        <v>#N/A</v>
      </c>
      <c r="E321" s="11"/>
      <c r="F321" s="88"/>
      <c r="G321" s="12"/>
      <c r="H321" s="12"/>
      <c r="I321" s="12"/>
      <c r="J321" s="10"/>
      <c r="K321" s="10"/>
    </row>
    <row r="322" spans="1:11" s="4" customFormat="1" ht="30" customHeight="1">
      <c r="A322" s="9"/>
      <c r="B322" s="13" t="e">
        <f>VLOOKUP(Table24[[#This Row],[Location 
(drop-down)]],'List source'!D$2:E$71,2,FALSE)</f>
        <v>#N/A</v>
      </c>
      <c r="C322" s="17" t="s">
        <v>439</v>
      </c>
      <c r="D322" s="20" t="e">
        <f t="shared" ref="D322:D385" si="5">"P" &amp; C322 &amp; "-" &amp; B322 &amp; "-" &amp; "26"</f>
        <v>#N/A</v>
      </c>
      <c r="E322" s="11"/>
      <c r="F322" s="88"/>
      <c r="G322" s="12"/>
      <c r="H322" s="12"/>
      <c r="I322" s="12"/>
      <c r="J322" s="10"/>
      <c r="K322" s="10"/>
    </row>
    <row r="323" spans="1:11" s="4" customFormat="1" ht="30" customHeight="1">
      <c r="A323" s="9"/>
      <c r="B323" s="13" t="e">
        <f>VLOOKUP(Table24[[#This Row],[Location 
(drop-down)]],'List source'!D$2:E$71,2,FALSE)</f>
        <v>#N/A</v>
      </c>
      <c r="C323" s="17" t="s">
        <v>440</v>
      </c>
      <c r="D323" s="20" t="e">
        <f t="shared" si="5"/>
        <v>#N/A</v>
      </c>
      <c r="E323" s="11"/>
      <c r="F323" s="88"/>
      <c r="G323" s="12"/>
      <c r="H323" s="12"/>
      <c r="I323" s="12"/>
      <c r="J323" s="10"/>
      <c r="K323" s="10"/>
    </row>
    <row r="324" spans="1:11" s="4" customFormat="1" ht="30" customHeight="1">
      <c r="A324" s="9"/>
      <c r="B324" s="13" t="e">
        <f>VLOOKUP(Table24[[#This Row],[Location 
(drop-down)]],'List source'!D$2:E$71,2,FALSE)</f>
        <v>#N/A</v>
      </c>
      <c r="C324" s="17" t="s">
        <v>441</v>
      </c>
      <c r="D324" s="20" t="e">
        <f t="shared" si="5"/>
        <v>#N/A</v>
      </c>
      <c r="E324" s="11"/>
      <c r="F324" s="88"/>
      <c r="G324" s="12"/>
      <c r="H324" s="12"/>
      <c r="I324" s="12"/>
      <c r="J324" s="10"/>
      <c r="K324" s="10"/>
    </row>
    <row r="325" spans="1:11" s="4" customFormat="1" ht="30" customHeight="1">
      <c r="A325" s="9"/>
      <c r="B325" s="13" t="e">
        <f>VLOOKUP(Table24[[#This Row],[Location 
(drop-down)]],'List source'!D$2:E$71,2,FALSE)</f>
        <v>#N/A</v>
      </c>
      <c r="C325" s="17" t="s">
        <v>442</v>
      </c>
      <c r="D325" s="20" t="e">
        <f t="shared" si="5"/>
        <v>#N/A</v>
      </c>
      <c r="E325" s="11"/>
      <c r="F325" s="88"/>
      <c r="G325" s="12"/>
      <c r="H325" s="12"/>
      <c r="I325" s="12"/>
      <c r="J325" s="10"/>
      <c r="K325" s="10"/>
    </row>
    <row r="326" spans="1:11" s="4" customFormat="1" ht="30" customHeight="1">
      <c r="A326" s="9"/>
      <c r="B326" s="13" t="e">
        <f>VLOOKUP(Table24[[#This Row],[Location 
(drop-down)]],'List source'!D$2:E$71,2,FALSE)</f>
        <v>#N/A</v>
      </c>
      <c r="C326" s="17" t="s">
        <v>443</v>
      </c>
      <c r="D326" s="20" t="e">
        <f t="shared" si="5"/>
        <v>#N/A</v>
      </c>
      <c r="E326" s="11"/>
      <c r="F326" s="88"/>
      <c r="G326" s="12"/>
      <c r="H326" s="12"/>
      <c r="I326" s="12"/>
      <c r="J326" s="10"/>
      <c r="K326" s="10"/>
    </row>
    <row r="327" spans="1:11" s="4" customFormat="1" ht="30" customHeight="1">
      <c r="A327" s="9"/>
      <c r="B327" s="13" t="e">
        <f>VLOOKUP(Table24[[#This Row],[Location 
(drop-down)]],'List source'!D$2:E$71,2,FALSE)</f>
        <v>#N/A</v>
      </c>
      <c r="C327" s="17" t="s">
        <v>444</v>
      </c>
      <c r="D327" s="20" t="e">
        <f t="shared" si="5"/>
        <v>#N/A</v>
      </c>
      <c r="E327" s="11"/>
      <c r="F327" s="88"/>
      <c r="G327" s="12"/>
      <c r="H327" s="12"/>
      <c r="I327" s="12"/>
      <c r="J327" s="10"/>
      <c r="K327" s="10"/>
    </row>
    <row r="328" spans="1:11" s="4" customFormat="1" ht="30" customHeight="1">
      <c r="A328" s="9"/>
      <c r="B328" s="13" t="e">
        <f>VLOOKUP(Table24[[#This Row],[Location 
(drop-down)]],'List source'!D$2:E$71,2,FALSE)</f>
        <v>#N/A</v>
      </c>
      <c r="C328" s="17" t="s">
        <v>445</v>
      </c>
      <c r="D328" s="20" t="e">
        <f t="shared" si="5"/>
        <v>#N/A</v>
      </c>
      <c r="E328" s="11"/>
      <c r="F328" s="88"/>
      <c r="G328" s="12"/>
      <c r="H328" s="12"/>
      <c r="I328" s="12"/>
      <c r="J328" s="10"/>
      <c r="K328" s="10"/>
    </row>
    <row r="329" spans="1:11" s="4" customFormat="1" ht="30" customHeight="1">
      <c r="A329" s="9"/>
      <c r="B329" s="13" t="e">
        <f>VLOOKUP(Table24[[#This Row],[Location 
(drop-down)]],'List source'!D$2:E$71,2,FALSE)</f>
        <v>#N/A</v>
      </c>
      <c r="C329" s="17" t="s">
        <v>446</v>
      </c>
      <c r="D329" s="20" t="e">
        <f t="shared" si="5"/>
        <v>#N/A</v>
      </c>
      <c r="E329" s="11"/>
      <c r="F329" s="88"/>
      <c r="G329" s="12"/>
      <c r="H329" s="12"/>
      <c r="I329" s="12"/>
      <c r="J329" s="10"/>
      <c r="K329" s="10"/>
    </row>
    <row r="330" spans="1:11" s="4" customFormat="1" ht="30" customHeight="1">
      <c r="A330" s="9"/>
      <c r="B330" s="13" t="e">
        <f>VLOOKUP(Table24[[#This Row],[Location 
(drop-down)]],'List source'!D$2:E$71,2,FALSE)</f>
        <v>#N/A</v>
      </c>
      <c r="C330" s="17" t="s">
        <v>447</v>
      </c>
      <c r="D330" s="20" t="e">
        <f t="shared" si="5"/>
        <v>#N/A</v>
      </c>
      <c r="E330" s="11"/>
      <c r="F330" s="88"/>
      <c r="G330" s="12"/>
      <c r="H330" s="12"/>
      <c r="I330" s="12"/>
      <c r="J330" s="10"/>
      <c r="K330" s="10"/>
    </row>
    <row r="331" spans="1:11" s="4" customFormat="1" ht="30" customHeight="1">
      <c r="A331" s="9"/>
      <c r="B331" s="13" t="e">
        <f>VLOOKUP(Table24[[#This Row],[Location 
(drop-down)]],'List source'!D$2:E$71,2,FALSE)</f>
        <v>#N/A</v>
      </c>
      <c r="C331" s="17" t="s">
        <v>448</v>
      </c>
      <c r="D331" s="20" t="e">
        <f t="shared" si="5"/>
        <v>#N/A</v>
      </c>
      <c r="E331" s="11"/>
      <c r="F331" s="88"/>
      <c r="G331" s="12"/>
      <c r="H331" s="12"/>
      <c r="I331" s="12"/>
      <c r="J331" s="10"/>
      <c r="K331" s="10"/>
    </row>
    <row r="332" spans="1:11" s="4" customFormat="1" ht="30" customHeight="1">
      <c r="A332" s="9"/>
      <c r="B332" s="13" t="e">
        <f>VLOOKUP(Table24[[#This Row],[Location 
(drop-down)]],'List source'!D$2:E$71,2,FALSE)</f>
        <v>#N/A</v>
      </c>
      <c r="C332" s="17" t="s">
        <v>449</v>
      </c>
      <c r="D332" s="20" t="e">
        <f t="shared" si="5"/>
        <v>#N/A</v>
      </c>
      <c r="E332" s="11"/>
      <c r="F332" s="88"/>
      <c r="G332" s="12"/>
      <c r="H332" s="12"/>
      <c r="I332" s="12"/>
      <c r="J332" s="10"/>
      <c r="K332" s="10"/>
    </row>
    <row r="333" spans="1:11" s="4" customFormat="1" ht="30" customHeight="1">
      <c r="A333" s="9"/>
      <c r="B333" s="13" t="e">
        <f>VLOOKUP(Table24[[#This Row],[Location 
(drop-down)]],'List source'!D$2:E$71,2,FALSE)</f>
        <v>#N/A</v>
      </c>
      <c r="C333" s="17" t="s">
        <v>450</v>
      </c>
      <c r="D333" s="20" t="e">
        <f t="shared" si="5"/>
        <v>#N/A</v>
      </c>
      <c r="E333" s="11"/>
      <c r="F333" s="88"/>
      <c r="G333" s="12"/>
      <c r="H333" s="12"/>
      <c r="I333" s="12"/>
      <c r="J333" s="10"/>
      <c r="K333" s="10"/>
    </row>
    <row r="334" spans="1:11" s="4" customFormat="1" ht="30" customHeight="1">
      <c r="A334" s="9"/>
      <c r="B334" s="13" t="e">
        <f>VLOOKUP(Table24[[#This Row],[Location 
(drop-down)]],'List source'!D$2:E$71,2,FALSE)</f>
        <v>#N/A</v>
      </c>
      <c r="C334" s="17" t="s">
        <v>451</v>
      </c>
      <c r="D334" s="20" t="e">
        <f t="shared" si="5"/>
        <v>#N/A</v>
      </c>
      <c r="E334" s="11"/>
      <c r="F334" s="88"/>
      <c r="G334" s="12"/>
      <c r="H334" s="12"/>
      <c r="I334" s="12"/>
      <c r="J334" s="10"/>
      <c r="K334" s="10"/>
    </row>
    <row r="335" spans="1:11" s="4" customFormat="1" ht="30" customHeight="1">
      <c r="A335" s="9"/>
      <c r="B335" s="13" t="e">
        <f>VLOOKUP(Table24[[#This Row],[Location 
(drop-down)]],'List source'!D$2:E$71,2,FALSE)</f>
        <v>#N/A</v>
      </c>
      <c r="C335" s="17" t="s">
        <v>452</v>
      </c>
      <c r="D335" s="20" t="e">
        <f t="shared" si="5"/>
        <v>#N/A</v>
      </c>
      <c r="E335" s="11"/>
      <c r="F335" s="88"/>
      <c r="G335" s="12"/>
      <c r="H335" s="12"/>
      <c r="I335" s="12"/>
      <c r="J335" s="10"/>
      <c r="K335" s="10"/>
    </row>
    <row r="336" spans="1:11" s="4" customFormat="1" ht="30" customHeight="1">
      <c r="A336" s="9"/>
      <c r="B336" s="13" t="e">
        <f>VLOOKUP(Table24[[#This Row],[Location 
(drop-down)]],'List source'!D$2:E$71,2,FALSE)</f>
        <v>#N/A</v>
      </c>
      <c r="C336" s="17" t="s">
        <v>453</v>
      </c>
      <c r="D336" s="20" t="e">
        <f t="shared" si="5"/>
        <v>#N/A</v>
      </c>
      <c r="E336" s="11"/>
      <c r="F336" s="88"/>
      <c r="G336" s="12"/>
      <c r="H336" s="12"/>
      <c r="I336" s="12"/>
      <c r="J336" s="10"/>
      <c r="K336" s="10"/>
    </row>
    <row r="337" spans="1:11" s="4" customFormat="1" ht="30" customHeight="1">
      <c r="A337" s="9"/>
      <c r="B337" s="13" t="e">
        <f>VLOOKUP(Table24[[#This Row],[Location 
(drop-down)]],'List source'!D$2:E$71,2,FALSE)</f>
        <v>#N/A</v>
      </c>
      <c r="C337" s="17" t="s">
        <v>454</v>
      </c>
      <c r="D337" s="20" t="e">
        <f t="shared" si="5"/>
        <v>#N/A</v>
      </c>
      <c r="E337" s="11"/>
      <c r="F337" s="88"/>
      <c r="G337" s="12"/>
      <c r="H337" s="12"/>
      <c r="I337" s="12"/>
      <c r="J337" s="10"/>
      <c r="K337" s="10"/>
    </row>
    <row r="338" spans="1:11" s="4" customFormat="1" ht="30" customHeight="1">
      <c r="A338" s="9"/>
      <c r="B338" s="13" t="e">
        <f>VLOOKUP(Table24[[#This Row],[Location 
(drop-down)]],'List source'!D$2:E$71,2,FALSE)</f>
        <v>#N/A</v>
      </c>
      <c r="C338" s="17" t="s">
        <v>455</v>
      </c>
      <c r="D338" s="20" t="e">
        <f t="shared" si="5"/>
        <v>#N/A</v>
      </c>
      <c r="E338" s="11"/>
      <c r="F338" s="88"/>
      <c r="G338" s="12"/>
      <c r="H338" s="12"/>
      <c r="I338" s="12"/>
      <c r="J338" s="10"/>
      <c r="K338" s="10"/>
    </row>
    <row r="339" spans="1:11" s="4" customFormat="1" ht="30" customHeight="1">
      <c r="A339" s="9"/>
      <c r="B339" s="13" t="e">
        <f>VLOOKUP(Table24[[#This Row],[Location 
(drop-down)]],'List source'!D$2:E$71,2,FALSE)</f>
        <v>#N/A</v>
      </c>
      <c r="C339" s="17" t="s">
        <v>456</v>
      </c>
      <c r="D339" s="20" t="e">
        <f t="shared" si="5"/>
        <v>#N/A</v>
      </c>
      <c r="E339" s="11"/>
      <c r="F339" s="88"/>
      <c r="G339" s="12"/>
      <c r="H339" s="12"/>
      <c r="I339" s="12"/>
      <c r="J339" s="10"/>
      <c r="K339" s="10"/>
    </row>
    <row r="340" spans="1:11" s="4" customFormat="1" ht="30" customHeight="1">
      <c r="A340" s="9"/>
      <c r="B340" s="13" t="e">
        <f>VLOOKUP(Table24[[#This Row],[Location 
(drop-down)]],'List source'!D$2:E$71,2,FALSE)</f>
        <v>#N/A</v>
      </c>
      <c r="C340" s="17" t="s">
        <v>457</v>
      </c>
      <c r="D340" s="20" t="e">
        <f t="shared" si="5"/>
        <v>#N/A</v>
      </c>
      <c r="E340" s="11"/>
      <c r="F340" s="88"/>
      <c r="G340" s="12"/>
      <c r="H340" s="12"/>
      <c r="I340" s="12"/>
      <c r="J340" s="10"/>
      <c r="K340" s="10"/>
    </row>
    <row r="341" spans="1:11" s="4" customFormat="1" ht="30" customHeight="1">
      <c r="A341" s="9"/>
      <c r="B341" s="13" t="e">
        <f>VLOOKUP(Table24[[#This Row],[Location 
(drop-down)]],'List source'!D$2:E$71,2,FALSE)</f>
        <v>#N/A</v>
      </c>
      <c r="C341" s="17" t="s">
        <v>458</v>
      </c>
      <c r="D341" s="20" t="e">
        <f t="shared" si="5"/>
        <v>#N/A</v>
      </c>
      <c r="E341" s="11"/>
      <c r="F341" s="88"/>
      <c r="G341" s="12"/>
      <c r="H341" s="12"/>
      <c r="I341" s="12"/>
      <c r="J341" s="10"/>
      <c r="K341" s="10"/>
    </row>
    <row r="342" spans="1:11" s="4" customFormat="1" ht="30" customHeight="1">
      <c r="A342" s="9"/>
      <c r="B342" s="13" t="e">
        <f>VLOOKUP(Table24[[#This Row],[Location 
(drop-down)]],'List source'!D$2:E$71,2,FALSE)</f>
        <v>#N/A</v>
      </c>
      <c r="C342" s="17" t="s">
        <v>459</v>
      </c>
      <c r="D342" s="20" t="e">
        <f t="shared" si="5"/>
        <v>#N/A</v>
      </c>
      <c r="E342" s="11"/>
      <c r="F342" s="88"/>
      <c r="G342" s="12"/>
      <c r="H342" s="12"/>
      <c r="I342" s="12"/>
      <c r="J342" s="10"/>
      <c r="K342" s="10"/>
    </row>
    <row r="343" spans="1:11" s="4" customFormat="1" ht="30" customHeight="1">
      <c r="A343" s="9"/>
      <c r="B343" s="13" t="e">
        <f>VLOOKUP(Table24[[#This Row],[Location 
(drop-down)]],'List source'!D$2:E$71,2,FALSE)</f>
        <v>#N/A</v>
      </c>
      <c r="C343" s="17" t="s">
        <v>460</v>
      </c>
      <c r="D343" s="20" t="e">
        <f t="shared" si="5"/>
        <v>#N/A</v>
      </c>
      <c r="E343" s="11"/>
      <c r="F343" s="88"/>
      <c r="G343" s="12"/>
      <c r="H343" s="12"/>
      <c r="I343" s="12"/>
      <c r="J343" s="10"/>
      <c r="K343" s="10"/>
    </row>
    <row r="344" spans="1:11" s="4" customFormat="1" ht="30" customHeight="1">
      <c r="A344" s="9"/>
      <c r="B344" s="13" t="e">
        <f>VLOOKUP(Table24[[#This Row],[Location 
(drop-down)]],'List source'!D$2:E$71,2,FALSE)</f>
        <v>#N/A</v>
      </c>
      <c r="C344" s="17" t="s">
        <v>461</v>
      </c>
      <c r="D344" s="20" t="e">
        <f t="shared" si="5"/>
        <v>#N/A</v>
      </c>
      <c r="E344" s="11"/>
      <c r="F344" s="88"/>
      <c r="G344" s="12"/>
      <c r="H344" s="12"/>
      <c r="I344" s="12"/>
      <c r="J344" s="10"/>
      <c r="K344" s="10"/>
    </row>
    <row r="345" spans="1:11" s="4" customFormat="1" ht="30" customHeight="1">
      <c r="A345" s="9"/>
      <c r="B345" s="13" t="e">
        <f>VLOOKUP(Table24[[#This Row],[Location 
(drop-down)]],'List source'!D$2:E$71,2,FALSE)</f>
        <v>#N/A</v>
      </c>
      <c r="C345" s="17" t="s">
        <v>462</v>
      </c>
      <c r="D345" s="20" t="e">
        <f t="shared" si="5"/>
        <v>#N/A</v>
      </c>
      <c r="E345" s="11"/>
      <c r="F345" s="88"/>
      <c r="G345" s="12"/>
      <c r="H345" s="12"/>
      <c r="I345" s="12"/>
      <c r="J345" s="10"/>
      <c r="K345" s="10"/>
    </row>
    <row r="346" spans="1:11" s="4" customFormat="1" ht="30" customHeight="1">
      <c r="A346" s="9"/>
      <c r="B346" s="13" t="e">
        <f>VLOOKUP(Table24[[#This Row],[Location 
(drop-down)]],'List source'!D$2:E$71,2,FALSE)</f>
        <v>#N/A</v>
      </c>
      <c r="C346" s="17" t="s">
        <v>463</v>
      </c>
      <c r="D346" s="20" t="e">
        <f t="shared" si="5"/>
        <v>#N/A</v>
      </c>
      <c r="E346" s="11"/>
      <c r="F346" s="88"/>
      <c r="G346" s="12"/>
      <c r="H346" s="12"/>
      <c r="I346" s="12"/>
      <c r="J346" s="10"/>
      <c r="K346" s="10"/>
    </row>
    <row r="347" spans="1:11" s="4" customFormat="1" ht="30" customHeight="1">
      <c r="A347" s="9"/>
      <c r="B347" s="13" t="e">
        <f>VLOOKUP(Table24[[#This Row],[Location 
(drop-down)]],'List source'!D$2:E$71,2,FALSE)</f>
        <v>#N/A</v>
      </c>
      <c r="C347" s="17" t="s">
        <v>464</v>
      </c>
      <c r="D347" s="20" t="e">
        <f t="shared" si="5"/>
        <v>#N/A</v>
      </c>
      <c r="E347" s="11"/>
      <c r="F347" s="88"/>
      <c r="G347" s="12"/>
      <c r="H347" s="12"/>
      <c r="I347" s="12"/>
      <c r="J347" s="10"/>
      <c r="K347" s="10"/>
    </row>
    <row r="348" spans="1:11" s="4" customFormat="1" ht="30" customHeight="1">
      <c r="A348" s="9"/>
      <c r="B348" s="13" t="e">
        <f>VLOOKUP(Table24[[#This Row],[Location 
(drop-down)]],'List source'!D$2:E$71,2,FALSE)</f>
        <v>#N/A</v>
      </c>
      <c r="C348" s="17" t="s">
        <v>465</v>
      </c>
      <c r="D348" s="20" t="e">
        <f t="shared" si="5"/>
        <v>#N/A</v>
      </c>
      <c r="E348" s="11"/>
      <c r="F348" s="88"/>
      <c r="G348" s="12"/>
      <c r="H348" s="12"/>
      <c r="I348" s="12"/>
      <c r="J348" s="10"/>
      <c r="K348" s="10"/>
    </row>
    <row r="349" spans="1:11" s="4" customFormat="1" ht="30" customHeight="1">
      <c r="A349" s="9"/>
      <c r="B349" s="13" t="e">
        <f>VLOOKUP(Table24[[#This Row],[Location 
(drop-down)]],'List source'!D$2:E$71,2,FALSE)</f>
        <v>#N/A</v>
      </c>
      <c r="C349" s="17" t="s">
        <v>466</v>
      </c>
      <c r="D349" s="20" t="e">
        <f t="shared" si="5"/>
        <v>#N/A</v>
      </c>
      <c r="E349" s="11"/>
      <c r="F349" s="88"/>
      <c r="G349" s="12"/>
      <c r="H349" s="12"/>
      <c r="I349" s="12"/>
      <c r="J349" s="10"/>
      <c r="K349" s="10"/>
    </row>
    <row r="350" spans="1:11" s="4" customFormat="1" ht="30" customHeight="1">
      <c r="A350" s="9"/>
      <c r="B350" s="13" t="e">
        <f>VLOOKUP(Table24[[#This Row],[Location 
(drop-down)]],'List source'!D$2:E$71,2,FALSE)</f>
        <v>#N/A</v>
      </c>
      <c r="C350" s="17" t="s">
        <v>467</v>
      </c>
      <c r="D350" s="20" t="e">
        <f t="shared" si="5"/>
        <v>#N/A</v>
      </c>
      <c r="E350" s="11"/>
      <c r="F350" s="88"/>
      <c r="G350" s="12"/>
      <c r="H350" s="12"/>
      <c r="I350" s="12"/>
      <c r="J350" s="10"/>
      <c r="K350" s="10"/>
    </row>
    <row r="351" spans="1:11" s="4" customFormat="1" ht="30" customHeight="1">
      <c r="A351" s="9"/>
      <c r="B351" s="13" t="e">
        <f>VLOOKUP(Table24[[#This Row],[Location 
(drop-down)]],'List source'!D$2:E$71,2,FALSE)</f>
        <v>#N/A</v>
      </c>
      <c r="C351" s="17" t="s">
        <v>468</v>
      </c>
      <c r="D351" s="20" t="e">
        <f t="shared" si="5"/>
        <v>#N/A</v>
      </c>
      <c r="E351" s="11"/>
      <c r="F351" s="88"/>
      <c r="G351" s="12"/>
      <c r="H351" s="12"/>
      <c r="I351" s="12"/>
      <c r="J351" s="10"/>
      <c r="K351" s="10"/>
    </row>
    <row r="352" spans="1:11" s="4" customFormat="1" ht="30" customHeight="1">
      <c r="A352" s="9"/>
      <c r="B352" s="13" t="e">
        <f>VLOOKUP(Table24[[#This Row],[Location 
(drop-down)]],'List source'!D$2:E$71,2,FALSE)</f>
        <v>#N/A</v>
      </c>
      <c r="C352" s="17" t="s">
        <v>469</v>
      </c>
      <c r="D352" s="20" t="e">
        <f t="shared" si="5"/>
        <v>#N/A</v>
      </c>
      <c r="E352" s="11"/>
      <c r="F352" s="88"/>
      <c r="G352" s="12"/>
      <c r="H352" s="12"/>
      <c r="I352" s="12"/>
      <c r="J352" s="10"/>
      <c r="K352" s="10"/>
    </row>
    <row r="353" spans="1:11" s="4" customFormat="1" ht="30" customHeight="1">
      <c r="A353" s="9"/>
      <c r="B353" s="13" t="e">
        <f>VLOOKUP(Table24[[#This Row],[Location 
(drop-down)]],'List source'!D$2:E$71,2,FALSE)</f>
        <v>#N/A</v>
      </c>
      <c r="C353" s="17" t="s">
        <v>470</v>
      </c>
      <c r="D353" s="20" t="e">
        <f t="shared" si="5"/>
        <v>#N/A</v>
      </c>
      <c r="E353" s="11"/>
      <c r="F353" s="88"/>
      <c r="G353" s="12"/>
      <c r="H353" s="12"/>
      <c r="I353" s="12"/>
      <c r="J353" s="10"/>
      <c r="K353" s="10"/>
    </row>
    <row r="354" spans="1:11" s="4" customFormat="1" ht="30" customHeight="1">
      <c r="A354" s="9"/>
      <c r="B354" s="13" t="e">
        <f>VLOOKUP(Table24[[#This Row],[Location 
(drop-down)]],'List source'!D$2:E$71,2,FALSE)</f>
        <v>#N/A</v>
      </c>
      <c r="C354" s="17" t="s">
        <v>471</v>
      </c>
      <c r="D354" s="20" t="e">
        <f t="shared" si="5"/>
        <v>#N/A</v>
      </c>
      <c r="E354" s="11"/>
      <c r="F354" s="88"/>
      <c r="G354" s="12"/>
      <c r="H354" s="12"/>
      <c r="I354" s="12"/>
      <c r="J354" s="10"/>
      <c r="K354" s="10"/>
    </row>
    <row r="355" spans="1:11" s="4" customFormat="1" ht="30" customHeight="1">
      <c r="A355" s="9"/>
      <c r="B355" s="13" t="e">
        <f>VLOOKUP(Table24[[#This Row],[Location 
(drop-down)]],'List source'!D$2:E$71,2,FALSE)</f>
        <v>#N/A</v>
      </c>
      <c r="C355" s="17" t="s">
        <v>472</v>
      </c>
      <c r="D355" s="20" t="e">
        <f t="shared" si="5"/>
        <v>#N/A</v>
      </c>
      <c r="E355" s="11"/>
      <c r="F355" s="88"/>
      <c r="G355" s="12"/>
      <c r="H355" s="12"/>
      <c r="I355" s="12"/>
      <c r="J355" s="10"/>
      <c r="K355" s="10"/>
    </row>
    <row r="356" spans="1:11" s="4" customFormat="1" ht="30" customHeight="1">
      <c r="A356" s="9"/>
      <c r="B356" s="13" t="e">
        <f>VLOOKUP(Table24[[#This Row],[Location 
(drop-down)]],'List source'!D$2:E$71,2,FALSE)</f>
        <v>#N/A</v>
      </c>
      <c r="C356" s="17" t="s">
        <v>473</v>
      </c>
      <c r="D356" s="20" t="e">
        <f t="shared" si="5"/>
        <v>#N/A</v>
      </c>
      <c r="E356" s="11"/>
      <c r="F356" s="88"/>
      <c r="G356" s="12"/>
      <c r="H356" s="12"/>
      <c r="I356" s="12"/>
      <c r="J356" s="10"/>
      <c r="K356" s="10"/>
    </row>
    <row r="357" spans="1:11" s="4" customFormat="1" ht="30" customHeight="1">
      <c r="A357" s="9"/>
      <c r="B357" s="13" t="e">
        <f>VLOOKUP(Table24[[#This Row],[Location 
(drop-down)]],'List source'!D$2:E$71,2,FALSE)</f>
        <v>#N/A</v>
      </c>
      <c r="C357" s="17" t="s">
        <v>474</v>
      </c>
      <c r="D357" s="20" t="e">
        <f t="shared" si="5"/>
        <v>#N/A</v>
      </c>
      <c r="E357" s="11"/>
      <c r="F357" s="88"/>
      <c r="G357" s="12"/>
      <c r="H357" s="12"/>
      <c r="I357" s="12"/>
      <c r="J357" s="10"/>
      <c r="K357" s="10"/>
    </row>
    <row r="358" spans="1:11" s="4" customFormat="1" ht="30" customHeight="1">
      <c r="A358" s="9"/>
      <c r="B358" s="13" t="e">
        <f>VLOOKUP(Table24[[#This Row],[Location 
(drop-down)]],'List source'!D$2:E$71,2,FALSE)</f>
        <v>#N/A</v>
      </c>
      <c r="C358" s="17" t="s">
        <v>475</v>
      </c>
      <c r="D358" s="20" t="e">
        <f t="shared" si="5"/>
        <v>#N/A</v>
      </c>
      <c r="E358" s="11"/>
      <c r="F358" s="88"/>
      <c r="G358" s="12"/>
      <c r="H358" s="12"/>
      <c r="I358" s="12"/>
      <c r="J358" s="10"/>
      <c r="K358" s="10"/>
    </row>
    <row r="359" spans="1:11" s="4" customFormat="1" ht="30" customHeight="1">
      <c r="A359" s="9"/>
      <c r="B359" s="13" t="e">
        <f>VLOOKUP(Table24[[#This Row],[Location 
(drop-down)]],'List source'!D$2:E$71,2,FALSE)</f>
        <v>#N/A</v>
      </c>
      <c r="C359" s="17" t="s">
        <v>476</v>
      </c>
      <c r="D359" s="20" t="e">
        <f t="shared" si="5"/>
        <v>#N/A</v>
      </c>
      <c r="E359" s="11"/>
      <c r="F359" s="88"/>
      <c r="G359" s="12"/>
      <c r="H359" s="12"/>
      <c r="I359" s="12"/>
      <c r="J359" s="10"/>
      <c r="K359" s="10"/>
    </row>
    <row r="360" spans="1:11" s="4" customFormat="1" ht="30" customHeight="1">
      <c r="A360" s="9"/>
      <c r="B360" s="13" t="e">
        <f>VLOOKUP(Table24[[#This Row],[Location 
(drop-down)]],'List source'!D$2:E$71,2,FALSE)</f>
        <v>#N/A</v>
      </c>
      <c r="C360" s="17" t="s">
        <v>477</v>
      </c>
      <c r="D360" s="20" t="e">
        <f t="shared" si="5"/>
        <v>#N/A</v>
      </c>
      <c r="E360" s="11"/>
      <c r="F360" s="88"/>
      <c r="G360" s="12"/>
      <c r="H360" s="12"/>
      <c r="I360" s="12"/>
      <c r="J360" s="10"/>
      <c r="K360" s="10"/>
    </row>
    <row r="361" spans="1:11" s="4" customFormat="1" ht="30" customHeight="1">
      <c r="A361" s="9"/>
      <c r="B361" s="13" t="e">
        <f>VLOOKUP(Table24[[#This Row],[Location 
(drop-down)]],'List source'!D$2:E$71,2,FALSE)</f>
        <v>#N/A</v>
      </c>
      <c r="C361" s="17" t="s">
        <v>478</v>
      </c>
      <c r="D361" s="20" t="e">
        <f t="shared" si="5"/>
        <v>#N/A</v>
      </c>
      <c r="E361" s="11"/>
      <c r="F361" s="88"/>
      <c r="G361" s="12"/>
      <c r="H361" s="12"/>
      <c r="I361" s="12"/>
      <c r="J361" s="10"/>
      <c r="K361" s="10"/>
    </row>
    <row r="362" spans="1:11" s="4" customFormat="1" ht="30" customHeight="1">
      <c r="A362" s="9"/>
      <c r="B362" s="13" t="e">
        <f>VLOOKUP(Table24[[#This Row],[Location 
(drop-down)]],'List source'!D$2:E$71,2,FALSE)</f>
        <v>#N/A</v>
      </c>
      <c r="C362" s="17" t="s">
        <v>479</v>
      </c>
      <c r="D362" s="20" t="e">
        <f t="shared" si="5"/>
        <v>#N/A</v>
      </c>
      <c r="E362" s="11"/>
      <c r="F362" s="88"/>
      <c r="G362" s="12"/>
      <c r="H362" s="12"/>
      <c r="I362" s="12"/>
      <c r="J362" s="10"/>
      <c r="K362" s="10"/>
    </row>
    <row r="363" spans="1:11" s="4" customFormat="1" ht="30" customHeight="1">
      <c r="A363" s="9"/>
      <c r="B363" s="13" t="e">
        <f>VLOOKUP(Table24[[#This Row],[Location 
(drop-down)]],'List source'!D$2:E$71,2,FALSE)</f>
        <v>#N/A</v>
      </c>
      <c r="C363" s="17" t="s">
        <v>480</v>
      </c>
      <c r="D363" s="20" t="e">
        <f t="shared" si="5"/>
        <v>#N/A</v>
      </c>
      <c r="E363" s="11"/>
      <c r="F363" s="88"/>
      <c r="G363" s="12"/>
      <c r="H363" s="12"/>
      <c r="I363" s="12"/>
      <c r="J363" s="10"/>
      <c r="K363" s="10"/>
    </row>
    <row r="364" spans="1:11" s="4" customFormat="1" ht="30" customHeight="1">
      <c r="A364" s="9"/>
      <c r="B364" s="13" t="e">
        <f>VLOOKUP(Table24[[#This Row],[Location 
(drop-down)]],'List source'!D$2:E$71,2,FALSE)</f>
        <v>#N/A</v>
      </c>
      <c r="C364" s="17" t="s">
        <v>481</v>
      </c>
      <c r="D364" s="20" t="e">
        <f t="shared" si="5"/>
        <v>#N/A</v>
      </c>
      <c r="E364" s="11"/>
      <c r="F364" s="88"/>
      <c r="G364" s="12"/>
      <c r="H364" s="12"/>
      <c r="I364" s="12"/>
      <c r="J364" s="10"/>
      <c r="K364" s="10"/>
    </row>
    <row r="365" spans="1:11" s="4" customFormat="1" ht="30" customHeight="1">
      <c r="A365" s="9"/>
      <c r="B365" s="13" t="e">
        <f>VLOOKUP(Table24[[#This Row],[Location 
(drop-down)]],'List source'!D$2:E$71,2,FALSE)</f>
        <v>#N/A</v>
      </c>
      <c r="C365" s="17" t="s">
        <v>482</v>
      </c>
      <c r="D365" s="20" t="e">
        <f t="shared" si="5"/>
        <v>#N/A</v>
      </c>
      <c r="E365" s="11"/>
      <c r="F365" s="88"/>
      <c r="G365" s="12"/>
      <c r="H365" s="12"/>
      <c r="I365" s="12"/>
      <c r="J365" s="10"/>
      <c r="K365" s="10"/>
    </row>
    <row r="366" spans="1:11" s="4" customFormat="1" ht="30" customHeight="1">
      <c r="A366" s="9"/>
      <c r="B366" s="13" t="e">
        <f>VLOOKUP(Table24[[#This Row],[Location 
(drop-down)]],'List source'!D$2:E$71,2,FALSE)</f>
        <v>#N/A</v>
      </c>
      <c r="C366" s="17" t="s">
        <v>483</v>
      </c>
      <c r="D366" s="20" t="e">
        <f t="shared" si="5"/>
        <v>#N/A</v>
      </c>
      <c r="E366" s="11"/>
      <c r="F366" s="88"/>
      <c r="G366" s="12"/>
      <c r="H366" s="12"/>
      <c r="I366" s="12"/>
      <c r="J366" s="10"/>
      <c r="K366" s="10"/>
    </row>
    <row r="367" spans="1:11" s="4" customFormat="1" ht="30" customHeight="1">
      <c r="A367" s="9"/>
      <c r="B367" s="13" t="e">
        <f>VLOOKUP(Table24[[#This Row],[Location 
(drop-down)]],'List source'!D$2:E$71,2,FALSE)</f>
        <v>#N/A</v>
      </c>
      <c r="C367" s="17" t="s">
        <v>484</v>
      </c>
      <c r="D367" s="20" t="e">
        <f t="shared" si="5"/>
        <v>#N/A</v>
      </c>
      <c r="E367" s="11"/>
      <c r="F367" s="88"/>
      <c r="G367" s="12"/>
      <c r="H367" s="12"/>
      <c r="I367" s="12"/>
      <c r="J367" s="10"/>
      <c r="K367" s="10"/>
    </row>
    <row r="368" spans="1:11" s="4" customFormat="1" ht="30" customHeight="1">
      <c r="A368" s="9"/>
      <c r="B368" s="13" t="e">
        <f>VLOOKUP(Table24[[#This Row],[Location 
(drop-down)]],'List source'!D$2:E$71,2,FALSE)</f>
        <v>#N/A</v>
      </c>
      <c r="C368" s="17" t="s">
        <v>485</v>
      </c>
      <c r="D368" s="20" t="e">
        <f t="shared" si="5"/>
        <v>#N/A</v>
      </c>
      <c r="E368" s="11"/>
      <c r="F368" s="88"/>
      <c r="G368" s="12"/>
      <c r="H368" s="12"/>
      <c r="I368" s="12"/>
      <c r="J368" s="10"/>
      <c r="K368" s="10"/>
    </row>
    <row r="369" spans="1:11" s="4" customFormat="1" ht="30" customHeight="1">
      <c r="A369" s="9"/>
      <c r="B369" s="13" t="e">
        <f>VLOOKUP(Table24[[#This Row],[Location 
(drop-down)]],'List source'!D$2:E$71,2,FALSE)</f>
        <v>#N/A</v>
      </c>
      <c r="C369" s="17" t="s">
        <v>486</v>
      </c>
      <c r="D369" s="20" t="e">
        <f t="shared" si="5"/>
        <v>#N/A</v>
      </c>
      <c r="E369" s="11"/>
      <c r="F369" s="88"/>
      <c r="G369" s="12"/>
      <c r="H369" s="12"/>
      <c r="I369" s="12"/>
      <c r="J369" s="10"/>
      <c r="K369" s="10"/>
    </row>
    <row r="370" spans="1:11" s="4" customFormat="1" ht="30" customHeight="1">
      <c r="A370" s="9"/>
      <c r="B370" s="13" t="e">
        <f>VLOOKUP(Table24[[#This Row],[Location 
(drop-down)]],'List source'!D$2:E$71,2,FALSE)</f>
        <v>#N/A</v>
      </c>
      <c r="C370" s="17" t="s">
        <v>487</v>
      </c>
      <c r="D370" s="20" t="e">
        <f t="shared" si="5"/>
        <v>#N/A</v>
      </c>
      <c r="E370" s="11"/>
      <c r="F370" s="88"/>
      <c r="G370" s="12"/>
      <c r="H370" s="12"/>
      <c r="I370" s="12"/>
      <c r="J370" s="10"/>
      <c r="K370" s="10"/>
    </row>
    <row r="371" spans="1:11" s="4" customFormat="1" ht="30" customHeight="1">
      <c r="A371" s="9"/>
      <c r="B371" s="13" t="e">
        <f>VLOOKUP(Table24[[#This Row],[Location 
(drop-down)]],'List source'!D$2:E$71,2,FALSE)</f>
        <v>#N/A</v>
      </c>
      <c r="C371" s="17" t="s">
        <v>488</v>
      </c>
      <c r="D371" s="20" t="e">
        <f t="shared" si="5"/>
        <v>#N/A</v>
      </c>
      <c r="E371" s="11"/>
      <c r="F371" s="88"/>
      <c r="G371" s="12"/>
      <c r="H371" s="12"/>
      <c r="I371" s="12"/>
      <c r="J371" s="10"/>
      <c r="K371" s="10"/>
    </row>
    <row r="372" spans="1:11" s="4" customFormat="1" ht="30" customHeight="1">
      <c r="A372" s="9"/>
      <c r="B372" s="13" t="e">
        <f>VLOOKUP(Table24[[#This Row],[Location 
(drop-down)]],'List source'!D$2:E$71,2,FALSE)</f>
        <v>#N/A</v>
      </c>
      <c r="C372" s="17" t="s">
        <v>489</v>
      </c>
      <c r="D372" s="20" t="e">
        <f t="shared" si="5"/>
        <v>#N/A</v>
      </c>
      <c r="E372" s="11"/>
      <c r="F372" s="88"/>
      <c r="G372" s="12"/>
      <c r="H372" s="12"/>
      <c r="I372" s="12"/>
      <c r="J372" s="10"/>
      <c r="K372" s="10"/>
    </row>
    <row r="373" spans="1:11" s="4" customFormat="1" ht="30" customHeight="1">
      <c r="A373" s="9"/>
      <c r="B373" s="13" t="e">
        <f>VLOOKUP(Table24[[#This Row],[Location 
(drop-down)]],'List source'!D$2:E$71,2,FALSE)</f>
        <v>#N/A</v>
      </c>
      <c r="C373" s="17" t="s">
        <v>490</v>
      </c>
      <c r="D373" s="20" t="e">
        <f t="shared" si="5"/>
        <v>#N/A</v>
      </c>
      <c r="E373" s="11"/>
      <c r="F373" s="88"/>
      <c r="G373" s="12"/>
      <c r="H373" s="12"/>
      <c r="I373" s="12"/>
      <c r="J373" s="10"/>
      <c r="K373" s="10"/>
    </row>
    <row r="374" spans="1:11" s="4" customFormat="1" ht="30" customHeight="1">
      <c r="A374" s="9"/>
      <c r="B374" s="13" t="e">
        <f>VLOOKUP(Table24[[#This Row],[Location 
(drop-down)]],'List source'!D$2:E$71,2,FALSE)</f>
        <v>#N/A</v>
      </c>
      <c r="C374" s="17" t="s">
        <v>491</v>
      </c>
      <c r="D374" s="20" t="e">
        <f t="shared" si="5"/>
        <v>#N/A</v>
      </c>
      <c r="E374" s="11"/>
      <c r="F374" s="88"/>
      <c r="G374" s="12"/>
      <c r="H374" s="12"/>
      <c r="I374" s="12"/>
      <c r="J374" s="10"/>
      <c r="K374" s="10"/>
    </row>
    <row r="375" spans="1:11" s="4" customFormat="1" ht="30" customHeight="1">
      <c r="A375" s="9"/>
      <c r="B375" s="13" t="e">
        <f>VLOOKUP(Table24[[#This Row],[Location 
(drop-down)]],'List source'!D$2:E$71,2,FALSE)</f>
        <v>#N/A</v>
      </c>
      <c r="C375" s="17" t="s">
        <v>492</v>
      </c>
      <c r="D375" s="20" t="e">
        <f t="shared" si="5"/>
        <v>#N/A</v>
      </c>
      <c r="E375" s="11"/>
      <c r="F375" s="88"/>
      <c r="G375" s="12"/>
      <c r="H375" s="12"/>
      <c r="I375" s="12"/>
      <c r="J375" s="10"/>
      <c r="K375" s="10"/>
    </row>
    <row r="376" spans="1:11" s="4" customFormat="1" ht="30" customHeight="1">
      <c r="A376" s="9"/>
      <c r="B376" s="13" t="e">
        <f>VLOOKUP(Table24[[#This Row],[Location 
(drop-down)]],'List source'!D$2:E$71,2,FALSE)</f>
        <v>#N/A</v>
      </c>
      <c r="C376" s="17" t="s">
        <v>493</v>
      </c>
      <c r="D376" s="20" t="e">
        <f t="shared" si="5"/>
        <v>#N/A</v>
      </c>
      <c r="E376" s="11"/>
      <c r="F376" s="88"/>
      <c r="G376" s="12"/>
      <c r="H376" s="12"/>
      <c r="I376" s="12"/>
      <c r="J376" s="10"/>
      <c r="K376" s="10"/>
    </row>
    <row r="377" spans="1:11" s="4" customFormat="1" ht="30" customHeight="1">
      <c r="A377" s="9"/>
      <c r="B377" s="13" t="e">
        <f>VLOOKUP(Table24[[#This Row],[Location 
(drop-down)]],'List source'!D$2:E$71,2,FALSE)</f>
        <v>#N/A</v>
      </c>
      <c r="C377" s="17" t="s">
        <v>494</v>
      </c>
      <c r="D377" s="20" t="e">
        <f t="shared" si="5"/>
        <v>#N/A</v>
      </c>
      <c r="E377" s="11"/>
      <c r="F377" s="88"/>
      <c r="G377" s="12"/>
      <c r="H377" s="12"/>
      <c r="I377" s="12"/>
      <c r="J377" s="10"/>
      <c r="K377" s="10"/>
    </row>
    <row r="378" spans="1:11" s="4" customFormat="1" ht="30" customHeight="1">
      <c r="A378" s="9"/>
      <c r="B378" s="13" t="e">
        <f>VLOOKUP(Table24[[#This Row],[Location 
(drop-down)]],'List source'!D$2:E$71,2,FALSE)</f>
        <v>#N/A</v>
      </c>
      <c r="C378" s="17" t="s">
        <v>495</v>
      </c>
      <c r="D378" s="20" t="e">
        <f t="shared" si="5"/>
        <v>#N/A</v>
      </c>
      <c r="E378" s="11"/>
      <c r="F378" s="88"/>
      <c r="G378" s="12"/>
      <c r="H378" s="12"/>
      <c r="I378" s="12"/>
      <c r="J378" s="10"/>
      <c r="K378" s="10"/>
    </row>
    <row r="379" spans="1:11" s="4" customFormat="1" ht="30" customHeight="1">
      <c r="A379" s="9"/>
      <c r="B379" s="13" t="e">
        <f>VLOOKUP(Table24[[#This Row],[Location 
(drop-down)]],'List source'!D$2:E$71,2,FALSE)</f>
        <v>#N/A</v>
      </c>
      <c r="C379" s="17" t="s">
        <v>496</v>
      </c>
      <c r="D379" s="20" t="e">
        <f t="shared" si="5"/>
        <v>#N/A</v>
      </c>
      <c r="E379" s="11"/>
      <c r="F379" s="88"/>
      <c r="G379" s="12"/>
      <c r="H379" s="12"/>
      <c r="I379" s="12"/>
      <c r="J379" s="10"/>
      <c r="K379" s="10"/>
    </row>
    <row r="380" spans="1:11" s="4" customFormat="1" ht="30" customHeight="1">
      <c r="A380" s="9"/>
      <c r="B380" s="13" t="e">
        <f>VLOOKUP(Table24[[#This Row],[Location 
(drop-down)]],'List source'!D$2:E$71,2,FALSE)</f>
        <v>#N/A</v>
      </c>
      <c r="C380" s="17" t="s">
        <v>497</v>
      </c>
      <c r="D380" s="20" t="e">
        <f t="shared" si="5"/>
        <v>#N/A</v>
      </c>
      <c r="E380" s="11"/>
      <c r="F380" s="88"/>
      <c r="G380" s="12"/>
      <c r="H380" s="12"/>
      <c r="I380" s="12"/>
      <c r="J380" s="10"/>
      <c r="K380" s="10"/>
    </row>
    <row r="381" spans="1:11" s="4" customFormat="1" ht="30" customHeight="1">
      <c r="A381" s="9"/>
      <c r="B381" s="13" t="e">
        <f>VLOOKUP(Table24[[#This Row],[Location 
(drop-down)]],'List source'!D$2:E$71,2,FALSE)</f>
        <v>#N/A</v>
      </c>
      <c r="C381" s="17" t="s">
        <v>498</v>
      </c>
      <c r="D381" s="20" t="e">
        <f t="shared" si="5"/>
        <v>#N/A</v>
      </c>
      <c r="E381" s="11"/>
      <c r="F381" s="88"/>
      <c r="G381" s="12"/>
      <c r="H381" s="12"/>
      <c r="I381" s="12"/>
      <c r="J381" s="10"/>
      <c r="K381" s="10"/>
    </row>
    <row r="382" spans="1:11" s="4" customFormat="1" ht="30" customHeight="1">
      <c r="A382" s="9"/>
      <c r="B382" s="13" t="e">
        <f>VLOOKUP(Table24[[#This Row],[Location 
(drop-down)]],'List source'!D$2:E$71,2,FALSE)</f>
        <v>#N/A</v>
      </c>
      <c r="C382" s="17" t="s">
        <v>499</v>
      </c>
      <c r="D382" s="20" t="e">
        <f t="shared" si="5"/>
        <v>#N/A</v>
      </c>
      <c r="E382" s="11"/>
      <c r="F382" s="88"/>
      <c r="G382" s="12"/>
      <c r="H382" s="12"/>
      <c r="I382" s="12"/>
      <c r="J382" s="10"/>
      <c r="K382" s="10"/>
    </row>
    <row r="383" spans="1:11" s="4" customFormat="1" ht="30" customHeight="1">
      <c r="A383" s="9"/>
      <c r="B383" s="13" t="e">
        <f>VLOOKUP(Table24[[#This Row],[Location 
(drop-down)]],'List source'!D$2:E$71,2,FALSE)</f>
        <v>#N/A</v>
      </c>
      <c r="C383" s="17" t="s">
        <v>500</v>
      </c>
      <c r="D383" s="20" t="e">
        <f t="shared" si="5"/>
        <v>#N/A</v>
      </c>
      <c r="E383" s="11"/>
      <c r="F383" s="88"/>
      <c r="G383" s="12"/>
      <c r="H383" s="12"/>
      <c r="I383" s="12"/>
      <c r="J383" s="10"/>
      <c r="K383" s="10"/>
    </row>
    <row r="384" spans="1:11" s="4" customFormat="1" ht="30" customHeight="1">
      <c r="A384" s="9"/>
      <c r="B384" s="13" t="e">
        <f>VLOOKUP(Table24[[#This Row],[Location 
(drop-down)]],'List source'!D$2:E$71,2,FALSE)</f>
        <v>#N/A</v>
      </c>
      <c r="C384" s="17" t="s">
        <v>501</v>
      </c>
      <c r="D384" s="20" t="e">
        <f t="shared" si="5"/>
        <v>#N/A</v>
      </c>
      <c r="E384" s="11"/>
      <c r="F384" s="88"/>
      <c r="G384" s="12"/>
      <c r="H384" s="12"/>
      <c r="I384" s="12"/>
      <c r="J384" s="10"/>
      <c r="K384" s="10"/>
    </row>
    <row r="385" spans="1:11" s="4" customFormat="1" ht="30" customHeight="1">
      <c r="A385" s="9"/>
      <c r="B385" s="13" t="e">
        <f>VLOOKUP(Table24[[#This Row],[Location 
(drop-down)]],'List source'!D$2:E$71,2,FALSE)</f>
        <v>#N/A</v>
      </c>
      <c r="C385" s="17" t="s">
        <v>502</v>
      </c>
      <c r="D385" s="20" t="e">
        <f t="shared" si="5"/>
        <v>#N/A</v>
      </c>
      <c r="E385" s="11"/>
      <c r="F385" s="88"/>
      <c r="G385" s="12"/>
      <c r="H385" s="12"/>
      <c r="I385" s="12"/>
      <c r="J385" s="10"/>
      <c r="K385" s="10"/>
    </row>
    <row r="386" spans="1:11" s="4" customFormat="1" ht="30" customHeight="1">
      <c r="A386" s="9"/>
      <c r="B386" s="13" t="e">
        <f>VLOOKUP(Table24[[#This Row],[Location 
(drop-down)]],'List source'!D$2:E$71,2,FALSE)</f>
        <v>#N/A</v>
      </c>
      <c r="C386" s="17" t="s">
        <v>503</v>
      </c>
      <c r="D386" s="20" t="e">
        <f t="shared" ref="D386:D449" si="6">"P" &amp; C386 &amp; "-" &amp; B386 &amp; "-" &amp; "26"</f>
        <v>#N/A</v>
      </c>
      <c r="E386" s="11"/>
      <c r="F386" s="88"/>
      <c r="G386" s="12"/>
      <c r="H386" s="12"/>
      <c r="I386" s="12"/>
      <c r="J386" s="10"/>
      <c r="K386" s="10"/>
    </row>
    <row r="387" spans="1:11" s="4" customFormat="1" ht="30" customHeight="1">
      <c r="A387" s="9"/>
      <c r="B387" s="13" t="e">
        <f>VLOOKUP(Table24[[#This Row],[Location 
(drop-down)]],'List source'!D$2:E$71,2,FALSE)</f>
        <v>#N/A</v>
      </c>
      <c r="C387" s="17" t="s">
        <v>504</v>
      </c>
      <c r="D387" s="20" t="e">
        <f t="shared" si="6"/>
        <v>#N/A</v>
      </c>
      <c r="E387" s="11"/>
      <c r="F387" s="88"/>
      <c r="G387" s="12"/>
      <c r="H387" s="12"/>
      <c r="I387" s="12"/>
      <c r="J387" s="10"/>
      <c r="K387" s="10"/>
    </row>
    <row r="388" spans="1:11" s="4" customFormat="1" ht="30" customHeight="1">
      <c r="A388" s="9"/>
      <c r="B388" s="13" t="e">
        <f>VLOOKUP(Table24[[#This Row],[Location 
(drop-down)]],'List source'!D$2:E$71,2,FALSE)</f>
        <v>#N/A</v>
      </c>
      <c r="C388" s="17" t="s">
        <v>505</v>
      </c>
      <c r="D388" s="20" t="e">
        <f t="shared" si="6"/>
        <v>#N/A</v>
      </c>
      <c r="E388" s="11"/>
      <c r="F388" s="88"/>
      <c r="G388" s="12"/>
      <c r="H388" s="12"/>
      <c r="I388" s="12"/>
      <c r="J388" s="10"/>
      <c r="K388" s="10"/>
    </row>
    <row r="389" spans="1:11" s="4" customFormat="1" ht="30" customHeight="1">
      <c r="A389" s="9"/>
      <c r="B389" s="13" t="e">
        <f>VLOOKUP(Table24[[#This Row],[Location 
(drop-down)]],'List source'!D$2:E$71,2,FALSE)</f>
        <v>#N/A</v>
      </c>
      <c r="C389" s="17" t="s">
        <v>506</v>
      </c>
      <c r="D389" s="20" t="e">
        <f t="shared" si="6"/>
        <v>#N/A</v>
      </c>
      <c r="E389" s="11"/>
      <c r="F389" s="88"/>
      <c r="G389" s="12"/>
      <c r="H389" s="12"/>
      <c r="I389" s="12"/>
      <c r="J389" s="10"/>
      <c r="K389" s="10"/>
    </row>
    <row r="390" spans="1:11" s="4" customFormat="1" ht="30" customHeight="1">
      <c r="A390" s="9"/>
      <c r="B390" s="13" t="e">
        <f>VLOOKUP(Table24[[#This Row],[Location 
(drop-down)]],'List source'!D$2:E$71,2,FALSE)</f>
        <v>#N/A</v>
      </c>
      <c r="C390" s="17" t="s">
        <v>507</v>
      </c>
      <c r="D390" s="20" t="e">
        <f t="shared" si="6"/>
        <v>#N/A</v>
      </c>
      <c r="E390" s="11"/>
      <c r="F390" s="88"/>
      <c r="G390" s="12"/>
      <c r="H390" s="12"/>
      <c r="I390" s="12"/>
      <c r="J390" s="10"/>
      <c r="K390" s="10"/>
    </row>
    <row r="391" spans="1:11" s="4" customFormat="1" ht="30" customHeight="1">
      <c r="A391" s="9"/>
      <c r="B391" s="13" t="e">
        <f>VLOOKUP(Table24[[#This Row],[Location 
(drop-down)]],'List source'!D$2:E$71,2,FALSE)</f>
        <v>#N/A</v>
      </c>
      <c r="C391" s="17" t="s">
        <v>508</v>
      </c>
      <c r="D391" s="20" t="e">
        <f t="shared" si="6"/>
        <v>#N/A</v>
      </c>
      <c r="E391" s="11"/>
      <c r="F391" s="88"/>
      <c r="G391" s="12"/>
      <c r="H391" s="12"/>
      <c r="I391" s="12"/>
      <c r="J391" s="10"/>
      <c r="K391" s="10"/>
    </row>
    <row r="392" spans="1:11" s="4" customFormat="1" ht="30" customHeight="1">
      <c r="A392" s="9"/>
      <c r="B392" s="13" t="e">
        <f>VLOOKUP(Table24[[#This Row],[Location 
(drop-down)]],'List source'!D$2:E$71,2,FALSE)</f>
        <v>#N/A</v>
      </c>
      <c r="C392" s="17" t="s">
        <v>509</v>
      </c>
      <c r="D392" s="20" t="e">
        <f t="shared" si="6"/>
        <v>#N/A</v>
      </c>
      <c r="E392" s="11"/>
      <c r="F392" s="88"/>
      <c r="G392" s="12"/>
      <c r="H392" s="12"/>
      <c r="I392" s="12"/>
      <c r="J392" s="10"/>
      <c r="K392" s="10"/>
    </row>
    <row r="393" spans="1:11" s="4" customFormat="1" ht="30" customHeight="1">
      <c r="A393" s="9"/>
      <c r="B393" s="13" t="e">
        <f>VLOOKUP(Table24[[#This Row],[Location 
(drop-down)]],'List source'!D$2:E$71,2,FALSE)</f>
        <v>#N/A</v>
      </c>
      <c r="C393" s="17" t="s">
        <v>510</v>
      </c>
      <c r="D393" s="20" t="e">
        <f t="shared" si="6"/>
        <v>#N/A</v>
      </c>
      <c r="E393" s="11"/>
      <c r="F393" s="88"/>
      <c r="G393" s="12"/>
      <c r="H393" s="12"/>
      <c r="I393" s="12"/>
      <c r="J393" s="10"/>
      <c r="K393" s="10"/>
    </row>
    <row r="394" spans="1:11" s="4" customFormat="1" ht="30" customHeight="1">
      <c r="A394" s="9"/>
      <c r="B394" s="13" t="e">
        <f>VLOOKUP(Table24[[#This Row],[Location 
(drop-down)]],'List source'!D$2:E$71,2,FALSE)</f>
        <v>#N/A</v>
      </c>
      <c r="C394" s="17" t="s">
        <v>511</v>
      </c>
      <c r="D394" s="20" t="e">
        <f t="shared" si="6"/>
        <v>#N/A</v>
      </c>
      <c r="E394" s="11"/>
      <c r="F394" s="88"/>
      <c r="G394" s="12"/>
      <c r="H394" s="12"/>
      <c r="I394" s="12"/>
      <c r="J394" s="10"/>
      <c r="K394" s="10"/>
    </row>
    <row r="395" spans="1:11" s="4" customFormat="1" ht="30" customHeight="1">
      <c r="A395" s="9"/>
      <c r="B395" s="13" t="e">
        <f>VLOOKUP(Table24[[#This Row],[Location 
(drop-down)]],'List source'!D$2:E$71,2,FALSE)</f>
        <v>#N/A</v>
      </c>
      <c r="C395" s="17" t="s">
        <v>512</v>
      </c>
      <c r="D395" s="20" t="e">
        <f t="shared" si="6"/>
        <v>#N/A</v>
      </c>
      <c r="E395" s="11"/>
      <c r="F395" s="88"/>
      <c r="G395" s="12"/>
      <c r="H395" s="12"/>
      <c r="I395" s="12"/>
      <c r="J395" s="10"/>
      <c r="K395" s="10"/>
    </row>
    <row r="396" spans="1:11" s="4" customFormat="1" ht="30" customHeight="1">
      <c r="A396" s="9"/>
      <c r="B396" s="13" t="e">
        <f>VLOOKUP(Table24[[#This Row],[Location 
(drop-down)]],'List source'!D$2:E$71,2,FALSE)</f>
        <v>#N/A</v>
      </c>
      <c r="C396" s="17" t="s">
        <v>513</v>
      </c>
      <c r="D396" s="20" t="e">
        <f t="shared" si="6"/>
        <v>#N/A</v>
      </c>
      <c r="E396" s="11"/>
      <c r="F396" s="88"/>
      <c r="G396" s="12"/>
      <c r="H396" s="12"/>
      <c r="I396" s="12"/>
      <c r="J396" s="10"/>
      <c r="K396" s="10"/>
    </row>
    <row r="397" spans="1:11" s="4" customFormat="1" ht="30" customHeight="1">
      <c r="A397" s="9"/>
      <c r="B397" s="13" t="e">
        <f>VLOOKUP(Table24[[#This Row],[Location 
(drop-down)]],'List source'!D$2:E$71,2,FALSE)</f>
        <v>#N/A</v>
      </c>
      <c r="C397" s="17" t="s">
        <v>514</v>
      </c>
      <c r="D397" s="20" t="e">
        <f t="shared" si="6"/>
        <v>#N/A</v>
      </c>
      <c r="E397" s="11"/>
      <c r="F397" s="88"/>
      <c r="G397" s="12"/>
      <c r="H397" s="12"/>
      <c r="I397" s="12"/>
      <c r="J397" s="10"/>
      <c r="K397" s="10"/>
    </row>
    <row r="398" spans="1:11" s="4" customFormat="1" ht="30" customHeight="1">
      <c r="A398" s="9"/>
      <c r="B398" s="13" t="e">
        <f>VLOOKUP(Table24[[#This Row],[Location 
(drop-down)]],'List source'!D$2:E$71,2,FALSE)</f>
        <v>#N/A</v>
      </c>
      <c r="C398" s="17" t="s">
        <v>515</v>
      </c>
      <c r="D398" s="20" t="e">
        <f t="shared" si="6"/>
        <v>#N/A</v>
      </c>
      <c r="E398" s="11"/>
      <c r="F398" s="88"/>
      <c r="G398" s="12"/>
      <c r="H398" s="12"/>
      <c r="I398" s="12"/>
      <c r="J398" s="10"/>
      <c r="K398" s="10"/>
    </row>
    <row r="399" spans="1:11" s="4" customFormat="1" ht="30" customHeight="1">
      <c r="A399" s="9"/>
      <c r="B399" s="13" t="e">
        <f>VLOOKUP(Table24[[#This Row],[Location 
(drop-down)]],'List source'!D$2:E$71,2,FALSE)</f>
        <v>#N/A</v>
      </c>
      <c r="C399" s="17" t="s">
        <v>516</v>
      </c>
      <c r="D399" s="20" t="e">
        <f t="shared" si="6"/>
        <v>#N/A</v>
      </c>
      <c r="E399" s="11"/>
      <c r="F399" s="88"/>
      <c r="G399" s="12"/>
      <c r="H399" s="12"/>
      <c r="I399" s="12"/>
      <c r="J399" s="10"/>
      <c r="K399" s="10"/>
    </row>
    <row r="400" spans="1:11" s="4" customFormat="1" ht="30" customHeight="1">
      <c r="A400" s="9"/>
      <c r="B400" s="13" t="e">
        <f>VLOOKUP(Table24[[#This Row],[Location 
(drop-down)]],'List source'!D$2:E$71,2,FALSE)</f>
        <v>#N/A</v>
      </c>
      <c r="C400" s="17" t="s">
        <v>517</v>
      </c>
      <c r="D400" s="20" t="e">
        <f t="shared" si="6"/>
        <v>#N/A</v>
      </c>
      <c r="E400" s="11"/>
      <c r="F400" s="88"/>
      <c r="G400" s="12"/>
      <c r="H400" s="12"/>
      <c r="I400" s="12"/>
      <c r="J400" s="10"/>
      <c r="K400" s="10"/>
    </row>
    <row r="401" spans="1:11" s="4" customFormat="1" ht="30" customHeight="1">
      <c r="A401" s="9"/>
      <c r="B401" s="13" t="e">
        <f>VLOOKUP(Table24[[#This Row],[Location 
(drop-down)]],'List source'!D$2:E$71,2,FALSE)</f>
        <v>#N/A</v>
      </c>
      <c r="C401" s="17" t="s">
        <v>518</v>
      </c>
      <c r="D401" s="20" t="e">
        <f t="shared" si="6"/>
        <v>#N/A</v>
      </c>
      <c r="E401" s="11"/>
      <c r="F401" s="88"/>
      <c r="G401" s="12"/>
      <c r="H401" s="12"/>
      <c r="I401" s="12"/>
      <c r="J401" s="10"/>
      <c r="K401" s="10"/>
    </row>
    <row r="402" spans="1:11" s="4" customFormat="1" ht="30" customHeight="1">
      <c r="A402" s="9"/>
      <c r="B402" s="13" t="e">
        <f>VLOOKUP(Table24[[#This Row],[Location 
(drop-down)]],'List source'!D$2:E$71,2,FALSE)</f>
        <v>#N/A</v>
      </c>
      <c r="C402" s="17" t="s">
        <v>519</v>
      </c>
      <c r="D402" s="20" t="e">
        <f t="shared" si="6"/>
        <v>#N/A</v>
      </c>
      <c r="E402" s="11"/>
      <c r="F402" s="88"/>
      <c r="G402" s="12"/>
      <c r="H402" s="12"/>
      <c r="I402" s="12"/>
      <c r="J402" s="10"/>
      <c r="K402" s="10"/>
    </row>
    <row r="403" spans="1:11" s="4" customFormat="1" ht="30" customHeight="1">
      <c r="A403" s="9"/>
      <c r="B403" s="13" t="e">
        <f>VLOOKUP(Table24[[#This Row],[Location 
(drop-down)]],'List source'!D$2:E$71,2,FALSE)</f>
        <v>#N/A</v>
      </c>
      <c r="C403" s="17" t="s">
        <v>520</v>
      </c>
      <c r="D403" s="20" t="e">
        <f t="shared" si="6"/>
        <v>#N/A</v>
      </c>
      <c r="E403" s="11"/>
      <c r="F403" s="88"/>
      <c r="G403" s="12"/>
      <c r="H403" s="12"/>
      <c r="I403" s="12"/>
      <c r="J403" s="10"/>
      <c r="K403" s="10"/>
    </row>
    <row r="404" spans="1:11" s="4" customFormat="1" ht="30" customHeight="1">
      <c r="A404" s="9"/>
      <c r="B404" s="13" t="e">
        <f>VLOOKUP(Table24[[#This Row],[Location 
(drop-down)]],'List source'!D$2:E$71,2,FALSE)</f>
        <v>#N/A</v>
      </c>
      <c r="C404" s="17" t="s">
        <v>521</v>
      </c>
      <c r="D404" s="20" t="e">
        <f t="shared" si="6"/>
        <v>#N/A</v>
      </c>
      <c r="E404" s="11"/>
      <c r="F404" s="88"/>
      <c r="G404" s="12"/>
      <c r="H404" s="12"/>
      <c r="I404" s="12"/>
      <c r="J404" s="10"/>
      <c r="K404" s="10"/>
    </row>
    <row r="405" spans="1:11" s="4" customFormat="1" ht="30" customHeight="1">
      <c r="A405" s="9"/>
      <c r="B405" s="13" t="e">
        <f>VLOOKUP(Table24[[#This Row],[Location 
(drop-down)]],'List source'!D$2:E$71,2,FALSE)</f>
        <v>#N/A</v>
      </c>
      <c r="C405" s="17" t="s">
        <v>522</v>
      </c>
      <c r="D405" s="20" t="e">
        <f t="shared" si="6"/>
        <v>#N/A</v>
      </c>
      <c r="E405" s="11"/>
      <c r="F405" s="88"/>
      <c r="G405" s="12"/>
      <c r="H405" s="12"/>
      <c r="I405" s="12"/>
      <c r="J405" s="10"/>
      <c r="K405" s="10"/>
    </row>
    <row r="406" spans="1:11" s="4" customFormat="1" ht="30" customHeight="1">
      <c r="A406" s="9"/>
      <c r="B406" s="13" t="e">
        <f>VLOOKUP(Table24[[#This Row],[Location 
(drop-down)]],'List source'!D$2:E$71,2,FALSE)</f>
        <v>#N/A</v>
      </c>
      <c r="C406" s="17" t="s">
        <v>523</v>
      </c>
      <c r="D406" s="20" t="e">
        <f t="shared" si="6"/>
        <v>#N/A</v>
      </c>
      <c r="E406" s="11"/>
      <c r="F406" s="88"/>
      <c r="G406" s="12"/>
      <c r="H406" s="12"/>
      <c r="I406" s="12"/>
      <c r="J406" s="10"/>
      <c r="K406" s="10"/>
    </row>
    <row r="407" spans="1:11" s="4" customFormat="1" ht="30" customHeight="1">
      <c r="A407" s="9"/>
      <c r="B407" s="13" t="e">
        <f>VLOOKUP(Table24[[#This Row],[Location 
(drop-down)]],'List source'!D$2:E$71,2,FALSE)</f>
        <v>#N/A</v>
      </c>
      <c r="C407" s="17" t="s">
        <v>524</v>
      </c>
      <c r="D407" s="20" t="e">
        <f t="shared" si="6"/>
        <v>#N/A</v>
      </c>
      <c r="E407" s="11"/>
      <c r="F407" s="88"/>
      <c r="G407" s="12"/>
      <c r="H407" s="12"/>
      <c r="I407" s="12"/>
      <c r="J407" s="10"/>
      <c r="K407" s="10"/>
    </row>
    <row r="408" spans="1:11" s="4" customFormat="1" ht="30" customHeight="1">
      <c r="A408" s="9"/>
      <c r="B408" s="13" t="e">
        <f>VLOOKUP(Table24[[#This Row],[Location 
(drop-down)]],'List source'!D$2:E$71,2,FALSE)</f>
        <v>#N/A</v>
      </c>
      <c r="C408" s="17" t="s">
        <v>525</v>
      </c>
      <c r="D408" s="20" t="e">
        <f t="shared" si="6"/>
        <v>#N/A</v>
      </c>
      <c r="E408" s="11"/>
      <c r="F408" s="88"/>
      <c r="G408" s="12"/>
      <c r="H408" s="12"/>
      <c r="I408" s="12"/>
      <c r="J408" s="10"/>
      <c r="K408" s="10"/>
    </row>
    <row r="409" spans="1:11" s="4" customFormat="1" ht="30" customHeight="1">
      <c r="A409" s="9"/>
      <c r="B409" s="13" t="e">
        <f>VLOOKUP(Table24[[#This Row],[Location 
(drop-down)]],'List source'!D$2:E$71,2,FALSE)</f>
        <v>#N/A</v>
      </c>
      <c r="C409" s="17" t="s">
        <v>526</v>
      </c>
      <c r="D409" s="20" t="e">
        <f t="shared" si="6"/>
        <v>#N/A</v>
      </c>
      <c r="E409" s="11"/>
      <c r="F409" s="88"/>
      <c r="G409" s="12"/>
      <c r="H409" s="12"/>
      <c r="I409" s="12"/>
      <c r="J409" s="10"/>
      <c r="K409" s="10"/>
    </row>
    <row r="410" spans="1:11" s="4" customFormat="1" ht="30" customHeight="1">
      <c r="A410" s="9"/>
      <c r="B410" s="13" t="e">
        <f>VLOOKUP(Table24[[#This Row],[Location 
(drop-down)]],'List source'!D$2:E$71,2,FALSE)</f>
        <v>#N/A</v>
      </c>
      <c r="C410" s="17" t="s">
        <v>527</v>
      </c>
      <c r="D410" s="20" t="e">
        <f t="shared" si="6"/>
        <v>#N/A</v>
      </c>
      <c r="E410" s="11"/>
      <c r="F410" s="88"/>
      <c r="G410" s="12"/>
      <c r="H410" s="12"/>
      <c r="I410" s="12"/>
      <c r="J410" s="10"/>
      <c r="K410" s="10"/>
    </row>
    <row r="411" spans="1:11" s="4" customFormat="1" ht="30" customHeight="1">
      <c r="A411" s="9"/>
      <c r="B411" s="13" t="e">
        <f>VLOOKUP(Table24[[#This Row],[Location 
(drop-down)]],'List source'!D$2:E$71,2,FALSE)</f>
        <v>#N/A</v>
      </c>
      <c r="C411" s="17" t="s">
        <v>528</v>
      </c>
      <c r="D411" s="20" t="e">
        <f t="shared" si="6"/>
        <v>#N/A</v>
      </c>
      <c r="E411" s="11"/>
      <c r="F411" s="88"/>
      <c r="G411" s="12"/>
      <c r="H411" s="12"/>
      <c r="I411" s="12"/>
      <c r="J411" s="10"/>
      <c r="K411" s="10"/>
    </row>
    <row r="412" spans="1:11" s="4" customFormat="1" ht="30" customHeight="1">
      <c r="A412" s="9"/>
      <c r="B412" s="13" t="e">
        <f>VLOOKUP(Table24[[#This Row],[Location 
(drop-down)]],'List source'!D$2:E$71,2,FALSE)</f>
        <v>#N/A</v>
      </c>
      <c r="C412" s="17" t="s">
        <v>529</v>
      </c>
      <c r="D412" s="20" t="e">
        <f t="shared" si="6"/>
        <v>#N/A</v>
      </c>
      <c r="E412" s="11"/>
      <c r="F412" s="88"/>
      <c r="G412" s="12"/>
      <c r="H412" s="12"/>
      <c r="I412" s="12"/>
      <c r="J412" s="10"/>
      <c r="K412" s="10"/>
    </row>
    <row r="413" spans="1:11" s="4" customFormat="1" ht="30" customHeight="1">
      <c r="A413" s="9"/>
      <c r="B413" s="13" t="e">
        <f>VLOOKUP(Table24[[#This Row],[Location 
(drop-down)]],'List source'!D$2:E$71,2,FALSE)</f>
        <v>#N/A</v>
      </c>
      <c r="C413" s="17" t="s">
        <v>530</v>
      </c>
      <c r="D413" s="20" t="e">
        <f t="shared" si="6"/>
        <v>#N/A</v>
      </c>
      <c r="E413" s="11"/>
      <c r="F413" s="88"/>
      <c r="G413" s="12"/>
      <c r="H413" s="12"/>
      <c r="I413" s="12"/>
      <c r="J413" s="10"/>
      <c r="K413" s="10"/>
    </row>
    <row r="414" spans="1:11" s="4" customFormat="1" ht="30" customHeight="1">
      <c r="A414" s="9"/>
      <c r="B414" s="13" t="e">
        <f>VLOOKUP(Table24[[#This Row],[Location 
(drop-down)]],'List source'!D$2:E$71,2,FALSE)</f>
        <v>#N/A</v>
      </c>
      <c r="C414" s="17" t="s">
        <v>531</v>
      </c>
      <c r="D414" s="20" t="e">
        <f t="shared" si="6"/>
        <v>#N/A</v>
      </c>
      <c r="E414" s="11"/>
      <c r="F414" s="88"/>
      <c r="G414" s="12"/>
      <c r="H414" s="12"/>
      <c r="I414" s="12"/>
      <c r="J414" s="10"/>
      <c r="K414" s="10"/>
    </row>
    <row r="415" spans="1:11" s="4" customFormat="1" ht="30" customHeight="1">
      <c r="A415" s="9"/>
      <c r="B415" s="13" t="e">
        <f>VLOOKUP(Table24[[#This Row],[Location 
(drop-down)]],'List source'!D$2:E$71,2,FALSE)</f>
        <v>#N/A</v>
      </c>
      <c r="C415" s="17" t="s">
        <v>532</v>
      </c>
      <c r="D415" s="20" t="e">
        <f t="shared" si="6"/>
        <v>#N/A</v>
      </c>
      <c r="E415" s="11"/>
      <c r="F415" s="88"/>
      <c r="G415" s="12"/>
      <c r="H415" s="12"/>
      <c r="I415" s="12"/>
      <c r="J415" s="10"/>
      <c r="K415" s="10"/>
    </row>
    <row r="416" spans="1:11" s="4" customFormat="1" ht="30" customHeight="1">
      <c r="A416" s="9"/>
      <c r="B416" s="13" t="e">
        <f>VLOOKUP(Table24[[#This Row],[Location 
(drop-down)]],'List source'!D$2:E$71,2,FALSE)</f>
        <v>#N/A</v>
      </c>
      <c r="C416" s="17" t="s">
        <v>533</v>
      </c>
      <c r="D416" s="20" t="e">
        <f t="shared" si="6"/>
        <v>#N/A</v>
      </c>
      <c r="E416" s="11"/>
      <c r="F416" s="88"/>
      <c r="G416" s="12"/>
      <c r="H416" s="12"/>
      <c r="I416" s="12"/>
      <c r="J416" s="10"/>
      <c r="K416" s="10"/>
    </row>
    <row r="417" spans="1:11" s="4" customFormat="1" ht="30" customHeight="1">
      <c r="A417" s="9"/>
      <c r="B417" s="13" t="e">
        <f>VLOOKUP(Table24[[#This Row],[Location 
(drop-down)]],'List source'!D$2:E$71,2,FALSE)</f>
        <v>#N/A</v>
      </c>
      <c r="C417" s="17" t="s">
        <v>534</v>
      </c>
      <c r="D417" s="20" t="e">
        <f t="shared" si="6"/>
        <v>#N/A</v>
      </c>
      <c r="E417" s="11"/>
      <c r="F417" s="88"/>
      <c r="G417" s="12"/>
      <c r="H417" s="12"/>
      <c r="I417" s="12"/>
      <c r="J417" s="10"/>
      <c r="K417" s="10"/>
    </row>
    <row r="418" spans="1:11" s="4" customFormat="1" ht="30" customHeight="1">
      <c r="A418" s="9"/>
      <c r="B418" s="13" t="e">
        <f>VLOOKUP(Table24[[#This Row],[Location 
(drop-down)]],'List source'!D$2:E$71,2,FALSE)</f>
        <v>#N/A</v>
      </c>
      <c r="C418" s="17" t="s">
        <v>535</v>
      </c>
      <c r="D418" s="20" t="e">
        <f t="shared" si="6"/>
        <v>#N/A</v>
      </c>
      <c r="E418" s="11"/>
      <c r="F418" s="88"/>
      <c r="G418" s="12"/>
      <c r="H418" s="12"/>
      <c r="I418" s="12"/>
      <c r="J418" s="10"/>
      <c r="K418" s="10"/>
    </row>
    <row r="419" spans="1:11" s="4" customFormat="1" ht="30" customHeight="1">
      <c r="A419" s="9"/>
      <c r="B419" s="13" t="e">
        <f>VLOOKUP(Table24[[#This Row],[Location 
(drop-down)]],'List source'!D$2:E$71,2,FALSE)</f>
        <v>#N/A</v>
      </c>
      <c r="C419" s="17" t="s">
        <v>536</v>
      </c>
      <c r="D419" s="20" t="e">
        <f t="shared" si="6"/>
        <v>#N/A</v>
      </c>
      <c r="E419" s="11"/>
      <c r="F419" s="88"/>
      <c r="G419" s="12"/>
      <c r="H419" s="12"/>
      <c r="I419" s="12"/>
      <c r="J419" s="10"/>
      <c r="K419" s="10"/>
    </row>
    <row r="420" spans="1:11" s="4" customFormat="1" ht="30" customHeight="1">
      <c r="A420" s="9"/>
      <c r="B420" s="13" t="e">
        <f>VLOOKUP(Table24[[#This Row],[Location 
(drop-down)]],'List source'!D$2:E$71,2,FALSE)</f>
        <v>#N/A</v>
      </c>
      <c r="C420" s="17" t="s">
        <v>537</v>
      </c>
      <c r="D420" s="20" t="e">
        <f t="shared" si="6"/>
        <v>#N/A</v>
      </c>
      <c r="E420" s="11"/>
      <c r="F420" s="88"/>
      <c r="G420" s="12"/>
      <c r="H420" s="12"/>
      <c r="I420" s="12"/>
      <c r="J420" s="10"/>
      <c r="K420" s="10"/>
    </row>
    <row r="421" spans="1:11" s="4" customFormat="1" ht="30" customHeight="1">
      <c r="A421" s="9"/>
      <c r="B421" s="13" t="e">
        <f>VLOOKUP(Table24[[#This Row],[Location 
(drop-down)]],'List source'!D$2:E$71,2,FALSE)</f>
        <v>#N/A</v>
      </c>
      <c r="C421" s="17" t="s">
        <v>538</v>
      </c>
      <c r="D421" s="20" t="e">
        <f t="shared" si="6"/>
        <v>#N/A</v>
      </c>
      <c r="E421" s="11"/>
      <c r="F421" s="88"/>
      <c r="G421" s="12"/>
      <c r="H421" s="12"/>
      <c r="I421" s="12"/>
      <c r="J421" s="10"/>
      <c r="K421" s="10"/>
    </row>
    <row r="422" spans="1:11" s="4" customFormat="1" ht="30" customHeight="1">
      <c r="A422" s="9"/>
      <c r="B422" s="13" t="e">
        <f>VLOOKUP(Table24[[#This Row],[Location 
(drop-down)]],'List source'!D$2:E$71,2,FALSE)</f>
        <v>#N/A</v>
      </c>
      <c r="C422" s="17" t="s">
        <v>539</v>
      </c>
      <c r="D422" s="20" t="e">
        <f t="shared" si="6"/>
        <v>#N/A</v>
      </c>
      <c r="E422" s="11"/>
      <c r="F422" s="88"/>
      <c r="G422" s="12"/>
      <c r="H422" s="12"/>
      <c r="I422" s="12"/>
      <c r="J422" s="10"/>
      <c r="K422" s="10"/>
    </row>
    <row r="423" spans="1:11" s="4" customFormat="1" ht="30" customHeight="1">
      <c r="A423" s="9"/>
      <c r="B423" s="13" t="e">
        <f>VLOOKUP(Table24[[#This Row],[Location 
(drop-down)]],'List source'!D$2:E$71,2,FALSE)</f>
        <v>#N/A</v>
      </c>
      <c r="C423" s="17" t="s">
        <v>540</v>
      </c>
      <c r="D423" s="20" t="e">
        <f t="shared" si="6"/>
        <v>#N/A</v>
      </c>
      <c r="E423" s="11"/>
      <c r="F423" s="88"/>
      <c r="G423" s="12"/>
      <c r="H423" s="12"/>
      <c r="I423" s="12"/>
      <c r="J423" s="10"/>
      <c r="K423" s="10"/>
    </row>
    <row r="424" spans="1:11" s="4" customFormat="1" ht="30" customHeight="1">
      <c r="A424" s="9"/>
      <c r="B424" s="13" t="e">
        <f>VLOOKUP(Table24[[#This Row],[Location 
(drop-down)]],'List source'!D$2:E$71,2,FALSE)</f>
        <v>#N/A</v>
      </c>
      <c r="C424" s="17" t="s">
        <v>541</v>
      </c>
      <c r="D424" s="20" t="e">
        <f t="shared" si="6"/>
        <v>#N/A</v>
      </c>
      <c r="E424" s="11"/>
      <c r="F424" s="88"/>
      <c r="G424" s="12"/>
      <c r="H424" s="12"/>
      <c r="I424" s="12"/>
      <c r="J424" s="10"/>
      <c r="K424" s="10"/>
    </row>
    <row r="425" spans="1:11" s="4" customFormat="1" ht="30" customHeight="1">
      <c r="A425" s="9"/>
      <c r="B425" s="13" t="e">
        <f>VLOOKUP(Table24[[#This Row],[Location 
(drop-down)]],'List source'!D$2:E$71,2,FALSE)</f>
        <v>#N/A</v>
      </c>
      <c r="C425" s="17" t="s">
        <v>542</v>
      </c>
      <c r="D425" s="20" t="e">
        <f t="shared" si="6"/>
        <v>#N/A</v>
      </c>
      <c r="E425" s="11"/>
      <c r="F425" s="88"/>
      <c r="G425" s="12"/>
      <c r="H425" s="12"/>
      <c r="I425" s="12"/>
      <c r="J425" s="10"/>
      <c r="K425" s="10"/>
    </row>
    <row r="426" spans="1:11" s="4" customFormat="1" ht="30" customHeight="1">
      <c r="A426" s="9"/>
      <c r="B426" s="13" t="e">
        <f>VLOOKUP(Table24[[#This Row],[Location 
(drop-down)]],'List source'!D$2:E$71,2,FALSE)</f>
        <v>#N/A</v>
      </c>
      <c r="C426" s="17" t="s">
        <v>543</v>
      </c>
      <c r="D426" s="20" t="e">
        <f t="shared" si="6"/>
        <v>#N/A</v>
      </c>
      <c r="E426" s="11"/>
      <c r="F426" s="88"/>
      <c r="G426" s="12"/>
      <c r="H426" s="12"/>
      <c r="I426" s="12"/>
      <c r="J426" s="10"/>
      <c r="K426" s="10"/>
    </row>
    <row r="427" spans="1:11" s="4" customFormat="1" ht="30" customHeight="1">
      <c r="A427" s="9"/>
      <c r="B427" s="13" t="e">
        <f>VLOOKUP(Table24[[#This Row],[Location 
(drop-down)]],'List source'!D$2:E$71,2,FALSE)</f>
        <v>#N/A</v>
      </c>
      <c r="C427" s="17" t="s">
        <v>544</v>
      </c>
      <c r="D427" s="20" t="e">
        <f t="shared" si="6"/>
        <v>#N/A</v>
      </c>
      <c r="E427" s="11"/>
      <c r="F427" s="88"/>
      <c r="G427" s="12"/>
      <c r="H427" s="12"/>
      <c r="I427" s="12"/>
      <c r="J427" s="10"/>
      <c r="K427" s="10"/>
    </row>
    <row r="428" spans="1:11" s="4" customFormat="1" ht="30" customHeight="1">
      <c r="A428" s="9"/>
      <c r="B428" s="13" t="e">
        <f>VLOOKUP(Table24[[#This Row],[Location 
(drop-down)]],'List source'!D$2:E$71,2,FALSE)</f>
        <v>#N/A</v>
      </c>
      <c r="C428" s="17" t="s">
        <v>545</v>
      </c>
      <c r="D428" s="20" t="e">
        <f t="shared" si="6"/>
        <v>#N/A</v>
      </c>
      <c r="E428" s="11"/>
      <c r="F428" s="88"/>
      <c r="G428" s="12"/>
      <c r="H428" s="12"/>
      <c r="I428" s="12"/>
      <c r="J428" s="10"/>
      <c r="K428" s="10"/>
    </row>
    <row r="429" spans="1:11" s="4" customFormat="1" ht="30" customHeight="1">
      <c r="A429" s="9"/>
      <c r="B429" s="13" t="e">
        <f>VLOOKUP(Table24[[#This Row],[Location 
(drop-down)]],'List source'!D$2:E$71,2,FALSE)</f>
        <v>#N/A</v>
      </c>
      <c r="C429" s="17" t="s">
        <v>546</v>
      </c>
      <c r="D429" s="20" t="e">
        <f t="shared" si="6"/>
        <v>#N/A</v>
      </c>
      <c r="E429" s="11"/>
      <c r="F429" s="88"/>
      <c r="G429" s="12"/>
      <c r="H429" s="12"/>
      <c r="I429" s="12"/>
      <c r="J429" s="10"/>
      <c r="K429" s="10"/>
    </row>
    <row r="430" spans="1:11" s="4" customFormat="1" ht="30" customHeight="1">
      <c r="A430" s="9"/>
      <c r="B430" s="13" t="e">
        <f>VLOOKUP(Table24[[#This Row],[Location 
(drop-down)]],'List source'!D$2:E$71,2,FALSE)</f>
        <v>#N/A</v>
      </c>
      <c r="C430" s="17" t="s">
        <v>547</v>
      </c>
      <c r="D430" s="20" t="e">
        <f t="shared" si="6"/>
        <v>#N/A</v>
      </c>
      <c r="E430" s="11"/>
      <c r="F430" s="88"/>
      <c r="G430" s="12"/>
      <c r="H430" s="12"/>
      <c r="I430" s="12"/>
      <c r="J430" s="10"/>
      <c r="K430" s="10"/>
    </row>
    <row r="431" spans="1:11" s="4" customFormat="1" ht="30" customHeight="1">
      <c r="A431" s="9"/>
      <c r="B431" s="13" t="e">
        <f>VLOOKUP(Table24[[#This Row],[Location 
(drop-down)]],'List source'!D$2:E$71,2,FALSE)</f>
        <v>#N/A</v>
      </c>
      <c r="C431" s="17" t="s">
        <v>548</v>
      </c>
      <c r="D431" s="20" t="e">
        <f t="shared" si="6"/>
        <v>#N/A</v>
      </c>
      <c r="E431" s="11"/>
      <c r="F431" s="88"/>
      <c r="G431" s="12"/>
      <c r="H431" s="12"/>
      <c r="I431" s="12"/>
      <c r="J431" s="10"/>
      <c r="K431" s="10"/>
    </row>
    <row r="432" spans="1:11" s="4" customFormat="1" ht="30" customHeight="1">
      <c r="A432" s="9"/>
      <c r="B432" s="13" t="e">
        <f>VLOOKUP(Table24[[#This Row],[Location 
(drop-down)]],'List source'!D$2:E$71,2,FALSE)</f>
        <v>#N/A</v>
      </c>
      <c r="C432" s="17" t="s">
        <v>549</v>
      </c>
      <c r="D432" s="20" t="e">
        <f t="shared" si="6"/>
        <v>#N/A</v>
      </c>
      <c r="E432" s="11"/>
      <c r="F432" s="88"/>
      <c r="G432" s="12"/>
      <c r="H432" s="12"/>
      <c r="I432" s="12"/>
      <c r="J432" s="10"/>
      <c r="K432" s="10"/>
    </row>
    <row r="433" spans="1:11" s="4" customFormat="1" ht="30" customHeight="1">
      <c r="A433" s="9"/>
      <c r="B433" s="13" t="e">
        <f>VLOOKUP(Table24[[#This Row],[Location 
(drop-down)]],'List source'!D$2:E$71,2,FALSE)</f>
        <v>#N/A</v>
      </c>
      <c r="C433" s="17" t="s">
        <v>550</v>
      </c>
      <c r="D433" s="20" t="e">
        <f t="shared" si="6"/>
        <v>#N/A</v>
      </c>
      <c r="E433" s="11"/>
      <c r="F433" s="88"/>
      <c r="G433" s="12"/>
      <c r="H433" s="12"/>
      <c r="I433" s="12"/>
      <c r="J433" s="10"/>
      <c r="K433" s="10"/>
    </row>
    <row r="434" spans="1:11" s="4" customFormat="1" ht="30" customHeight="1">
      <c r="A434" s="9"/>
      <c r="B434" s="13" t="e">
        <f>VLOOKUP(Table24[[#This Row],[Location 
(drop-down)]],'List source'!D$2:E$71,2,FALSE)</f>
        <v>#N/A</v>
      </c>
      <c r="C434" s="17" t="s">
        <v>551</v>
      </c>
      <c r="D434" s="20" t="e">
        <f t="shared" si="6"/>
        <v>#N/A</v>
      </c>
      <c r="E434" s="11"/>
      <c r="F434" s="88"/>
      <c r="G434" s="12"/>
      <c r="H434" s="12"/>
      <c r="I434" s="12"/>
      <c r="J434" s="10"/>
      <c r="K434" s="10"/>
    </row>
    <row r="435" spans="1:11" s="4" customFormat="1" ht="30" customHeight="1">
      <c r="A435" s="9"/>
      <c r="B435" s="13" t="e">
        <f>VLOOKUP(Table24[[#This Row],[Location 
(drop-down)]],'List source'!D$2:E$71,2,FALSE)</f>
        <v>#N/A</v>
      </c>
      <c r="C435" s="17" t="s">
        <v>552</v>
      </c>
      <c r="D435" s="20" t="e">
        <f t="shared" si="6"/>
        <v>#N/A</v>
      </c>
      <c r="E435" s="11"/>
      <c r="F435" s="88"/>
      <c r="G435" s="12"/>
      <c r="H435" s="12"/>
      <c r="I435" s="12"/>
      <c r="J435" s="10"/>
      <c r="K435" s="10"/>
    </row>
    <row r="436" spans="1:11" s="4" customFormat="1" ht="30" customHeight="1">
      <c r="A436" s="9"/>
      <c r="B436" s="13" t="e">
        <f>VLOOKUP(Table24[[#This Row],[Location 
(drop-down)]],'List source'!D$2:E$71,2,FALSE)</f>
        <v>#N/A</v>
      </c>
      <c r="C436" s="17" t="s">
        <v>553</v>
      </c>
      <c r="D436" s="20" t="e">
        <f t="shared" si="6"/>
        <v>#N/A</v>
      </c>
      <c r="E436" s="11"/>
      <c r="F436" s="88"/>
      <c r="G436" s="12"/>
      <c r="H436" s="12"/>
      <c r="I436" s="12"/>
      <c r="J436" s="10"/>
      <c r="K436" s="10"/>
    </row>
    <row r="437" spans="1:11" s="4" customFormat="1" ht="30" customHeight="1">
      <c r="A437" s="9"/>
      <c r="B437" s="13" t="e">
        <f>VLOOKUP(Table24[[#This Row],[Location 
(drop-down)]],'List source'!D$2:E$71,2,FALSE)</f>
        <v>#N/A</v>
      </c>
      <c r="C437" s="17" t="s">
        <v>554</v>
      </c>
      <c r="D437" s="20" t="e">
        <f t="shared" si="6"/>
        <v>#N/A</v>
      </c>
      <c r="E437" s="11"/>
      <c r="F437" s="88"/>
      <c r="G437" s="12"/>
      <c r="H437" s="12"/>
      <c r="I437" s="12"/>
      <c r="J437" s="10"/>
      <c r="K437" s="10"/>
    </row>
    <row r="438" spans="1:11" s="4" customFormat="1" ht="30" customHeight="1">
      <c r="A438" s="9"/>
      <c r="B438" s="13" t="e">
        <f>VLOOKUP(Table24[[#This Row],[Location 
(drop-down)]],'List source'!D$2:E$71,2,FALSE)</f>
        <v>#N/A</v>
      </c>
      <c r="C438" s="17" t="s">
        <v>555</v>
      </c>
      <c r="D438" s="20" t="e">
        <f t="shared" si="6"/>
        <v>#N/A</v>
      </c>
      <c r="E438" s="11"/>
      <c r="F438" s="88"/>
      <c r="G438" s="12"/>
      <c r="H438" s="12"/>
      <c r="I438" s="12"/>
      <c r="J438" s="10"/>
      <c r="K438" s="10"/>
    </row>
    <row r="439" spans="1:11" s="4" customFormat="1" ht="30" customHeight="1">
      <c r="A439" s="9"/>
      <c r="B439" s="13" t="e">
        <f>VLOOKUP(Table24[[#This Row],[Location 
(drop-down)]],'List source'!D$2:E$71,2,FALSE)</f>
        <v>#N/A</v>
      </c>
      <c r="C439" s="17" t="s">
        <v>556</v>
      </c>
      <c r="D439" s="20" t="e">
        <f t="shared" si="6"/>
        <v>#N/A</v>
      </c>
      <c r="E439" s="11"/>
      <c r="F439" s="88"/>
      <c r="G439" s="12"/>
      <c r="H439" s="12"/>
      <c r="I439" s="12"/>
      <c r="J439" s="10"/>
      <c r="K439" s="10"/>
    </row>
    <row r="440" spans="1:11" s="4" customFormat="1" ht="30" customHeight="1">
      <c r="A440" s="9"/>
      <c r="B440" s="13" t="e">
        <f>VLOOKUP(Table24[[#This Row],[Location 
(drop-down)]],'List source'!D$2:E$71,2,FALSE)</f>
        <v>#N/A</v>
      </c>
      <c r="C440" s="17" t="s">
        <v>557</v>
      </c>
      <c r="D440" s="20" t="e">
        <f t="shared" si="6"/>
        <v>#N/A</v>
      </c>
      <c r="E440" s="11"/>
      <c r="F440" s="88"/>
      <c r="G440" s="12"/>
      <c r="H440" s="12"/>
      <c r="I440" s="12"/>
      <c r="J440" s="10"/>
      <c r="K440" s="10"/>
    </row>
    <row r="441" spans="1:11" s="4" customFormat="1" ht="30" customHeight="1">
      <c r="A441" s="9"/>
      <c r="B441" s="13" t="e">
        <f>VLOOKUP(Table24[[#This Row],[Location 
(drop-down)]],'List source'!D$2:E$71,2,FALSE)</f>
        <v>#N/A</v>
      </c>
      <c r="C441" s="17" t="s">
        <v>558</v>
      </c>
      <c r="D441" s="20" t="e">
        <f t="shared" si="6"/>
        <v>#N/A</v>
      </c>
      <c r="E441" s="11"/>
      <c r="F441" s="88"/>
      <c r="G441" s="12"/>
      <c r="H441" s="12"/>
      <c r="I441" s="12"/>
      <c r="J441" s="10"/>
      <c r="K441" s="10"/>
    </row>
    <row r="442" spans="1:11" s="4" customFormat="1" ht="30" customHeight="1">
      <c r="A442" s="9"/>
      <c r="B442" s="13" t="e">
        <f>VLOOKUP(Table24[[#This Row],[Location 
(drop-down)]],'List source'!D$2:E$71,2,FALSE)</f>
        <v>#N/A</v>
      </c>
      <c r="C442" s="17" t="s">
        <v>559</v>
      </c>
      <c r="D442" s="20" t="e">
        <f t="shared" si="6"/>
        <v>#N/A</v>
      </c>
      <c r="E442" s="11"/>
      <c r="F442" s="88"/>
      <c r="G442" s="12"/>
      <c r="H442" s="12"/>
      <c r="I442" s="12"/>
      <c r="J442" s="10"/>
      <c r="K442" s="10"/>
    </row>
    <row r="443" spans="1:11" s="4" customFormat="1" ht="30" customHeight="1">
      <c r="A443" s="9"/>
      <c r="B443" s="13" t="e">
        <f>VLOOKUP(Table24[[#This Row],[Location 
(drop-down)]],'List source'!D$2:E$71,2,FALSE)</f>
        <v>#N/A</v>
      </c>
      <c r="C443" s="17" t="s">
        <v>560</v>
      </c>
      <c r="D443" s="20" t="e">
        <f t="shared" si="6"/>
        <v>#N/A</v>
      </c>
      <c r="E443" s="11"/>
      <c r="F443" s="88"/>
      <c r="G443" s="12"/>
      <c r="H443" s="12"/>
      <c r="I443" s="12"/>
      <c r="J443" s="10"/>
      <c r="K443" s="10"/>
    </row>
    <row r="444" spans="1:11" s="4" customFormat="1" ht="30" customHeight="1">
      <c r="A444" s="9"/>
      <c r="B444" s="13" t="e">
        <f>VLOOKUP(Table24[[#This Row],[Location 
(drop-down)]],'List source'!D$2:E$71,2,FALSE)</f>
        <v>#N/A</v>
      </c>
      <c r="C444" s="17" t="s">
        <v>561</v>
      </c>
      <c r="D444" s="20" t="e">
        <f t="shared" si="6"/>
        <v>#N/A</v>
      </c>
      <c r="E444" s="11"/>
      <c r="F444" s="88"/>
      <c r="G444" s="12"/>
      <c r="H444" s="12"/>
      <c r="I444" s="12"/>
      <c r="J444" s="10"/>
      <c r="K444" s="10"/>
    </row>
    <row r="445" spans="1:11" s="4" customFormat="1" ht="30" customHeight="1">
      <c r="A445" s="9"/>
      <c r="B445" s="13" t="e">
        <f>VLOOKUP(Table24[[#This Row],[Location 
(drop-down)]],'List source'!D$2:E$71,2,FALSE)</f>
        <v>#N/A</v>
      </c>
      <c r="C445" s="17" t="s">
        <v>562</v>
      </c>
      <c r="D445" s="20" t="e">
        <f t="shared" si="6"/>
        <v>#N/A</v>
      </c>
      <c r="E445" s="11"/>
      <c r="F445" s="88"/>
      <c r="G445" s="12"/>
      <c r="H445" s="12"/>
      <c r="I445" s="12"/>
      <c r="J445" s="10"/>
      <c r="K445" s="10"/>
    </row>
    <row r="446" spans="1:11" s="4" customFormat="1" ht="30" customHeight="1">
      <c r="A446" s="9"/>
      <c r="B446" s="13" t="e">
        <f>VLOOKUP(Table24[[#This Row],[Location 
(drop-down)]],'List source'!D$2:E$71,2,FALSE)</f>
        <v>#N/A</v>
      </c>
      <c r="C446" s="17" t="s">
        <v>563</v>
      </c>
      <c r="D446" s="20" t="e">
        <f t="shared" si="6"/>
        <v>#N/A</v>
      </c>
      <c r="E446" s="11"/>
      <c r="F446" s="88"/>
      <c r="G446" s="12"/>
      <c r="H446" s="12"/>
      <c r="I446" s="12"/>
      <c r="J446" s="10"/>
      <c r="K446" s="10"/>
    </row>
    <row r="447" spans="1:11" s="4" customFormat="1" ht="30" customHeight="1">
      <c r="A447" s="9"/>
      <c r="B447" s="13" t="e">
        <f>VLOOKUP(Table24[[#This Row],[Location 
(drop-down)]],'List source'!D$2:E$71,2,FALSE)</f>
        <v>#N/A</v>
      </c>
      <c r="C447" s="17" t="s">
        <v>564</v>
      </c>
      <c r="D447" s="20" t="e">
        <f t="shared" si="6"/>
        <v>#N/A</v>
      </c>
      <c r="E447" s="11"/>
      <c r="F447" s="88"/>
      <c r="G447" s="12"/>
      <c r="H447" s="12"/>
      <c r="I447" s="12"/>
      <c r="J447" s="10"/>
      <c r="K447" s="10"/>
    </row>
    <row r="448" spans="1:11" s="4" customFormat="1" ht="30" customHeight="1">
      <c r="A448" s="9"/>
      <c r="B448" s="13" t="e">
        <f>VLOOKUP(Table24[[#This Row],[Location 
(drop-down)]],'List source'!D$2:E$71,2,FALSE)</f>
        <v>#N/A</v>
      </c>
      <c r="C448" s="17" t="s">
        <v>565</v>
      </c>
      <c r="D448" s="20" t="e">
        <f t="shared" si="6"/>
        <v>#N/A</v>
      </c>
      <c r="E448" s="11"/>
      <c r="F448" s="88"/>
      <c r="G448" s="12"/>
      <c r="H448" s="12"/>
      <c r="I448" s="12"/>
      <c r="J448" s="10"/>
      <c r="K448" s="10"/>
    </row>
    <row r="449" spans="1:11" s="4" customFormat="1" ht="30" customHeight="1">
      <c r="A449" s="9"/>
      <c r="B449" s="13" t="e">
        <f>VLOOKUP(Table24[[#This Row],[Location 
(drop-down)]],'List source'!D$2:E$71,2,FALSE)</f>
        <v>#N/A</v>
      </c>
      <c r="C449" s="17" t="s">
        <v>566</v>
      </c>
      <c r="D449" s="20" t="e">
        <f t="shared" si="6"/>
        <v>#N/A</v>
      </c>
      <c r="E449" s="11"/>
      <c r="F449" s="88"/>
      <c r="G449" s="12"/>
      <c r="H449" s="12"/>
      <c r="I449" s="12"/>
      <c r="J449" s="10"/>
      <c r="K449" s="10"/>
    </row>
    <row r="450" spans="1:11" s="4" customFormat="1" ht="30" customHeight="1">
      <c r="A450" s="9"/>
      <c r="B450" s="13" t="e">
        <f>VLOOKUP(Table24[[#This Row],[Location 
(drop-down)]],'List source'!D$2:E$71,2,FALSE)</f>
        <v>#N/A</v>
      </c>
      <c r="C450" s="17" t="s">
        <v>567</v>
      </c>
      <c r="D450" s="20" t="e">
        <f t="shared" ref="D450:D501" si="7">"P" &amp; C450 &amp; "-" &amp; B450 &amp; "-" &amp; "26"</f>
        <v>#N/A</v>
      </c>
      <c r="E450" s="11"/>
      <c r="F450" s="88"/>
      <c r="G450" s="12"/>
      <c r="H450" s="12"/>
      <c r="I450" s="12"/>
      <c r="J450" s="10"/>
      <c r="K450" s="10"/>
    </row>
    <row r="451" spans="1:11" s="4" customFormat="1" ht="30" customHeight="1">
      <c r="A451" s="9"/>
      <c r="B451" s="13" t="e">
        <f>VLOOKUP(Table24[[#This Row],[Location 
(drop-down)]],'List source'!D$2:E$71,2,FALSE)</f>
        <v>#N/A</v>
      </c>
      <c r="C451" s="17" t="s">
        <v>568</v>
      </c>
      <c r="D451" s="20" t="e">
        <f t="shared" si="7"/>
        <v>#N/A</v>
      </c>
      <c r="E451" s="11"/>
      <c r="F451" s="88"/>
      <c r="G451" s="12"/>
      <c r="H451" s="12"/>
      <c r="I451" s="12"/>
      <c r="J451" s="10"/>
      <c r="K451" s="10"/>
    </row>
    <row r="452" spans="1:11" s="4" customFormat="1" ht="30" customHeight="1">
      <c r="A452" s="9"/>
      <c r="B452" s="13" t="e">
        <f>VLOOKUP(Table24[[#This Row],[Location 
(drop-down)]],'List source'!D$2:E$71,2,FALSE)</f>
        <v>#N/A</v>
      </c>
      <c r="C452" s="17" t="s">
        <v>569</v>
      </c>
      <c r="D452" s="20" t="e">
        <f t="shared" si="7"/>
        <v>#N/A</v>
      </c>
      <c r="E452" s="11"/>
      <c r="F452" s="88"/>
      <c r="G452" s="12"/>
      <c r="H452" s="12"/>
      <c r="I452" s="12"/>
      <c r="J452" s="10"/>
      <c r="K452" s="10"/>
    </row>
    <row r="453" spans="1:11" s="4" customFormat="1" ht="30" customHeight="1">
      <c r="A453" s="9"/>
      <c r="B453" s="13" t="e">
        <f>VLOOKUP(Table24[[#This Row],[Location 
(drop-down)]],'List source'!D$2:E$71,2,FALSE)</f>
        <v>#N/A</v>
      </c>
      <c r="C453" s="17" t="s">
        <v>570</v>
      </c>
      <c r="D453" s="20" t="e">
        <f t="shared" si="7"/>
        <v>#N/A</v>
      </c>
      <c r="E453" s="11"/>
      <c r="F453" s="88"/>
      <c r="G453" s="12"/>
      <c r="H453" s="12"/>
      <c r="I453" s="12"/>
      <c r="J453" s="10"/>
      <c r="K453" s="10"/>
    </row>
    <row r="454" spans="1:11" s="4" customFormat="1" ht="30" customHeight="1">
      <c r="A454" s="9"/>
      <c r="B454" s="13" t="e">
        <f>VLOOKUP(Table24[[#This Row],[Location 
(drop-down)]],'List source'!D$2:E$71,2,FALSE)</f>
        <v>#N/A</v>
      </c>
      <c r="C454" s="17" t="s">
        <v>571</v>
      </c>
      <c r="D454" s="20" t="e">
        <f t="shared" si="7"/>
        <v>#N/A</v>
      </c>
      <c r="E454" s="11"/>
      <c r="F454" s="88"/>
      <c r="G454" s="12"/>
      <c r="H454" s="12"/>
      <c r="I454" s="12"/>
      <c r="J454" s="10"/>
      <c r="K454" s="10"/>
    </row>
    <row r="455" spans="1:11" s="4" customFormat="1" ht="30" customHeight="1">
      <c r="A455" s="9"/>
      <c r="B455" s="13" t="e">
        <f>VLOOKUP(Table24[[#This Row],[Location 
(drop-down)]],'List source'!D$2:E$71,2,FALSE)</f>
        <v>#N/A</v>
      </c>
      <c r="C455" s="17" t="s">
        <v>572</v>
      </c>
      <c r="D455" s="20" t="e">
        <f t="shared" si="7"/>
        <v>#N/A</v>
      </c>
      <c r="E455" s="11"/>
      <c r="F455" s="88"/>
      <c r="G455" s="12"/>
      <c r="H455" s="12"/>
      <c r="I455" s="12"/>
      <c r="J455" s="10"/>
      <c r="K455" s="10"/>
    </row>
    <row r="456" spans="1:11" s="4" customFormat="1" ht="30" customHeight="1">
      <c r="A456" s="9"/>
      <c r="B456" s="13" t="e">
        <f>VLOOKUP(Table24[[#This Row],[Location 
(drop-down)]],'List source'!D$2:E$71,2,FALSE)</f>
        <v>#N/A</v>
      </c>
      <c r="C456" s="17" t="s">
        <v>573</v>
      </c>
      <c r="D456" s="20" t="e">
        <f t="shared" si="7"/>
        <v>#N/A</v>
      </c>
      <c r="E456" s="11"/>
      <c r="F456" s="88"/>
      <c r="G456" s="12"/>
      <c r="H456" s="12"/>
      <c r="I456" s="12"/>
      <c r="J456" s="10"/>
      <c r="K456" s="10"/>
    </row>
    <row r="457" spans="1:11" s="4" customFormat="1" ht="30" customHeight="1">
      <c r="A457" s="9"/>
      <c r="B457" s="13" t="e">
        <f>VLOOKUP(Table24[[#This Row],[Location 
(drop-down)]],'List source'!D$2:E$71,2,FALSE)</f>
        <v>#N/A</v>
      </c>
      <c r="C457" s="17" t="s">
        <v>574</v>
      </c>
      <c r="D457" s="20" t="e">
        <f t="shared" si="7"/>
        <v>#N/A</v>
      </c>
      <c r="E457" s="11"/>
      <c r="F457" s="88"/>
      <c r="G457" s="12"/>
      <c r="H457" s="12"/>
      <c r="I457" s="12"/>
      <c r="J457" s="10"/>
      <c r="K457" s="10"/>
    </row>
    <row r="458" spans="1:11" s="4" customFormat="1" ht="30" customHeight="1">
      <c r="A458" s="9"/>
      <c r="B458" s="13" t="e">
        <f>VLOOKUP(Table24[[#This Row],[Location 
(drop-down)]],'List source'!D$2:E$71,2,FALSE)</f>
        <v>#N/A</v>
      </c>
      <c r="C458" s="17" t="s">
        <v>575</v>
      </c>
      <c r="D458" s="20" t="e">
        <f t="shared" si="7"/>
        <v>#N/A</v>
      </c>
      <c r="E458" s="11"/>
      <c r="F458" s="88"/>
      <c r="G458" s="12"/>
      <c r="H458" s="12"/>
      <c r="I458" s="12"/>
      <c r="J458" s="10"/>
      <c r="K458" s="10"/>
    </row>
    <row r="459" spans="1:11" s="4" customFormat="1" ht="30" customHeight="1">
      <c r="A459" s="9"/>
      <c r="B459" s="13" t="e">
        <f>VLOOKUP(Table24[[#This Row],[Location 
(drop-down)]],'List source'!D$2:E$71,2,FALSE)</f>
        <v>#N/A</v>
      </c>
      <c r="C459" s="17" t="s">
        <v>576</v>
      </c>
      <c r="D459" s="20" t="e">
        <f t="shared" si="7"/>
        <v>#N/A</v>
      </c>
      <c r="E459" s="11"/>
      <c r="F459" s="88"/>
      <c r="G459" s="12"/>
      <c r="H459" s="12"/>
      <c r="I459" s="12"/>
      <c r="J459" s="10"/>
      <c r="K459" s="10"/>
    </row>
    <row r="460" spans="1:11" s="4" customFormat="1" ht="30" customHeight="1">
      <c r="A460" s="9"/>
      <c r="B460" s="13" t="e">
        <f>VLOOKUP(Table24[[#This Row],[Location 
(drop-down)]],'List source'!D$2:E$71,2,FALSE)</f>
        <v>#N/A</v>
      </c>
      <c r="C460" s="17" t="s">
        <v>577</v>
      </c>
      <c r="D460" s="20" t="e">
        <f t="shared" si="7"/>
        <v>#N/A</v>
      </c>
      <c r="E460" s="11"/>
      <c r="F460" s="88"/>
      <c r="G460" s="12"/>
      <c r="H460" s="12"/>
      <c r="I460" s="12"/>
      <c r="J460" s="10"/>
      <c r="K460" s="10"/>
    </row>
    <row r="461" spans="1:11" s="4" customFormat="1" ht="30" customHeight="1">
      <c r="A461" s="9"/>
      <c r="B461" s="13" t="e">
        <f>VLOOKUP(Table24[[#This Row],[Location 
(drop-down)]],'List source'!D$2:E$71,2,FALSE)</f>
        <v>#N/A</v>
      </c>
      <c r="C461" s="17" t="s">
        <v>578</v>
      </c>
      <c r="D461" s="20" t="e">
        <f t="shared" si="7"/>
        <v>#N/A</v>
      </c>
      <c r="E461" s="11"/>
      <c r="F461" s="88"/>
      <c r="G461" s="12"/>
      <c r="H461" s="12"/>
      <c r="I461" s="12"/>
      <c r="J461" s="10"/>
      <c r="K461" s="10"/>
    </row>
    <row r="462" spans="1:11" s="4" customFormat="1" ht="30" customHeight="1">
      <c r="A462" s="9"/>
      <c r="B462" s="13" t="e">
        <f>VLOOKUP(Table24[[#This Row],[Location 
(drop-down)]],'List source'!D$2:E$71,2,FALSE)</f>
        <v>#N/A</v>
      </c>
      <c r="C462" s="17" t="s">
        <v>579</v>
      </c>
      <c r="D462" s="20" t="e">
        <f t="shared" si="7"/>
        <v>#N/A</v>
      </c>
      <c r="E462" s="11"/>
      <c r="F462" s="88"/>
      <c r="G462" s="12"/>
      <c r="H462" s="12"/>
      <c r="I462" s="12"/>
      <c r="J462" s="10"/>
      <c r="K462" s="10"/>
    </row>
    <row r="463" spans="1:11" s="4" customFormat="1" ht="30" customHeight="1">
      <c r="A463" s="9"/>
      <c r="B463" s="13" t="e">
        <f>VLOOKUP(Table24[[#This Row],[Location 
(drop-down)]],'List source'!D$2:E$71,2,FALSE)</f>
        <v>#N/A</v>
      </c>
      <c r="C463" s="17" t="s">
        <v>580</v>
      </c>
      <c r="D463" s="20" t="e">
        <f t="shared" si="7"/>
        <v>#N/A</v>
      </c>
      <c r="E463" s="11"/>
      <c r="F463" s="88"/>
      <c r="G463" s="12"/>
      <c r="H463" s="12"/>
      <c r="I463" s="12"/>
      <c r="J463" s="10"/>
      <c r="K463" s="10"/>
    </row>
    <row r="464" spans="1:11" s="4" customFormat="1" ht="30" customHeight="1">
      <c r="A464" s="9"/>
      <c r="B464" s="13" t="e">
        <f>VLOOKUP(Table24[[#This Row],[Location 
(drop-down)]],'List source'!D$2:E$71,2,FALSE)</f>
        <v>#N/A</v>
      </c>
      <c r="C464" s="17" t="s">
        <v>581</v>
      </c>
      <c r="D464" s="20" t="e">
        <f t="shared" si="7"/>
        <v>#N/A</v>
      </c>
      <c r="E464" s="11"/>
      <c r="F464" s="88"/>
      <c r="G464" s="12"/>
      <c r="H464" s="12"/>
      <c r="I464" s="12"/>
      <c r="J464" s="10"/>
      <c r="K464" s="10"/>
    </row>
    <row r="465" spans="1:11" s="4" customFormat="1" ht="30" customHeight="1">
      <c r="A465" s="9"/>
      <c r="B465" s="13" t="e">
        <f>VLOOKUP(Table24[[#This Row],[Location 
(drop-down)]],'List source'!D$2:E$71,2,FALSE)</f>
        <v>#N/A</v>
      </c>
      <c r="C465" s="17" t="s">
        <v>582</v>
      </c>
      <c r="D465" s="20" t="e">
        <f t="shared" si="7"/>
        <v>#N/A</v>
      </c>
      <c r="E465" s="11"/>
      <c r="F465" s="88"/>
      <c r="G465" s="12"/>
      <c r="H465" s="12"/>
      <c r="I465" s="12"/>
      <c r="J465" s="10"/>
      <c r="K465" s="10"/>
    </row>
    <row r="466" spans="1:11" s="4" customFormat="1" ht="30" customHeight="1">
      <c r="A466" s="9"/>
      <c r="B466" s="13" t="e">
        <f>VLOOKUP(Table24[[#This Row],[Location 
(drop-down)]],'List source'!D$2:E$71,2,FALSE)</f>
        <v>#N/A</v>
      </c>
      <c r="C466" s="17" t="s">
        <v>583</v>
      </c>
      <c r="D466" s="20" t="e">
        <f t="shared" si="7"/>
        <v>#N/A</v>
      </c>
      <c r="E466" s="11"/>
      <c r="F466" s="88"/>
      <c r="G466" s="12"/>
      <c r="H466" s="12"/>
      <c r="I466" s="12"/>
      <c r="J466" s="10"/>
      <c r="K466" s="10"/>
    </row>
    <row r="467" spans="1:11" s="4" customFormat="1" ht="30" customHeight="1">
      <c r="A467" s="9"/>
      <c r="B467" s="13" t="e">
        <f>VLOOKUP(Table24[[#This Row],[Location 
(drop-down)]],'List source'!D$2:E$71,2,FALSE)</f>
        <v>#N/A</v>
      </c>
      <c r="C467" s="17" t="s">
        <v>584</v>
      </c>
      <c r="D467" s="20" t="e">
        <f t="shared" si="7"/>
        <v>#N/A</v>
      </c>
      <c r="E467" s="11"/>
      <c r="F467" s="88"/>
      <c r="G467" s="12"/>
      <c r="H467" s="12"/>
      <c r="I467" s="12"/>
      <c r="J467" s="10"/>
      <c r="K467" s="10"/>
    </row>
    <row r="468" spans="1:11" s="4" customFormat="1" ht="30" customHeight="1">
      <c r="A468" s="9"/>
      <c r="B468" s="13" t="e">
        <f>VLOOKUP(Table24[[#This Row],[Location 
(drop-down)]],'List source'!D$2:E$71,2,FALSE)</f>
        <v>#N/A</v>
      </c>
      <c r="C468" s="17" t="s">
        <v>585</v>
      </c>
      <c r="D468" s="20" t="e">
        <f t="shared" si="7"/>
        <v>#N/A</v>
      </c>
      <c r="E468" s="11"/>
      <c r="F468" s="88"/>
      <c r="G468" s="12"/>
      <c r="H468" s="12"/>
      <c r="I468" s="12"/>
      <c r="J468" s="10"/>
      <c r="K468" s="10"/>
    </row>
    <row r="469" spans="1:11" s="4" customFormat="1" ht="30" customHeight="1">
      <c r="A469" s="9"/>
      <c r="B469" s="13" t="e">
        <f>VLOOKUP(Table24[[#This Row],[Location 
(drop-down)]],'List source'!D$2:E$71,2,FALSE)</f>
        <v>#N/A</v>
      </c>
      <c r="C469" s="17" t="s">
        <v>586</v>
      </c>
      <c r="D469" s="20" t="e">
        <f t="shared" si="7"/>
        <v>#N/A</v>
      </c>
      <c r="E469" s="11"/>
      <c r="F469" s="88"/>
      <c r="G469" s="12"/>
      <c r="H469" s="12"/>
      <c r="I469" s="12"/>
      <c r="J469" s="10"/>
      <c r="K469" s="10"/>
    </row>
    <row r="470" spans="1:11" s="4" customFormat="1" ht="30" customHeight="1">
      <c r="A470" s="9"/>
      <c r="B470" s="13" t="e">
        <f>VLOOKUP(Table24[[#This Row],[Location 
(drop-down)]],'List source'!D$2:E$71,2,FALSE)</f>
        <v>#N/A</v>
      </c>
      <c r="C470" s="17" t="s">
        <v>587</v>
      </c>
      <c r="D470" s="20" t="e">
        <f t="shared" si="7"/>
        <v>#N/A</v>
      </c>
      <c r="E470" s="11"/>
      <c r="F470" s="88"/>
      <c r="G470" s="12"/>
      <c r="H470" s="12"/>
      <c r="I470" s="12"/>
      <c r="J470" s="10"/>
      <c r="K470" s="10"/>
    </row>
    <row r="471" spans="1:11" s="4" customFormat="1" ht="30" customHeight="1">
      <c r="A471" s="9"/>
      <c r="B471" s="13" t="e">
        <f>VLOOKUP(Table24[[#This Row],[Location 
(drop-down)]],'List source'!D$2:E$71,2,FALSE)</f>
        <v>#N/A</v>
      </c>
      <c r="C471" s="17" t="s">
        <v>588</v>
      </c>
      <c r="D471" s="20" t="e">
        <f t="shared" si="7"/>
        <v>#N/A</v>
      </c>
      <c r="E471" s="11"/>
      <c r="F471" s="88"/>
      <c r="G471" s="12"/>
      <c r="H471" s="12"/>
      <c r="I471" s="12"/>
      <c r="J471" s="10"/>
      <c r="K471" s="10"/>
    </row>
    <row r="472" spans="1:11" s="4" customFormat="1" ht="30" customHeight="1">
      <c r="A472" s="9"/>
      <c r="B472" s="13" t="e">
        <f>VLOOKUP(Table24[[#This Row],[Location 
(drop-down)]],'List source'!D$2:E$71,2,FALSE)</f>
        <v>#N/A</v>
      </c>
      <c r="C472" s="17" t="s">
        <v>589</v>
      </c>
      <c r="D472" s="20" t="e">
        <f t="shared" si="7"/>
        <v>#N/A</v>
      </c>
      <c r="E472" s="11"/>
      <c r="F472" s="88"/>
      <c r="G472" s="12"/>
      <c r="H472" s="12"/>
      <c r="I472" s="12"/>
      <c r="J472" s="10"/>
      <c r="K472" s="10"/>
    </row>
    <row r="473" spans="1:11" s="4" customFormat="1" ht="30" customHeight="1">
      <c r="A473" s="9"/>
      <c r="B473" s="13" t="e">
        <f>VLOOKUP(Table24[[#This Row],[Location 
(drop-down)]],'List source'!D$2:E$71,2,FALSE)</f>
        <v>#N/A</v>
      </c>
      <c r="C473" s="17" t="s">
        <v>590</v>
      </c>
      <c r="D473" s="20" t="e">
        <f t="shared" si="7"/>
        <v>#N/A</v>
      </c>
      <c r="E473" s="11"/>
      <c r="F473" s="88"/>
      <c r="G473" s="12"/>
      <c r="H473" s="12"/>
      <c r="I473" s="12"/>
      <c r="J473" s="10"/>
      <c r="K473" s="10"/>
    </row>
    <row r="474" spans="1:11" s="4" customFormat="1" ht="30" customHeight="1">
      <c r="A474" s="9"/>
      <c r="B474" s="13" t="e">
        <f>VLOOKUP(Table24[[#This Row],[Location 
(drop-down)]],'List source'!D$2:E$71,2,FALSE)</f>
        <v>#N/A</v>
      </c>
      <c r="C474" s="17" t="s">
        <v>591</v>
      </c>
      <c r="D474" s="20" t="e">
        <f t="shared" si="7"/>
        <v>#N/A</v>
      </c>
      <c r="E474" s="11"/>
      <c r="F474" s="88"/>
      <c r="G474" s="12"/>
      <c r="H474" s="12"/>
      <c r="I474" s="12"/>
      <c r="J474" s="10"/>
      <c r="K474" s="10"/>
    </row>
    <row r="475" spans="1:11" s="4" customFormat="1" ht="30" customHeight="1">
      <c r="A475" s="9"/>
      <c r="B475" s="13" t="e">
        <f>VLOOKUP(Table24[[#This Row],[Location 
(drop-down)]],'List source'!D$2:E$71,2,FALSE)</f>
        <v>#N/A</v>
      </c>
      <c r="C475" s="17" t="s">
        <v>592</v>
      </c>
      <c r="D475" s="20" t="e">
        <f t="shared" si="7"/>
        <v>#N/A</v>
      </c>
      <c r="E475" s="11"/>
      <c r="F475" s="88"/>
      <c r="G475" s="12"/>
      <c r="H475" s="12"/>
      <c r="I475" s="12"/>
      <c r="J475" s="10"/>
      <c r="K475" s="10"/>
    </row>
    <row r="476" spans="1:11" s="4" customFormat="1" ht="30" customHeight="1">
      <c r="A476" s="9"/>
      <c r="B476" s="13" t="e">
        <f>VLOOKUP(Table24[[#This Row],[Location 
(drop-down)]],'List source'!D$2:E$71,2,FALSE)</f>
        <v>#N/A</v>
      </c>
      <c r="C476" s="17" t="s">
        <v>593</v>
      </c>
      <c r="D476" s="20" t="e">
        <f t="shared" si="7"/>
        <v>#N/A</v>
      </c>
      <c r="E476" s="11"/>
      <c r="F476" s="88"/>
      <c r="G476" s="12"/>
      <c r="H476" s="12"/>
      <c r="I476" s="12"/>
      <c r="J476" s="10"/>
      <c r="K476" s="10"/>
    </row>
    <row r="477" spans="1:11" s="4" customFormat="1" ht="30" customHeight="1">
      <c r="A477" s="9"/>
      <c r="B477" s="13" t="e">
        <f>VLOOKUP(Table24[[#This Row],[Location 
(drop-down)]],'List source'!D$2:E$71,2,FALSE)</f>
        <v>#N/A</v>
      </c>
      <c r="C477" s="17" t="s">
        <v>594</v>
      </c>
      <c r="D477" s="20" t="e">
        <f t="shared" si="7"/>
        <v>#N/A</v>
      </c>
      <c r="E477" s="11"/>
      <c r="F477" s="88"/>
      <c r="G477" s="12"/>
      <c r="H477" s="12"/>
      <c r="I477" s="12"/>
      <c r="J477" s="10"/>
      <c r="K477" s="10"/>
    </row>
    <row r="478" spans="1:11" s="4" customFormat="1" ht="30" customHeight="1">
      <c r="A478" s="9"/>
      <c r="B478" s="13" t="e">
        <f>VLOOKUP(Table24[[#This Row],[Location 
(drop-down)]],'List source'!D$2:E$71,2,FALSE)</f>
        <v>#N/A</v>
      </c>
      <c r="C478" s="17" t="s">
        <v>595</v>
      </c>
      <c r="D478" s="20" t="e">
        <f t="shared" si="7"/>
        <v>#N/A</v>
      </c>
      <c r="E478" s="11"/>
      <c r="F478" s="88"/>
      <c r="G478" s="12"/>
      <c r="H478" s="12"/>
      <c r="I478" s="12"/>
      <c r="J478" s="10"/>
      <c r="K478" s="10"/>
    </row>
    <row r="479" spans="1:11" s="4" customFormat="1" ht="30" customHeight="1">
      <c r="A479" s="9"/>
      <c r="B479" s="13" t="e">
        <f>VLOOKUP(Table24[[#This Row],[Location 
(drop-down)]],'List source'!D$2:E$71,2,FALSE)</f>
        <v>#N/A</v>
      </c>
      <c r="C479" s="17" t="s">
        <v>596</v>
      </c>
      <c r="D479" s="20" t="e">
        <f t="shared" si="7"/>
        <v>#N/A</v>
      </c>
      <c r="E479" s="11"/>
      <c r="F479" s="88"/>
      <c r="G479" s="12"/>
      <c r="H479" s="12"/>
      <c r="I479" s="12"/>
      <c r="J479" s="10"/>
      <c r="K479" s="10"/>
    </row>
    <row r="480" spans="1:11" s="4" customFormat="1" ht="30" customHeight="1">
      <c r="A480" s="9"/>
      <c r="B480" s="13" t="e">
        <f>VLOOKUP(Table24[[#This Row],[Location 
(drop-down)]],'List source'!D$2:E$71,2,FALSE)</f>
        <v>#N/A</v>
      </c>
      <c r="C480" s="17" t="s">
        <v>597</v>
      </c>
      <c r="D480" s="20" t="e">
        <f t="shared" si="7"/>
        <v>#N/A</v>
      </c>
      <c r="E480" s="11"/>
      <c r="F480" s="88"/>
      <c r="G480" s="12"/>
      <c r="H480" s="12"/>
      <c r="I480" s="12"/>
      <c r="J480" s="10"/>
      <c r="K480" s="10"/>
    </row>
    <row r="481" spans="1:11" s="4" customFormat="1" ht="30" customHeight="1">
      <c r="A481" s="9"/>
      <c r="B481" s="13" t="e">
        <f>VLOOKUP(Table24[[#This Row],[Location 
(drop-down)]],'List source'!D$2:E$71,2,FALSE)</f>
        <v>#N/A</v>
      </c>
      <c r="C481" s="17" t="s">
        <v>598</v>
      </c>
      <c r="D481" s="20" t="e">
        <f t="shared" si="7"/>
        <v>#N/A</v>
      </c>
      <c r="E481" s="11"/>
      <c r="F481" s="88"/>
      <c r="G481" s="12"/>
      <c r="H481" s="12"/>
      <c r="I481" s="12"/>
      <c r="J481" s="10"/>
      <c r="K481" s="10"/>
    </row>
    <row r="482" spans="1:11" s="4" customFormat="1" ht="30" customHeight="1">
      <c r="A482" s="9"/>
      <c r="B482" s="13" t="e">
        <f>VLOOKUP(Table24[[#This Row],[Location 
(drop-down)]],'List source'!D$2:E$71,2,FALSE)</f>
        <v>#N/A</v>
      </c>
      <c r="C482" s="17" t="s">
        <v>599</v>
      </c>
      <c r="D482" s="20" t="e">
        <f t="shared" si="7"/>
        <v>#N/A</v>
      </c>
      <c r="E482" s="11"/>
      <c r="F482" s="88"/>
      <c r="G482" s="12"/>
      <c r="H482" s="12"/>
      <c r="I482" s="12"/>
      <c r="J482" s="10"/>
      <c r="K482" s="10"/>
    </row>
    <row r="483" spans="1:11" s="4" customFormat="1" ht="30" customHeight="1">
      <c r="A483" s="9"/>
      <c r="B483" s="13" t="e">
        <f>VLOOKUP(Table24[[#This Row],[Location 
(drop-down)]],'List source'!D$2:E$71,2,FALSE)</f>
        <v>#N/A</v>
      </c>
      <c r="C483" s="17" t="s">
        <v>600</v>
      </c>
      <c r="D483" s="20" t="e">
        <f t="shared" si="7"/>
        <v>#N/A</v>
      </c>
      <c r="E483" s="11"/>
      <c r="F483" s="88"/>
      <c r="G483" s="12"/>
      <c r="H483" s="12"/>
      <c r="I483" s="12"/>
      <c r="J483" s="10"/>
      <c r="K483" s="10"/>
    </row>
    <row r="484" spans="1:11" s="4" customFormat="1" ht="30" customHeight="1">
      <c r="A484" s="9"/>
      <c r="B484" s="13" t="e">
        <f>VLOOKUP(Table24[[#This Row],[Location 
(drop-down)]],'List source'!D$2:E$71,2,FALSE)</f>
        <v>#N/A</v>
      </c>
      <c r="C484" s="17" t="s">
        <v>601</v>
      </c>
      <c r="D484" s="20" t="e">
        <f t="shared" si="7"/>
        <v>#N/A</v>
      </c>
      <c r="E484" s="11"/>
      <c r="F484" s="88"/>
      <c r="G484" s="12"/>
      <c r="H484" s="12"/>
      <c r="I484" s="12"/>
      <c r="J484" s="10"/>
      <c r="K484" s="10"/>
    </row>
    <row r="485" spans="1:11" s="4" customFormat="1" ht="30" customHeight="1">
      <c r="A485" s="9"/>
      <c r="B485" s="13" t="e">
        <f>VLOOKUP(Table24[[#This Row],[Location 
(drop-down)]],'List source'!D$2:E$71,2,FALSE)</f>
        <v>#N/A</v>
      </c>
      <c r="C485" s="17" t="s">
        <v>602</v>
      </c>
      <c r="D485" s="20" t="e">
        <f t="shared" si="7"/>
        <v>#N/A</v>
      </c>
      <c r="E485" s="11"/>
      <c r="F485" s="88"/>
      <c r="G485" s="12"/>
      <c r="H485" s="12"/>
      <c r="I485" s="12"/>
      <c r="J485" s="10"/>
      <c r="K485" s="10"/>
    </row>
    <row r="486" spans="1:11" s="4" customFormat="1" ht="30" customHeight="1">
      <c r="A486" s="9"/>
      <c r="B486" s="13" t="e">
        <f>VLOOKUP(Table24[[#This Row],[Location 
(drop-down)]],'List source'!D$2:E$71,2,FALSE)</f>
        <v>#N/A</v>
      </c>
      <c r="C486" s="17" t="s">
        <v>603</v>
      </c>
      <c r="D486" s="20" t="e">
        <f t="shared" si="7"/>
        <v>#N/A</v>
      </c>
      <c r="E486" s="11"/>
      <c r="F486" s="88"/>
      <c r="G486" s="12"/>
      <c r="H486" s="12"/>
      <c r="I486" s="12"/>
      <c r="J486" s="10"/>
      <c r="K486" s="10"/>
    </row>
    <row r="487" spans="1:11" s="4" customFormat="1" ht="30" customHeight="1">
      <c r="A487" s="9"/>
      <c r="B487" s="13" t="e">
        <f>VLOOKUP(Table24[[#This Row],[Location 
(drop-down)]],'List source'!D$2:E$71,2,FALSE)</f>
        <v>#N/A</v>
      </c>
      <c r="C487" s="17" t="s">
        <v>604</v>
      </c>
      <c r="D487" s="20" t="e">
        <f t="shared" si="7"/>
        <v>#N/A</v>
      </c>
      <c r="E487" s="11"/>
      <c r="F487" s="88"/>
      <c r="G487" s="12"/>
      <c r="H487" s="12"/>
      <c r="I487" s="12"/>
      <c r="J487" s="10"/>
      <c r="K487" s="10"/>
    </row>
    <row r="488" spans="1:11" s="4" customFormat="1" ht="30" customHeight="1">
      <c r="A488" s="9"/>
      <c r="B488" s="13" t="e">
        <f>VLOOKUP(Table24[[#This Row],[Location 
(drop-down)]],'List source'!D$2:E$71,2,FALSE)</f>
        <v>#N/A</v>
      </c>
      <c r="C488" s="17" t="s">
        <v>605</v>
      </c>
      <c r="D488" s="20" t="e">
        <f t="shared" si="7"/>
        <v>#N/A</v>
      </c>
      <c r="E488" s="11"/>
      <c r="F488" s="88"/>
      <c r="G488" s="12"/>
      <c r="H488" s="12"/>
      <c r="I488" s="12"/>
      <c r="J488" s="10"/>
      <c r="K488" s="10"/>
    </row>
    <row r="489" spans="1:11" s="4" customFormat="1" ht="30" customHeight="1">
      <c r="A489" s="9"/>
      <c r="B489" s="13" t="e">
        <f>VLOOKUP(Table24[[#This Row],[Location 
(drop-down)]],'List source'!D$2:E$71,2,FALSE)</f>
        <v>#N/A</v>
      </c>
      <c r="C489" s="17" t="s">
        <v>606</v>
      </c>
      <c r="D489" s="20" t="e">
        <f t="shared" si="7"/>
        <v>#N/A</v>
      </c>
      <c r="E489" s="11"/>
      <c r="F489" s="88"/>
      <c r="G489" s="12"/>
      <c r="H489" s="12"/>
      <c r="I489" s="12"/>
      <c r="J489" s="10"/>
      <c r="K489" s="10"/>
    </row>
    <row r="490" spans="1:11" s="4" customFormat="1" ht="30" customHeight="1">
      <c r="A490" s="9"/>
      <c r="B490" s="13" t="e">
        <f>VLOOKUP(Table24[[#This Row],[Location 
(drop-down)]],'List source'!D$2:E$71,2,FALSE)</f>
        <v>#N/A</v>
      </c>
      <c r="C490" s="17" t="s">
        <v>607</v>
      </c>
      <c r="D490" s="20" t="e">
        <f t="shared" si="7"/>
        <v>#N/A</v>
      </c>
      <c r="E490" s="11"/>
      <c r="F490" s="88"/>
      <c r="G490" s="12"/>
      <c r="H490" s="12"/>
      <c r="I490" s="12"/>
      <c r="J490" s="10"/>
      <c r="K490" s="10"/>
    </row>
    <row r="491" spans="1:11" s="4" customFormat="1" ht="30" customHeight="1">
      <c r="A491" s="9"/>
      <c r="B491" s="13" t="e">
        <f>VLOOKUP(Table24[[#This Row],[Location 
(drop-down)]],'List source'!D$2:E$71,2,FALSE)</f>
        <v>#N/A</v>
      </c>
      <c r="C491" s="17" t="s">
        <v>608</v>
      </c>
      <c r="D491" s="20" t="e">
        <f t="shared" si="7"/>
        <v>#N/A</v>
      </c>
      <c r="E491" s="11"/>
      <c r="F491" s="88"/>
      <c r="G491" s="12"/>
      <c r="H491" s="12"/>
      <c r="I491" s="12"/>
      <c r="J491" s="10"/>
      <c r="K491" s="10"/>
    </row>
    <row r="492" spans="1:11" s="4" customFormat="1" ht="30" customHeight="1">
      <c r="A492" s="9"/>
      <c r="B492" s="13" t="e">
        <f>VLOOKUP(Table24[[#This Row],[Location 
(drop-down)]],'List source'!D$2:E$71,2,FALSE)</f>
        <v>#N/A</v>
      </c>
      <c r="C492" s="17" t="s">
        <v>609</v>
      </c>
      <c r="D492" s="20" t="e">
        <f t="shared" si="7"/>
        <v>#N/A</v>
      </c>
      <c r="E492" s="11"/>
      <c r="F492" s="88"/>
      <c r="G492" s="12"/>
      <c r="H492" s="12"/>
      <c r="I492" s="12"/>
      <c r="J492" s="10"/>
      <c r="K492" s="10"/>
    </row>
    <row r="493" spans="1:11" s="4" customFormat="1" ht="30" customHeight="1">
      <c r="A493" s="9"/>
      <c r="B493" s="13" t="e">
        <f>VLOOKUP(Table24[[#This Row],[Location 
(drop-down)]],'List source'!D$2:E$71,2,FALSE)</f>
        <v>#N/A</v>
      </c>
      <c r="C493" s="17" t="s">
        <v>610</v>
      </c>
      <c r="D493" s="20" t="e">
        <f t="shared" si="7"/>
        <v>#N/A</v>
      </c>
      <c r="E493" s="11"/>
      <c r="F493" s="88"/>
      <c r="G493" s="12"/>
      <c r="H493" s="12"/>
      <c r="I493" s="12"/>
      <c r="J493" s="10"/>
      <c r="K493" s="10"/>
    </row>
    <row r="494" spans="1:11" s="4" customFormat="1" ht="30" customHeight="1">
      <c r="A494" s="9"/>
      <c r="B494" s="13" t="e">
        <f>VLOOKUP(Table24[[#This Row],[Location 
(drop-down)]],'List source'!D$2:E$71,2,FALSE)</f>
        <v>#N/A</v>
      </c>
      <c r="C494" s="17" t="s">
        <v>611</v>
      </c>
      <c r="D494" s="20" t="e">
        <f t="shared" si="7"/>
        <v>#N/A</v>
      </c>
      <c r="E494" s="11"/>
      <c r="F494" s="88"/>
      <c r="G494" s="12"/>
      <c r="H494" s="12"/>
      <c r="I494" s="12"/>
      <c r="J494" s="10"/>
      <c r="K494" s="10"/>
    </row>
    <row r="495" spans="1:11" s="4" customFormat="1" ht="30" customHeight="1">
      <c r="A495" s="9"/>
      <c r="B495" s="13" t="e">
        <f>VLOOKUP(Table24[[#This Row],[Location 
(drop-down)]],'List source'!D$2:E$71,2,FALSE)</f>
        <v>#N/A</v>
      </c>
      <c r="C495" s="17" t="s">
        <v>612</v>
      </c>
      <c r="D495" s="20" t="e">
        <f t="shared" si="7"/>
        <v>#N/A</v>
      </c>
      <c r="E495" s="11"/>
      <c r="F495" s="88"/>
      <c r="G495" s="12"/>
      <c r="H495" s="12"/>
      <c r="I495" s="12"/>
      <c r="J495" s="10"/>
      <c r="K495" s="10"/>
    </row>
    <row r="496" spans="1:11" s="4" customFormat="1" ht="30" customHeight="1">
      <c r="A496" s="9"/>
      <c r="B496" s="13" t="e">
        <f>VLOOKUP(Table24[[#This Row],[Location 
(drop-down)]],'List source'!D$2:E$71,2,FALSE)</f>
        <v>#N/A</v>
      </c>
      <c r="C496" s="17" t="s">
        <v>613</v>
      </c>
      <c r="D496" s="20" t="e">
        <f t="shared" si="7"/>
        <v>#N/A</v>
      </c>
      <c r="E496" s="11"/>
      <c r="F496" s="88"/>
      <c r="G496" s="12"/>
      <c r="H496" s="12"/>
      <c r="I496" s="12"/>
      <c r="J496" s="10"/>
      <c r="K496" s="10"/>
    </row>
    <row r="497" spans="1:11" s="4" customFormat="1" ht="30" customHeight="1">
      <c r="A497" s="9"/>
      <c r="B497" s="13" t="e">
        <f>VLOOKUP(Table24[[#This Row],[Location 
(drop-down)]],'List source'!D$2:E$71,2,FALSE)</f>
        <v>#N/A</v>
      </c>
      <c r="C497" s="17" t="s">
        <v>614</v>
      </c>
      <c r="D497" s="20" t="e">
        <f t="shared" si="7"/>
        <v>#N/A</v>
      </c>
      <c r="E497" s="11"/>
      <c r="F497" s="88"/>
      <c r="G497" s="12"/>
      <c r="H497" s="12"/>
      <c r="I497" s="12"/>
      <c r="J497" s="10"/>
      <c r="K497" s="10"/>
    </row>
    <row r="498" spans="1:11" s="4" customFormat="1" ht="30" customHeight="1">
      <c r="A498" s="9"/>
      <c r="B498" s="13" t="e">
        <f>VLOOKUP(Table24[[#This Row],[Location 
(drop-down)]],'List source'!D$2:E$71,2,FALSE)</f>
        <v>#N/A</v>
      </c>
      <c r="C498" s="17" t="s">
        <v>615</v>
      </c>
      <c r="D498" s="20" t="e">
        <f t="shared" si="7"/>
        <v>#N/A</v>
      </c>
      <c r="E498" s="11"/>
      <c r="F498" s="88"/>
      <c r="G498" s="12"/>
      <c r="H498" s="12"/>
      <c r="I498" s="12"/>
      <c r="J498" s="10"/>
      <c r="K498" s="10"/>
    </row>
    <row r="499" spans="1:11" s="4" customFormat="1" ht="30" customHeight="1">
      <c r="A499" s="9"/>
      <c r="B499" s="13" t="e">
        <f>VLOOKUP(Table24[[#This Row],[Location 
(drop-down)]],'List source'!D$2:E$71,2,FALSE)</f>
        <v>#N/A</v>
      </c>
      <c r="C499" s="17" t="s">
        <v>616</v>
      </c>
      <c r="D499" s="20" t="e">
        <f t="shared" si="7"/>
        <v>#N/A</v>
      </c>
      <c r="E499" s="11"/>
      <c r="F499" s="88"/>
      <c r="G499" s="12"/>
      <c r="H499" s="12"/>
      <c r="I499" s="12"/>
      <c r="J499" s="10"/>
      <c r="K499" s="10"/>
    </row>
    <row r="500" spans="1:11" s="4" customFormat="1" ht="30" customHeight="1">
      <c r="A500" s="9"/>
      <c r="B500" s="13" t="e">
        <f>VLOOKUP(Table24[[#This Row],[Location 
(drop-down)]],'List source'!D$2:E$71,2,FALSE)</f>
        <v>#N/A</v>
      </c>
      <c r="C500" s="17" t="s">
        <v>617</v>
      </c>
      <c r="D500" s="20" t="e">
        <f t="shared" si="7"/>
        <v>#N/A</v>
      </c>
      <c r="E500" s="11"/>
      <c r="F500" s="88"/>
      <c r="G500" s="12"/>
      <c r="H500" s="12"/>
      <c r="I500" s="12"/>
      <c r="J500" s="10"/>
      <c r="K500" s="10"/>
    </row>
    <row r="501" spans="1:11" s="4" customFormat="1" ht="14.85" customHeight="1">
      <c r="A501" s="9"/>
      <c r="B501" s="13" t="e">
        <f>VLOOKUP(Table24[[#This Row],[Location 
(drop-down)]],'List source'!D$2:E$71,2,FALSE)</f>
        <v>#N/A</v>
      </c>
      <c r="C501" s="17" t="s">
        <v>618</v>
      </c>
      <c r="D501" s="20" t="e">
        <f t="shared" si="7"/>
        <v>#N/A</v>
      </c>
      <c r="E501" s="11"/>
      <c r="F501" s="88"/>
      <c r="G501" s="12"/>
      <c r="H501" s="12"/>
      <c r="I501" s="12"/>
      <c r="J501" s="10"/>
      <c r="K501" s="10"/>
    </row>
  </sheetData>
  <phoneticPr fontId="4" type="noConversion"/>
  <pageMargins left="0.7" right="0.7" top="0.75" bottom="0.75" header="0.3" footer="0.3"/>
  <pageSetup scale="46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'List source'!$C$2:$C$6</xm:f>
          </x14:formula1>
          <xm:sqref>J2:J501</xm:sqref>
        </x14:dataValidation>
        <x14:dataValidation type="list" allowBlank="1" showInputMessage="1" showErrorMessage="1" xr:uid="{00000000-0002-0000-0100-000002000000}">
          <x14:formula1>
            <xm:f>'List source'!$A$14:$A$19</xm:f>
          </x14:formula1>
          <xm:sqref>E2:E501</xm:sqref>
        </x14:dataValidation>
        <x14:dataValidation type="list" allowBlank="1" showInputMessage="1" showErrorMessage="1" xr:uid="{73D26F42-133A-4BDB-9AA2-10074D2F186C}">
          <x14:formula1>
            <xm:f>'List source'!$D$6:$D$71</xm:f>
          </x14:formula1>
          <xm:sqref>A1 A502:A1048576</xm:sqref>
        </x14:dataValidation>
        <x14:dataValidation type="list" allowBlank="1" showInputMessage="1" showErrorMessage="1" xr:uid="{AFAA9877-5479-49DD-A07B-BB121BE6C4A0}">
          <x14:formula1>
            <xm:f>'List source'!$D$2:$D$71</xm:f>
          </x14:formula1>
          <xm:sqref>A2:A501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I83"/>
  <sheetViews>
    <sheetView topLeftCell="B1" zoomScaleNormal="100" workbookViewId="0">
      <pane ySplit="1" topLeftCell="A69" activePane="bottomLeft" state="frozen"/>
      <selection pane="bottomLeft" activeCell="D71" sqref="D69:E71"/>
      <selection activeCell="C1" sqref="C1"/>
    </sheetView>
  </sheetViews>
  <sheetFormatPr defaultRowHeight="14.45"/>
  <cols>
    <col min="1" max="1" width="67.5703125" customWidth="1"/>
    <col min="2" max="2" width="36.28515625" customWidth="1"/>
    <col min="3" max="3" width="18.28515625" customWidth="1"/>
    <col min="4" max="4" width="30.5703125" bestFit="1" customWidth="1"/>
    <col min="5" max="5" width="13.28515625" style="1" customWidth="1"/>
    <col min="6" max="6" width="23" customWidth="1"/>
  </cols>
  <sheetData>
    <row r="1" spans="1:9" ht="15" thickBot="1">
      <c r="A1" s="106" t="s">
        <v>1127</v>
      </c>
      <c r="B1" s="107" t="s">
        <v>1128</v>
      </c>
      <c r="C1" s="33" t="s">
        <v>1129</v>
      </c>
      <c r="D1" s="34" t="s">
        <v>1130</v>
      </c>
      <c r="E1" s="35" t="s">
        <v>1</v>
      </c>
      <c r="F1" s="34" t="s">
        <v>1131</v>
      </c>
    </row>
    <row r="2" spans="1:9">
      <c r="A2" s="108" t="s">
        <v>1132</v>
      </c>
      <c r="B2" s="109" t="s">
        <v>1133</v>
      </c>
      <c r="C2" s="30" t="s">
        <v>268</v>
      </c>
      <c r="D2" s="31" t="s">
        <v>1134</v>
      </c>
      <c r="E2" s="32" t="s">
        <v>1135</v>
      </c>
      <c r="F2" s="42"/>
      <c r="I2" t="s">
        <v>264</v>
      </c>
    </row>
    <row r="3" spans="1:9">
      <c r="A3" s="110" t="s">
        <v>1136</v>
      </c>
      <c r="B3" s="111" t="s">
        <v>1137</v>
      </c>
      <c r="C3" s="21" t="s">
        <v>262</v>
      </c>
      <c r="D3" s="31" t="s">
        <v>1138</v>
      </c>
      <c r="E3" s="32" t="s">
        <v>1139</v>
      </c>
      <c r="F3" s="42"/>
      <c r="I3" t="s">
        <v>1140</v>
      </c>
    </row>
    <row r="4" spans="1:9">
      <c r="A4" s="110" t="s">
        <v>1141</v>
      </c>
      <c r="B4" s="111" t="s">
        <v>1142</v>
      </c>
      <c r="C4" s="21" t="s">
        <v>286</v>
      </c>
      <c r="D4" s="31" t="s">
        <v>1143</v>
      </c>
      <c r="E4" s="32" t="s">
        <v>1144</v>
      </c>
      <c r="F4" s="42"/>
    </row>
    <row r="5" spans="1:9">
      <c r="A5" s="110" t="s">
        <v>1145</v>
      </c>
      <c r="B5" s="111" t="s">
        <v>1146</v>
      </c>
      <c r="C5" s="21" t="s">
        <v>1147</v>
      </c>
      <c r="D5" s="31" t="s">
        <v>1148</v>
      </c>
      <c r="E5" s="32" t="s">
        <v>1149</v>
      </c>
      <c r="F5" s="42"/>
    </row>
    <row r="6" spans="1:9">
      <c r="A6" s="110" t="s">
        <v>1150</v>
      </c>
      <c r="B6" s="112" t="s">
        <v>1151</v>
      </c>
      <c r="C6" s="21" t="s">
        <v>1152</v>
      </c>
      <c r="D6" s="31" t="s">
        <v>1153</v>
      </c>
      <c r="E6" s="32">
        <v>119</v>
      </c>
      <c r="F6" s="42" t="s">
        <v>1154</v>
      </c>
    </row>
    <row r="7" spans="1:9">
      <c r="A7" s="110" t="s">
        <v>1155</v>
      </c>
      <c r="B7" s="111" t="s">
        <v>1156</v>
      </c>
      <c r="C7" s="115"/>
      <c r="D7" s="24" t="s">
        <v>1157</v>
      </c>
      <c r="E7" s="23">
        <v>111</v>
      </c>
      <c r="F7" s="42" t="s">
        <v>1158</v>
      </c>
    </row>
    <row r="8" spans="1:9">
      <c r="A8" s="110" t="s">
        <v>1159</v>
      </c>
      <c r="B8" s="111" t="s">
        <v>1160</v>
      </c>
      <c r="C8" s="114"/>
      <c r="D8" s="22" t="s">
        <v>1161</v>
      </c>
      <c r="E8" s="23">
        <v>110</v>
      </c>
      <c r="F8" s="42" t="s">
        <v>1158</v>
      </c>
    </row>
    <row r="9" spans="1:9">
      <c r="A9" s="110" t="s">
        <v>1152</v>
      </c>
      <c r="B9" s="113" t="s">
        <v>1152</v>
      </c>
      <c r="C9" s="104"/>
      <c r="D9" s="22" t="s">
        <v>1162</v>
      </c>
      <c r="E9" s="23">
        <v>215</v>
      </c>
      <c r="F9" s="42" t="s">
        <v>1163</v>
      </c>
    </row>
    <row r="10" spans="1:9">
      <c r="C10" s="105"/>
      <c r="D10" s="25" t="s">
        <v>1164</v>
      </c>
      <c r="E10" s="23">
        <v>195</v>
      </c>
      <c r="F10" s="42" t="s">
        <v>1163</v>
      </c>
    </row>
    <row r="11" spans="1:9">
      <c r="B11" s="3" t="s">
        <v>1165</v>
      </c>
      <c r="C11" s="105"/>
      <c r="D11" s="25" t="s">
        <v>36</v>
      </c>
      <c r="E11" s="23">
        <v>190</v>
      </c>
      <c r="F11" s="42" t="s">
        <v>1163</v>
      </c>
    </row>
    <row r="12" spans="1:9" ht="28.9">
      <c r="B12" s="200" t="s">
        <v>1166</v>
      </c>
      <c r="C12" s="105"/>
      <c r="D12" s="25" t="s">
        <v>1167</v>
      </c>
      <c r="E12" s="23">
        <v>161</v>
      </c>
      <c r="F12" s="42" t="s">
        <v>1154</v>
      </c>
    </row>
    <row r="13" spans="1:9" ht="28.9">
      <c r="A13" s="38" t="s">
        <v>244</v>
      </c>
      <c r="B13" s="200" t="s">
        <v>1168</v>
      </c>
      <c r="C13" s="105"/>
      <c r="D13" s="22" t="s">
        <v>1169</v>
      </c>
      <c r="E13" s="23">
        <v>116</v>
      </c>
      <c r="F13" s="42" t="s">
        <v>1163</v>
      </c>
    </row>
    <row r="14" spans="1:9" ht="28.9">
      <c r="A14" s="39" t="s">
        <v>260</v>
      </c>
      <c r="B14" s="200" t="s">
        <v>1170</v>
      </c>
      <c r="C14" s="105"/>
      <c r="D14" s="25" t="s">
        <v>1171</v>
      </c>
      <c r="E14" s="23">
        <v>132</v>
      </c>
      <c r="F14" s="42" t="s">
        <v>1172</v>
      </c>
    </row>
    <row r="15" spans="1:9" ht="28.9">
      <c r="A15" s="39" t="s">
        <v>299</v>
      </c>
      <c r="B15" s="200" t="s">
        <v>1173</v>
      </c>
      <c r="C15" s="3"/>
      <c r="D15" s="22" t="s">
        <v>1174</v>
      </c>
      <c r="E15" s="23">
        <v>124</v>
      </c>
      <c r="F15" s="42" t="s">
        <v>1154</v>
      </c>
    </row>
    <row r="16" spans="1:9" ht="28.9">
      <c r="A16" s="39" t="s">
        <v>1175</v>
      </c>
      <c r="B16" s="201" t="s">
        <v>1176</v>
      </c>
      <c r="D16" s="22" t="s">
        <v>1177</v>
      </c>
      <c r="E16" s="23">
        <v>141</v>
      </c>
      <c r="F16" s="42" t="s">
        <v>1158</v>
      </c>
    </row>
    <row r="17" spans="1:6">
      <c r="A17" s="39" t="s">
        <v>276</v>
      </c>
      <c r="C17" s="54" t="s">
        <v>1178</v>
      </c>
      <c r="D17" s="22" t="s">
        <v>25</v>
      </c>
      <c r="E17" s="23">
        <v>158</v>
      </c>
      <c r="F17" s="42" t="s">
        <v>1154</v>
      </c>
    </row>
    <row r="18" spans="1:6" ht="16.899999999999999">
      <c r="A18" s="40" t="s">
        <v>1179</v>
      </c>
      <c r="C18" s="55" t="s">
        <v>268</v>
      </c>
      <c r="D18" s="25" t="s">
        <v>1180</v>
      </c>
      <c r="E18" s="23">
        <v>127</v>
      </c>
      <c r="F18" s="42" t="s">
        <v>1163</v>
      </c>
    </row>
    <row r="19" spans="1:6">
      <c r="A19" s="39" t="s">
        <v>1152</v>
      </c>
      <c r="C19" s="55" t="s">
        <v>1181</v>
      </c>
      <c r="D19" s="22" t="s">
        <v>1182</v>
      </c>
      <c r="E19" s="23">
        <v>136</v>
      </c>
      <c r="F19" s="42" t="s">
        <v>1163</v>
      </c>
    </row>
    <row r="20" spans="1:6">
      <c r="C20" s="55" t="s">
        <v>286</v>
      </c>
      <c r="D20" s="25" t="s">
        <v>52</v>
      </c>
      <c r="E20" s="23">
        <v>138</v>
      </c>
      <c r="F20" s="42" t="s">
        <v>1163</v>
      </c>
    </row>
    <row r="21" spans="1:6">
      <c r="B21" s="102" t="s">
        <v>1183</v>
      </c>
      <c r="C21" s="55" t="s">
        <v>1184</v>
      </c>
      <c r="D21" s="25" t="s">
        <v>1185</v>
      </c>
      <c r="E21" s="23">
        <v>115</v>
      </c>
      <c r="F21" s="42" t="s">
        <v>1163</v>
      </c>
    </row>
    <row r="22" spans="1:6">
      <c r="B22" s="58" t="s">
        <v>1186</v>
      </c>
      <c r="C22" s="55" t="s">
        <v>1187</v>
      </c>
      <c r="D22" s="22" t="s">
        <v>1188</v>
      </c>
      <c r="E22" s="23">
        <v>101</v>
      </c>
      <c r="F22" s="42" t="s">
        <v>1189</v>
      </c>
    </row>
    <row r="23" spans="1:6">
      <c r="B23" s="58" t="s">
        <v>23</v>
      </c>
      <c r="C23" s="55" t="s">
        <v>1152</v>
      </c>
      <c r="D23" s="25" t="s">
        <v>32</v>
      </c>
      <c r="E23" s="23">
        <v>155</v>
      </c>
      <c r="F23" s="42" t="s">
        <v>1154</v>
      </c>
    </row>
    <row r="24" spans="1:6">
      <c r="A24" s="56" t="s">
        <v>1190</v>
      </c>
      <c r="B24" s="58" t="s">
        <v>17</v>
      </c>
      <c r="D24" s="25" t="s">
        <v>1191</v>
      </c>
      <c r="E24" s="23">
        <v>154</v>
      </c>
      <c r="F24" s="42" t="s">
        <v>1154</v>
      </c>
    </row>
    <row r="25" spans="1:6">
      <c r="A25" s="57" t="s">
        <v>16</v>
      </c>
      <c r="B25" s="58" t="s">
        <v>1152</v>
      </c>
      <c r="D25" s="25" t="s">
        <v>1192</v>
      </c>
      <c r="E25" s="23">
        <v>159</v>
      </c>
      <c r="F25" s="42" t="s">
        <v>1154</v>
      </c>
    </row>
    <row r="26" spans="1:6">
      <c r="A26" s="57" t="s">
        <v>45</v>
      </c>
      <c r="D26" s="25" t="s">
        <v>1193</v>
      </c>
      <c r="E26" s="23">
        <v>147</v>
      </c>
      <c r="F26" s="42" t="s">
        <v>1163</v>
      </c>
    </row>
    <row r="27" spans="1:6">
      <c r="A27" s="57" t="s">
        <v>1194</v>
      </c>
      <c r="D27" s="25" t="s">
        <v>1195</v>
      </c>
      <c r="E27" s="23">
        <v>157</v>
      </c>
      <c r="F27" s="42" t="s">
        <v>1154</v>
      </c>
    </row>
    <row r="28" spans="1:6">
      <c r="A28" s="57" t="s">
        <v>1196</v>
      </c>
      <c r="D28" s="22" t="s">
        <v>1197</v>
      </c>
      <c r="E28" s="23">
        <v>125</v>
      </c>
      <c r="F28" s="42" t="s">
        <v>1163</v>
      </c>
    </row>
    <row r="29" spans="1:6">
      <c r="A29" s="57" t="s">
        <v>1152</v>
      </c>
      <c r="D29" s="24" t="s">
        <v>1198</v>
      </c>
      <c r="E29" s="23">
        <v>198</v>
      </c>
      <c r="F29" s="42" t="s">
        <v>1158</v>
      </c>
    </row>
    <row r="30" spans="1:6">
      <c r="D30" s="24" t="s">
        <v>1199</v>
      </c>
      <c r="E30" s="23">
        <v>189</v>
      </c>
      <c r="F30" s="42" t="s">
        <v>1158</v>
      </c>
    </row>
    <row r="31" spans="1:6">
      <c r="A31" s="60" t="s">
        <v>1200</v>
      </c>
      <c r="D31" s="24" t="s">
        <v>50</v>
      </c>
      <c r="E31" s="23">
        <v>128</v>
      </c>
      <c r="F31" s="42" t="s">
        <v>1154</v>
      </c>
    </row>
    <row r="32" spans="1:6">
      <c r="A32" s="59" t="s">
        <v>1196</v>
      </c>
      <c r="D32" s="22" t="s">
        <v>1201</v>
      </c>
      <c r="E32" s="23">
        <v>120</v>
      </c>
      <c r="F32" s="42" t="s">
        <v>1154</v>
      </c>
    </row>
    <row r="33" spans="1:6">
      <c r="A33" s="59" t="s">
        <v>1194</v>
      </c>
      <c r="D33" s="22" t="s">
        <v>1202</v>
      </c>
      <c r="E33" s="23" t="s">
        <v>1203</v>
      </c>
      <c r="F33" s="219" t="s">
        <v>1204</v>
      </c>
    </row>
    <row r="34" spans="1:6">
      <c r="A34" s="59" t="s">
        <v>1205</v>
      </c>
      <c r="D34" s="22" t="s">
        <v>1206</v>
      </c>
      <c r="E34" s="23" t="s">
        <v>1207</v>
      </c>
      <c r="F34" s="219" t="s">
        <v>1154</v>
      </c>
    </row>
    <row r="35" spans="1:6">
      <c r="A35" s="59" t="s">
        <v>1152</v>
      </c>
      <c r="D35" s="25" t="s">
        <v>1208</v>
      </c>
      <c r="E35" s="23">
        <v>133</v>
      </c>
      <c r="F35" s="42" t="s">
        <v>1172</v>
      </c>
    </row>
    <row r="36" spans="1:6">
      <c r="D36" s="22" t="s">
        <v>1209</v>
      </c>
      <c r="E36" s="23">
        <v>165</v>
      </c>
      <c r="F36" s="42" t="s">
        <v>1154</v>
      </c>
    </row>
    <row r="37" spans="1:6">
      <c r="D37" s="22" t="s">
        <v>1210</v>
      </c>
      <c r="E37" s="23">
        <v>194</v>
      </c>
      <c r="F37" s="42" t="s">
        <v>1158</v>
      </c>
    </row>
    <row r="38" spans="1:6">
      <c r="D38" s="22" t="s">
        <v>43</v>
      </c>
      <c r="E38" s="23">
        <v>130</v>
      </c>
      <c r="F38" s="42" t="s">
        <v>1172</v>
      </c>
    </row>
    <row r="39" spans="1:6">
      <c r="D39" s="22" t="s">
        <v>1211</v>
      </c>
      <c r="E39" s="23">
        <v>179</v>
      </c>
      <c r="F39" s="42" t="s">
        <v>1163</v>
      </c>
    </row>
    <row r="40" spans="1:6">
      <c r="D40" s="25" t="s">
        <v>1212</v>
      </c>
      <c r="E40" s="23">
        <v>191</v>
      </c>
      <c r="F40" s="42" t="s">
        <v>1163</v>
      </c>
    </row>
    <row r="41" spans="1:6">
      <c r="D41" s="24" t="s">
        <v>1213</v>
      </c>
      <c r="E41" s="23">
        <v>180</v>
      </c>
      <c r="F41" s="42" t="s">
        <v>1163</v>
      </c>
    </row>
    <row r="42" spans="1:6">
      <c r="D42" s="22" t="s">
        <v>1214</v>
      </c>
      <c r="E42" s="23">
        <v>163</v>
      </c>
      <c r="F42" s="42" t="s">
        <v>1154</v>
      </c>
    </row>
    <row r="43" spans="1:6">
      <c r="D43" s="22" t="s">
        <v>1215</v>
      </c>
      <c r="E43" s="23">
        <v>135</v>
      </c>
      <c r="F43" s="42" t="s">
        <v>1154</v>
      </c>
    </row>
    <row r="44" spans="1:6">
      <c r="D44" s="22" t="s">
        <v>1216</v>
      </c>
      <c r="E44" s="23">
        <v>146</v>
      </c>
      <c r="F44" s="42" t="s">
        <v>1163</v>
      </c>
    </row>
    <row r="45" spans="1:6">
      <c r="D45" s="26" t="s">
        <v>1217</v>
      </c>
      <c r="E45" s="27" t="s">
        <v>1218</v>
      </c>
      <c r="F45" s="42" t="s">
        <v>1154</v>
      </c>
    </row>
    <row r="46" spans="1:6">
      <c r="D46" s="22" t="s">
        <v>1219</v>
      </c>
      <c r="E46" s="23">
        <v>197</v>
      </c>
      <c r="F46" s="42" t="s">
        <v>1158</v>
      </c>
    </row>
    <row r="47" spans="1:6">
      <c r="D47" s="22" t="s">
        <v>1220</v>
      </c>
      <c r="E47" s="23">
        <v>145</v>
      </c>
      <c r="F47" s="42" t="s">
        <v>1158</v>
      </c>
    </row>
    <row r="48" spans="1:6">
      <c r="D48" s="22" t="s">
        <v>308</v>
      </c>
      <c r="E48" s="23">
        <v>170</v>
      </c>
      <c r="F48" s="42" t="s">
        <v>1163</v>
      </c>
    </row>
    <row r="49" spans="4:6">
      <c r="D49" s="22" t="s">
        <v>1221</v>
      </c>
      <c r="E49" s="23">
        <v>188</v>
      </c>
      <c r="F49" s="42" t="s">
        <v>1158</v>
      </c>
    </row>
    <row r="50" spans="4:6">
      <c r="D50" s="25" t="s">
        <v>1222</v>
      </c>
      <c r="E50" s="23">
        <v>156</v>
      </c>
      <c r="F50" s="42" t="s">
        <v>1154</v>
      </c>
    </row>
    <row r="51" spans="4:6">
      <c r="D51" s="22" t="s">
        <v>1223</v>
      </c>
      <c r="E51" s="23">
        <v>151</v>
      </c>
      <c r="F51" s="42" t="s">
        <v>1172</v>
      </c>
    </row>
    <row r="52" spans="4:6">
      <c r="D52" s="22" t="s">
        <v>1224</v>
      </c>
      <c r="E52" s="23">
        <v>178</v>
      </c>
      <c r="F52" s="42" t="s">
        <v>1163</v>
      </c>
    </row>
    <row r="53" spans="4:6">
      <c r="D53" s="25" t="s">
        <v>272</v>
      </c>
      <c r="E53" s="23">
        <v>160</v>
      </c>
      <c r="F53" s="42" t="s">
        <v>1154</v>
      </c>
    </row>
    <row r="54" spans="4:6" ht="28.9">
      <c r="D54" s="25" t="s">
        <v>1225</v>
      </c>
      <c r="E54" s="180" t="s">
        <v>1226</v>
      </c>
      <c r="F54" s="181" t="s">
        <v>1154</v>
      </c>
    </row>
    <row r="55" spans="4:6">
      <c r="D55" s="22" t="s">
        <v>1227</v>
      </c>
      <c r="E55" s="23">
        <v>162</v>
      </c>
      <c r="F55" s="42" t="s">
        <v>1154</v>
      </c>
    </row>
    <row r="56" spans="4:6">
      <c r="D56" s="22" t="s">
        <v>1228</v>
      </c>
      <c r="E56" s="23">
        <v>142</v>
      </c>
      <c r="F56" s="42" t="s">
        <v>1158</v>
      </c>
    </row>
    <row r="57" spans="4:6">
      <c r="D57" s="25" t="s">
        <v>1229</v>
      </c>
      <c r="E57" s="23">
        <v>140</v>
      </c>
      <c r="F57" s="42" t="s">
        <v>1158</v>
      </c>
    </row>
    <row r="58" spans="4:6">
      <c r="D58" s="25" t="s">
        <v>1230</v>
      </c>
      <c r="E58" s="23">
        <v>192</v>
      </c>
      <c r="F58" s="42" t="s">
        <v>1163</v>
      </c>
    </row>
    <row r="59" spans="4:6">
      <c r="D59" s="25" t="s">
        <v>14</v>
      </c>
      <c r="E59" s="23">
        <v>131</v>
      </c>
      <c r="F59" s="42" t="s">
        <v>1172</v>
      </c>
    </row>
    <row r="60" spans="4:6">
      <c r="D60" s="22" t="s">
        <v>1231</v>
      </c>
      <c r="E60" s="23">
        <v>144</v>
      </c>
      <c r="F60" s="42" t="s">
        <v>1163</v>
      </c>
    </row>
    <row r="61" spans="4:6">
      <c r="D61" s="25" t="s">
        <v>259</v>
      </c>
      <c r="E61" s="23">
        <v>121</v>
      </c>
      <c r="F61" s="42" t="s">
        <v>1154</v>
      </c>
    </row>
    <row r="62" spans="4:6">
      <c r="D62" s="25" t="s">
        <v>40</v>
      </c>
      <c r="E62" s="23">
        <v>210</v>
      </c>
      <c r="F62" s="42" t="s">
        <v>1163</v>
      </c>
    </row>
    <row r="63" spans="4:6">
      <c r="D63" s="25" t="s">
        <v>1232</v>
      </c>
      <c r="E63" s="23">
        <v>171</v>
      </c>
      <c r="F63" s="42" t="s">
        <v>1163</v>
      </c>
    </row>
    <row r="64" spans="4:6">
      <c r="D64" s="25" t="s">
        <v>313</v>
      </c>
      <c r="E64" s="23">
        <v>199</v>
      </c>
      <c r="F64" s="42" t="s">
        <v>1158</v>
      </c>
    </row>
    <row r="65" spans="4:6">
      <c r="D65" s="25" t="s">
        <v>1233</v>
      </c>
      <c r="E65" s="23">
        <v>139</v>
      </c>
      <c r="F65" s="42" t="s">
        <v>1163</v>
      </c>
    </row>
    <row r="66" spans="4:6">
      <c r="D66" s="25" t="s">
        <v>1234</v>
      </c>
      <c r="E66" s="23">
        <v>137</v>
      </c>
      <c r="F66" s="42" t="s">
        <v>1172</v>
      </c>
    </row>
    <row r="67" spans="4:6">
      <c r="D67" s="22" t="s">
        <v>1235</v>
      </c>
      <c r="E67" s="23">
        <v>126</v>
      </c>
      <c r="F67" s="42" t="s">
        <v>1163</v>
      </c>
    </row>
    <row r="68" spans="4:6">
      <c r="D68" s="22" t="s">
        <v>1124</v>
      </c>
      <c r="E68" s="23">
        <v>150</v>
      </c>
      <c r="F68" s="42" t="s">
        <v>1154</v>
      </c>
    </row>
    <row r="69" spans="4:6">
      <c r="D69" s="22" t="s">
        <v>1236</v>
      </c>
      <c r="E69" s="23">
        <v>129</v>
      </c>
      <c r="F69" s="42" t="s">
        <v>1172</v>
      </c>
    </row>
    <row r="70" spans="4:6">
      <c r="D70" s="26" t="s">
        <v>1237</v>
      </c>
      <c r="E70" s="27" t="s">
        <v>1152</v>
      </c>
      <c r="F70" s="43" t="s">
        <v>1152</v>
      </c>
    </row>
    <row r="71" spans="4:6">
      <c r="D71" s="119" t="s">
        <v>1238</v>
      </c>
      <c r="E71" s="118">
        <v>185</v>
      </c>
      <c r="F71" s="42" t="s">
        <v>1163</v>
      </c>
    </row>
    <row r="73" spans="4:6">
      <c r="D73" t="s">
        <v>1239</v>
      </c>
    </row>
    <row r="74" spans="4:6">
      <c r="D74" t="s">
        <v>1240</v>
      </c>
      <c r="E74" s="1">
        <v>102</v>
      </c>
    </row>
    <row r="75" spans="4:6">
      <c r="D75" t="s">
        <v>1241</v>
      </c>
      <c r="E75" s="1">
        <v>122</v>
      </c>
    </row>
    <row r="76" spans="4:6">
      <c r="D76" t="s">
        <v>1242</v>
      </c>
      <c r="E76" s="1">
        <v>123</v>
      </c>
    </row>
    <row r="77" spans="4:6">
      <c r="D77" t="s">
        <v>1243</v>
      </c>
      <c r="E77" s="1">
        <v>134</v>
      </c>
    </row>
    <row r="79" spans="4:6">
      <c r="D79" t="s">
        <v>1244</v>
      </c>
      <c r="E79" s="1">
        <v>166</v>
      </c>
    </row>
    <row r="80" spans="4:6">
      <c r="D80" t="s">
        <v>1245</v>
      </c>
      <c r="E80" s="1">
        <v>169</v>
      </c>
    </row>
    <row r="81" spans="4:5">
      <c r="D81" t="s">
        <v>1246</v>
      </c>
      <c r="E81" s="1">
        <v>172</v>
      </c>
    </row>
    <row r="82" spans="4:5">
      <c r="D82" t="s">
        <v>1247</v>
      </c>
      <c r="E82" s="1">
        <v>187</v>
      </c>
    </row>
    <row r="83" spans="4:5">
      <c r="D83" t="s">
        <v>1248</v>
      </c>
      <c r="E83" s="1">
        <v>196</v>
      </c>
    </row>
  </sheetData>
  <sortState xmlns:xlrd2="http://schemas.microsoft.com/office/spreadsheetml/2017/richdata2" ref="D11:E76">
    <sortCondition ref="D11"/>
  </sortState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B1FE-416D-4689-B259-B6F215D55628}">
  <sheetPr codeName="Sheet3">
    <tabColor rgb="FFFFFF00"/>
    <pageSetUpPr fitToPage="1"/>
  </sheetPr>
  <dimension ref="A1:M151"/>
  <sheetViews>
    <sheetView showGridLines="0" zoomScale="80" zoomScaleNormal="80" workbookViewId="0">
      <pane ySplit="1" topLeftCell="A6" activePane="bottomLeft" state="frozen"/>
      <selection pane="bottomLeft" activeCell="H9" sqref="H9"/>
      <selection activeCell="D1" sqref="D1"/>
    </sheetView>
  </sheetViews>
  <sheetFormatPr defaultRowHeight="14.45"/>
  <cols>
    <col min="1" max="1" width="26.5703125" style="5" customWidth="1"/>
    <col min="2" max="2" width="9.5703125" customWidth="1"/>
    <col min="3" max="3" width="7.28515625" bestFit="1" customWidth="1"/>
    <col min="4" max="4" width="22" customWidth="1"/>
    <col min="5" max="5" width="22" hidden="1" customWidth="1"/>
    <col min="6" max="6" width="13.28515625" customWidth="1"/>
    <col min="7" max="7" width="15" customWidth="1"/>
    <col min="8" max="8" width="20.5703125" bestFit="1" customWidth="1"/>
    <col min="9" max="9" width="62.5703125" customWidth="1"/>
    <col min="10" max="10" width="23" style="7" customWidth="1"/>
    <col min="11" max="11" width="22.140625" style="8" customWidth="1"/>
    <col min="12" max="12" width="36.42578125" style="8" customWidth="1"/>
  </cols>
  <sheetData>
    <row r="1" spans="1:13" s="2" customFormat="1" ht="45" customHeight="1">
      <c r="A1" s="47" t="s">
        <v>242</v>
      </c>
      <c r="B1" s="48" t="s">
        <v>1</v>
      </c>
      <c r="C1" s="48" t="s">
        <v>2</v>
      </c>
      <c r="D1" s="48" t="s">
        <v>1249</v>
      </c>
      <c r="E1" s="48" t="s">
        <v>1131</v>
      </c>
      <c r="F1" s="48" t="s">
        <v>1250</v>
      </c>
      <c r="G1" s="48" t="s">
        <v>1251</v>
      </c>
      <c r="H1" s="48" t="s">
        <v>1252</v>
      </c>
      <c r="I1" s="48" t="s">
        <v>1253</v>
      </c>
      <c r="J1" s="49" t="s">
        <v>1254</v>
      </c>
      <c r="K1" s="50" t="s">
        <v>1255</v>
      </c>
      <c r="L1" s="50" t="s">
        <v>257</v>
      </c>
    </row>
    <row r="2" spans="1:13" s="4" customFormat="1" ht="30" customHeight="1">
      <c r="A2" s="250" t="s">
        <v>1201</v>
      </c>
      <c r="B2" s="251">
        <f>VLOOKUP(Table2456[[#This Row],[Location 
(drop-down)]],'List source'!D$2:E$71,2,FALSE)</f>
        <v>120</v>
      </c>
      <c r="C2" s="252" t="s">
        <v>15</v>
      </c>
      <c r="D2" s="253" t="str">
        <f t="shared" ref="D2:D33" si="0">"CAF" &amp; C2 &amp; "-" &amp; B2 &amp; "-" &amp; "26"</f>
        <v>CAF001-120-26</v>
      </c>
      <c r="E2" s="253" t="str">
        <f>VLOOKUP(Table2456[[#This Row],[Location 
(drop-down)]],Table1[#All],3,FALSE)</f>
        <v>USGC</v>
      </c>
      <c r="F2" s="254">
        <v>46034</v>
      </c>
      <c r="G2" s="254"/>
      <c r="H2" s="254"/>
      <c r="I2" s="255" t="s">
        <v>1256</v>
      </c>
      <c r="J2" s="256" t="s">
        <v>1181</v>
      </c>
      <c r="K2" s="256" t="s">
        <v>1257</v>
      </c>
      <c r="L2" s="351"/>
      <c r="M2" s="351"/>
    </row>
    <row r="3" spans="1:13" s="4" customFormat="1" ht="45.75" customHeight="1">
      <c r="A3" s="147" t="s">
        <v>14</v>
      </c>
      <c r="B3" s="251">
        <f>VLOOKUP(Table2456[[#This Row],[Location 
(drop-down)]],'List source'!D$2:E$71,2,FALSE)</f>
        <v>131</v>
      </c>
      <c r="C3" s="252" t="s">
        <v>22</v>
      </c>
      <c r="D3" s="253" t="str">
        <f t="shared" si="0"/>
        <v>CAF002-131-26</v>
      </c>
      <c r="E3" s="253" t="str">
        <f>VLOOKUP(Table2456[[#This Row],[Location 
(drop-down)]],Table1[#All],3,FALSE)</f>
        <v>USWC</v>
      </c>
      <c r="F3" s="257">
        <v>46036</v>
      </c>
      <c r="G3" s="257"/>
      <c r="H3" s="257">
        <v>46048</v>
      </c>
      <c r="I3" s="258" t="s">
        <v>267</v>
      </c>
      <c r="J3" s="196" t="s">
        <v>268</v>
      </c>
      <c r="K3" s="256" t="s">
        <v>1258</v>
      </c>
      <c r="L3" s="256"/>
    </row>
    <row r="4" spans="1:13" s="4" customFormat="1" ht="30" customHeight="1">
      <c r="A4" s="147" t="s">
        <v>1237</v>
      </c>
      <c r="B4" s="251" t="str">
        <f>VLOOKUP(Table2456[[#This Row],[Location 
(drop-down)]],'List source'!D$2:E$71,2,FALSE)</f>
        <v>VOID</v>
      </c>
      <c r="C4" s="252" t="s">
        <v>26</v>
      </c>
      <c r="D4" s="253" t="str">
        <f t="shared" si="0"/>
        <v>CAF003-VOID-26</v>
      </c>
      <c r="E4" s="253" t="str">
        <f>VLOOKUP(Table2456[[#This Row],[Location 
(drop-down)]],Table1[#All],3,FALSE)</f>
        <v>VOID</v>
      </c>
      <c r="F4" s="259" t="s">
        <v>1259</v>
      </c>
      <c r="G4" s="257" t="s">
        <v>1259</v>
      </c>
      <c r="H4" s="257" t="s">
        <v>1259</v>
      </c>
      <c r="I4" s="255" t="s">
        <v>1260</v>
      </c>
      <c r="J4" s="260" t="s">
        <v>1152</v>
      </c>
      <c r="K4" s="256" t="s">
        <v>1259</v>
      </c>
      <c r="L4" s="256" t="s">
        <v>1261</v>
      </c>
    </row>
    <row r="5" spans="1:13" s="4" customFormat="1" ht="30" customHeight="1">
      <c r="A5" s="147" t="s">
        <v>43</v>
      </c>
      <c r="B5" s="251">
        <f>VLOOKUP(Table2456[[#This Row],[Location 
(drop-down)]],'List source'!D$2:E$71,2,FALSE)</f>
        <v>130</v>
      </c>
      <c r="C5" s="252" t="s">
        <v>30</v>
      </c>
      <c r="D5" s="253" t="str">
        <f t="shared" si="0"/>
        <v>CAF004-130-26</v>
      </c>
      <c r="E5" s="253" t="str">
        <f>VLOOKUP(Table2456[[#This Row],[Location 
(drop-down)]],Table1[#All],3,FALSE)</f>
        <v>USWC</v>
      </c>
      <c r="F5" s="257">
        <v>46037</v>
      </c>
      <c r="G5" s="257"/>
      <c r="H5" s="257">
        <v>46048</v>
      </c>
      <c r="I5" s="261" t="s">
        <v>1262</v>
      </c>
      <c r="J5" s="260" t="s">
        <v>268</v>
      </c>
      <c r="K5" s="256" t="s">
        <v>1263</v>
      </c>
      <c r="L5" s="256"/>
    </row>
    <row r="6" spans="1:13" s="4" customFormat="1" ht="30" customHeight="1">
      <c r="A6" s="147" t="s">
        <v>272</v>
      </c>
      <c r="B6" s="251">
        <f>VLOOKUP(Table2456[[#This Row],[Location 
(drop-down)]],'List source'!D$2:E$71,2,FALSE)</f>
        <v>160</v>
      </c>
      <c r="C6" s="252" t="s">
        <v>33</v>
      </c>
      <c r="D6" s="253" t="str">
        <f t="shared" si="0"/>
        <v>CAF005-160-26</v>
      </c>
      <c r="E6" s="253" t="str">
        <f>VLOOKUP(Table2456[[#This Row],[Location 
(drop-down)]],Table1[#All],3,FALSE)</f>
        <v>USGC</v>
      </c>
      <c r="F6" s="257">
        <v>46042</v>
      </c>
      <c r="G6" s="257"/>
      <c r="H6" s="257"/>
      <c r="I6" s="138" t="s">
        <v>274</v>
      </c>
      <c r="J6" s="260" t="s">
        <v>1181</v>
      </c>
      <c r="K6" s="256" t="s">
        <v>1264</v>
      </c>
      <c r="L6" s="256"/>
    </row>
    <row r="7" spans="1:13" s="4" customFormat="1" ht="30" customHeight="1">
      <c r="A7" s="147" t="s">
        <v>259</v>
      </c>
      <c r="B7" s="251">
        <f>VLOOKUP(Table2456[[#This Row],[Location 
(drop-down)]],'List source'!D$2:E$71,2,FALSE)</f>
        <v>121</v>
      </c>
      <c r="C7" s="252" t="s">
        <v>35</v>
      </c>
      <c r="D7" s="253" t="str">
        <f t="shared" si="0"/>
        <v>CAF006-121-26</v>
      </c>
      <c r="E7" s="253" t="str">
        <f>VLOOKUP(Table2456[[#This Row],[Location 
(drop-down)]],Table1[#All],3,FALSE)</f>
        <v>USGC</v>
      </c>
      <c r="F7" s="257">
        <v>46028</v>
      </c>
      <c r="G7" s="257">
        <v>46050</v>
      </c>
      <c r="H7" s="257">
        <v>46050</v>
      </c>
      <c r="I7" s="147" t="s">
        <v>261</v>
      </c>
      <c r="J7" s="260" t="s">
        <v>1181</v>
      </c>
      <c r="K7" s="262" t="s">
        <v>1265</v>
      </c>
      <c r="L7" s="263"/>
    </row>
    <row r="8" spans="1:13" s="4" customFormat="1" ht="30" customHeight="1">
      <c r="A8" s="147" t="s">
        <v>14</v>
      </c>
      <c r="B8" s="251">
        <f>VLOOKUP(Table2456[[#This Row],[Location 
(drop-down)]],'List source'!D$2:E$71,2,FALSE)</f>
        <v>131</v>
      </c>
      <c r="C8" s="252" t="s">
        <v>37</v>
      </c>
      <c r="D8" s="253" t="str">
        <f t="shared" si="0"/>
        <v>CAF007-131-26</v>
      </c>
      <c r="E8" s="253" t="str">
        <f>VLOOKUP(Table2456[[#This Row],[Location 
(drop-down)]],Table1[#All],3,FALSE)</f>
        <v>USWC</v>
      </c>
      <c r="F8" s="257">
        <v>46052</v>
      </c>
      <c r="G8" s="257"/>
      <c r="H8" s="257"/>
      <c r="I8" s="258" t="s">
        <v>1266</v>
      </c>
      <c r="J8" s="260" t="s">
        <v>1181</v>
      </c>
      <c r="K8" s="262" t="s">
        <v>1267</v>
      </c>
      <c r="L8" s="264"/>
    </row>
    <row r="9" spans="1:13" s="4" customFormat="1" ht="37.5" customHeight="1">
      <c r="A9" s="147" t="s">
        <v>1124</v>
      </c>
      <c r="B9" s="251">
        <f>VLOOKUP(Table2456[[#This Row],[Location 
(drop-down)]],'List source'!D$2:E$71,2,FALSE)</f>
        <v>150</v>
      </c>
      <c r="C9" s="252" t="s">
        <v>39</v>
      </c>
      <c r="D9" s="253" t="str">
        <f t="shared" si="0"/>
        <v>CAF008-150-26</v>
      </c>
      <c r="E9" s="253" t="str">
        <f>VLOOKUP(Table2456[[#This Row],[Location 
(drop-down)]],Table1[#All],3,FALSE)</f>
        <v>USGC</v>
      </c>
      <c r="F9" s="257">
        <v>46062</v>
      </c>
      <c r="G9" s="257"/>
      <c r="H9" s="257">
        <v>46064</v>
      </c>
      <c r="I9" s="258" t="s">
        <v>1268</v>
      </c>
      <c r="J9" s="260" t="s">
        <v>1181</v>
      </c>
      <c r="K9" s="256" t="s">
        <v>1269</v>
      </c>
      <c r="L9" s="265"/>
    </row>
    <row r="10" spans="1:13" s="4" customFormat="1" ht="30" customHeight="1">
      <c r="A10" s="147" t="s">
        <v>308</v>
      </c>
      <c r="B10" s="251">
        <f>VLOOKUP(Table2456[[#This Row],[Location 
(drop-down)]],'List source'!D$2:E$71,2,FALSE)</f>
        <v>170</v>
      </c>
      <c r="C10" s="252" t="s">
        <v>41</v>
      </c>
      <c r="D10" s="266" t="str">
        <f t="shared" si="0"/>
        <v>CAF009-170-26</v>
      </c>
      <c r="E10" s="253" t="str">
        <f>VLOOKUP(Table2456[[#This Row],[Location 
(drop-down)]],Table1[#All],3,FALSE)</f>
        <v>SE &amp; Caribbean</v>
      </c>
      <c r="F10" s="259">
        <v>46062</v>
      </c>
      <c r="G10" s="257"/>
      <c r="H10" s="257"/>
      <c r="I10" s="147" t="s">
        <v>1270</v>
      </c>
      <c r="J10" s="260" t="s">
        <v>268</v>
      </c>
      <c r="K10" s="256"/>
      <c r="L10" s="256"/>
    </row>
    <row r="11" spans="1:13" s="4" customFormat="1" ht="30" customHeight="1">
      <c r="A11" s="147" t="s">
        <v>313</v>
      </c>
      <c r="B11" s="251">
        <f>VLOOKUP(Table2456[[#This Row],[Location 
(drop-down)]],'List source'!D$2:E$71,2,FALSE)</f>
        <v>199</v>
      </c>
      <c r="C11" s="252" t="s">
        <v>42</v>
      </c>
      <c r="D11" s="266" t="str">
        <f t="shared" si="0"/>
        <v>CAF010-199-26</v>
      </c>
      <c r="E11" s="253" t="str">
        <f>VLOOKUP(Table2456[[#This Row],[Location 
(drop-down)]],Table1[#All],3,FALSE)</f>
        <v>USNE, USMW &amp; Canada</v>
      </c>
      <c r="F11" s="257">
        <v>46064</v>
      </c>
      <c r="G11" s="257"/>
      <c r="H11" s="257"/>
      <c r="I11" s="147" t="s">
        <v>314</v>
      </c>
      <c r="J11" s="260" t="s">
        <v>1181</v>
      </c>
      <c r="K11" s="256" t="s">
        <v>1271</v>
      </c>
      <c r="L11" s="256"/>
    </row>
    <row r="12" spans="1:13" s="4" customFormat="1" ht="30" customHeight="1">
      <c r="A12" s="147" t="s">
        <v>313</v>
      </c>
      <c r="B12" s="251">
        <f>VLOOKUP(Table2456[[#This Row],[Location 
(drop-down)]],'List source'!D$2:E$71,2,FALSE)</f>
        <v>199</v>
      </c>
      <c r="C12" s="252" t="s">
        <v>44</v>
      </c>
      <c r="D12" s="253" t="str">
        <f t="shared" si="0"/>
        <v>CAF011-199-26</v>
      </c>
      <c r="E12" s="253" t="str">
        <f>VLOOKUP(Table2456[[#This Row],[Location 
(drop-down)]],Table1[#All],3,FALSE)</f>
        <v>USNE, USMW &amp; Canada</v>
      </c>
      <c r="F12" s="257">
        <v>46064</v>
      </c>
      <c r="G12" s="257"/>
      <c r="H12" s="257"/>
      <c r="I12" s="267" t="s">
        <v>1272</v>
      </c>
      <c r="J12" s="260" t="s">
        <v>1181</v>
      </c>
      <c r="K12" s="268" t="s">
        <v>1273</v>
      </c>
      <c r="L12" s="256"/>
    </row>
    <row r="13" spans="1:13" s="4" customFormat="1" ht="30" customHeight="1">
      <c r="A13" s="147" t="s">
        <v>43</v>
      </c>
      <c r="B13" s="251">
        <f>VLOOKUP(Table2456[[#This Row],[Location 
(drop-down)]],'List source'!D$2:E$71,2,FALSE)</f>
        <v>130</v>
      </c>
      <c r="C13" s="252" t="s">
        <v>51</v>
      </c>
      <c r="D13" s="253" t="str">
        <f t="shared" si="0"/>
        <v>CAF012-130-26</v>
      </c>
      <c r="E13" s="253" t="str">
        <f>VLOOKUP(Table2456[[#This Row],[Location 
(drop-down)]],Table1[#All],3,FALSE)</f>
        <v>USWC</v>
      </c>
      <c r="F13" s="257">
        <v>46062</v>
      </c>
      <c r="G13" s="257"/>
      <c r="H13" s="257"/>
      <c r="I13" s="147" t="s">
        <v>317</v>
      </c>
      <c r="J13" s="260" t="s">
        <v>286</v>
      </c>
      <c r="K13" s="268" t="s">
        <v>1274</v>
      </c>
      <c r="L13" s="256"/>
    </row>
    <row r="14" spans="1:13" s="4" customFormat="1" ht="30" customHeight="1">
      <c r="A14" s="147" t="s">
        <v>14</v>
      </c>
      <c r="B14" s="251">
        <f>VLOOKUP(Table2456[[#This Row],[Location 
(drop-down)]],'List source'!D$2:E$71,2,FALSE)</f>
        <v>131</v>
      </c>
      <c r="C14" s="252" t="s">
        <v>53</v>
      </c>
      <c r="D14" s="253" t="str">
        <f t="shared" si="0"/>
        <v>CAF013-131-26</v>
      </c>
      <c r="E14" s="253" t="str">
        <f>VLOOKUP(Table2456[[#This Row],[Location 
(drop-down)]],Table1[#All],3,FALSE)</f>
        <v>USWC</v>
      </c>
      <c r="F14" s="257">
        <v>46063</v>
      </c>
      <c r="G14" s="257"/>
      <c r="H14" s="257"/>
      <c r="I14" s="147" t="s">
        <v>318</v>
      </c>
      <c r="J14" s="29" t="s">
        <v>1181</v>
      </c>
      <c r="K14" s="269" t="s">
        <v>1275</v>
      </c>
      <c r="L14" s="263"/>
    </row>
    <row r="15" spans="1:13" s="4" customFormat="1" ht="30" customHeight="1">
      <c r="A15" s="147"/>
      <c r="B15" s="251" t="e">
        <f>VLOOKUP(Table2456[[#This Row],[Location 
(drop-down)]],'List source'!D$2:E$71,2,FALSE)</f>
        <v>#N/A</v>
      </c>
      <c r="C15" s="252" t="s">
        <v>55</v>
      </c>
      <c r="D15" s="253" t="e">
        <f t="shared" si="0"/>
        <v>#N/A</v>
      </c>
      <c r="E15" s="253" t="e">
        <f>VLOOKUP(Table2456[[#This Row],[Location 
(drop-down)]],Table1[#All],3,FALSE)</f>
        <v>#N/A</v>
      </c>
      <c r="F15" s="257"/>
      <c r="G15" s="257"/>
      <c r="H15" s="257"/>
      <c r="I15" s="138"/>
      <c r="J15" s="260"/>
      <c r="K15" s="256"/>
      <c r="L15" s="263"/>
    </row>
    <row r="16" spans="1:13" s="4" customFormat="1" ht="30" customHeight="1">
      <c r="A16" s="147"/>
      <c r="B16" s="251" t="e">
        <f>VLOOKUP(Table2456[[#This Row],[Location 
(drop-down)]],'List source'!D$2:E$71,2,FALSE)</f>
        <v>#N/A</v>
      </c>
      <c r="C16" s="252" t="s">
        <v>56</v>
      </c>
      <c r="D16" s="253" t="e">
        <f t="shared" si="0"/>
        <v>#N/A</v>
      </c>
      <c r="E16" s="253" t="e">
        <f>VLOOKUP(Table2456[[#This Row],[Location 
(drop-down)]],Table1[#All],3,FALSE)</f>
        <v>#N/A</v>
      </c>
      <c r="F16" s="257"/>
      <c r="G16" s="257"/>
      <c r="H16" s="259"/>
      <c r="I16" s="258"/>
      <c r="J16" s="29"/>
      <c r="K16" s="251"/>
      <c r="L16" s="256"/>
    </row>
    <row r="17" spans="1:12" s="4" customFormat="1" ht="30" customHeight="1">
      <c r="A17" s="147"/>
      <c r="B17" s="251" t="e">
        <f>VLOOKUP(Table2456[[#This Row],[Location 
(drop-down)]],'List source'!D$2:E$71,2,FALSE)</f>
        <v>#N/A</v>
      </c>
      <c r="C17" s="252" t="s">
        <v>57</v>
      </c>
      <c r="D17" s="253" t="e">
        <f t="shared" si="0"/>
        <v>#N/A</v>
      </c>
      <c r="E17" s="253" t="e">
        <f>VLOOKUP(Table2456[[#This Row],[Location 
(drop-down)]],Table1[#All],3,FALSE)</f>
        <v>#N/A</v>
      </c>
      <c r="F17" s="257"/>
      <c r="G17" s="257"/>
      <c r="H17" s="257"/>
      <c r="I17" s="258"/>
      <c r="J17" s="260"/>
      <c r="K17" s="256"/>
      <c r="L17" s="263"/>
    </row>
    <row r="18" spans="1:12" s="4" customFormat="1" ht="30" customHeight="1">
      <c r="A18" s="147"/>
      <c r="B18" s="251" t="e">
        <f>VLOOKUP(Table2456[[#This Row],[Location 
(drop-down)]],'List source'!D$2:E$71,2,FALSE)</f>
        <v>#N/A</v>
      </c>
      <c r="C18" s="252" t="s">
        <v>58</v>
      </c>
      <c r="D18" s="253" t="e">
        <f t="shared" si="0"/>
        <v>#N/A</v>
      </c>
      <c r="E18" s="253" t="e">
        <f>VLOOKUP(Table2456[[#This Row],[Location 
(drop-down)]],Table1[#All],3,FALSE)</f>
        <v>#N/A</v>
      </c>
      <c r="F18" s="257"/>
      <c r="G18" s="257"/>
      <c r="H18" s="257"/>
      <c r="I18" s="147"/>
      <c r="J18" s="260"/>
      <c r="K18" s="256"/>
      <c r="L18" s="264"/>
    </row>
    <row r="19" spans="1:12" s="4" customFormat="1" ht="30" customHeight="1">
      <c r="A19" s="147"/>
      <c r="B19" s="251" t="e">
        <f>VLOOKUP(Table2456[[#This Row],[Location 
(drop-down)]],'List source'!D$2:E$71,2,FALSE)</f>
        <v>#N/A</v>
      </c>
      <c r="C19" s="252" t="s">
        <v>59</v>
      </c>
      <c r="D19" s="266" t="e">
        <f t="shared" si="0"/>
        <v>#N/A</v>
      </c>
      <c r="E19" s="253" t="e">
        <f>VLOOKUP(Table2456[[#This Row],[Location 
(drop-down)]],Table1[#All],3,FALSE)</f>
        <v>#N/A</v>
      </c>
      <c r="F19" s="257"/>
      <c r="G19" s="257"/>
      <c r="H19" s="257"/>
      <c r="I19" s="147"/>
      <c r="J19" s="260"/>
      <c r="K19" s="256"/>
      <c r="L19" s="256"/>
    </row>
    <row r="20" spans="1:12" s="4" customFormat="1" ht="30" customHeight="1">
      <c r="A20" s="147"/>
      <c r="B20" s="251" t="e">
        <f>VLOOKUP(Table2456[[#This Row],[Location 
(drop-down)]],'List source'!D$2:E$71,2,FALSE)</f>
        <v>#N/A</v>
      </c>
      <c r="C20" s="252" t="s">
        <v>60</v>
      </c>
      <c r="D20" s="253" t="e">
        <f t="shared" si="0"/>
        <v>#N/A</v>
      </c>
      <c r="E20" s="253" t="e">
        <f>VLOOKUP(Table2456[[#This Row],[Location 
(drop-down)]],Table1[#All],3,FALSE)</f>
        <v>#N/A</v>
      </c>
      <c r="F20" s="257"/>
      <c r="G20" s="257"/>
      <c r="H20" s="257"/>
      <c r="I20" s="261"/>
      <c r="J20" s="260"/>
      <c r="K20" s="270"/>
      <c r="L20" s="271"/>
    </row>
    <row r="21" spans="1:12" s="4" customFormat="1" ht="30" customHeight="1">
      <c r="A21" s="147"/>
      <c r="B21" s="251" t="e">
        <f>VLOOKUP(Table2456[[#This Row],[Location 
(drop-down)]],'List source'!D$2:E$71,2,FALSE)</f>
        <v>#N/A</v>
      </c>
      <c r="C21" s="252" t="s">
        <v>61</v>
      </c>
      <c r="D21" s="253" t="e">
        <f t="shared" si="0"/>
        <v>#N/A</v>
      </c>
      <c r="E21" s="253" t="e">
        <f>VLOOKUP(Table2456[[#This Row],[Location 
(drop-down)]],Table1[#All],3,FALSE)</f>
        <v>#N/A</v>
      </c>
      <c r="F21" s="257"/>
      <c r="G21" s="257"/>
      <c r="H21" s="257"/>
      <c r="I21" s="147"/>
      <c r="J21" s="260"/>
      <c r="K21" s="270"/>
      <c r="L21" s="272"/>
    </row>
    <row r="22" spans="1:12" s="4" customFormat="1" ht="30" customHeight="1">
      <c r="A22" s="147"/>
      <c r="B22" s="251" t="e">
        <f>VLOOKUP(Table2456[[#This Row],[Location 
(drop-down)]],'List source'!D$2:E$71,2,FALSE)</f>
        <v>#N/A</v>
      </c>
      <c r="C22" s="252" t="s">
        <v>62</v>
      </c>
      <c r="D22" s="253" t="e">
        <f t="shared" si="0"/>
        <v>#N/A</v>
      </c>
      <c r="E22" s="253" t="e">
        <f>VLOOKUP(Table2456[[#This Row],[Location 
(drop-down)]],Table1[#All],3,FALSE)</f>
        <v>#N/A</v>
      </c>
      <c r="F22" s="257"/>
      <c r="G22" s="257"/>
      <c r="H22" s="257"/>
      <c r="I22" s="273"/>
      <c r="J22" s="260"/>
      <c r="K22" s="252"/>
      <c r="L22" s="274"/>
    </row>
    <row r="23" spans="1:12" s="4" customFormat="1" ht="30" customHeight="1">
      <c r="A23" s="147"/>
      <c r="B23" s="251" t="e">
        <f>VLOOKUP(Table2456[[#This Row],[Location 
(drop-down)]],'List source'!D$2:E$71,2,FALSE)</f>
        <v>#N/A</v>
      </c>
      <c r="C23" s="252" t="s">
        <v>63</v>
      </c>
      <c r="D23" s="253" t="e">
        <f t="shared" si="0"/>
        <v>#N/A</v>
      </c>
      <c r="E23" s="253" t="e">
        <f>VLOOKUP(Table2456[[#This Row],[Location 
(drop-down)]],Table1[#All],3,FALSE)</f>
        <v>#N/A</v>
      </c>
      <c r="F23" s="257"/>
      <c r="G23" s="257"/>
      <c r="H23" s="257"/>
      <c r="I23" s="147"/>
      <c r="J23" s="260"/>
      <c r="K23" s="270"/>
      <c r="L23" s="275"/>
    </row>
    <row r="24" spans="1:12" s="4" customFormat="1" ht="30" customHeight="1">
      <c r="A24" s="147"/>
      <c r="B24" s="251" t="e">
        <f>VLOOKUP(Table2456[[#This Row],[Location 
(drop-down)]],'List source'!D$2:E$71,2,FALSE)</f>
        <v>#N/A</v>
      </c>
      <c r="C24" s="252" t="s">
        <v>64</v>
      </c>
      <c r="D24" s="253" t="e">
        <f t="shared" si="0"/>
        <v>#N/A</v>
      </c>
      <c r="E24" s="253" t="e">
        <f>VLOOKUP(Table2456[[#This Row],[Location 
(drop-down)]],Table1[#All],3,FALSE)</f>
        <v>#N/A</v>
      </c>
      <c r="F24" s="257"/>
      <c r="G24" s="257"/>
      <c r="H24" s="257"/>
      <c r="I24" s="147"/>
      <c r="J24" s="260"/>
      <c r="K24" s="276"/>
      <c r="L24" s="277"/>
    </row>
    <row r="25" spans="1:12" s="4" customFormat="1" ht="30" customHeight="1">
      <c r="A25" s="147"/>
      <c r="B25" s="251" t="e">
        <f>VLOOKUP(Table2456[[#This Row],[Location 
(drop-down)]],'List source'!D$2:E$71,2,FALSE)</f>
        <v>#N/A</v>
      </c>
      <c r="C25" s="252" t="s">
        <v>65</v>
      </c>
      <c r="D25" s="253" t="e">
        <f t="shared" si="0"/>
        <v>#N/A</v>
      </c>
      <c r="E25" s="253" t="e">
        <f>VLOOKUP(Table2456[[#This Row],[Location 
(drop-down)]],Table1[#All],3,FALSE)</f>
        <v>#N/A</v>
      </c>
      <c r="F25" s="257"/>
      <c r="G25" s="257"/>
      <c r="H25" s="257"/>
      <c r="I25" s="278"/>
      <c r="J25" s="260"/>
      <c r="K25" s="260"/>
      <c r="L25" s="260"/>
    </row>
    <row r="26" spans="1:12" s="4" customFormat="1" ht="30" customHeight="1">
      <c r="A26" s="147"/>
      <c r="B26" s="251" t="e">
        <f>VLOOKUP(Table2456[[#This Row],[Location 
(drop-down)]],'List source'!D$2:E$71,2,FALSE)</f>
        <v>#N/A</v>
      </c>
      <c r="C26" s="252" t="s">
        <v>66</v>
      </c>
      <c r="D26" s="253" t="e">
        <f t="shared" si="0"/>
        <v>#N/A</v>
      </c>
      <c r="E26" s="253" t="e">
        <f>VLOOKUP(Table2456[[#This Row],[Location 
(drop-down)]],Table1[#All],3,FALSE)</f>
        <v>#N/A</v>
      </c>
      <c r="F26" s="257"/>
      <c r="G26" s="257"/>
      <c r="H26" s="257"/>
      <c r="I26" s="279"/>
      <c r="J26" s="260"/>
      <c r="K26" s="256"/>
      <c r="L26" s="260"/>
    </row>
    <row r="27" spans="1:12" s="4" customFormat="1" ht="30" customHeight="1">
      <c r="A27" s="147"/>
      <c r="B27" s="251" t="e">
        <f>VLOOKUP(Table2456[[#This Row],[Location 
(drop-down)]],'List source'!D$2:E$71,2,FALSE)</f>
        <v>#N/A</v>
      </c>
      <c r="C27" s="252" t="s">
        <v>67</v>
      </c>
      <c r="D27" s="253" t="e">
        <f t="shared" si="0"/>
        <v>#N/A</v>
      </c>
      <c r="E27" s="253" t="e">
        <f>VLOOKUP(Table2456[[#This Row],[Location 
(drop-down)]],Table1[#All],3,FALSE)</f>
        <v>#N/A</v>
      </c>
      <c r="F27" s="257"/>
      <c r="G27" s="257"/>
      <c r="H27" s="257"/>
      <c r="I27" s="280"/>
      <c r="J27" s="260"/>
      <c r="K27" s="270"/>
      <c r="L27" s="281"/>
    </row>
    <row r="28" spans="1:12" s="4" customFormat="1" ht="30" customHeight="1">
      <c r="A28" s="147"/>
      <c r="B28" s="251" t="e">
        <f>VLOOKUP(Table2456[[#This Row],[Location 
(drop-down)]],'List source'!D$2:E$71,2,FALSE)</f>
        <v>#N/A</v>
      </c>
      <c r="C28" s="252" t="s">
        <v>68</v>
      </c>
      <c r="D28" s="253" t="e">
        <f t="shared" si="0"/>
        <v>#N/A</v>
      </c>
      <c r="E28" s="253" t="e">
        <f>VLOOKUP(Table2456[[#This Row],[Location 
(drop-down)]],Table1[#All],3,FALSE)</f>
        <v>#N/A</v>
      </c>
      <c r="F28" s="257"/>
      <c r="G28" s="257"/>
      <c r="H28" s="257"/>
      <c r="I28" s="261"/>
      <c r="J28" s="260"/>
      <c r="K28" s="260"/>
      <c r="L28" s="282"/>
    </row>
    <row r="29" spans="1:12" s="4" customFormat="1" ht="30" customHeight="1">
      <c r="A29" s="147"/>
      <c r="B29" s="251" t="e">
        <f>VLOOKUP(Table2456[[#This Row],[Location 
(drop-down)]],'List source'!D$2:E$71,2,FALSE)</f>
        <v>#N/A</v>
      </c>
      <c r="C29" s="252" t="s">
        <v>69</v>
      </c>
      <c r="D29" s="253" t="e">
        <f t="shared" si="0"/>
        <v>#N/A</v>
      </c>
      <c r="E29" s="253" t="e">
        <f>VLOOKUP(Table2456[[#This Row],[Location 
(drop-down)]],Table1[#All],3,FALSE)</f>
        <v>#N/A</v>
      </c>
      <c r="F29" s="257"/>
      <c r="G29" s="257"/>
      <c r="H29" s="257"/>
      <c r="I29" s="280"/>
      <c r="J29" s="260"/>
      <c r="K29" s="260"/>
      <c r="L29" s="260"/>
    </row>
    <row r="30" spans="1:12" s="4" customFormat="1" ht="30" customHeight="1">
      <c r="A30" s="147"/>
      <c r="B30" s="251" t="e">
        <f>VLOOKUP(Table2456[[#This Row],[Location 
(drop-down)]],'List source'!D$2:E$71,2,FALSE)</f>
        <v>#N/A</v>
      </c>
      <c r="C30" s="252" t="s">
        <v>70</v>
      </c>
      <c r="D30" s="253" t="e">
        <f t="shared" si="0"/>
        <v>#N/A</v>
      </c>
      <c r="E30" s="253" t="e">
        <f>VLOOKUP(Table2456[[#This Row],[Location 
(drop-down)]],Table1[#All],3,FALSE)</f>
        <v>#N/A</v>
      </c>
      <c r="F30" s="257"/>
      <c r="G30" s="257"/>
      <c r="H30" s="257"/>
      <c r="I30" s="147"/>
      <c r="J30" s="260"/>
      <c r="K30" s="260"/>
      <c r="L30" s="260"/>
    </row>
    <row r="31" spans="1:12" s="4" customFormat="1" ht="30" customHeight="1">
      <c r="A31" s="147"/>
      <c r="B31" s="251" t="e">
        <f>VLOOKUP(Table2456[[#This Row],[Location 
(drop-down)]],'List source'!D$2:E$71,2,FALSE)</f>
        <v>#N/A</v>
      </c>
      <c r="C31" s="252" t="s">
        <v>71</v>
      </c>
      <c r="D31" s="253" t="e">
        <f t="shared" si="0"/>
        <v>#N/A</v>
      </c>
      <c r="E31" s="253" t="e">
        <f>VLOOKUP(Table2456[[#This Row],[Location 
(drop-down)]],Table1[#All],3,FALSE)</f>
        <v>#N/A</v>
      </c>
      <c r="F31" s="257"/>
      <c r="G31" s="257"/>
      <c r="H31" s="257"/>
      <c r="I31" s="261"/>
      <c r="J31" s="260"/>
      <c r="K31" s="270"/>
      <c r="L31" s="283"/>
    </row>
    <row r="32" spans="1:12" s="4" customFormat="1" ht="30" customHeight="1">
      <c r="A32" s="147"/>
      <c r="B32" s="251" t="e">
        <f>VLOOKUP(Table2456[[#This Row],[Location 
(drop-down)]],'List source'!D$2:E$71,2,FALSE)</f>
        <v>#N/A</v>
      </c>
      <c r="C32" s="252" t="s">
        <v>72</v>
      </c>
      <c r="D32" s="253" t="e">
        <f t="shared" si="0"/>
        <v>#N/A</v>
      </c>
      <c r="E32" s="253" t="e">
        <f>VLOOKUP(Table2456[[#This Row],[Location 
(drop-down)]],Table1[#All],3,FALSE)</f>
        <v>#N/A</v>
      </c>
      <c r="F32" s="257"/>
      <c r="G32" s="259"/>
      <c r="H32" s="259"/>
      <c r="I32" s="278"/>
      <c r="J32" s="260"/>
      <c r="K32" s="270"/>
      <c r="L32" s="284"/>
    </row>
    <row r="33" spans="1:12" s="4" customFormat="1" ht="30" customHeight="1">
      <c r="A33" s="147"/>
      <c r="B33" s="251" t="e">
        <f>VLOOKUP(Table2456[[#This Row],[Location 
(drop-down)]],'List source'!D$2:E$71,2,FALSE)</f>
        <v>#N/A</v>
      </c>
      <c r="C33" s="252" t="s">
        <v>73</v>
      </c>
      <c r="D33" s="253" t="e">
        <f t="shared" si="0"/>
        <v>#N/A</v>
      </c>
      <c r="E33" s="253" t="e">
        <f>VLOOKUP(Table2456[[#This Row],[Location 
(drop-down)]],Table1[#All],3,FALSE)</f>
        <v>#N/A</v>
      </c>
      <c r="F33" s="257"/>
      <c r="G33" s="257"/>
      <c r="H33" s="257"/>
      <c r="I33" s="147"/>
      <c r="J33" s="260"/>
      <c r="K33" s="270"/>
      <c r="L33" s="285"/>
    </row>
    <row r="34" spans="1:12" s="4" customFormat="1" ht="30" customHeight="1">
      <c r="A34" s="147"/>
      <c r="B34" s="251" t="e">
        <f>VLOOKUP(Table2456[[#This Row],[Location 
(drop-down)]],'List source'!D$2:E$71,2,FALSE)</f>
        <v>#N/A</v>
      </c>
      <c r="C34" s="252" t="s">
        <v>74</v>
      </c>
      <c r="D34" s="253" t="e">
        <f t="shared" ref="D34:D65" si="1">"CAF" &amp; C34 &amp; "-" &amp; B34 &amp; "-" &amp; "26"</f>
        <v>#N/A</v>
      </c>
      <c r="E34" s="253" t="e">
        <f>VLOOKUP(Table2456[[#This Row],[Location 
(drop-down)]],Table1[#All],3,FALSE)</f>
        <v>#N/A</v>
      </c>
      <c r="F34" s="257"/>
      <c r="G34" s="257"/>
      <c r="H34" s="257"/>
      <c r="I34" s="286"/>
      <c r="J34" s="260"/>
      <c r="K34" s="270"/>
      <c r="L34" s="284"/>
    </row>
    <row r="35" spans="1:12" s="4" customFormat="1" ht="30" customHeight="1">
      <c r="A35" s="147"/>
      <c r="B35" s="251" t="e">
        <f>VLOOKUP(Table2456[[#This Row],[Location 
(drop-down)]],'List source'!D$2:E$71,2,FALSE)</f>
        <v>#N/A</v>
      </c>
      <c r="C35" s="252" t="s">
        <v>75</v>
      </c>
      <c r="D35" s="253" t="e">
        <f t="shared" si="1"/>
        <v>#N/A</v>
      </c>
      <c r="E35" s="253" t="e">
        <f>VLOOKUP(Table2456[[#This Row],[Location 
(drop-down)]],Table1[#All],3,FALSE)</f>
        <v>#N/A</v>
      </c>
      <c r="F35" s="257"/>
      <c r="G35" s="257"/>
      <c r="H35" s="257"/>
      <c r="I35" s="258"/>
      <c r="J35" s="260"/>
      <c r="K35" s="260"/>
      <c r="L35" s="260"/>
    </row>
    <row r="36" spans="1:12" s="4" customFormat="1" ht="30" customHeight="1">
      <c r="A36" s="147"/>
      <c r="B36" s="251" t="e">
        <f>VLOOKUP(Table2456[[#This Row],[Location 
(drop-down)]],'List source'!D$2:E$71,2,FALSE)</f>
        <v>#N/A</v>
      </c>
      <c r="C36" s="252" t="s">
        <v>76</v>
      </c>
      <c r="D36" s="253" t="e">
        <f t="shared" si="1"/>
        <v>#N/A</v>
      </c>
      <c r="E36" s="253" t="e">
        <f>VLOOKUP(Table2456[[#This Row],[Location 
(drop-down)]],Table1[#All],3,FALSE)</f>
        <v>#N/A</v>
      </c>
      <c r="F36" s="257"/>
      <c r="G36" s="257"/>
      <c r="H36" s="257"/>
      <c r="I36" s="280"/>
      <c r="J36" s="260"/>
      <c r="K36" s="270"/>
      <c r="L36" s="284"/>
    </row>
    <row r="37" spans="1:12" s="4" customFormat="1" ht="30" customHeight="1">
      <c r="A37" s="147"/>
      <c r="B37" s="251" t="e">
        <f>VLOOKUP(Table2456[[#This Row],[Location 
(drop-down)]],'List source'!D$2:E$71,2,FALSE)</f>
        <v>#N/A</v>
      </c>
      <c r="C37" s="252" t="s">
        <v>77</v>
      </c>
      <c r="D37" s="253" t="e">
        <f t="shared" si="1"/>
        <v>#N/A</v>
      </c>
      <c r="E37" s="253" t="e">
        <f>VLOOKUP(Table2456[[#This Row],[Location 
(drop-down)]],Table1[#All],3,FALSE)</f>
        <v>#N/A</v>
      </c>
      <c r="F37" s="257"/>
      <c r="G37" s="257"/>
      <c r="H37" s="257"/>
      <c r="I37" s="287"/>
      <c r="J37" s="260"/>
      <c r="K37" s="260"/>
      <c r="L37" s="260"/>
    </row>
    <row r="38" spans="1:12" s="4" customFormat="1" ht="30" customHeight="1">
      <c r="A38" s="147"/>
      <c r="B38" s="251" t="e">
        <f>VLOOKUP(Table2456[[#This Row],[Location 
(drop-down)]],'List source'!D$2:E$71,2,FALSE)</f>
        <v>#N/A</v>
      </c>
      <c r="C38" s="252" t="s">
        <v>78</v>
      </c>
      <c r="D38" s="253" t="e">
        <f t="shared" si="1"/>
        <v>#N/A</v>
      </c>
      <c r="E38" s="253" t="e">
        <f>VLOOKUP(Table2456[[#This Row],[Location 
(drop-down)]],Table1[#All],3,FALSE)</f>
        <v>#N/A</v>
      </c>
      <c r="F38" s="257"/>
      <c r="G38" s="259"/>
      <c r="H38" s="259"/>
      <c r="I38" s="147"/>
      <c r="J38" s="260"/>
      <c r="K38" s="251"/>
      <c r="L38" s="284"/>
    </row>
    <row r="39" spans="1:12" s="4" customFormat="1" ht="30" customHeight="1">
      <c r="A39" s="147"/>
      <c r="B39" s="251" t="e">
        <f>VLOOKUP(Table2456[[#This Row],[Location 
(drop-down)]],'List source'!D$2:E$71,2,FALSE)</f>
        <v>#N/A</v>
      </c>
      <c r="C39" s="252" t="s">
        <v>79</v>
      </c>
      <c r="D39" s="253" t="e">
        <f t="shared" si="1"/>
        <v>#N/A</v>
      </c>
      <c r="E39" s="253" t="e">
        <f>VLOOKUP(Table2456[[#This Row],[Location 
(drop-down)]],Table1[#All],3,FALSE)</f>
        <v>#N/A</v>
      </c>
      <c r="F39" s="259"/>
      <c r="G39" s="257"/>
      <c r="H39" s="257"/>
      <c r="I39" s="258"/>
      <c r="J39" s="259"/>
      <c r="K39" s="260"/>
      <c r="L39" s="260"/>
    </row>
    <row r="40" spans="1:12" s="4" customFormat="1" ht="30" customHeight="1">
      <c r="A40" s="147"/>
      <c r="B40" s="251" t="e">
        <f>VLOOKUP(Table2456[[#This Row],[Location 
(drop-down)]],'List source'!D$2:E$71,2,FALSE)</f>
        <v>#N/A</v>
      </c>
      <c r="C40" s="252" t="s">
        <v>80</v>
      </c>
      <c r="D40" s="253" t="e">
        <f t="shared" si="1"/>
        <v>#N/A</v>
      </c>
      <c r="E40" s="253" t="e">
        <f>VLOOKUP(Table2456[[#This Row],[Location 
(drop-down)]],Table1[#All],3,FALSE)</f>
        <v>#N/A</v>
      </c>
      <c r="F40" s="259"/>
      <c r="G40" s="259"/>
      <c r="H40" s="259"/>
      <c r="I40" s="147"/>
      <c r="J40" s="260"/>
      <c r="K40" s="260"/>
      <c r="L40" s="288"/>
    </row>
    <row r="41" spans="1:12" s="4" customFormat="1" ht="30" customHeight="1">
      <c r="A41" s="147"/>
      <c r="B41" s="251" t="e">
        <f>VLOOKUP(Table2456[[#This Row],[Location 
(drop-down)]],'List source'!D$2:E$71,2,FALSE)</f>
        <v>#N/A</v>
      </c>
      <c r="C41" s="252" t="s">
        <v>81</v>
      </c>
      <c r="D41" s="253" t="e">
        <f t="shared" si="1"/>
        <v>#N/A</v>
      </c>
      <c r="E41" s="253" t="e">
        <f>VLOOKUP(Table2456[[#This Row],[Location 
(drop-down)]],Table1[#All],3,FALSE)</f>
        <v>#N/A</v>
      </c>
      <c r="F41" s="257"/>
      <c r="G41" s="257"/>
      <c r="H41" s="257"/>
      <c r="I41" s="258"/>
      <c r="J41" s="260"/>
      <c r="K41" s="197"/>
      <c r="L41" s="197"/>
    </row>
    <row r="42" spans="1:12" s="4" customFormat="1" ht="30" customHeight="1">
      <c r="A42" s="147"/>
      <c r="B42" s="251" t="e">
        <f>VLOOKUP(Table2456[[#This Row],[Location 
(drop-down)]],'List source'!D$2:E$71,2,FALSE)</f>
        <v>#N/A</v>
      </c>
      <c r="C42" s="252" t="s">
        <v>82</v>
      </c>
      <c r="D42" s="253" t="e">
        <f t="shared" si="1"/>
        <v>#N/A</v>
      </c>
      <c r="E42" s="253" t="e">
        <f>VLOOKUP(Table2456[[#This Row],[Location 
(drop-down)]],Table1[#All],3,FALSE)</f>
        <v>#N/A</v>
      </c>
      <c r="F42" s="259"/>
      <c r="G42" s="259"/>
      <c r="H42" s="259"/>
      <c r="I42" s="258"/>
      <c r="J42" s="260"/>
      <c r="K42" s="260"/>
      <c r="L42" s="260"/>
    </row>
    <row r="43" spans="1:12" s="4" customFormat="1" ht="30" customHeight="1">
      <c r="A43" s="147"/>
      <c r="B43" s="251" t="e">
        <f>VLOOKUP(Table2456[[#This Row],[Location 
(drop-down)]],'List source'!D$2:E$71,2,FALSE)</f>
        <v>#N/A</v>
      </c>
      <c r="C43" s="252" t="s">
        <v>83</v>
      </c>
      <c r="D43" s="253" t="e">
        <f t="shared" si="1"/>
        <v>#N/A</v>
      </c>
      <c r="E43" s="253" t="e">
        <f>VLOOKUP(Table2456[[#This Row],[Location 
(drop-down)]],Table1[#All],3,FALSE)</f>
        <v>#N/A</v>
      </c>
      <c r="F43" s="259"/>
      <c r="G43" s="259"/>
      <c r="H43" s="259"/>
      <c r="I43" s="258"/>
      <c r="J43" s="260"/>
      <c r="K43" s="260"/>
      <c r="L43" s="270"/>
    </row>
    <row r="44" spans="1:12" s="4" customFormat="1" ht="30" customHeight="1">
      <c r="A44" s="147"/>
      <c r="B44" s="251" t="e">
        <f>VLOOKUP(Table2456[[#This Row],[Location 
(drop-down)]],'List source'!D$2:E$71,2,FALSE)</f>
        <v>#N/A</v>
      </c>
      <c r="C44" s="252" t="s">
        <v>84</v>
      </c>
      <c r="D44" s="253" t="e">
        <f t="shared" si="1"/>
        <v>#N/A</v>
      </c>
      <c r="E44" s="253" t="e">
        <f>VLOOKUP(Table2456[[#This Row],[Location 
(drop-down)]],Table1[#All],3,FALSE)</f>
        <v>#N/A</v>
      </c>
      <c r="F44" s="257"/>
      <c r="G44" s="259"/>
      <c r="H44" s="259"/>
      <c r="I44" s="258"/>
      <c r="J44" s="260"/>
      <c r="K44" s="260"/>
      <c r="L44" s="260"/>
    </row>
    <row r="45" spans="1:12" s="4" customFormat="1" ht="30" customHeight="1">
      <c r="A45" s="147"/>
      <c r="B45" s="251" t="e">
        <f>VLOOKUP(Table2456[[#This Row],[Location 
(drop-down)]],'List source'!D$2:E$71,2,FALSE)</f>
        <v>#N/A</v>
      </c>
      <c r="C45" s="252" t="s">
        <v>85</v>
      </c>
      <c r="D45" s="253" t="e">
        <f t="shared" si="1"/>
        <v>#N/A</v>
      </c>
      <c r="E45" s="253" t="e">
        <f>VLOOKUP(Table2456[[#This Row],[Location 
(drop-down)]],Table1[#All],3,FALSE)</f>
        <v>#N/A</v>
      </c>
      <c r="F45" s="257"/>
      <c r="G45" s="259"/>
      <c r="H45" s="259"/>
      <c r="I45" s="258"/>
      <c r="J45" s="260"/>
      <c r="K45" s="197"/>
      <c r="L45" s="288"/>
    </row>
    <row r="46" spans="1:12" s="4" customFormat="1" ht="30" customHeight="1">
      <c r="A46" s="147"/>
      <c r="B46" s="251" t="e">
        <f>VLOOKUP(Table2456[[#This Row],[Location 
(drop-down)]],'List source'!D$2:E$71,2,FALSE)</f>
        <v>#N/A</v>
      </c>
      <c r="C46" s="252" t="s">
        <v>86</v>
      </c>
      <c r="D46" s="253" t="e">
        <f t="shared" si="1"/>
        <v>#N/A</v>
      </c>
      <c r="E46" s="253" t="e">
        <f>VLOOKUP(Table2456[[#This Row],[Location 
(drop-down)]],Table1[#All],3,FALSE)</f>
        <v>#N/A</v>
      </c>
      <c r="F46" s="257"/>
      <c r="G46" s="259"/>
      <c r="H46" s="259"/>
      <c r="I46" s="258"/>
      <c r="J46" s="260"/>
      <c r="K46" s="197"/>
      <c r="L46" s="288"/>
    </row>
    <row r="47" spans="1:12" s="4" customFormat="1" ht="30" customHeight="1">
      <c r="A47" s="147"/>
      <c r="B47" s="251" t="e">
        <f>VLOOKUP(Table2456[[#This Row],[Location 
(drop-down)]],'List source'!D$2:E$71,2,FALSE)</f>
        <v>#N/A</v>
      </c>
      <c r="C47" s="252" t="s">
        <v>87</v>
      </c>
      <c r="D47" s="253" t="e">
        <f t="shared" si="1"/>
        <v>#N/A</v>
      </c>
      <c r="E47" s="253" t="e">
        <f>VLOOKUP(Table2456[[#This Row],[Location 
(drop-down)]],Table1[#All],3,FALSE)</f>
        <v>#N/A</v>
      </c>
      <c r="F47" s="259"/>
      <c r="G47" s="259"/>
      <c r="H47" s="259"/>
      <c r="I47" s="258"/>
      <c r="J47" s="260"/>
      <c r="K47" s="260"/>
      <c r="L47" s="260"/>
    </row>
    <row r="48" spans="1:12" s="4" customFormat="1" ht="30" customHeight="1">
      <c r="A48" s="147"/>
      <c r="B48" s="251" t="e">
        <f>VLOOKUP(Table2456[[#This Row],[Location 
(drop-down)]],'List source'!D$2:E$71,2,FALSE)</f>
        <v>#N/A</v>
      </c>
      <c r="C48" s="252" t="s">
        <v>88</v>
      </c>
      <c r="D48" s="253" t="e">
        <f t="shared" si="1"/>
        <v>#N/A</v>
      </c>
      <c r="E48" s="253" t="e">
        <f>VLOOKUP(Table2456[[#This Row],[Location 
(drop-down)]],Table1[#All],3,FALSE)</f>
        <v>#N/A</v>
      </c>
      <c r="F48" s="257"/>
      <c r="G48" s="259"/>
      <c r="H48" s="257"/>
      <c r="I48" s="286"/>
      <c r="J48" s="260"/>
      <c r="K48" s="260"/>
      <c r="L48" s="260"/>
    </row>
    <row r="49" spans="1:12" s="4" customFormat="1" ht="30" customHeight="1">
      <c r="A49" s="147"/>
      <c r="B49" s="251" t="e">
        <f>VLOOKUP(Table2456[[#This Row],[Location 
(drop-down)]],'List source'!D$2:E$71,2,FALSE)</f>
        <v>#N/A</v>
      </c>
      <c r="C49" s="252" t="s">
        <v>89</v>
      </c>
      <c r="D49" s="253" t="e">
        <f t="shared" si="1"/>
        <v>#N/A</v>
      </c>
      <c r="E49" s="253" t="e">
        <f>VLOOKUP(Table2456[[#This Row],[Location 
(drop-down)]],Table1[#All],3,FALSE)</f>
        <v>#N/A</v>
      </c>
      <c r="F49" s="257"/>
      <c r="G49" s="259"/>
      <c r="H49" s="259"/>
      <c r="I49" s="286"/>
      <c r="J49" s="260"/>
      <c r="K49" s="197"/>
      <c r="L49" s="288"/>
    </row>
    <row r="50" spans="1:12" s="4" customFormat="1" ht="30" customHeight="1">
      <c r="A50" s="9"/>
      <c r="B50" s="13" t="e">
        <f>VLOOKUP(Table2456[[#This Row],[Location 
(drop-down)]],'List source'!D$2:E$71,2,FALSE)</f>
        <v>#N/A</v>
      </c>
      <c r="C50" s="17" t="s">
        <v>90</v>
      </c>
      <c r="D50" s="20" t="e">
        <f t="shared" si="1"/>
        <v>#N/A</v>
      </c>
      <c r="E50" s="20" t="e">
        <f>VLOOKUP(Table2456[[#This Row],[Location 
(drop-down)]],Table1[#All],3,FALSE)</f>
        <v>#N/A</v>
      </c>
      <c r="F50" s="28"/>
      <c r="G50" s="28"/>
      <c r="H50" s="28"/>
      <c r="I50" s="37"/>
      <c r="J50" s="135"/>
      <c r="K50" s="66"/>
      <c r="L50" s="63"/>
    </row>
    <row r="51" spans="1:12" s="4" customFormat="1" ht="30" customHeight="1">
      <c r="A51" s="9"/>
      <c r="B51" s="13" t="e">
        <f>VLOOKUP(Table2456[[#This Row],[Location 
(drop-down)]],'List source'!D$2:E$71,2,FALSE)</f>
        <v>#N/A</v>
      </c>
      <c r="C51" s="17" t="s">
        <v>91</v>
      </c>
      <c r="D51" s="20" t="e">
        <f t="shared" si="1"/>
        <v>#N/A</v>
      </c>
      <c r="E51" s="20" t="e">
        <f>VLOOKUP(Table2456[[#This Row],[Location 
(drop-down)]],Table1[#All],3,FALSE)</f>
        <v>#N/A</v>
      </c>
      <c r="F51" s="28"/>
      <c r="G51" s="28"/>
      <c r="H51" s="28"/>
      <c r="I51" s="28"/>
      <c r="J51" s="135"/>
      <c r="K51" s="135"/>
      <c r="L51" s="135"/>
    </row>
    <row r="52" spans="1:12" s="4" customFormat="1" ht="30" customHeight="1">
      <c r="A52" s="9"/>
      <c r="B52" s="13" t="e">
        <f>VLOOKUP(Table2456[[#This Row],[Location 
(drop-down)]],'List source'!D$2:E$71,2,FALSE)</f>
        <v>#N/A</v>
      </c>
      <c r="C52" s="17" t="s">
        <v>92</v>
      </c>
      <c r="D52" s="20" t="e">
        <f t="shared" si="1"/>
        <v>#N/A</v>
      </c>
      <c r="E52" s="20" t="e">
        <f>VLOOKUP(Table2456[[#This Row],[Location 
(drop-down)]],Table1[#All],3,FALSE)</f>
        <v>#N/A</v>
      </c>
      <c r="F52" s="28"/>
      <c r="G52" s="28"/>
      <c r="H52" s="28"/>
      <c r="I52" s="37"/>
      <c r="J52" s="135"/>
      <c r="K52" s="66"/>
      <c r="L52" s="63"/>
    </row>
    <row r="53" spans="1:12" s="4" customFormat="1" ht="30" customHeight="1">
      <c r="A53" s="9"/>
      <c r="B53" s="13" t="e">
        <f>VLOOKUP(Table2456[[#This Row],[Location 
(drop-down)]],'List source'!D$2:E$71,2,FALSE)</f>
        <v>#N/A</v>
      </c>
      <c r="C53" s="17" t="s">
        <v>93</v>
      </c>
      <c r="D53" s="20" t="e">
        <f t="shared" si="1"/>
        <v>#N/A</v>
      </c>
      <c r="E53" s="20" t="e">
        <f>VLOOKUP(Table2456[[#This Row],[Location 
(drop-down)]],Table1[#All],3,FALSE)</f>
        <v>#N/A</v>
      </c>
      <c r="F53" s="37"/>
      <c r="G53" s="37"/>
      <c r="H53" s="37"/>
      <c r="I53" s="37"/>
      <c r="J53" s="135"/>
      <c r="K53" s="66"/>
      <c r="L53" s="63"/>
    </row>
    <row r="54" spans="1:12" s="4" customFormat="1" ht="30" customHeight="1">
      <c r="A54" s="9"/>
      <c r="B54" s="13" t="e">
        <f>VLOOKUP(Table2456[[#This Row],[Location 
(drop-down)]],'List source'!D$2:E$71,2,FALSE)</f>
        <v>#N/A</v>
      </c>
      <c r="C54" s="17" t="s">
        <v>94</v>
      </c>
      <c r="D54" s="20" t="e">
        <f t="shared" si="1"/>
        <v>#N/A</v>
      </c>
      <c r="E54" s="20" t="e">
        <f>VLOOKUP(Table2456[[#This Row],[Location 
(drop-down)]],Table1[#All],3,FALSE)</f>
        <v>#N/A</v>
      </c>
      <c r="F54" s="37"/>
      <c r="G54" s="37"/>
      <c r="H54" s="37"/>
      <c r="I54" s="28"/>
      <c r="J54" s="135"/>
      <c r="K54" s="135"/>
      <c r="L54" s="135"/>
    </row>
    <row r="55" spans="1:12" s="4" customFormat="1" ht="30" customHeight="1">
      <c r="A55" s="9"/>
      <c r="B55" s="13" t="e">
        <f>VLOOKUP(Table2456[[#This Row],[Location 
(drop-down)]],'List source'!D$2:E$71,2,FALSE)</f>
        <v>#N/A</v>
      </c>
      <c r="C55" s="17" t="s">
        <v>95</v>
      </c>
      <c r="D55" s="20" t="e">
        <f t="shared" si="1"/>
        <v>#N/A</v>
      </c>
      <c r="E55" s="20" t="e">
        <f>VLOOKUP(Table2456[[#This Row],[Location 
(drop-down)]],Table1[#All],3,FALSE)</f>
        <v>#N/A</v>
      </c>
      <c r="F55" s="37"/>
      <c r="G55" s="37"/>
      <c r="H55" s="37"/>
      <c r="I55" s="28"/>
      <c r="J55" s="10"/>
      <c r="K55" s="10"/>
      <c r="L55" s="10"/>
    </row>
    <row r="56" spans="1:12" s="4" customFormat="1" ht="30" customHeight="1">
      <c r="A56" s="9"/>
      <c r="B56" s="13" t="e">
        <f>VLOOKUP(Table2456[[#This Row],[Location 
(drop-down)]],'List source'!D$2:E$71,2,FALSE)</f>
        <v>#N/A</v>
      </c>
      <c r="C56" s="17" t="s">
        <v>96</v>
      </c>
      <c r="D56" s="20" t="e">
        <f t="shared" si="1"/>
        <v>#N/A</v>
      </c>
      <c r="E56" s="20" t="e">
        <f>VLOOKUP(Table2456[[#This Row],[Location 
(drop-down)]],Table1[#All],3,FALSE)</f>
        <v>#N/A</v>
      </c>
      <c r="F56" s="37"/>
      <c r="G56" s="37"/>
      <c r="H56" s="37"/>
      <c r="I56" s="28"/>
      <c r="J56" s="10"/>
      <c r="K56" s="10"/>
      <c r="L56" s="10"/>
    </row>
    <row r="57" spans="1:12" s="4" customFormat="1" ht="30" customHeight="1">
      <c r="A57" s="9"/>
      <c r="B57" s="13" t="e">
        <f>VLOOKUP(Table2456[[#This Row],[Location 
(drop-down)]],'List source'!D$2:E$71,2,FALSE)</f>
        <v>#N/A</v>
      </c>
      <c r="C57" s="17" t="s">
        <v>97</v>
      </c>
      <c r="D57" s="20" t="e">
        <f t="shared" si="1"/>
        <v>#N/A</v>
      </c>
      <c r="E57" s="20" t="e">
        <f>VLOOKUP(Table2456[[#This Row],[Location 
(drop-down)]],Table1[#All],3,FALSE)</f>
        <v>#N/A</v>
      </c>
      <c r="F57" s="37"/>
      <c r="G57" s="37"/>
      <c r="H57" s="37"/>
      <c r="I57" s="28"/>
      <c r="J57" s="10"/>
      <c r="K57" s="10"/>
      <c r="L57" s="10"/>
    </row>
    <row r="58" spans="1:12" s="4" customFormat="1" ht="30" customHeight="1">
      <c r="A58" s="9"/>
      <c r="B58" s="13" t="e">
        <f>VLOOKUP(Table2456[[#This Row],[Location 
(drop-down)]],'List source'!D$2:E$71,2,FALSE)</f>
        <v>#N/A</v>
      </c>
      <c r="C58" s="17" t="s">
        <v>98</v>
      </c>
      <c r="D58" s="20" t="e">
        <f t="shared" si="1"/>
        <v>#N/A</v>
      </c>
      <c r="E58" s="20" t="e">
        <f>VLOOKUP(Table2456[[#This Row],[Location 
(drop-down)]],Table1[#All],3,FALSE)</f>
        <v>#N/A</v>
      </c>
      <c r="F58" s="37"/>
      <c r="G58" s="37"/>
      <c r="H58" s="37"/>
      <c r="I58" s="28"/>
      <c r="J58" s="10"/>
      <c r="K58" s="10"/>
      <c r="L58" s="10"/>
    </row>
    <row r="59" spans="1:12" s="4" customFormat="1" ht="30" customHeight="1">
      <c r="A59" s="9"/>
      <c r="B59" s="13" t="e">
        <f>VLOOKUP(Table2456[[#This Row],[Location 
(drop-down)]],'List source'!D$2:E$71,2,FALSE)</f>
        <v>#N/A</v>
      </c>
      <c r="C59" s="17" t="s">
        <v>99</v>
      </c>
      <c r="D59" s="20" t="e">
        <f t="shared" si="1"/>
        <v>#N/A</v>
      </c>
      <c r="E59" s="20" t="e">
        <f>VLOOKUP(Table2456[[#This Row],[Location 
(drop-down)]],Table1[#All],3,FALSE)</f>
        <v>#N/A</v>
      </c>
      <c r="F59" s="37"/>
      <c r="G59" s="37"/>
      <c r="H59" s="37"/>
      <c r="I59" s="28"/>
      <c r="J59" s="10"/>
      <c r="K59" s="10"/>
      <c r="L59" s="10"/>
    </row>
    <row r="60" spans="1:12" s="4" customFormat="1" ht="30" customHeight="1">
      <c r="A60" s="9"/>
      <c r="B60" s="13" t="e">
        <f>VLOOKUP(Table2456[[#This Row],[Location 
(drop-down)]],'List source'!D$2:E$71,2,FALSE)</f>
        <v>#N/A</v>
      </c>
      <c r="C60" s="17" t="s">
        <v>100</v>
      </c>
      <c r="D60" s="20" t="e">
        <f t="shared" si="1"/>
        <v>#N/A</v>
      </c>
      <c r="E60" s="20" t="e">
        <f>VLOOKUP(Table2456[[#This Row],[Location 
(drop-down)]],Table1[#All],3,FALSE)</f>
        <v>#N/A</v>
      </c>
      <c r="F60" s="37"/>
      <c r="G60" s="37"/>
      <c r="H60" s="37"/>
      <c r="I60" s="37"/>
      <c r="J60" s="10"/>
      <c r="K60" s="10"/>
      <c r="L60" s="10"/>
    </row>
    <row r="61" spans="1:12" s="4" customFormat="1" ht="30" customHeight="1">
      <c r="A61" s="9"/>
      <c r="B61" s="13" t="e">
        <f>VLOOKUP(Table2456[[#This Row],[Location 
(drop-down)]],'List source'!D$2:E$71,2,FALSE)</f>
        <v>#N/A</v>
      </c>
      <c r="C61" s="17" t="s">
        <v>101</v>
      </c>
      <c r="D61" s="20" t="e">
        <f t="shared" si="1"/>
        <v>#N/A</v>
      </c>
      <c r="E61" s="20" t="e">
        <f>VLOOKUP(Table2456[[#This Row],[Location 
(drop-down)]],Table1[#All],3,FALSE)</f>
        <v>#N/A</v>
      </c>
      <c r="F61" s="37"/>
      <c r="G61" s="37"/>
      <c r="H61" s="37"/>
      <c r="I61" s="37"/>
      <c r="J61" s="10"/>
      <c r="K61" s="10"/>
      <c r="L61" s="10"/>
    </row>
    <row r="62" spans="1:12" s="4" customFormat="1" ht="30" customHeight="1">
      <c r="A62" s="9"/>
      <c r="B62" s="13" t="e">
        <f>VLOOKUP(Table2456[[#This Row],[Location 
(drop-down)]],'List source'!D$2:E$71,2,FALSE)</f>
        <v>#N/A</v>
      </c>
      <c r="C62" s="17" t="s">
        <v>102</v>
      </c>
      <c r="D62" s="20" t="e">
        <f t="shared" si="1"/>
        <v>#N/A</v>
      </c>
      <c r="E62" s="20" t="e">
        <f>VLOOKUP(Table2456[[#This Row],[Location 
(drop-down)]],Table1[#All],3,FALSE)</f>
        <v>#N/A</v>
      </c>
      <c r="F62" s="37"/>
      <c r="G62" s="37"/>
      <c r="H62" s="37"/>
      <c r="I62" s="37"/>
      <c r="J62" s="10"/>
      <c r="K62" s="10"/>
      <c r="L62" s="10"/>
    </row>
    <row r="63" spans="1:12" s="4" customFormat="1" ht="30" customHeight="1">
      <c r="A63" s="9"/>
      <c r="B63" s="13" t="e">
        <f>VLOOKUP(Table2456[[#This Row],[Location 
(drop-down)]],'List source'!D$2:E$71,2,FALSE)</f>
        <v>#N/A</v>
      </c>
      <c r="C63" s="17" t="s">
        <v>103</v>
      </c>
      <c r="D63" s="20" t="e">
        <f t="shared" si="1"/>
        <v>#N/A</v>
      </c>
      <c r="E63" s="20" t="e">
        <f>VLOOKUP(Table2456[[#This Row],[Location 
(drop-down)]],Table1[#All],3,FALSE)</f>
        <v>#N/A</v>
      </c>
      <c r="F63" s="37"/>
      <c r="G63" s="37"/>
      <c r="H63" s="37"/>
      <c r="I63" s="37"/>
      <c r="J63" s="10"/>
      <c r="K63" s="10"/>
      <c r="L63" s="10"/>
    </row>
    <row r="64" spans="1:12" s="4" customFormat="1" ht="30" customHeight="1">
      <c r="A64" s="9"/>
      <c r="B64" s="13" t="e">
        <f>VLOOKUP(Table2456[[#This Row],[Location 
(drop-down)]],'List source'!D$2:E$71,2,FALSE)</f>
        <v>#N/A</v>
      </c>
      <c r="C64" s="17" t="s">
        <v>104</v>
      </c>
      <c r="D64" s="20" t="e">
        <f t="shared" si="1"/>
        <v>#N/A</v>
      </c>
      <c r="E64" s="20" t="e">
        <f>VLOOKUP(Table2456[[#This Row],[Location 
(drop-down)]],Table1[#All],3,FALSE)</f>
        <v>#N/A</v>
      </c>
      <c r="F64" s="37"/>
      <c r="G64" s="37"/>
      <c r="H64" s="37"/>
      <c r="I64" s="37"/>
      <c r="J64" s="10"/>
      <c r="K64" s="10"/>
      <c r="L64" s="10"/>
    </row>
    <row r="65" spans="1:12" s="4" customFormat="1" ht="30" customHeight="1">
      <c r="A65" s="9"/>
      <c r="B65" s="13" t="e">
        <f>VLOOKUP(Table2456[[#This Row],[Location 
(drop-down)]],'List source'!D$2:E$71,2,FALSE)</f>
        <v>#N/A</v>
      </c>
      <c r="C65" s="17" t="s">
        <v>105</v>
      </c>
      <c r="D65" s="20" t="e">
        <f t="shared" si="1"/>
        <v>#N/A</v>
      </c>
      <c r="E65" s="20" t="e">
        <f>VLOOKUP(Table2456[[#This Row],[Location 
(drop-down)]],Table1[#All],3,FALSE)</f>
        <v>#N/A</v>
      </c>
      <c r="F65" s="37"/>
      <c r="G65" s="37"/>
      <c r="H65" s="37"/>
      <c r="I65" s="37"/>
      <c r="J65" s="10"/>
      <c r="K65" s="10"/>
      <c r="L65" s="10"/>
    </row>
    <row r="66" spans="1:12" s="4" customFormat="1" ht="30" customHeight="1">
      <c r="A66" s="9"/>
      <c r="B66" s="13" t="e">
        <f>VLOOKUP(Table2456[[#This Row],[Location 
(drop-down)]],'List source'!D$2:E$71,2,FALSE)</f>
        <v>#N/A</v>
      </c>
      <c r="C66" s="17" t="s">
        <v>106</v>
      </c>
      <c r="D66" s="20" t="e">
        <f t="shared" ref="D66:D97" si="2">"CAF" &amp; C66 &amp; "-" &amp; B66 &amp; "-" &amp; "26"</f>
        <v>#N/A</v>
      </c>
      <c r="E66" s="20" t="e">
        <f>VLOOKUP(Table2456[[#This Row],[Location 
(drop-down)]],Table1[#All],3,FALSE)</f>
        <v>#N/A</v>
      </c>
      <c r="F66" s="37"/>
      <c r="G66" s="37"/>
      <c r="H66" s="37"/>
      <c r="I66" s="37"/>
      <c r="J66" s="10"/>
      <c r="K66" s="10"/>
      <c r="L66" s="10"/>
    </row>
    <row r="67" spans="1:12" s="4" customFormat="1" ht="30" customHeight="1">
      <c r="A67" s="9"/>
      <c r="B67" s="13" t="e">
        <f>VLOOKUP(Table2456[[#This Row],[Location 
(drop-down)]],'List source'!D$2:E$71,2,FALSE)</f>
        <v>#N/A</v>
      </c>
      <c r="C67" s="17" t="s">
        <v>107</v>
      </c>
      <c r="D67" s="20" t="e">
        <f t="shared" si="2"/>
        <v>#N/A</v>
      </c>
      <c r="E67" s="20" t="e">
        <f>VLOOKUP(Table2456[[#This Row],[Location 
(drop-down)]],Table1[#All],3,FALSE)</f>
        <v>#N/A</v>
      </c>
      <c r="F67" s="37"/>
      <c r="G67" s="37"/>
      <c r="H67" s="37"/>
      <c r="I67" s="37"/>
      <c r="J67" s="10"/>
      <c r="K67" s="10"/>
      <c r="L67" s="10"/>
    </row>
    <row r="68" spans="1:12" s="4" customFormat="1" ht="30" customHeight="1">
      <c r="A68" s="9"/>
      <c r="B68" s="13" t="e">
        <f>VLOOKUP(Table2456[[#This Row],[Location 
(drop-down)]],'List source'!D$2:E$71,2,FALSE)</f>
        <v>#N/A</v>
      </c>
      <c r="C68" s="17" t="s">
        <v>108</v>
      </c>
      <c r="D68" s="20" t="e">
        <f t="shared" si="2"/>
        <v>#N/A</v>
      </c>
      <c r="E68" s="20" t="e">
        <f>VLOOKUP(Table2456[[#This Row],[Location 
(drop-down)]],Table1[#All],3,FALSE)</f>
        <v>#N/A</v>
      </c>
      <c r="F68" s="28"/>
      <c r="G68" s="28"/>
      <c r="H68" s="28"/>
      <c r="I68" s="28"/>
      <c r="J68" s="10"/>
      <c r="K68" s="10"/>
      <c r="L68" s="10"/>
    </row>
    <row r="69" spans="1:12" s="4" customFormat="1" ht="30" customHeight="1">
      <c r="A69" s="9"/>
      <c r="B69" s="13" t="e">
        <f>VLOOKUP(Table2456[[#This Row],[Location 
(drop-down)]],'List source'!D$2:E$71,2,FALSE)</f>
        <v>#N/A</v>
      </c>
      <c r="C69" s="17" t="s">
        <v>109</v>
      </c>
      <c r="D69" s="20" t="e">
        <f t="shared" si="2"/>
        <v>#N/A</v>
      </c>
      <c r="E69" s="20" t="e">
        <f>VLOOKUP(Table2456[[#This Row],[Location 
(drop-down)]],Table1[#All],3,FALSE)</f>
        <v>#N/A</v>
      </c>
      <c r="F69" s="28"/>
      <c r="G69" s="28"/>
      <c r="H69" s="28"/>
      <c r="I69" s="28"/>
      <c r="J69" s="10"/>
      <c r="K69" s="66"/>
      <c r="L69" s="63"/>
    </row>
    <row r="70" spans="1:12" s="4" customFormat="1" ht="30" customHeight="1">
      <c r="A70" s="9"/>
      <c r="B70" s="13" t="e">
        <f>VLOOKUP(Table2456[[#This Row],[Location 
(drop-down)]],'List source'!D$2:E$71,2,FALSE)</f>
        <v>#N/A</v>
      </c>
      <c r="C70" s="17" t="s">
        <v>110</v>
      </c>
      <c r="D70" s="20" t="e">
        <f t="shared" si="2"/>
        <v>#N/A</v>
      </c>
      <c r="E70" s="20" t="e">
        <f>VLOOKUP(Table2456[[#This Row],[Location 
(drop-down)]],Table1[#All],3,FALSE)</f>
        <v>#N/A</v>
      </c>
      <c r="F70" s="28"/>
      <c r="G70" s="28"/>
      <c r="H70" s="28"/>
      <c r="I70" s="28"/>
      <c r="J70" s="10"/>
      <c r="K70" s="10"/>
      <c r="L70" s="10"/>
    </row>
    <row r="71" spans="1:12" s="4" customFormat="1" ht="30" customHeight="1">
      <c r="A71" s="9"/>
      <c r="B71" s="13" t="e">
        <f>VLOOKUP(Table2456[[#This Row],[Location 
(drop-down)]],'List source'!D$2:E$71,2,FALSE)</f>
        <v>#N/A</v>
      </c>
      <c r="C71" s="17" t="s">
        <v>111</v>
      </c>
      <c r="D71" s="20" t="e">
        <f t="shared" si="2"/>
        <v>#N/A</v>
      </c>
      <c r="E71" s="20" t="e">
        <f>VLOOKUP(Table2456[[#This Row],[Location 
(drop-down)]],Table1[#All],3,FALSE)</f>
        <v>#N/A</v>
      </c>
      <c r="F71" s="28"/>
      <c r="G71" s="28"/>
      <c r="H71" s="28"/>
      <c r="I71" s="28"/>
      <c r="J71" s="10"/>
      <c r="K71" s="10"/>
      <c r="L71" s="10"/>
    </row>
    <row r="72" spans="1:12" s="4" customFormat="1" ht="30" customHeight="1">
      <c r="A72" s="9"/>
      <c r="B72" s="13" t="e">
        <f>VLOOKUP(Table2456[[#This Row],[Location 
(drop-down)]],'List source'!D$2:E$71,2,FALSE)</f>
        <v>#N/A</v>
      </c>
      <c r="C72" s="17" t="s">
        <v>112</v>
      </c>
      <c r="D72" s="20" t="e">
        <f t="shared" si="2"/>
        <v>#N/A</v>
      </c>
      <c r="E72" s="20" t="e">
        <f>VLOOKUP(Table2456[[#This Row],[Location 
(drop-down)]],Table1[#All],3,FALSE)</f>
        <v>#N/A</v>
      </c>
      <c r="F72" s="28"/>
      <c r="G72" s="28"/>
      <c r="H72" s="28"/>
      <c r="I72" s="28"/>
      <c r="J72" s="10"/>
      <c r="K72" s="10"/>
      <c r="L72" s="10"/>
    </row>
    <row r="73" spans="1:12" s="4" customFormat="1" ht="30" customHeight="1">
      <c r="A73" s="9"/>
      <c r="B73" s="13" t="e">
        <f>VLOOKUP(Table2456[[#This Row],[Location 
(drop-down)]],'List source'!D$2:E$71,2,FALSE)</f>
        <v>#N/A</v>
      </c>
      <c r="C73" s="17" t="s">
        <v>113</v>
      </c>
      <c r="D73" s="20" t="e">
        <f t="shared" si="2"/>
        <v>#N/A</v>
      </c>
      <c r="E73" s="20" t="e">
        <f>VLOOKUP(Table2456[[#This Row],[Location 
(drop-down)]],Table1[#All],3,FALSE)</f>
        <v>#N/A</v>
      </c>
      <c r="F73" s="28"/>
      <c r="G73" s="28"/>
      <c r="H73" s="28"/>
      <c r="I73" s="28"/>
      <c r="J73" s="10"/>
      <c r="K73" s="10"/>
      <c r="L73" s="10"/>
    </row>
    <row r="74" spans="1:12" s="4" customFormat="1" ht="30" customHeight="1">
      <c r="A74" s="9"/>
      <c r="B74" s="13" t="e">
        <f>VLOOKUP(Table2456[[#This Row],[Location 
(drop-down)]],'List source'!D$2:E$71,2,FALSE)</f>
        <v>#N/A</v>
      </c>
      <c r="C74" s="17" t="s">
        <v>114</v>
      </c>
      <c r="D74" s="20" t="e">
        <f t="shared" si="2"/>
        <v>#N/A</v>
      </c>
      <c r="E74" s="20" t="e">
        <f>VLOOKUP(Table2456[[#This Row],[Location 
(drop-down)]],Table1[#All],3,FALSE)</f>
        <v>#N/A</v>
      </c>
      <c r="F74" s="28"/>
      <c r="G74" s="28"/>
      <c r="H74" s="28"/>
      <c r="I74" s="28"/>
      <c r="J74" s="10"/>
      <c r="K74" s="10"/>
      <c r="L74" s="10"/>
    </row>
    <row r="75" spans="1:12" s="4" customFormat="1" ht="30" customHeight="1">
      <c r="A75" s="9"/>
      <c r="B75" s="13" t="e">
        <f>VLOOKUP(Table2456[[#This Row],[Location 
(drop-down)]],'List source'!D$2:E$71,2,FALSE)</f>
        <v>#N/A</v>
      </c>
      <c r="C75" s="17" t="s">
        <v>115</v>
      </c>
      <c r="D75" s="20" t="e">
        <f t="shared" si="2"/>
        <v>#N/A</v>
      </c>
      <c r="E75" s="20" t="e">
        <f>VLOOKUP(Table2456[[#This Row],[Location 
(drop-down)]],Table1[#All],3,FALSE)</f>
        <v>#N/A</v>
      </c>
      <c r="F75" s="37"/>
      <c r="G75" s="37"/>
      <c r="H75" s="37"/>
      <c r="I75" s="37"/>
      <c r="J75" s="10"/>
      <c r="K75" s="10"/>
      <c r="L75" s="10"/>
    </row>
    <row r="76" spans="1:12" s="4" customFormat="1" ht="30" customHeight="1">
      <c r="A76" s="9"/>
      <c r="B76" s="13" t="e">
        <f>VLOOKUP(Table2456[[#This Row],[Location 
(drop-down)]],'List source'!D$2:E$71,2,FALSE)</f>
        <v>#N/A</v>
      </c>
      <c r="C76" s="17" t="s">
        <v>116</v>
      </c>
      <c r="D76" s="20" t="e">
        <f t="shared" si="2"/>
        <v>#N/A</v>
      </c>
      <c r="E76" s="20" t="e">
        <f>VLOOKUP(Table2456[[#This Row],[Location 
(drop-down)]],Table1[#All],3,FALSE)</f>
        <v>#N/A</v>
      </c>
      <c r="F76" s="28"/>
      <c r="G76" s="28"/>
      <c r="H76" s="28"/>
      <c r="I76" s="28"/>
      <c r="J76" s="10"/>
      <c r="K76" s="10"/>
      <c r="L76" s="10"/>
    </row>
    <row r="77" spans="1:12" s="4" customFormat="1" ht="30" customHeight="1">
      <c r="A77" s="9"/>
      <c r="B77" s="13" t="e">
        <f>VLOOKUP(Table2456[[#This Row],[Location 
(drop-down)]],'List source'!D$2:E$71,2,FALSE)</f>
        <v>#N/A</v>
      </c>
      <c r="C77" s="17" t="s">
        <v>117</v>
      </c>
      <c r="D77" s="20" t="e">
        <f t="shared" si="2"/>
        <v>#N/A</v>
      </c>
      <c r="E77" s="20" t="e">
        <f>VLOOKUP(Table2456[[#This Row],[Location 
(drop-down)]],Table1[#All],3,FALSE)</f>
        <v>#N/A</v>
      </c>
      <c r="F77" s="28"/>
      <c r="G77" s="28"/>
      <c r="H77" s="28"/>
      <c r="I77" s="28"/>
      <c r="J77" s="10"/>
      <c r="K77" s="10"/>
      <c r="L77" s="10"/>
    </row>
    <row r="78" spans="1:12" s="4" customFormat="1" ht="30" customHeight="1">
      <c r="A78" s="9"/>
      <c r="B78" s="13" t="e">
        <f>VLOOKUP(Table2456[[#This Row],[Location 
(drop-down)]],'List source'!D$2:E$71,2,FALSE)</f>
        <v>#N/A</v>
      </c>
      <c r="C78" s="17" t="s">
        <v>118</v>
      </c>
      <c r="D78" s="20" t="e">
        <f t="shared" si="2"/>
        <v>#N/A</v>
      </c>
      <c r="E78" s="20" t="e">
        <f>VLOOKUP(Table2456[[#This Row],[Location 
(drop-down)]],Table1[#All],3,FALSE)</f>
        <v>#N/A</v>
      </c>
      <c r="F78" s="37"/>
      <c r="G78" s="37"/>
      <c r="H78" s="37"/>
      <c r="I78" s="37"/>
      <c r="J78" s="10"/>
      <c r="K78" s="10"/>
      <c r="L78" s="10"/>
    </row>
    <row r="79" spans="1:12" s="4" customFormat="1" ht="30" customHeight="1">
      <c r="A79" s="9"/>
      <c r="B79" s="13" t="e">
        <f>VLOOKUP(Table2456[[#This Row],[Location 
(drop-down)]],'List source'!D$2:E$71,2,FALSE)</f>
        <v>#N/A</v>
      </c>
      <c r="C79" s="17" t="s">
        <v>119</v>
      </c>
      <c r="D79" s="20" t="e">
        <f t="shared" si="2"/>
        <v>#N/A</v>
      </c>
      <c r="E79" s="20" t="e">
        <f>VLOOKUP(Table2456[[#This Row],[Location 
(drop-down)]],Table1[#All],3,FALSE)</f>
        <v>#N/A</v>
      </c>
      <c r="F79" s="37"/>
      <c r="G79" s="37"/>
      <c r="H79" s="37"/>
      <c r="I79" s="37"/>
      <c r="J79" s="10"/>
      <c r="K79" s="10"/>
      <c r="L79" s="10"/>
    </row>
    <row r="80" spans="1:12" s="4" customFormat="1" ht="30" customHeight="1">
      <c r="A80" s="9"/>
      <c r="B80" s="13" t="e">
        <f>VLOOKUP(Table2456[[#This Row],[Location 
(drop-down)]],'List source'!D$2:E$71,2,FALSE)</f>
        <v>#N/A</v>
      </c>
      <c r="C80" s="17" t="s">
        <v>120</v>
      </c>
      <c r="D80" s="20" t="e">
        <f t="shared" si="2"/>
        <v>#N/A</v>
      </c>
      <c r="E80" s="20" t="e">
        <f>VLOOKUP(Table2456[[#This Row],[Location 
(drop-down)]],Table1[#All],3,FALSE)</f>
        <v>#N/A</v>
      </c>
      <c r="F80" s="28"/>
      <c r="G80" s="28"/>
      <c r="H80" s="28"/>
      <c r="I80" s="28"/>
      <c r="J80" s="10"/>
      <c r="K80" s="10"/>
      <c r="L80" s="10"/>
    </row>
    <row r="81" spans="1:12" s="4" customFormat="1" ht="30" customHeight="1">
      <c r="A81" s="9"/>
      <c r="B81" s="13" t="e">
        <f>VLOOKUP(Table2456[[#This Row],[Location 
(drop-down)]],'List source'!D$2:E$71,2,FALSE)</f>
        <v>#N/A</v>
      </c>
      <c r="C81" s="17" t="s">
        <v>121</v>
      </c>
      <c r="D81" s="20" t="e">
        <f t="shared" si="2"/>
        <v>#N/A</v>
      </c>
      <c r="E81" s="20" t="e">
        <f>VLOOKUP(Table2456[[#This Row],[Location 
(drop-down)]],Table1[#All],3,FALSE)</f>
        <v>#N/A</v>
      </c>
      <c r="F81" s="37"/>
      <c r="G81" s="37"/>
      <c r="H81" s="37"/>
      <c r="I81" s="28"/>
      <c r="J81" s="10"/>
      <c r="K81" s="10"/>
      <c r="L81" s="10"/>
    </row>
    <row r="82" spans="1:12" s="4" customFormat="1" ht="30" customHeight="1">
      <c r="A82" s="9"/>
      <c r="B82" s="13" t="e">
        <f>VLOOKUP(Table2456[[#This Row],[Location 
(drop-down)]],'List source'!D$2:E$71,2,FALSE)</f>
        <v>#N/A</v>
      </c>
      <c r="C82" s="17" t="s">
        <v>122</v>
      </c>
      <c r="D82" s="20" t="e">
        <f t="shared" si="2"/>
        <v>#N/A</v>
      </c>
      <c r="E82" s="20" t="e">
        <f>VLOOKUP(Table2456[[#This Row],[Location 
(drop-down)]],Table1[#All],3,FALSE)</f>
        <v>#N/A</v>
      </c>
      <c r="F82" s="37"/>
      <c r="G82" s="37"/>
      <c r="H82" s="37"/>
      <c r="I82" s="28"/>
      <c r="J82" s="10"/>
      <c r="K82" s="10"/>
      <c r="L82" s="10"/>
    </row>
    <row r="83" spans="1:12" s="4" customFormat="1" ht="30" customHeight="1">
      <c r="A83" s="9"/>
      <c r="B83" s="13" t="e">
        <f>VLOOKUP(Table2456[[#This Row],[Location 
(drop-down)]],'List source'!D$2:E$71,2,FALSE)</f>
        <v>#N/A</v>
      </c>
      <c r="C83" s="17" t="s">
        <v>123</v>
      </c>
      <c r="D83" s="20" t="e">
        <f t="shared" si="2"/>
        <v>#N/A</v>
      </c>
      <c r="E83" s="20" t="e">
        <f>VLOOKUP(Table2456[[#This Row],[Location 
(drop-down)]],Table1[#All],3,FALSE)</f>
        <v>#N/A</v>
      </c>
      <c r="F83" s="37"/>
      <c r="G83" s="37"/>
      <c r="H83" s="37"/>
      <c r="I83" s="28"/>
      <c r="J83" s="10"/>
      <c r="K83" s="10"/>
      <c r="L83" s="10"/>
    </row>
    <row r="84" spans="1:12" s="4" customFormat="1" ht="30" customHeight="1">
      <c r="A84" s="9"/>
      <c r="B84" s="13" t="e">
        <f>VLOOKUP(Table2456[[#This Row],[Location 
(drop-down)]],'List source'!D$2:E$71,2,FALSE)</f>
        <v>#N/A</v>
      </c>
      <c r="C84" s="17" t="s">
        <v>124</v>
      </c>
      <c r="D84" s="20" t="e">
        <f t="shared" si="2"/>
        <v>#N/A</v>
      </c>
      <c r="E84" s="20" t="e">
        <f>VLOOKUP(Table2456[[#This Row],[Location 
(drop-down)]],Table1[#All],3,FALSE)</f>
        <v>#N/A</v>
      </c>
      <c r="F84" s="37"/>
      <c r="G84" s="37"/>
      <c r="H84" s="37"/>
      <c r="I84" s="28"/>
      <c r="J84" s="10"/>
      <c r="K84" s="10"/>
      <c r="L84" s="9"/>
    </row>
    <row r="85" spans="1:12" s="4" customFormat="1" ht="30" customHeight="1">
      <c r="A85" s="9"/>
      <c r="B85" s="13" t="e">
        <f>VLOOKUP(Table2456[[#This Row],[Location 
(drop-down)]],'List source'!D$2:E$71,2,FALSE)</f>
        <v>#N/A</v>
      </c>
      <c r="C85" s="17" t="s">
        <v>125</v>
      </c>
      <c r="D85" s="20" t="e">
        <f t="shared" si="2"/>
        <v>#N/A</v>
      </c>
      <c r="E85" s="20" t="e">
        <f>VLOOKUP(Table2456[[#This Row],[Location 
(drop-down)]],Table1[#All],3,FALSE)</f>
        <v>#N/A</v>
      </c>
      <c r="F85" s="28"/>
      <c r="G85" s="28"/>
      <c r="H85" s="28"/>
      <c r="I85" s="28"/>
      <c r="J85" s="10"/>
      <c r="K85" s="10"/>
      <c r="L85" s="10"/>
    </row>
    <row r="86" spans="1:12" s="4" customFormat="1" ht="30" customHeight="1">
      <c r="A86" s="9"/>
      <c r="B86" s="13" t="e">
        <f>VLOOKUP(Table2456[[#This Row],[Location 
(drop-down)]],'List source'!D$2:E$71,2,FALSE)</f>
        <v>#N/A</v>
      </c>
      <c r="C86" s="17" t="s">
        <v>126</v>
      </c>
      <c r="D86" s="20" t="e">
        <f t="shared" si="2"/>
        <v>#N/A</v>
      </c>
      <c r="E86" s="20" t="e">
        <f>VLOOKUP(Table2456[[#This Row],[Location 
(drop-down)]],Table1[#All],3,FALSE)</f>
        <v>#N/A</v>
      </c>
      <c r="F86" s="28"/>
      <c r="G86" s="28"/>
      <c r="H86" s="28"/>
      <c r="I86" s="28"/>
      <c r="J86" s="10"/>
      <c r="K86" s="10"/>
      <c r="L86" s="9"/>
    </row>
    <row r="87" spans="1:12" s="4" customFormat="1" ht="30" customHeight="1">
      <c r="A87" s="9"/>
      <c r="B87" s="13" t="e">
        <f>VLOOKUP(Table2456[[#This Row],[Location 
(drop-down)]],'List source'!D$2:E$71,2,FALSE)</f>
        <v>#N/A</v>
      </c>
      <c r="C87" s="17" t="s">
        <v>127</v>
      </c>
      <c r="D87" s="20" t="e">
        <f t="shared" si="2"/>
        <v>#N/A</v>
      </c>
      <c r="E87" s="20" t="e">
        <f>VLOOKUP(Table2456[[#This Row],[Location 
(drop-down)]],Table1[#All],3,FALSE)</f>
        <v>#N/A</v>
      </c>
      <c r="F87" s="28"/>
      <c r="G87" s="28"/>
      <c r="H87" s="28"/>
      <c r="I87" s="28"/>
      <c r="J87" s="10"/>
      <c r="K87" s="10"/>
      <c r="L87" s="10"/>
    </row>
    <row r="88" spans="1:12" s="4" customFormat="1" ht="30" customHeight="1">
      <c r="A88" s="9"/>
      <c r="B88" s="13" t="e">
        <f>VLOOKUP(Table2456[[#This Row],[Location 
(drop-down)]],'List source'!D$2:E$71,2,FALSE)</f>
        <v>#N/A</v>
      </c>
      <c r="C88" s="17" t="s">
        <v>128</v>
      </c>
      <c r="D88" s="20" t="e">
        <f t="shared" si="2"/>
        <v>#N/A</v>
      </c>
      <c r="E88" s="20" t="e">
        <f>VLOOKUP(Table2456[[#This Row],[Location 
(drop-down)]],Table1[#All],3,FALSE)</f>
        <v>#N/A</v>
      </c>
      <c r="F88" s="28"/>
      <c r="G88" s="28"/>
      <c r="H88" s="28"/>
      <c r="I88" s="28"/>
      <c r="J88" s="10"/>
      <c r="K88" s="10"/>
      <c r="L88" s="10"/>
    </row>
    <row r="89" spans="1:12" s="4" customFormat="1" ht="30" customHeight="1">
      <c r="A89" s="9"/>
      <c r="B89" s="13" t="e">
        <f>VLOOKUP(Table2456[[#This Row],[Location 
(drop-down)]],'List source'!D$2:E$71,2,FALSE)</f>
        <v>#N/A</v>
      </c>
      <c r="C89" s="17" t="s">
        <v>129</v>
      </c>
      <c r="D89" s="20" t="e">
        <f t="shared" si="2"/>
        <v>#N/A</v>
      </c>
      <c r="E89" s="20" t="e">
        <f>VLOOKUP(Table2456[[#This Row],[Location 
(drop-down)]],Table1[#All],3,FALSE)</f>
        <v>#N/A</v>
      </c>
      <c r="F89" s="28"/>
      <c r="G89" s="28"/>
      <c r="H89" s="28"/>
      <c r="I89" s="28"/>
      <c r="J89" s="10"/>
      <c r="K89" s="10"/>
      <c r="L89" s="10"/>
    </row>
    <row r="90" spans="1:12" s="4" customFormat="1" ht="30" customHeight="1">
      <c r="A90" s="9"/>
      <c r="B90" s="13" t="e">
        <f>VLOOKUP(Table2456[[#This Row],[Location 
(drop-down)]],'List source'!D$2:E$71,2,FALSE)</f>
        <v>#N/A</v>
      </c>
      <c r="C90" s="17" t="s">
        <v>130</v>
      </c>
      <c r="D90" s="20" t="e">
        <f t="shared" si="2"/>
        <v>#N/A</v>
      </c>
      <c r="E90" s="20" t="e">
        <f>VLOOKUP(Table2456[[#This Row],[Location 
(drop-down)]],Table1[#All],3,FALSE)</f>
        <v>#N/A</v>
      </c>
      <c r="F90" s="37"/>
      <c r="G90" s="37"/>
      <c r="H90" s="37"/>
      <c r="I90" s="37"/>
      <c r="J90" s="10"/>
      <c r="K90" s="10"/>
      <c r="L90" s="10"/>
    </row>
    <row r="91" spans="1:12" s="4" customFormat="1" ht="30" customHeight="1">
      <c r="A91" s="9"/>
      <c r="B91" s="13" t="e">
        <f>VLOOKUP(Table2456[[#This Row],[Location 
(drop-down)]],'List source'!D$2:E$71,2,FALSE)</f>
        <v>#N/A</v>
      </c>
      <c r="C91" s="17" t="s">
        <v>131</v>
      </c>
      <c r="D91" s="20" t="e">
        <f t="shared" si="2"/>
        <v>#N/A</v>
      </c>
      <c r="E91" s="20" t="e">
        <f>VLOOKUP(Table2456[[#This Row],[Location 
(drop-down)]],Table1[#All],3,FALSE)</f>
        <v>#N/A</v>
      </c>
      <c r="F91" s="37"/>
      <c r="G91" s="37"/>
      <c r="H91" s="37"/>
      <c r="I91" s="28"/>
      <c r="J91" s="10"/>
      <c r="K91" s="66"/>
      <c r="L91" s="73"/>
    </row>
    <row r="92" spans="1:12" s="4" customFormat="1" ht="30" customHeight="1">
      <c r="A92" s="9"/>
      <c r="B92" s="13" t="e">
        <f>VLOOKUP(Table2456[[#This Row],[Location 
(drop-down)]],'List source'!D$2:E$71,2,FALSE)</f>
        <v>#N/A</v>
      </c>
      <c r="C92" s="17" t="s">
        <v>132</v>
      </c>
      <c r="D92" s="20" t="e">
        <f t="shared" si="2"/>
        <v>#N/A</v>
      </c>
      <c r="E92" s="20" t="e">
        <f>VLOOKUP(Table2456[[#This Row],[Location 
(drop-down)]],Table1[#All],3,FALSE)</f>
        <v>#N/A</v>
      </c>
      <c r="F92" s="37"/>
      <c r="G92" s="37"/>
      <c r="H92" s="37"/>
      <c r="I92" s="28"/>
      <c r="J92" s="10"/>
      <c r="K92" s="66"/>
      <c r="L92" s="73"/>
    </row>
    <row r="93" spans="1:12" s="4" customFormat="1" ht="30" customHeight="1">
      <c r="A93" s="9"/>
      <c r="B93" s="13" t="e">
        <f>VLOOKUP(Table2456[[#This Row],[Location 
(drop-down)]],'List source'!D$2:E$71,2,FALSE)</f>
        <v>#N/A</v>
      </c>
      <c r="C93" s="17" t="s">
        <v>133</v>
      </c>
      <c r="D93" s="20" t="e">
        <f t="shared" si="2"/>
        <v>#N/A</v>
      </c>
      <c r="E93" s="20" t="e">
        <f>VLOOKUP(Table2456[[#This Row],[Location 
(drop-down)]],Table1[#All],3,FALSE)</f>
        <v>#N/A</v>
      </c>
      <c r="F93" s="37"/>
      <c r="G93" s="37"/>
      <c r="H93" s="37"/>
      <c r="I93" s="28"/>
      <c r="J93" s="10"/>
      <c r="K93" s="10"/>
      <c r="L93" s="9"/>
    </row>
    <row r="94" spans="1:12" s="4" customFormat="1" ht="30" customHeight="1">
      <c r="A94" s="9"/>
      <c r="B94" s="13" t="e">
        <f>VLOOKUP(Table2456[[#This Row],[Location 
(drop-down)]],'List source'!D$2:E$71,2,FALSE)</f>
        <v>#N/A</v>
      </c>
      <c r="C94" s="17" t="s">
        <v>134</v>
      </c>
      <c r="D94" s="20" t="e">
        <f t="shared" si="2"/>
        <v>#N/A</v>
      </c>
      <c r="E94" s="20" t="e">
        <f>VLOOKUP(Table2456[[#This Row],[Location 
(drop-down)]],Table1[#All],3,FALSE)</f>
        <v>#N/A</v>
      </c>
      <c r="F94" s="28"/>
      <c r="G94" s="28"/>
      <c r="H94" s="28"/>
      <c r="I94" s="28"/>
      <c r="J94" s="10"/>
      <c r="K94" s="85"/>
      <c r="L94" s="62"/>
    </row>
    <row r="95" spans="1:12" s="4" customFormat="1" ht="30" customHeight="1">
      <c r="A95" s="9"/>
      <c r="B95" s="13" t="e">
        <f>VLOOKUP(Table2456[[#This Row],[Location 
(drop-down)]],'List source'!D$2:E$71,2,FALSE)</f>
        <v>#N/A</v>
      </c>
      <c r="C95" s="17" t="s">
        <v>135</v>
      </c>
      <c r="D95" s="20" t="e">
        <f t="shared" si="2"/>
        <v>#N/A</v>
      </c>
      <c r="E95" s="20" t="e">
        <f>VLOOKUP(Table2456[[#This Row],[Location 
(drop-down)]],Table1[#All],3,FALSE)</f>
        <v>#N/A</v>
      </c>
      <c r="F95" s="28"/>
      <c r="G95" s="28"/>
      <c r="H95" s="28"/>
      <c r="I95" s="28"/>
      <c r="J95" s="10"/>
      <c r="K95" s="10"/>
      <c r="L95" s="10"/>
    </row>
    <row r="96" spans="1:12" s="4" customFormat="1" ht="30" customHeight="1">
      <c r="A96" s="9"/>
      <c r="B96" s="13" t="e">
        <f>VLOOKUP(Table2456[[#This Row],[Location 
(drop-down)]],'List source'!D$2:E$71,2,FALSE)</f>
        <v>#N/A</v>
      </c>
      <c r="C96" s="17" t="s">
        <v>136</v>
      </c>
      <c r="D96" s="20" t="e">
        <f t="shared" si="2"/>
        <v>#N/A</v>
      </c>
      <c r="E96" s="20" t="e">
        <f>VLOOKUP(Table2456[[#This Row],[Location 
(drop-down)]],Table1[#All],3,FALSE)</f>
        <v>#N/A</v>
      </c>
      <c r="F96" s="28"/>
      <c r="G96" s="28"/>
      <c r="H96" s="28"/>
      <c r="I96" s="28"/>
      <c r="J96" s="10"/>
      <c r="K96" s="10"/>
      <c r="L96" s="10"/>
    </row>
    <row r="97" spans="1:12" s="4" customFormat="1" ht="30" customHeight="1">
      <c r="A97" s="9"/>
      <c r="B97" s="13" t="e">
        <f>VLOOKUP(Table2456[[#This Row],[Location 
(drop-down)]],'List source'!D$2:E$71,2,FALSE)</f>
        <v>#N/A</v>
      </c>
      <c r="C97" s="17" t="s">
        <v>137</v>
      </c>
      <c r="D97" s="20" t="e">
        <f t="shared" si="2"/>
        <v>#N/A</v>
      </c>
      <c r="E97" s="20" t="e">
        <f>VLOOKUP(Table2456[[#This Row],[Location 
(drop-down)]],Table1[#All],3,FALSE)</f>
        <v>#N/A</v>
      </c>
      <c r="F97" s="28"/>
      <c r="G97" s="28"/>
      <c r="H97" s="28"/>
      <c r="I97" s="28"/>
      <c r="J97" s="10"/>
      <c r="K97" s="10"/>
      <c r="L97" s="10"/>
    </row>
    <row r="98" spans="1:12" s="4" customFormat="1" ht="30" customHeight="1">
      <c r="A98" s="9"/>
      <c r="B98" s="13" t="e">
        <f>VLOOKUP(Table2456[[#This Row],[Location 
(drop-down)]],'List source'!D$2:E$71,2,FALSE)</f>
        <v>#N/A</v>
      </c>
      <c r="C98" s="17" t="s">
        <v>138</v>
      </c>
      <c r="D98" s="20" t="e">
        <f t="shared" ref="D98:D129" si="3">"CAF" &amp; C98 &amp; "-" &amp; B98 &amp; "-" &amp; "26"</f>
        <v>#N/A</v>
      </c>
      <c r="E98" s="20" t="e">
        <f>VLOOKUP(Table2456[[#This Row],[Location 
(drop-down)]],Table1[#All],3,FALSE)</f>
        <v>#N/A</v>
      </c>
      <c r="F98" s="28"/>
      <c r="G98" s="28"/>
      <c r="H98" s="28"/>
      <c r="I98" s="28"/>
      <c r="J98" s="10"/>
      <c r="K98" s="10"/>
      <c r="L98" s="10"/>
    </row>
    <row r="99" spans="1:12" s="4" customFormat="1" ht="30" customHeight="1">
      <c r="A99" s="9"/>
      <c r="B99" s="13" t="e">
        <f>VLOOKUP(Table2456[[#This Row],[Location 
(drop-down)]],'List source'!D$2:E$71,2,FALSE)</f>
        <v>#N/A</v>
      </c>
      <c r="C99" s="17" t="s">
        <v>139</v>
      </c>
      <c r="D99" s="20" t="e">
        <f t="shared" si="3"/>
        <v>#N/A</v>
      </c>
      <c r="E99" s="20" t="e">
        <f>VLOOKUP(Table2456[[#This Row],[Location 
(drop-down)]],Table1[#All],3,FALSE)</f>
        <v>#N/A</v>
      </c>
      <c r="F99" s="28"/>
      <c r="G99" s="28"/>
      <c r="H99" s="28"/>
      <c r="I99" s="28"/>
      <c r="J99" s="10"/>
      <c r="K99" s="10"/>
      <c r="L99" s="10"/>
    </row>
    <row r="100" spans="1:12" s="4" customFormat="1" ht="30" customHeight="1">
      <c r="A100" s="9"/>
      <c r="B100" s="13" t="e">
        <f>VLOOKUP(Table2456[[#This Row],[Location 
(drop-down)]],'List source'!D$2:E$71,2,FALSE)</f>
        <v>#N/A</v>
      </c>
      <c r="C100" s="17" t="s">
        <v>140</v>
      </c>
      <c r="D100" s="20" t="e">
        <f t="shared" si="3"/>
        <v>#N/A</v>
      </c>
      <c r="E100" s="20" t="e">
        <f>VLOOKUP(Table2456[[#This Row],[Location 
(drop-down)]],Table1[#All],3,FALSE)</f>
        <v>#N/A</v>
      </c>
      <c r="F100" s="28"/>
      <c r="G100" s="28"/>
      <c r="H100" s="28"/>
      <c r="I100" s="28"/>
      <c r="J100" s="10"/>
      <c r="K100" s="10"/>
      <c r="L100" s="10"/>
    </row>
    <row r="101" spans="1:12" s="4" customFormat="1" ht="30" customHeight="1">
      <c r="A101" s="9"/>
      <c r="B101" s="13" t="e">
        <f>VLOOKUP(Table2456[[#This Row],[Location 
(drop-down)]],'List source'!D$2:E$71,2,FALSE)</f>
        <v>#N/A</v>
      </c>
      <c r="C101" s="17" t="s">
        <v>141</v>
      </c>
      <c r="D101" s="20" t="e">
        <f t="shared" si="3"/>
        <v>#N/A</v>
      </c>
      <c r="E101" s="20" t="e">
        <f>VLOOKUP(Table2456[[#This Row],[Location 
(drop-down)]],Table1[#All],3,FALSE)</f>
        <v>#N/A</v>
      </c>
      <c r="F101" s="28"/>
      <c r="G101" s="28"/>
      <c r="H101" s="28"/>
      <c r="I101" s="28"/>
      <c r="J101" s="10"/>
      <c r="K101" s="10"/>
      <c r="L101" s="10"/>
    </row>
    <row r="102" spans="1:12" s="4" customFormat="1" ht="30" customHeight="1">
      <c r="A102" s="9"/>
      <c r="B102" s="13" t="e">
        <f>VLOOKUP(Table2456[[#This Row],[Location 
(drop-down)]],'List source'!D$2:E$71,2,FALSE)</f>
        <v>#N/A</v>
      </c>
      <c r="C102" s="17" t="s">
        <v>142</v>
      </c>
      <c r="D102" s="20" t="e">
        <f t="shared" si="3"/>
        <v>#N/A</v>
      </c>
      <c r="E102" s="20" t="e">
        <f>VLOOKUP(Table2456[[#This Row],[Location 
(drop-down)]],Table1[#All],3,FALSE)</f>
        <v>#N/A</v>
      </c>
      <c r="F102" s="28"/>
      <c r="G102" s="28"/>
      <c r="H102" s="28"/>
      <c r="I102" s="28"/>
      <c r="J102" s="10"/>
      <c r="K102" s="10"/>
      <c r="L102" s="10"/>
    </row>
    <row r="103" spans="1:12" s="4" customFormat="1" ht="30" customHeight="1">
      <c r="A103" s="9"/>
      <c r="B103" s="13" t="e">
        <f>VLOOKUP(Table2456[[#This Row],[Location 
(drop-down)]],'List source'!D$2:E$71,2,FALSE)</f>
        <v>#N/A</v>
      </c>
      <c r="C103" s="17" t="s">
        <v>143</v>
      </c>
      <c r="D103" s="20" t="e">
        <f t="shared" si="3"/>
        <v>#N/A</v>
      </c>
      <c r="E103" s="20" t="e">
        <f>VLOOKUP(Table2456[[#This Row],[Location 
(drop-down)]],Table1[#All],3,FALSE)</f>
        <v>#N/A</v>
      </c>
      <c r="F103" s="28"/>
      <c r="G103" s="28"/>
      <c r="H103" s="28"/>
      <c r="I103" s="28"/>
      <c r="J103" s="10"/>
      <c r="K103" s="10"/>
      <c r="L103" s="10"/>
    </row>
    <row r="104" spans="1:12" s="4" customFormat="1" ht="30" customHeight="1">
      <c r="A104" s="9"/>
      <c r="B104" s="13" t="e">
        <f>VLOOKUP(Table2456[[#This Row],[Location 
(drop-down)]],'List source'!D$2:E$71,2,FALSE)</f>
        <v>#N/A</v>
      </c>
      <c r="C104" s="17" t="s">
        <v>144</v>
      </c>
      <c r="D104" s="20" t="e">
        <f t="shared" si="3"/>
        <v>#N/A</v>
      </c>
      <c r="E104" s="20" t="e">
        <f>VLOOKUP(Table2456[[#This Row],[Location 
(drop-down)]],Table1[#All],3,FALSE)</f>
        <v>#N/A</v>
      </c>
      <c r="F104" s="28"/>
      <c r="G104" s="28"/>
      <c r="H104" s="28"/>
      <c r="I104" s="28"/>
      <c r="J104" s="10"/>
      <c r="K104" s="10"/>
      <c r="L104" s="10"/>
    </row>
    <row r="105" spans="1:12" s="4" customFormat="1" ht="30" customHeight="1">
      <c r="A105" s="9"/>
      <c r="B105" s="13" t="e">
        <f>VLOOKUP(Table2456[[#This Row],[Location 
(drop-down)]],'List source'!D$2:E$71,2,FALSE)</f>
        <v>#N/A</v>
      </c>
      <c r="C105" s="17" t="s">
        <v>145</v>
      </c>
      <c r="D105" s="20" t="e">
        <f t="shared" si="3"/>
        <v>#N/A</v>
      </c>
      <c r="E105" s="20" t="e">
        <f>VLOOKUP(Table2456[[#This Row],[Location 
(drop-down)]],Table1[#All],3,FALSE)</f>
        <v>#N/A</v>
      </c>
      <c r="F105" s="28"/>
      <c r="G105" s="28"/>
      <c r="H105" s="28"/>
      <c r="I105" s="28"/>
      <c r="J105" s="10"/>
      <c r="K105" s="10"/>
      <c r="L105" s="10"/>
    </row>
    <row r="106" spans="1:12" s="4" customFormat="1" ht="30" customHeight="1">
      <c r="A106" s="9"/>
      <c r="B106" s="13" t="e">
        <f>VLOOKUP(Table2456[[#This Row],[Location 
(drop-down)]],'List source'!D$2:E$71,2,FALSE)</f>
        <v>#N/A</v>
      </c>
      <c r="C106" s="17" t="s">
        <v>146</v>
      </c>
      <c r="D106" s="20" t="e">
        <f t="shared" si="3"/>
        <v>#N/A</v>
      </c>
      <c r="E106" s="20" t="e">
        <f>VLOOKUP(Table2456[[#This Row],[Location 
(drop-down)]],Table1[#All],3,FALSE)</f>
        <v>#N/A</v>
      </c>
      <c r="F106" s="28"/>
      <c r="G106" s="28"/>
      <c r="H106" s="28"/>
      <c r="I106" s="28"/>
      <c r="J106" s="10"/>
      <c r="K106" s="10"/>
      <c r="L106" s="10"/>
    </row>
    <row r="107" spans="1:12" s="4" customFormat="1" ht="30" customHeight="1">
      <c r="A107" s="9"/>
      <c r="B107" s="13" t="e">
        <f>VLOOKUP(Table2456[[#This Row],[Location 
(drop-down)]],'List source'!D$2:E$71,2,FALSE)</f>
        <v>#N/A</v>
      </c>
      <c r="C107" s="17" t="s">
        <v>147</v>
      </c>
      <c r="D107" s="20" t="e">
        <f t="shared" si="3"/>
        <v>#N/A</v>
      </c>
      <c r="E107" s="20" t="e">
        <f>VLOOKUP(Table2456[[#This Row],[Location 
(drop-down)]],Table1[#All],3,FALSE)</f>
        <v>#N/A</v>
      </c>
      <c r="F107" s="28"/>
      <c r="G107" s="28"/>
      <c r="H107" s="28"/>
      <c r="I107" s="28"/>
      <c r="J107" s="10"/>
      <c r="K107" s="10"/>
      <c r="L107" s="10"/>
    </row>
    <row r="108" spans="1:12" s="4" customFormat="1" ht="30" customHeight="1">
      <c r="A108" s="9"/>
      <c r="B108" s="13" t="e">
        <f>VLOOKUP(Table2456[[#This Row],[Location 
(drop-down)]],'List source'!D$2:E$71,2,FALSE)</f>
        <v>#N/A</v>
      </c>
      <c r="C108" s="17" t="s">
        <v>148</v>
      </c>
      <c r="D108" s="20" t="e">
        <f t="shared" si="3"/>
        <v>#N/A</v>
      </c>
      <c r="E108" s="20" t="e">
        <f>VLOOKUP(Table2456[[#This Row],[Location 
(drop-down)]],Table1[#All],3,FALSE)</f>
        <v>#N/A</v>
      </c>
      <c r="F108" s="28"/>
      <c r="G108" s="28"/>
      <c r="H108" s="28"/>
      <c r="I108" s="28"/>
      <c r="J108" s="10"/>
      <c r="K108" s="10"/>
      <c r="L108" s="10"/>
    </row>
    <row r="109" spans="1:12" s="4" customFormat="1" ht="30" customHeight="1">
      <c r="A109" s="9"/>
      <c r="B109" s="13" t="e">
        <f>VLOOKUP(Table2456[[#This Row],[Location 
(drop-down)]],'List source'!D$2:E$71,2,FALSE)</f>
        <v>#N/A</v>
      </c>
      <c r="C109" s="17" t="s">
        <v>149</v>
      </c>
      <c r="D109" s="20" t="e">
        <f t="shared" si="3"/>
        <v>#N/A</v>
      </c>
      <c r="E109" s="20" t="e">
        <f>VLOOKUP(Table2456[[#This Row],[Location 
(drop-down)]],Table1[#All],3,FALSE)</f>
        <v>#N/A</v>
      </c>
      <c r="F109" s="28"/>
      <c r="G109" s="28"/>
      <c r="H109" s="28"/>
      <c r="I109" s="28"/>
      <c r="J109" s="10"/>
      <c r="K109" s="10"/>
      <c r="L109" s="10"/>
    </row>
    <row r="110" spans="1:12" s="4" customFormat="1" ht="30" customHeight="1">
      <c r="A110" s="9"/>
      <c r="B110" s="13" t="e">
        <f>VLOOKUP(Table2456[[#This Row],[Location 
(drop-down)]],'List source'!D$2:E$71,2,FALSE)</f>
        <v>#N/A</v>
      </c>
      <c r="C110" s="17" t="s">
        <v>150</v>
      </c>
      <c r="D110" s="20" t="e">
        <f t="shared" si="3"/>
        <v>#N/A</v>
      </c>
      <c r="E110" s="20" t="e">
        <f>VLOOKUP(Table2456[[#This Row],[Location 
(drop-down)]],Table1[#All],3,FALSE)</f>
        <v>#N/A</v>
      </c>
      <c r="F110" s="28"/>
      <c r="G110" s="28"/>
      <c r="H110" s="28"/>
      <c r="I110" s="28"/>
      <c r="J110" s="10"/>
      <c r="K110" s="10"/>
      <c r="L110" s="10"/>
    </row>
    <row r="111" spans="1:12" s="4" customFormat="1" ht="30" customHeight="1">
      <c r="A111" s="9"/>
      <c r="B111" s="13" t="e">
        <f>VLOOKUP(Table2456[[#This Row],[Location 
(drop-down)]],'List source'!D$2:E$71,2,FALSE)</f>
        <v>#N/A</v>
      </c>
      <c r="C111" s="17" t="s">
        <v>151</v>
      </c>
      <c r="D111" s="20" t="e">
        <f t="shared" si="3"/>
        <v>#N/A</v>
      </c>
      <c r="E111" s="20" t="e">
        <f>VLOOKUP(Table2456[[#This Row],[Location 
(drop-down)]],Table1[#All],3,FALSE)</f>
        <v>#N/A</v>
      </c>
      <c r="F111" s="28"/>
      <c r="G111" s="28"/>
      <c r="H111" s="28"/>
      <c r="I111" s="28"/>
      <c r="J111" s="10"/>
      <c r="K111" s="10"/>
      <c r="L111" s="10"/>
    </row>
    <row r="112" spans="1:12" s="4" customFormat="1" ht="30" customHeight="1">
      <c r="A112" s="9"/>
      <c r="B112" s="13" t="e">
        <f>VLOOKUP(Table2456[[#This Row],[Location 
(drop-down)]],'List source'!D$2:E$71,2,FALSE)</f>
        <v>#N/A</v>
      </c>
      <c r="C112" s="17" t="s">
        <v>152</v>
      </c>
      <c r="D112" s="20" t="e">
        <f t="shared" si="3"/>
        <v>#N/A</v>
      </c>
      <c r="E112" s="20" t="e">
        <f>VLOOKUP(Table2456[[#This Row],[Location 
(drop-down)]],Table1[#All],3,FALSE)</f>
        <v>#N/A</v>
      </c>
      <c r="F112" s="28"/>
      <c r="G112" s="28"/>
      <c r="H112" s="28"/>
      <c r="I112" s="28"/>
      <c r="J112" s="10"/>
      <c r="K112" s="10"/>
      <c r="L112" s="10"/>
    </row>
    <row r="113" spans="1:12" s="4" customFormat="1" ht="30" customHeight="1">
      <c r="A113" s="9"/>
      <c r="B113" s="13" t="e">
        <f>VLOOKUP(Table2456[[#This Row],[Location 
(drop-down)]],'List source'!D$2:E$71,2,FALSE)</f>
        <v>#N/A</v>
      </c>
      <c r="C113" s="17" t="s">
        <v>153</v>
      </c>
      <c r="D113" s="20" t="e">
        <f t="shared" si="3"/>
        <v>#N/A</v>
      </c>
      <c r="E113" s="20" t="e">
        <f>VLOOKUP(Table2456[[#This Row],[Location 
(drop-down)]],Table1[#All],3,FALSE)</f>
        <v>#N/A</v>
      </c>
      <c r="F113" s="28"/>
      <c r="G113" s="28"/>
      <c r="H113" s="28"/>
      <c r="I113" s="28"/>
      <c r="J113" s="10"/>
      <c r="K113" s="10"/>
      <c r="L113" s="10"/>
    </row>
    <row r="114" spans="1:12" s="4" customFormat="1" ht="30" customHeight="1">
      <c r="A114" s="9"/>
      <c r="B114" s="13" t="e">
        <f>VLOOKUP(Table2456[[#This Row],[Location 
(drop-down)]],'List source'!D$2:E$71,2,FALSE)</f>
        <v>#N/A</v>
      </c>
      <c r="C114" s="17" t="s">
        <v>154</v>
      </c>
      <c r="D114" s="20" t="e">
        <f t="shared" si="3"/>
        <v>#N/A</v>
      </c>
      <c r="E114" s="20" t="e">
        <f>VLOOKUP(Table2456[[#This Row],[Location 
(drop-down)]],Table1[#All],3,FALSE)</f>
        <v>#N/A</v>
      </c>
      <c r="F114" s="28"/>
      <c r="G114" s="28"/>
      <c r="H114" s="28"/>
      <c r="I114" s="28"/>
      <c r="J114" s="10"/>
      <c r="K114" s="10"/>
      <c r="L114" s="10"/>
    </row>
    <row r="115" spans="1:12" s="4" customFormat="1" ht="30" customHeight="1">
      <c r="A115" s="9"/>
      <c r="B115" s="13" t="e">
        <f>VLOOKUP(Table2456[[#This Row],[Location 
(drop-down)]],'List source'!D$2:E$71,2,FALSE)</f>
        <v>#N/A</v>
      </c>
      <c r="C115" s="17" t="s">
        <v>155</v>
      </c>
      <c r="D115" s="20" t="e">
        <f t="shared" si="3"/>
        <v>#N/A</v>
      </c>
      <c r="E115" s="20" t="e">
        <f>VLOOKUP(Table2456[[#This Row],[Location 
(drop-down)]],Table1[#All],3,FALSE)</f>
        <v>#N/A</v>
      </c>
      <c r="F115" s="28"/>
      <c r="G115" s="28"/>
      <c r="H115" s="28"/>
      <c r="I115" s="28"/>
      <c r="J115" s="10"/>
      <c r="K115" s="10"/>
      <c r="L115" s="10"/>
    </row>
    <row r="116" spans="1:12" s="4" customFormat="1" ht="30" customHeight="1">
      <c r="A116" s="9"/>
      <c r="B116" s="13" t="e">
        <f>VLOOKUP(Table2456[[#This Row],[Location 
(drop-down)]],'List source'!D$2:E$71,2,FALSE)</f>
        <v>#N/A</v>
      </c>
      <c r="C116" s="17" t="s">
        <v>156</v>
      </c>
      <c r="D116" s="20" t="e">
        <f t="shared" si="3"/>
        <v>#N/A</v>
      </c>
      <c r="E116" s="20" t="e">
        <f>VLOOKUP(Table2456[[#This Row],[Location 
(drop-down)]],Table1[#All],3,FALSE)</f>
        <v>#N/A</v>
      </c>
      <c r="F116" s="28"/>
      <c r="G116" s="28"/>
      <c r="H116" s="28"/>
      <c r="I116" s="28"/>
      <c r="J116" s="10"/>
      <c r="K116" s="10"/>
      <c r="L116" s="10"/>
    </row>
    <row r="117" spans="1:12" s="4" customFormat="1" ht="30" customHeight="1">
      <c r="A117" s="9"/>
      <c r="B117" s="13" t="e">
        <f>VLOOKUP(Table2456[[#This Row],[Location 
(drop-down)]],'List source'!D$2:E$71,2,FALSE)</f>
        <v>#N/A</v>
      </c>
      <c r="C117" s="17" t="s">
        <v>157</v>
      </c>
      <c r="D117" s="20" t="e">
        <f t="shared" si="3"/>
        <v>#N/A</v>
      </c>
      <c r="E117" s="20" t="e">
        <f>VLOOKUP(Table2456[[#This Row],[Location 
(drop-down)]],Table1[#All],3,FALSE)</f>
        <v>#N/A</v>
      </c>
      <c r="F117" s="28"/>
      <c r="G117" s="28"/>
      <c r="H117" s="28"/>
      <c r="I117" s="28"/>
      <c r="J117" s="10"/>
      <c r="K117" s="10"/>
      <c r="L117" s="10"/>
    </row>
    <row r="118" spans="1:12" s="4" customFormat="1" ht="30" customHeight="1">
      <c r="A118" s="9"/>
      <c r="B118" s="13" t="e">
        <f>VLOOKUP(Table2456[[#This Row],[Location 
(drop-down)]],'List source'!D$2:E$71,2,FALSE)</f>
        <v>#N/A</v>
      </c>
      <c r="C118" s="17" t="s">
        <v>158</v>
      </c>
      <c r="D118" s="20" t="e">
        <f t="shared" si="3"/>
        <v>#N/A</v>
      </c>
      <c r="E118" s="20" t="e">
        <f>VLOOKUP(Table2456[[#This Row],[Location 
(drop-down)]],Table1[#All],3,FALSE)</f>
        <v>#N/A</v>
      </c>
      <c r="F118" s="28"/>
      <c r="G118" s="28"/>
      <c r="H118" s="28"/>
      <c r="I118" s="28"/>
      <c r="J118" s="10"/>
      <c r="K118" s="10"/>
      <c r="L118" s="10"/>
    </row>
    <row r="119" spans="1:12" s="4" customFormat="1" ht="30" customHeight="1">
      <c r="A119" s="9"/>
      <c r="B119" s="13" t="e">
        <f>VLOOKUP(Table2456[[#This Row],[Location 
(drop-down)]],'List source'!D$2:E$71,2,FALSE)</f>
        <v>#N/A</v>
      </c>
      <c r="C119" s="17" t="s">
        <v>159</v>
      </c>
      <c r="D119" s="20" t="e">
        <f t="shared" si="3"/>
        <v>#N/A</v>
      </c>
      <c r="E119" s="20" t="e">
        <f>VLOOKUP(Table2456[[#This Row],[Location 
(drop-down)]],Table1[#All],3,FALSE)</f>
        <v>#N/A</v>
      </c>
      <c r="F119" s="28"/>
      <c r="G119" s="28"/>
      <c r="H119" s="28"/>
      <c r="I119" s="28"/>
      <c r="J119" s="10"/>
      <c r="K119" s="10"/>
      <c r="L119" s="10"/>
    </row>
    <row r="120" spans="1:12" s="4" customFormat="1" ht="30" customHeight="1">
      <c r="A120" s="9"/>
      <c r="B120" s="13" t="e">
        <f>VLOOKUP(Table2456[[#This Row],[Location 
(drop-down)]],'List source'!D$2:E$71,2,FALSE)</f>
        <v>#N/A</v>
      </c>
      <c r="C120" s="17" t="s">
        <v>160</v>
      </c>
      <c r="D120" s="20" t="e">
        <f t="shared" si="3"/>
        <v>#N/A</v>
      </c>
      <c r="E120" s="20" t="e">
        <f>VLOOKUP(Table2456[[#This Row],[Location 
(drop-down)]],Table1[#All],3,FALSE)</f>
        <v>#N/A</v>
      </c>
      <c r="F120" s="28"/>
      <c r="G120" s="28"/>
      <c r="H120" s="28"/>
      <c r="I120" s="28"/>
      <c r="J120" s="10"/>
      <c r="K120" s="10"/>
      <c r="L120" s="10"/>
    </row>
    <row r="121" spans="1:12" s="4" customFormat="1" ht="30" customHeight="1">
      <c r="A121" s="9"/>
      <c r="B121" s="13" t="e">
        <f>VLOOKUP(Table2456[[#This Row],[Location 
(drop-down)]],'List source'!D$2:E$71,2,FALSE)</f>
        <v>#N/A</v>
      </c>
      <c r="C121" s="17" t="s">
        <v>161</v>
      </c>
      <c r="D121" s="20" t="e">
        <f t="shared" si="3"/>
        <v>#N/A</v>
      </c>
      <c r="E121" s="20" t="e">
        <f>VLOOKUP(Table2456[[#This Row],[Location 
(drop-down)]],Table1[#All],3,FALSE)</f>
        <v>#N/A</v>
      </c>
      <c r="F121" s="28"/>
      <c r="G121" s="28"/>
      <c r="H121" s="28"/>
      <c r="I121" s="28"/>
      <c r="J121" s="10"/>
      <c r="K121" s="10"/>
      <c r="L121" s="10"/>
    </row>
    <row r="122" spans="1:12" s="4" customFormat="1" ht="30" customHeight="1">
      <c r="A122" s="9"/>
      <c r="B122" s="13" t="e">
        <f>VLOOKUP(Table2456[[#This Row],[Location 
(drop-down)]],'List source'!D$2:E$71,2,FALSE)</f>
        <v>#N/A</v>
      </c>
      <c r="C122" s="17" t="s">
        <v>162</v>
      </c>
      <c r="D122" s="20" t="e">
        <f t="shared" si="3"/>
        <v>#N/A</v>
      </c>
      <c r="E122" s="20" t="e">
        <f>VLOOKUP(Table2456[[#This Row],[Location 
(drop-down)]],Table1[#All],3,FALSE)</f>
        <v>#N/A</v>
      </c>
      <c r="F122" s="28"/>
      <c r="G122" s="28"/>
      <c r="H122" s="28"/>
      <c r="I122" s="28"/>
      <c r="J122" s="10"/>
      <c r="K122" s="10"/>
      <c r="L122" s="10"/>
    </row>
    <row r="123" spans="1:12" s="4" customFormat="1" ht="30" customHeight="1">
      <c r="A123" s="9"/>
      <c r="B123" s="13" t="e">
        <f>VLOOKUP(Table2456[[#This Row],[Location 
(drop-down)]],'List source'!D$2:E$71,2,FALSE)</f>
        <v>#N/A</v>
      </c>
      <c r="C123" s="17" t="s">
        <v>163</v>
      </c>
      <c r="D123" s="20" t="e">
        <f t="shared" si="3"/>
        <v>#N/A</v>
      </c>
      <c r="E123" s="20" t="e">
        <f>VLOOKUP(Table2456[[#This Row],[Location 
(drop-down)]],Table1[#All],3,FALSE)</f>
        <v>#N/A</v>
      </c>
      <c r="F123" s="28"/>
      <c r="G123" s="28"/>
      <c r="H123" s="28"/>
      <c r="I123" s="28"/>
      <c r="J123" s="10"/>
      <c r="K123" s="10"/>
      <c r="L123" s="10"/>
    </row>
    <row r="124" spans="1:12" s="4" customFormat="1" ht="30" customHeight="1">
      <c r="A124" s="9"/>
      <c r="B124" s="13" t="e">
        <f>VLOOKUP(Table2456[[#This Row],[Location 
(drop-down)]],'List source'!D$2:E$71,2,FALSE)</f>
        <v>#N/A</v>
      </c>
      <c r="C124" s="17" t="s">
        <v>164</v>
      </c>
      <c r="D124" s="20" t="e">
        <f t="shared" si="3"/>
        <v>#N/A</v>
      </c>
      <c r="E124" s="20" t="e">
        <f>VLOOKUP(Table2456[[#This Row],[Location 
(drop-down)]],Table1[#All],3,FALSE)</f>
        <v>#N/A</v>
      </c>
      <c r="F124" s="28"/>
      <c r="G124" s="28"/>
      <c r="H124" s="28"/>
      <c r="I124" s="28"/>
      <c r="J124" s="10"/>
      <c r="K124" s="10"/>
      <c r="L124" s="10"/>
    </row>
    <row r="125" spans="1:12" s="4" customFormat="1" ht="30" customHeight="1">
      <c r="A125" s="9"/>
      <c r="B125" s="13" t="e">
        <f>VLOOKUP(Table2456[[#This Row],[Location 
(drop-down)]],'List source'!D$2:E$71,2,FALSE)</f>
        <v>#N/A</v>
      </c>
      <c r="C125" s="17" t="s">
        <v>165</v>
      </c>
      <c r="D125" s="20" t="e">
        <f t="shared" si="3"/>
        <v>#N/A</v>
      </c>
      <c r="E125" s="20" t="e">
        <f>VLOOKUP(Table2456[[#This Row],[Location 
(drop-down)]],Table1[#All],3,FALSE)</f>
        <v>#N/A</v>
      </c>
      <c r="F125" s="28"/>
      <c r="G125" s="28"/>
      <c r="H125" s="28"/>
      <c r="I125" s="28"/>
      <c r="J125" s="10"/>
      <c r="K125" s="10"/>
      <c r="L125" s="10"/>
    </row>
    <row r="126" spans="1:12" s="4" customFormat="1" ht="30" customHeight="1">
      <c r="A126" s="9"/>
      <c r="B126" s="13" t="e">
        <f>VLOOKUP(Table2456[[#This Row],[Location 
(drop-down)]],'List source'!D$2:E$71,2,FALSE)</f>
        <v>#N/A</v>
      </c>
      <c r="C126" s="17" t="s">
        <v>166</v>
      </c>
      <c r="D126" s="20" t="e">
        <f t="shared" si="3"/>
        <v>#N/A</v>
      </c>
      <c r="E126" s="20" t="e">
        <f>VLOOKUP(Table2456[[#This Row],[Location 
(drop-down)]],Table1[#All],3,FALSE)</f>
        <v>#N/A</v>
      </c>
      <c r="F126" s="28"/>
      <c r="G126" s="28"/>
      <c r="H126" s="28"/>
      <c r="I126" s="28"/>
      <c r="J126" s="10"/>
      <c r="K126" s="10"/>
      <c r="L126" s="10"/>
    </row>
    <row r="127" spans="1:12" s="4" customFormat="1" ht="30" customHeight="1">
      <c r="A127" s="9"/>
      <c r="B127" s="13" t="e">
        <f>VLOOKUP(Table2456[[#This Row],[Location 
(drop-down)]],'List source'!D$2:E$71,2,FALSE)</f>
        <v>#N/A</v>
      </c>
      <c r="C127" s="17" t="s">
        <v>167</v>
      </c>
      <c r="D127" s="20" t="e">
        <f t="shared" si="3"/>
        <v>#N/A</v>
      </c>
      <c r="E127" s="20" t="e">
        <f>VLOOKUP(Table2456[[#This Row],[Location 
(drop-down)]],Table1[#All],3,FALSE)</f>
        <v>#N/A</v>
      </c>
      <c r="F127" s="28"/>
      <c r="G127" s="28"/>
      <c r="H127" s="28"/>
      <c r="I127" s="28"/>
      <c r="J127" s="10"/>
      <c r="K127" s="10"/>
      <c r="L127" s="10"/>
    </row>
    <row r="128" spans="1:12" s="4" customFormat="1" ht="30" customHeight="1">
      <c r="A128" s="9"/>
      <c r="B128" s="13" t="e">
        <f>VLOOKUP(Table2456[[#This Row],[Location 
(drop-down)]],'List source'!D$2:E$71,2,FALSE)</f>
        <v>#N/A</v>
      </c>
      <c r="C128" s="17" t="s">
        <v>168</v>
      </c>
      <c r="D128" s="20" t="e">
        <f t="shared" si="3"/>
        <v>#N/A</v>
      </c>
      <c r="E128" s="20" t="e">
        <f>VLOOKUP(Table2456[[#This Row],[Location 
(drop-down)]],Table1[#All],3,FALSE)</f>
        <v>#N/A</v>
      </c>
      <c r="F128" s="28"/>
      <c r="G128" s="28"/>
      <c r="H128" s="28"/>
      <c r="I128" s="28"/>
      <c r="J128" s="10"/>
      <c r="K128" s="10"/>
      <c r="L128" s="10"/>
    </row>
    <row r="129" spans="1:12" s="4" customFormat="1" ht="30" customHeight="1">
      <c r="A129" s="9"/>
      <c r="B129" s="13" t="e">
        <f>VLOOKUP(Table2456[[#This Row],[Location 
(drop-down)]],'List source'!D$2:E$71,2,FALSE)</f>
        <v>#N/A</v>
      </c>
      <c r="C129" s="17" t="s">
        <v>169</v>
      </c>
      <c r="D129" s="20" t="e">
        <f t="shared" si="3"/>
        <v>#N/A</v>
      </c>
      <c r="E129" s="20" t="e">
        <f>VLOOKUP(Table2456[[#This Row],[Location 
(drop-down)]],Table1[#All],3,FALSE)</f>
        <v>#N/A</v>
      </c>
      <c r="F129" s="28"/>
      <c r="G129" s="28"/>
      <c r="H129" s="28"/>
      <c r="I129" s="28"/>
      <c r="J129" s="10"/>
      <c r="K129" s="10"/>
      <c r="L129" s="10"/>
    </row>
    <row r="130" spans="1:12" s="4" customFormat="1" ht="30" customHeight="1">
      <c r="A130" s="9"/>
      <c r="B130" s="13" t="e">
        <f>VLOOKUP(Table2456[[#This Row],[Location 
(drop-down)]],'List source'!D$2:E$71,2,FALSE)</f>
        <v>#N/A</v>
      </c>
      <c r="C130" s="17" t="s">
        <v>170</v>
      </c>
      <c r="D130" s="20" t="e">
        <f t="shared" ref="D130:D151" si="4">"CAF" &amp; C130 &amp; "-" &amp; B130 &amp; "-" &amp; "26"</f>
        <v>#N/A</v>
      </c>
      <c r="E130" s="20" t="e">
        <f>VLOOKUP(Table2456[[#This Row],[Location 
(drop-down)]],Table1[#All],3,FALSE)</f>
        <v>#N/A</v>
      </c>
      <c r="F130" s="28"/>
      <c r="G130" s="28"/>
      <c r="H130" s="28"/>
      <c r="I130" s="28"/>
      <c r="J130" s="10"/>
      <c r="K130" s="10"/>
      <c r="L130" s="10"/>
    </row>
    <row r="131" spans="1:12" s="4" customFormat="1" ht="30" customHeight="1">
      <c r="A131" s="9"/>
      <c r="B131" s="13" t="e">
        <f>VLOOKUP(Table2456[[#This Row],[Location 
(drop-down)]],'List source'!D$2:E$71,2,FALSE)</f>
        <v>#N/A</v>
      </c>
      <c r="C131" s="17" t="s">
        <v>171</v>
      </c>
      <c r="D131" s="20" t="e">
        <f t="shared" si="4"/>
        <v>#N/A</v>
      </c>
      <c r="E131" s="20" t="e">
        <f>VLOOKUP(Table2456[[#This Row],[Location 
(drop-down)]],Table1[#All],3,FALSE)</f>
        <v>#N/A</v>
      </c>
      <c r="F131" s="28"/>
      <c r="G131" s="28"/>
      <c r="H131" s="28"/>
      <c r="I131" s="28"/>
      <c r="J131" s="10"/>
      <c r="K131" s="10"/>
      <c r="L131" s="10"/>
    </row>
    <row r="132" spans="1:12" s="4" customFormat="1" ht="30" customHeight="1">
      <c r="A132" s="9"/>
      <c r="B132" s="13" t="e">
        <f>VLOOKUP(Table2456[[#This Row],[Location 
(drop-down)]],'List source'!D$2:E$71,2,FALSE)</f>
        <v>#N/A</v>
      </c>
      <c r="C132" s="17" t="s">
        <v>172</v>
      </c>
      <c r="D132" s="20" t="e">
        <f t="shared" si="4"/>
        <v>#N/A</v>
      </c>
      <c r="E132" s="20" t="e">
        <f>VLOOKUP(Table2456[[#This Row],[Location 
(drop-down)]],Table1[#All],3,FALSE)</f>
        <v>#N/A</v>
      </c>
      <c r="F132" s="28"/>
      <c r="G132" s="28"/>
      <c r="H132" s="28"/>
      <c r="I132" s="28"/>
      <c r="J132" s="10"/>
      <c r="K132" s="10"/>
      <c r="L132" s="10"/>
    </row>
    <row r="133" spans="1:12" s="4" customFormat="1" ht="30" customHeight="1">
      <c r="A133" s="9"/>
      <c r="B133" s="13" t="e">
        <f>VLOOKUP(Table2456[[#This Row],[Location 
(drop-down)]],'List source'!D$2:E$71,2,FALSE)</f>
        <v>#N/A</v>
      </c>
      <c r="C133" s="17" t="s">
        <v>173</v>
      </c>
      <c r="D133" s="20" t="e">
        <f t="shared" si="4"/>
        <v>#N/A</v>
      </c>
      <c r="E133" s="20" t="e">
        <f>VLOOKUP(Table2456[[#This Row],[Location 
(drop-down)]],Table1[#All],3,FALSE)</f>
        <v>#N/A</v>
      </c>
      <c r="F133" s="28"/>
      <c r="G133" s="28"/>
      <c r="H133" s="28"/>
      <c r="I133" s="28"/>
      <c r="J133" s="10"/>
      <c r="K133" s="10"/>
      <c r="L133" s="10"/>
    </row>
    <row r="134" spans="1:12" s="4" customFormat="1" ht="30" customHeight="1">
      <c r="A134" s="9"/>
      <c r="B134" s="13" t="e">
        <f>VLOOKUP(Table2456[[#This Row],[Location 
(drop-down)]],'List source'!D$2:E$71,2,FALSE)</f>
        <v>#N/A</v>
      </c>
      <c r="C134" s="17" t="s">
        <v>174</v>
      </c>
      <c r="D134" s="20" t="e">
        <f t="shared" si="4"/>
        <v>#N/A</v>
      </c>
      <c r="E134" s="20" t="e">
        <f>VLOOKUP(Table2456[[#This Row],[Location 
(drop-down)]],Table1[#All],3,FALSE)</f>
        <v>#N/A</v>
      </c>
      <c r="F134" s="28"/>
      <c r="G134" s="28"/>
      <c r="H134" s="28"/>
      <c r="I134" s="28"/>
      <c r="J134" s="10"/>
      <c r="K134" s="10"/>
      <c r="L134" s="10"/>
    </row>
    <row r="135" spans="1:12" s="4" customFormat="1" ht="30" customHeight="1">
      <c r="A135" s="9"/>
      <c r="B135" s="13" t="e">
        <f>VLOOKUP(Table2456[[#This Row],[Location 
(drop-down)]],'List source'!D$2:E$71,2,FALSE)</f>
        <v>#N/A</v>
      </c>
      <c r="C135" s="17" t="s">
        <v>175</v>
      </c>
      <c r="D135" s="20" t="e">
        <f t="shared" si="4"/>
        <v>#N/A</v>
      </c>
      <c r="E135" s="20" t="e">
        <f>VLOOKUP(Table2456[[#This Row],[Location 
(drop-down)]],Table1[#All],3,FALSE)</f>
        <v>#N/A</v>
      </c>
      <c r="F135" s="28"/>
      <c r="G135" s="28"/>
      <c r="H135" s="28"/>
      <c r="I135" s="28"/>
      <c r="J135" s="10"/>
      <c r="K135" s="10"/>
      <c r="L135" s="10"/>
    </row>
    <row r="136" spans="1:12" s="4" customFormat="1" ht="30" customHeight="1">
      <c r="A136" s="9"/>
      <c r="B136" s="13" t="e">
        <f>VLOOKUP(Table2456[[#This Row],[Location 
(drop-down)]],'List source'!D$2:E$71,2,FALSE)</f>
        <v>#N/A</v>
      </c>
      <c r="C136" s="17" t="s">
        <v>176</v>
      </c>
      <c r="D136" s="20" t="e">
        <f t="shared" si="4"/>
        <v>#N/A</v>
      </c>
      <c r="E136" s="20" t="e">
        <f>VLOOKUP(Table2456[[#This Row],[Location 
(drop-down)]],Table1[#All],3,FALSE)</f>
        <v>#N/A</v>
      </c>
      <c r="F136" s="28"/>
      <c r="G136" s="28"/>
      <c r="H136" s="28"/>
      <c r="I136" s="28"/>
      <c r="J136" s="10"/>
      <c r="K136" s="10"/>
      <c r="L136" s="10"/>
    </row>
    <row r="137" spans="1:12" s="4" customFormat="1" ht="30" customHeight="1">
      <c r="A137" s="9"/>
      <c r="B137" s="13" t="e">
        <f>VLOOKUP(Table2456[[#This Row],[Location 
(drop-down)]],'List source'!D$2:E$71,2,FALSE)</f>
        <v>#N/A</v>
      </c>
      <c r="C137" s="17" t="s">
        <v>177</v>
      </c>
      <c r="D137" s="20" t="e">
        <f t="shared" si="4"/>
        <v>#N/A</v>
      </c>
      <c r="E137" s="20" t="e">
        <f>VLOOKUP(Table2456[[#This Row],[Location 
(drop-down)]],Table1[#All],3,FALSE)</f>
        <v>#N/A</v>
      </c>
      <c r="F137" s="28"/>
      <c r="G137" s="28"/>
      <c r="H137" s="28"/>
      <c r="I137" s="28"/>
      <c r="J137" s="10"/>
      <c r="K137" s="10"/>
      <c r="L137" s="10"/>
    </row>
    <row r="138" spans="1:12" s="4" customFormat="1" ht="30" customHeight="1">
      <c r="A138" s="9"/>
      <c r="B138" s="13" t="e">
        <f>VLOOKUP(Table2456[[#This Row],[Location 
(drop-down)]],'List source'!D$2:E$71,2,FALSE)</f>
        <v>#N/A</v>
      </c>
      <c r="C138" s="17" t="s">
        <v>178</v>
      </c>
      <c r="D138" s="20" t="e">
        <f t="shared" si="4"/>
        <v>#N/A</v>
      </c>
      <c r="E138" s="20" t="e">
        <f>VLOOKUP(Table2456[[#This Row],[Location 
(drop-down)]],Table1[#All],3,FALSE)</f>
        <v>#N/A</v>
      </c>
      <c r="F138" s="28"/>
      <c r="G138" s="28"/>
      <c r="H138" s="28"/>
      <c r="I138" s="28"/>
      <c r="J138" s="10"/>
      <c r="K138" s="10"/>
      <c r="L138" s="10"/>
    </row>
    <row r="139" spans="1:12" s="4" customFormat="1" ht="30" customHeight="1">
      <c r="A139" s="9"/>
      <c r="B139" s="13" t="e">
        <f>VLOOKUP(Table2456[[#This Row],[Location 
(drop-down)]],'List source'!D$2:E$71,2,FALSE)</f>
        <v>#N/A</v>
      </c>
      <c r="C139" s="17" t="s">
        <v>179</v>
      </c>
      <c r="D139" s="20" t="e">
        <f t="shared" si="4"/>
        <v>#N/A</v>
      </c>
      <c r="E139" s="20" t="e">
        <f>VLOOKUP(Table2456[[#This Row],[Location 
(drop-down)]],Table1[#All],3,FALSE)</f>
        <v>#N/A</v>
      </c>
      <c r="F139" s="28"/>
      <c r="G139" s="28"/>
      <c r="H139" s="28"/>
      <c r="I139" s="28"/>
      <c r="J139" s="10"/>
      <c r="K139" s="10"/>
      <c r="L139" s="10"/>
    </row>
    <row r="140" spans="1:12" s="4" customFormat="1" ht="30" customHeight="1">
      <c r="A140" s="9"/>
      <c r="B140" s="13" t="e">
        <f>VLOOKUP(Table2456[[#This Row],[Location 
(drop-down)]],'List source'!D$2:E$71,2,FALSE)</f>
        <v>#N/A</v>
      </c>
      <c r="C140" s="17" t="s">
        <v>180</v>
      </c>
      <c r="D140" s="20" t="e">
        <f t="shared" si="4"/>
        <v>#N/A</v>
      </c>
      <c r="E140" s="20" t="e">
        <f>VLOOKUP(Table2456[[#This Row],[Location 
(drop-down)]],Table1[#All],3,FALSE)</f>
        <v>#N/A</v>
      </c>
      <c r="F140" s="28"/>
      <c r="G140" s="28"/>
      <c r="H140" s="28"/>
      <c r="I140" s="28"/>
      <c r="J140" s="10"/>
      <c r="K140" s="10"/>
      <c r="L140" s="10"/>
    </row>
    <row r="141" spans="1:12" s="4" customFormat="1" ht="30" customHeight="1">
      <c r="A141" s="9"/>
      <c r="B141" s="13" t="e">
        <f>VLOOKUP(Table2456[[#This Row],[Location 
(drop-down)]],'List source'!D$2:E$71,2,FALSE)</f>
        <v>#N/A</v>
      </c>
      <c r="C141" s="17" t="s">
        <v>181</v>
      </c>
      <c r="D141" s="20" t="e">
        <f t="shared" si="4"/>
        <v>#N/A</v>
      </c>
      <c r="E141" s="20" t="e">
        <f>VLOOKUP(Table2456[[#This Row],[Location 
(drop-down)]],Table1[#All],3,FALSE)</f>
        <v>#N/A</v>
      </c>
      <c r="F141" s="28"/>
      <c r="G141" s="28"/>
      <c r="H141" s="28"/>
      <c r="I141" s="28"/>
      <c r="J141" s="10"/>
      <c r="K141" s="10"/>
      <c r="L141" s="10"/>
    </row>
    <row r="142" spans="1:12" s="4" customFormat="1" ht="30" customHeight="1">
      <c r="A142" s="9"/>
      <c r="B142" s="13" t="e">
        <f>VLOOKUP(Table2456[[#This Row],[Location 
(drop-down)]],'List source'!D$2:E$71,2,FALSE)</f>
        <v>#N/A</v>
      </c>
      <c r="C142" s="17" t="s">
        <v>182</v>
      </c>
      <c r="D142" s="20" t="e">
        <f t="shared" si="4"/>
        <v>#N/A</v>
      </c>
      <c r="E142" s="20" t="e">
        <f>VLOOKUP(Table2456[[#This Row],[Location 
(drop-down)]],Table1[#All],3,FALSE)</f>
        <v>#N/A</v>
      </c>
      <c r="F142" s="28"/>
      <c r="G142" s="28"/>
      <c r="H142" s="28"/>
      <c r="I142" s="28"/>
      <c r="J142" s="10"/>
      <c r="K142" s="10"/>
      <c r="L142" s="10"/>
    </row>
    <row r="143" spans="1:12" s="4" customFormat="1" ht="30" customHeight="1">
      <c r="A143" s="9"/>
      <c r="B143" s="13" t="e">
        <f>VLOOKUP(Table2456[[#This Row],[Location 
(drop-down)]],'List source'!D$2:E$71,2,FALSE)</f>
        <v>#N/A</v>
      </c>
      <c r="C143" s="17" t="s">
        <v>183</v>
      </c>
      <c r="D143" s="20" t="e">
        <f t="shared" si="4"/>
        <v>#N/A</v>
      </c>
      <c r="E143" s="20" t="e">
        <f>VLOOKUP(Table2456[[#This Row],[Location 
(drop-down)]],Table1[#All],3,FALSE)</f>
        <v>#N/A</v>
      </c>
      <c r="F143" s="28"/>
      <c r="G143" s="28"/>
      <c r="H143" s="28"/>
      <c r="I143" s="28"/>
      <c r="J143" s="10"/>
      <c r="K143" s="10"/>
      <c r="L143" s="10"/>
    </row>
    <row r="144" spans="1:12" s="4" customFormat="1" ht="30" customHeight="1">
      <c r="A144" s="9"/>
      <c r="B144" s="13" t="e">
        <f>VLOOKUP(Table2456[[#This Row],[Location 
(drop-down)]],'List source'!D$2:E$71,2,FALSE)</f>
        <v>#N/A</v>
      </c>
      <c r="C144" s="17" t="s">
        <v>184</v>
      </c>
      <c r="D144" s="20" t="e">
        <f t="shared" si="4"/>
        <v>#N/A</v>
      </c>
      <c r="E144" s="20" t="e">
        <f>VLOOKUP(Table2456[[#This Row],[Location 
(drop-down)]],Table1[#All],3,FALSE)</f>
        <v>#N/A</v>
      </c>
      <c r="F144" s="28"/>
      <c r="G144" s="28"/>
      <c r="H144" s="28"/>
      <c r="I144" s="28"/>
      <c r="J144" s="10"/>
      <c r="K144" s="10"/>
      <c r="L144" s="10"/>
    </row>
    <row r="145" spans="1:12" s="4" customFormat="1" ht="30" customHeight="1">
      <c r="A145" s="9"/>
      <c r="B145" s="13" t="e">
        <f>VLOOKUP(Table2456[[#This Row],[Location 
(drop-down)]],'List source'!D$2:E$71,2,FALSE)</f>
        <v>#N/A</v>
      </c>
      <c r="C145" s="17" t="s">
        <v>185</v>
      </c>
      <c r="D145" s="20" t="e">
        <f t="shared" si="4"/>
        <v>#N/A</v>
      </c>
      <c r="E145" s="20" t="e">
        <f>VLOOKUP(Table2456[[#This Row],[Location 
(drop-down)]],Table1[#All],3,FALSE)</f>
        <v>#N/A</v>
      </c>
      <c r="F145" s="28"/>
      <c r="G145" s="28"/>
      <c r="H145" s="28"/>
      <c r="I145" s="28"/>
      <c r="J145" s="10"/>
      <c r="K145" s="10"/>
      <c r="L145" s="10"/>
    </row>
    <row r="146" spans="1:12" s="4" customFormat="1" ht="30" customHeight="1">
      <c r="A146" s="9"/>
      <c r="B146" s="13" t="e">
        <f>VLOOKUP(Table2456[[#This Row],[Location 
(drop-down)]],'List source'!D$2:E$71,2,FALSE)</f>
        <v>#N/A</v>
      </c>
      <c r="C146" s="17" t="s">
        <v>186</v>
      </c>
      <c r="D146" s="20" t="e">
        <f t="shared" si="4"/>
        <v>#N/A</v>
      </c>
      <c r="E146" s="20" t="e">
        <f>VLOOKUP(Table2456[[#This Row],[Location 
(drop-down)]],Table1[#All],3,FALSE)</f>
        <v>#N/A</v>
      </c>
      <c r="F146" s="28"/>
      <c r="G146" s="28"/>
      <c r="H146" s="28"/>
      <c r="I146" s="28"/>
      <c r="J146" s="10"/>
      <c r="K146" s="10"/>
      <c r="L146" s="10"/>
    </row>
    <row r="147" spans="1:12" s="4" customFormat="1" ht="30" customHeight="1">
      <c r="A147" s="9"/>
      <c r="B147" s="13" t="e">
        <f>VLOOKUP(Table2456[[#This Row],[Location 
(drop-down)]],'List source'!D$2:E$71,2,FALSE)</f>
        <v>#N/A</v>
      </c>
      <c r="C147" s="17" t="s">
        <v>187</v>
      </c>
      <c r="D147" s="20" t="e">
        <f t="shared" si="4"/>
        <v>#N/A</v>
      </c>
      <c r="E147" s="20" t="e">
        <f>VLOOKUP(Table2456[[#This Row],[Location 
(drop-down)]],Table1[#All],3,FALSE)</f>
        <v>#N/A</v>
      </c>
      <c r="F147" s="28"/>
      <c r="G147" s="28"/>
      <c r="H147" s="28"/>
      <c r="I147" s="28"/>
      <c r="J147" s="13"/>
      <c r="K147" s="13"/>
      <c r="L147" s="13"/>
    </row>
    <row r="148" spans="1:12" s="4" customFormat="1" ht="30" customHeight="1">
      <c r="A148" s="9"/>
      <c r="B148" s="13" t="e">
        <f>VLOOKUP(Table2456[[#This Row],[Location 
(drop-down)]],'List source'!D$2:E$71,2,FALSE)</f>
        <v>#N/A</v>
      </c>
      <c r="C148" s="17" t="s">
        <v>188</v>
      </c>
      <c r="D148" s="20" t="e">
        <f t="shared" si="4"/>
        <v>#N/A</v>
      </c>
      <c r="E148" s="20" t="e">
        <f>VLOOKUP(Table2456[[#This Row],[Location 
(drop-down)]],Table1[#All],3,FALSE)</f>
        <v>#N/A</v>
      </c>
      <c r="F148" s="28"/>
      <c r="G148" s="28"/>
      <c r="H148" s="28"/>
      <c r="I148" s="28"/>
      <c r="J148" s="28"/>
      <c r="K148" s="28"/>
      <c r="L148" s="28"/>
    </row>
    <row r="149" spans="1:12" s="4" customFormat="1" ht="30" customHeight="1">
      <c r="A149" s="9"/>
      <c r="B149" s="13" t="e">
        <f>VLOOKUP(Table2456[[#This Row],[Location 
(drop-down)]],'List source'!D$2:E$71,2,FALSE)</f>
        <v>#N/A</v>
      </c>
      <c r="C149" s="17" t="s">
        <v>189</v>
      </c>
      <c r="D149" s="20" t="e">
        <f t="shared" si="4"/>
        <v>#N/A</v>
      </c>
      <c r="E149" s="20" t="e">
        <f>VLOOKUP(Table2456[[#This Row],[Location 
(drop-down)]],Table1[#All],3,FALSE)</f>
        <v>#N/A</v>
      </c>
      <c r="F149" s="28"/>
      <c r="G149" s="28"/>
      <c r="H149" s="28"/>
      <c r="I149" s="28"/>
      <c r="J149" s="28"/>
      <c r="K149" s="28"/>
      <c r="L149" s="28"/>
    </row>
    <row r="150" spans="1:12" s="4" customFormat="1" ht="30" customHeight="1">
      <c r="A150" s="9"/>
      <c r="B150" s="13" t="e">
        <f>VLOOKUP(Table2456[[#This Row],[Location 
(drop-down)]],'List source'!D$2:E$71,2,FALSE)</f>
        <v>#N/A</v>
      </c>
      <c r="C150" s="17" t="s">
        <v>190</v>
      </c>
      <c r="D150" s="20" t="e">
        <f t="shared" si="4"/>
        <v>#N/A</v>
      </c>
      <c r="E150" s="20" t="e">
        <f>VLOOKUP(Table2456[[#This Row],[Location 
(drop-down)]],Table1[#All],3,FALSE)</f>
        <v>#N/A</v>
      </c>
      <c r="F150" s="28"/>
      <c r="G150" s="28"/>
      <c r="H150" s="28"/>
      <c r="I150" s="28"/>
      <c r="J150" s="28"/>
      <c r="K150" s="28"/>
      <c r="L150" s="28"/>
    </row>
    <row r="151" spans="1:12" s="4" customFormat="1" ht="30" customHeight="1">
      <c r="A151" s="9"/>
      <c r="B151" s="13" t="e">
        <f>VLOOKUP(Table2456[[#This Row],[Location 
(drop-down)]],'List source'!D$2:E$71,2,FALSE)</f>
        <v>#N/A</v>
      </c>
      <c r="C151" s="17" t="s">
        <v>191</v>
      </c>
      <c r="D151" s="20" t="e">
        <f t="shared" si="4"/>
        <v>#N/A</v>
      </c>
      <c r="E151" s="20" t="e">
        <f>VLOOKUP(Table2456[[#This Row],[Location 
(drop-down)]],Table1[#All],3,FALSE)</f>
        <v>#N/A</v>
      </c>
      <c r="F151" s="28"/>
      <c r="G151" s="28"/>
      <c r="H151" s="28"/>
      <c r="I151" s="28"/>
      <c r="J151" s="13"/>
      <c r="K151" s="13"/>
      <c r="L151" s="13"/>
    </row>
  </sheetData>
  <pageMargins left="0.7" right="0.7" top="0.75" bottom="0.75" header="0.3" footer="0.3"/>
  <pageSetup scale="4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957EEC8-8E8B-426A-81A0-3C5A9D80852D}">
          <x14:formula1>
            <xm:f>'List source'!$C$18:$C$23</xm:f>
          </x14:formula1>
          <xm:sqref>J2:J38 J40:J151</xm:sqref>
        </x14:dataValidation>
        <x14:dataValidation type="list" allowBlank="1" showInputMessage="1" showErrorMessage="1" xr:uid="{2727F68C-586A-4AFC-B897-E7FC2B0EB98D}">
          <x14:formula1>
            <xm:f>'List source'!$D$6:$D$71</xm:f>
          </x14:formula1>
          <xm:sqref>A1 A152:A1048576</xm:sqref>
        </x14:dataValidation>
        <x14:dataValidation type="list" allowBlank="1" showInputMessage="1" showErrorMessage="1" xr:uid="{19B70417-4DCF-4A51-86D0-8E150EDEEBCB}">
          <x14:formula1>
            <xm:f>'List source'!$D$2:$D$71</xm:f>
          </x14:formula1>
          <xm:sqref>A2:A151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4CB1-320A-4D13-ABED-DC1EEDB0A386}">
  <sheetPr codeName="Sheet5">
    <tabColor rgb="FFC00000"/>
    <pageSetUpPr fitToPage="1"/>
  </sheetPr>
  <dimension ref="A1:N1503"/>
  <sheetViews>
    <sheetView showGridLines="0" tabSelected="1" zoomScale="70" zoomScaleNormal="70" workbookViewId="0">
      <pane ySplit="1" topLeftCell="E14" activePane="bottomLeft" state="frozen"/>
      <selection pane="bottomLeft" activeCell="H21" sqref="H21"/>
      <selection activeCell="D1" sqref="D1"/>
    </sheetView>
  </sheetViews>
  <sheetFormatPr defaultColWidth="9.28515625" defaultRowHeight="14.45"/>
  <cols>
    <col min="1" max="1" width="26.5703125" style="116" customWidth="1"/>
    <col min="2" max="2" width="9.5703125" style="3" hidden="1" customWidth="1"/>
    <col min="3" max="3" width="7.28515625" style="3" hidden="1" customWidth="1"/>
    <col min="4" max="4" width="23.5703125" style="3" customWidth="1"/>
    <col min="5" max="5" width="76.5703125" style="87" customWidth="1"/>
    <col min="6" max="6" width="21.28515625" style="100" customWidth="1"/>
    <col min="7" max="7" width="32.28515625" style="87" customWidth="1"/>
    <col min="8" max="8" width="33.5703125" style="100" customWidth="1"/>
    <col min="9" max="9" width="16.28515625" style="8" customWidth="1"/>
    <col min="10" max="10" width="14.5703125" style="8" customWidth="1"/>
    <col min="11" max="11" width="15.28515625" style="8" customWidth="1"/>
    <col min="12" max="12" width="40.5703125" style="299" customWidth="1"/>
    <col min="13" max="13" width="24.28515625" style="120" customWidth="1"/>
    <col min="14" max="14" width="29.5703125" style="3" bestFit="1" customWidth="1"/>
    <col min="15" max="16384" width="9.28515625" style="3"/>
  </cols>
  <sheetData>
    <row r="1" spans="1:14" s="4" customFormat="1" ht="43.15">
      <c r="A1" s="94" t="s">
        <v>242</v>
      </c>
      <c r="B1" s="95" t="s">
        <v>1</v>
      </c>
      <c r="C1" s="95" t="s">
        <v>2</v>
      </c>
      <c r="D1" s="95" t="s">
        <v>1276</v>
      </c>
      <c r="E1" s="96" t="s">
        <v>1277</v>
      </c>
      <c r="F1" s="96" t="s">
        <v>1278</v>
      </c>
      <c r="G1" s="96" t="s">
        <v>1279</v>
      </c>
      <c r="H1" s="96" t="s">
        <v>1280</v>
      </c>
      <c r="I1" s="96" t="s">
        <v>1281</v>
      </c>
      <c r="J1" s="96" t="s">
        <v>248</v>
      </c>
      <c r="K1" s="96" t="s">
        <v>1282</v>
      </c>
      <c r="L1" s="300" t="s">
        <v>257</v>
      </c>
      <c r="M1" s="248" t="s">
        <v>256</v>
      </c>
    </row>
    <row r="2" spans="1:14" s="4" customFormat="1" ht="43.15">
      <c r="A2" s="129" t="s">
        <v>14</v>
      </c>
      <c r="B2" s="18">
        <f>VLOOKUP(Table27[[#This Row],[Location 
(drop-down)]],'List source'!D$2:E$71,2,FALSE)</f>
        <v>131</v>
      </c>
      <c r="C2" s="154" t="s">
        <v>1283</v>
      </c>
      <c r="D2" s="20" t="str">
        <f t="shared" ref="D2:D65" si="0">"PTO" &amp; C2 &amp; "-" &amp; B2 &amp; "-" &amp; "26"</f>
        <v>PTO0004-131-26</v>
      </c>
      <c r="E2" s="172" t="s">
        <v>1284</v>
      </c>
      <c r="F2" s="135" t="str" cm="1">
        <f t="array" aca="1" ref="F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2" s="155" t="s">
        <v>1285</v>
      </c>
      <c r="I2" s="123">
        <v>46029</v>
      </c>
      <c r="J2" s="123" t="s">
        <v>1286</v>
      </c>
      <c r="K2" s="157">
        <v>46029</v>
      </c>
      <c r="L2" s="276" t="s">
        <v>1287</v>
      </c>
      <c r="M2" s="10">
        <f ca="1">IF(ISBLANK(K2), TODAY()-(I2), Table27[[#This Row],[Effectiveness Review &amp; date deemed effective]]-Table27[[#This Row],[PTO initialized date]])</f>
        <v>0</v>
      </c>
      <c r="N2" s="301" t="s">
        <v>1288</v>
      </c>
    </row>
    <row r="3" spans="1:14" s="4" customFormat="1" ht="17.100000000000001" customHeight="1">
      <c r="A3" s="9" t="s">
        <v>43</v>
      </c>
      <c r="B3" s="18">
        <f>VLOOKUP(Table27[[#This Row],[Location 
(drop-down)]],'List source'!D$2:E$71,2,FALSE)</f>
        <v>130</v>
      </c>
      <c r="C3" s="154" t="s">
        <v>1289</v>
      </c>
      <c r="D3" s="194" t="str">
        <f t="shared" si="0"/>
        <v>PTO0003-130-26</v>
      </c>
      <c r="E3" s="172" t="s">
        <v>1290</v>
      </c>
      <c r="F3" s="135" t="str" cm="1">
        <f t="array" aca="1" ref="F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3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D5191 - Vapor Pressure</v>
      </c>
      <c r="H3" s="155" t="s">
        <v>1291</v>
      </c>
      <c r="I3" s="123">
        <v>46029</v>
      </c>
      <c r="J3" s="123" t="s">
        <v>1286</v>
      </c>
      <c r="K3" s="61">
        <v>46030</v>
      </c>
      <c r="L3" s="350" t="s">
        <v>1292</v>
      </c>
      <c r="M3" s="10">
        <f ca="1">IF(ISBLANK(K3), TODAY()-(I3), Table27[[#This Row],[Effectiveness Review &amp; date deemed effective]]-Table27[[#This Row],[PTO initialized date]])</f>
        <v>1</v>
      </c>
      <c r="N3" s="301" t="s">
        <v>1293</v>
      </c>
    </row>
    <row r="4" spans="1:14" s="4" customFormat="1" ht="18" customHeight="1">
      <c r="A4" s="9" t="s">
        <v>1213</v>
      </c>
      <c r="B4" s="18">
        <f>VLOOKUP(Table27[[#This Row],[Location 
(drop-down)]],'List source'!D$2:E$71,2,FALSE)</f>
        <v>180</v>
      </c>
      <c r="C4" s="154" t="s">
        <v>1294</v>
      </c>
      <c r="D4" s="20" t="str">
        <f t="shared" si="0"/>
        <v>PTO0021-180-26</v>
      </c>
      <c r="E4" s="9" t="s">
        <v>1295</v>
      </c>
      <c r="F4" s="10" t="str" cm="1">
        <f t="array" aca="1" ref="F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4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D4052 - Density</v>
      </c>
      <c r="H4" s="124" t="s">
        <v>1296</v>
      </c>
      <c r="I4" s="123">
        <v>46029</v>
      </c>
      <c r="J4" s="123" t="s">
        <v>1286</v>
      </c>
      <c r="K4" s="61">
        <v>46030</v>
      </c>
      <c r="L4" s="233" t="s">
        <v>1297</v>
      </c>
      <c r="M4" s="10">
        <f ca="1">IF(ISBLANK(K4), TODAY()-(I4), Table27[[#This Row],[Effectiveness Review &amp; date deemed effective]]-Table27[[#This Row],[PTO initialized date]])</f>
        <v>1</v>
      </c>
      <c r="N4" s="302" t="s">
        <v>1298</v>
      </c>
    </row>
    <row r="5" spans="1:14" s="4" customFormat="1" ht="28.9">
      <c r="A5" s="9" t="s">
        <v>1213</v>
      </c>
      <c r="B5" s="18">
        <f>VLOOKUP(Table27[[#This Row],[Location 
(drop-down)]],'List source'!D$2:E$71,2,FALSE)</f>
        <v>180</v>
      </c>
      <c r="C5" s="154" t="s">
        <v>1299</v>
      </c>
      <c r="D5" s="194" t="str">
        <f t="shared" si="0"/>
        <v>PTO0022-180-26</v>
      </c>
      <c r="E5" s="9" t="s">
        <v>1300</v>
      </c>
      <c r="F5" s="10" t="str" cm="1">
        <f t="array" aca="1" ref="F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5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D5599 - Oxygenates</v>
      </c>
      <c r="H5" s="155" t="s">
        <v>1301</v>
      </c>
      <c r="I5" s="123">
        <v>46029</v>
      </c>
      <c r="J5" s="123" t="s">
        <v>1286</v>
      </c>
      <c r="K5" s="61">
        <v>46030</v>
      </c>
      <c r="L5" s="350" t="s">
        <v>1297</v>
      </c>
      <c r="M5" s="10">
        <f ca="1">IF(ISBLANK(K5), TODAY()-(I5), Table27[[#This Row],[Effectiveness Review &amp; date deemed effective]]-Table27[[#This Row],[PTO initialized date]])</f>
        <v>1</v>
      </c>
      <c r="N5" s="302" t="s">
        <v>1287</v>
      </c>
    </row>
    <row r="6" spans="1:14" s="4" customFormat="1" ht="18">
      <c r="A6" s="9" t="s">
        <v>1238</v>
      </c>
      <c r="B6" s="18">
        <f>VLOOKUP(Table27[[#This Row],[Location 
(drop-down)]],'List source'!D$2:E$71,2,FALSE)</f>
        <v>185</v>
      </c>
      <c r="C6" s="154" t="s">
        <v>1302</v>
      </c>
      <c r="D6" s="20" t="str">
        <f t="shared" si="0"/>
        <v>PTO0023-185-26</v>
      </c>
      <c r="E6" s="9" t="s">
        <v>1303</v>
      </c>
      <c r="F6" s="10" t="str" cm="1">
        <f t="array" aca="1" ref="F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6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6" s="130" t="s">
        <v>1304</v>
      </c>
      <c r="I6" s="12">
        <v>46029</v>
      </c>
      <c r="J6" s="12" t="s">
        <v>1286</v>
      </c>
      <c r="K6" s="61">
        <v>46030</v>
      </c>
      <c r="L6" s="233" t="s">
        <v>1292</v>
      </c>
      <c r="M6" s="10">
        <f ca="1">IF(ISBLANK(K6), TODAY()-(I6), Table27[[#This Row],[Effectiveness Review &amp; date deemed effective]]-Table27[[#This Row],[PTO initialized date]])</f>
        <v>1</v>
      </c>
      <c r="N6" s="302" t="s">
        <v>1292</v>
      </c>
    </row>
    <row r="7" spans="1:14" s="4" customFormat="1" ht="28.9">
      <c r="A7" s="9" t="s">
        <v>1231</v>
      </c>
      <c r="B7" s="18">
        <f>VLOOKUP(Table27[[#This Row],[Location 
(drop-down)]],'List source'!D$2:E$71,2,FALSE)</f>
        <v>144</v>
      </c>
      <c r="C7" s="154" t="s">
        <v>1305</v>
      </c>
      <c r="D7" s="194" t="str">
        <f t="shared" si="0"/>
        <v>PTO0013-144-26</v>
      </c>
      <c r="E7" s="133" t="s">
        <v>1306</v>
      </c>
      <c r="F7" s="135" t="str" cm="1">
        <f t="array" aca="1" ref="F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7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D5191 - Vapor Pressure</v>
      </c>
      <c r="H7" s="177">
        <v>2.31</v>
      </c>
      <c r="I7" s="12">
        <v>46029</v>
      </c>
      <c r="J7" s="12" t="s">
        <v>1286</v>
      </c>
      <c r="K7" s="61">
        <v>46031</v>
      </c>
      <c r="L7" s="350" t="s">
        <v>1293</v>
      </c>
      <c r="M7" s="10">
        <f ca="1">IF(ISBLANK(K7), TODAY()-(I7), Table27[[#This Row],[Effectiveness Review &amp; date deemed effective]]-Table27[[#This Row],[PTO initialized date]])</f>
        <v>2</v>
      </c>
      <c r="N7" s="303" t="s">
        <v>1307</v>
      </c>
    </row>
    <row r="8" spans="1:14" s="4" customFormat="1" ht="18">
      <c r="A8" s="9" t="s">
        <v>1209</v>
      </c>
      <c r="B8" s="18">
        <f>VLOOKUP(Table27[[#This Row],[Location 
(drop-down)]],'List source'!D$2:E$71,2,FALSE)</f>
        <v>165</v>
      </c>
      <c r="C8" s="154" t="s">
        <v>1308</v>
      </c>
      <c r="D8" s="194" t="str">
        <f t="shared" si="0"/>
        <v>PTO0017-165-26</v>
      </c>
      <c r="E8" s="9" t="s">
        <v>1309</v>
      </c>
      <c r="F8" s="10" t="str" cm="1">
        <f t="array" aca="1" ref="F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8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D5599 - Oxygenates</v>
      </c>
      <c r="H8" s="10">
        <v>2.0099999999999998</v>
      </c>
      <c r="I8" s="12">
        <v>46029</v>
      </c>
      <c r="J8" s="12" t="s">
        <v>1286</v>
      </c>
      <c r="K8" s="61">
        <v>46035</v>
      </c>
      <c r="L8" s="350" t="s">
        <v>1310</v>
      </c>
      <c r="M8" s="10">
        <f ca="1">IF(ISBLANK(K8), TODAY()-(I8), Table27[[#This Row],[Effectiveness Review &amp; date deemed effective]]-Table27[[#This Row],[PTO initialized date]])</f>
        <v>6</v>
      </c>
    </row>
    <row r="9" spans="1:14" s="4" customFormat="1" ht="18">
      <c r="A9" s="9" t="s">
        <v>1209</v>
      </c>
      <c r="B9" s="18">
        <f>VLOOKUP(Table27[[#This Row],[Location 
(drop-down)]],'List source'!D$2:E$71,2,FALSE)</f>
        <v>165</v>
      </c>
      <c r="C9" s="154" t="s">
        <v>1311</v>
      </c>
      <c r="D9" s="20" t="str">
        <f t="shared" si="0"/>
        <v>PTO0018-165-26</v>
      </c>
      <c r="E9" s="9" t="s">
        <v>1312</v>
      </c>
      <c r="F9" s="10" t="str" cm="1">
        <f t="array" aca="1" ref="F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9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D5769 - Aromatic Type</v>
      </c>
      <c r="H9" s="10">
        <v>2.25</v>
      </c>
      <c r="I9" s="12">
        <v>46029</v>
      </c>
      <c r="J9" s="12" t="s">
        <v>1286</v>
      </c>
      <c r="K9" s="61">
        <v>46037</v>
      </c>
      <c r="L9" s="260" t="s">
        <v>1292</v>
      </c>
      <c r="M9" s="10">
        <f ca="1">IF(ISBLANK(K9), TODAY()-(I9), Table27[[#This Row],[Effectiveness Review &amp; date deemed effective]]-Table27[[#This Row],[PTO initialized date]])</f>
        <v>8</v>
      </c>
    </row>
    <row r="10" spans="1:14" s="4" customFormat="1" ht="18">
      <c r="A10" s="9" t="s">
        <v>1209</v>
      </c>
      <c r="B10" s="18">
        <f>VLOOKUP(Table27[[#This Row],[Location 
(drop-down)]],'List source'!D$2:E$71,2,FALSE)</f>
        <v>165</v>
      </c>
      <c r="C10" s="154" t="s">
        <v>1313</v>
      </c>
      <c r="D10" s="194" t="str">
        <f t="shared" si="0"/>
        <v>PTO0019-165-26</v>
      </c>
      <c r="E10" s="9" t="s">
        <v>1314</v>
      </c>
      <c r="F10" s="10" t="str" cm="1">
        <f t="array" aca="1" ref="F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0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D5191 - Vapor Pressure</v>
      </c>
      <c r="H10" s="130" t="s">
        <v>1315</v>
      </c>
      <c r="I10" s="12">
        <v>46029</v>
      </c>
      <c r="J10" s="12" t="s">
        <v>1286</v>
      </c>
      <c r="K10" s="61">
        <v>46043</v>
      </c>
      <c r="L10" s="350" t="s">
        <v>1292</v>
      </c>
      <c r="M10" s="10">
        <f ca="1">IF(ISBLANK(K10), TODAY()-(I10), Table27[[#This Row],[Effectiveness Review &amp; date deemed effective]]-Table27[[#This Row],[PTO initialized date]])</f>
        <v>14</v>
      </c>
    </row>
    <row r="11" spans="1:14" s="4" customFormat="1" ht="18">
      <c r="A11" s="9" t="s">
        <v>1171</v>
      </c>
      <c r="B11" s="18">
        <f>VLOOKUP(Table27[[#This Row],[Location 
(drop-down)]],'List source'!D$2:E$71,2,FALSE)</f>
        <v>132</v>
      </c>
      <c r="C11" s="154" t="s">
        <v>1316</v>
      </c>
      <c r="D11" s="194" t="str">
        <f t="shared" si="0"/>
        <v>PTO0006-132-26</v>
      </c>
      <c r="E11" s="76" t="s">
        <v>1317</v>
      </c>
      <c r="F11" s="135" t="str" cm="1">
        <f t="array" aca="1" ref="F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1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D4815 - Oxygenates</v>
      </c>
      <c r="H11" s="158" t="s">
        <v>1318</v>
      </c>
      <c r="I11" s="12">
        <v>46029</v>
      </c>
      <c r="J11" s="12" t="s">
        <v>46</v>
      </c>
      <c r="K11" s="61">
        <v>46044</v>
      </c>
      <c r="L11" s="350" t="s">
        <v>1310</v>
      </c>
      <c r="M11" s="10">
        <f ca="1">IF(ISBLANK(K11), TODAY()-(I11), Table27[[#This Row],[Effectiveness Review &amp; date deemed effective]]-Table27[[#This Row],[PTO initialized date]])</f>
        <v>15</v>
      </c>
    </row>
    <row r="12" spans="1:14" s="4" customFormat="1" ht="28.9">
      <c r="A12" s="9" t="s">
        <v>40</v>
      </c>
      <c r="B12" s="18">
        <f>VLOOKUP(Table27[[#This Row],[Location 
(drop-down)]],'List source'!D$2:E$71,2,FALSE)</f>
        <v>210</v>
      </c>
      <c r="C12" s="154" t="s">
        <v>1319</v>
      </c>
      <c r="D12" s="20" t="str">
        <f t="shared" si="0"/>
        <v>PTO0024-210-26</v>
      </c>
      <c r="E12" s="9" t="s">
        <v>1320</v>
      </c>
      <c r="F12" s="10" t="str" cm="1">
        <f t="array" aca="1" ref="F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2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12" s="130" t="s">
        <v>1321</v>
      </c>
      <c r="I12" s="14">
        <v>46029</v>
      </c>
      <c r="J12" s="12" t="s">
        <v>1322</v>
      </c>
      <c r="K12" s="61">
        <v>46044</v>
      </c>
      <c r="L12" s="233"/>
      <c r="M12" s="10">
        <f ca="1">IF(ISBLANK(K12), TODAY()-(I12), Table27[[#This Row],[Effectiveness Review &amp; date deemed effective]]-Table27[[#This Row],[PTO initialized date]])</f>
        <v>15</v>
      </c>
    </row>
    <row r="13" spans="1:14" s="4" customFormat="1" ht="18">
      <c r="A13" s="9" t="s">
        <v>1233</v>
      </c>
      <c r="B13" s="18">
        <f>VLOOKUP(Table27[[#This Row],[Location 
(drop-down)]],'List source'!D$2:E$71,2,FALSE)</f>
        <v>139</v>
      </c>
      <c r="C13" s="154" t="s">
        <v>1323</v>
      </c>
      <c r="D13" s="20" t="str">
        <f t="shared" si="0"/>
        <v>PTO0011-139-26</v>
      </c>
      <c r="E13" s="76" t="s">
        <v>1324</v>
      </c>
      <c r="F13" s="135" t="str" cm="1">
        <f t="array" aca="1" ref="F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3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13" s="158">
        <v>32.78</v>
      </c>
      <c r="I13" s="12">
        <v>46029</v>
      </c>
      <c r="J13" s="12" t="s">
        <v>1286</v>
      </c>
      <c r="K13" s="61">
        <v>46045</v>
      </c>
      <c r="L13" s="233" t="s">
        <v>1293</v>
      </c>
      <c r="M13" s="10">
        <f ca="1">IF(ISBLANK(K13), TODAY()-(I13), Table27[[#This Row],[Effectiveness Review &amp; date deemed effective]]-Table27[[#This Row],[PTO initialized date]])</f>
        <v>16</v>
      </c>
    </row>
    <row r="14" spans="1:14" s="4" customFormat="1" ht="18">
      <c r="A14" s="9" t="s">
        <v>32</v>
      </c>
      <c r="B14" s="18">
        <f>VLOOKUP(Table27[[#This Row],[Location 
(drop-down)]],'List source'!D$2:E$71,2,FALSE)</f>
        <v>155</v>
      </c>
      <c r="C14" s="154" t="s">
        <v>1325</v>
      </c>
      <c r="D14" s="194" t="str">
        <f t="shared" si="0"/>
        <v>PTO0015-155-26</v>
      </c>
      <c r="E14" s="9" t="s">
        <v>1326</v>
      </c>
      <c r="F14" s="10" t="str" cm="1">
        <f t="array" aca="1" ref="F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4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D2622 - Sulfur</v>
      </c>
      <c r="H14" s="10">
        <v>2.21</v>
      </c>
      <c r="I14" s="12">
        <v>46029</v>
      </c>
      <c r="J14" s="12" t="s">
        <v>263</v>
      </c>
      <c r="K14" s="61">
        <v>46052</v>
      </c>
      <c r="L14" s="350" t="s">
        <v>1310</v>
      </c>
      <c r="M14" s="10">
        <f ca="1">IF(ISBLANK(K14), TODAY()-(I14), Table27[[#This Row],[Effectiveness Review &amp; date deemed effective]]-Table27[[#This Row],[PTO initialized date]])</f>
        <v>23</v>
      </c>
    </row>
    <row r="15" spans="1:14" s="4" customFormat="1" ht="18">
      <c r="A15" s="9" t="s">
        <v>1180</v>
      </c>
      <c r="B15" s="18">
        <f>VLOOKUP(Table27[[#This Row],[Location 
(drop-down)]],'List source'!D$2:E$71,2,FALSE)</f>
        <v>127</v>
      </c>
      <c r="C15" s="154" t="s">
        <v>1327</v>
      </c>
      <c r="D15" s="20" t="str">
        <f t="shared" si="0"/>
        <v>PTO0001-127-26</v>
      </c>
      <c r="E15" s="159" t="s">
        <v>1328</v>
      </c>
      <c r="F15" s="135" t="str" cm="1">
        <f t="array" aca="1" ref="F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5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15" s="10">
        <v>2.15</v>
      </c>
      <c r="I15" s="12">
        <v>46029</v>
      </c>
      <c r="J15" s="12"/>
      <c r="K15" s="61"/>
      <c r="L15" s="233"/>
      <c r="M15" s="10">
        <f ca="1">IF(ISBLANK(K15), TODAY()-(I15), Table27[[#This Row],[Effectiveness Review &amp; date deemed effective]]-Table27[[#This Row],[PTO initialized date]])</f>
        <v>38</v>
      </c>
    </row>
    <row r="16" spans="1:14" s="4" customFormat="1" ht="18">
      <c r="A16" s="9" t="s">
        <v>43</v>
      </c>
      <c r="B16" s="18">
        <f>VLOOKUP(Table27[[#This Row],[Location 
(drop-down)]],'List source'!D$2:E$71,2,FALSE)</f>
        <v>130</v>
      </c>
      <c r="C16" s="154" t="s">
        <v>1329</v>
      </c>
      <c r="D16" s="20" t="str">
        <f t="shared" si="0"/>
        <v>PTO0002-130-26</v>
      </c>
      <c r="E16" s="159" t="s">
        <v>1330</v>
      </c>
      <c r="F16" s="135" t="str" cm="1">
        <f t="array" aca="1" ref="F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6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D4052 - API Gravity &amp; Density</v>
      </c>
      <c r="H16" s="130" t="s">
        <v>1331</v>
      </c>
      <c r="I16" s="12">
        <v>46029</v>
      </c>
      <c r="J16" s="12"/>
      <c r="K16" s="61"/>
      <c r="L16" s="233"/>
      <c r="M16" s="10">
        <f ca="1">IF(ISBLANK(K16), TODAY()-(I16), Table27[[#This Row],[Effectiveness Review &amp; date deemed effective]]-Table27[[#This Row],[PTO initialized date]])</f>
        <v>38</v>
      </c>
    </row>
    <row r="17" spans="1:13" s="4" customFormat="1" ht="18">
      <c r="A17" s="9" t="s">
        <v>1171</v>
      </c>
      <c r="B17" s="18">
        <f>VLOOKUP(Table27[[#This Row],[Location 
(drop-down)]],'List source'!D$2:E$71,2,FALSE)</f>
        <v>132</v>
      </c>
      <c r="C17" s="154" t="s">
        <v>1332</v>
      </c>
      <c r="D17" s="20" t="str">
        <f t="shared" si="0"/>
        <v>PTO0005-132-26</v>
      </c>
      <c r="E17" s="76" t="s">
        <v>1333</v>
      </c>
      <c r="F17" s="135" t="str" cm="1">
        <f t="array" aca="1" ref="F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7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D5580 - Aromatic Type</v>
      </c>
      <c r="H17" s="158" t="s">
        <v>1334</v>
      </c>
      <c r="I17" s="12">
        <v>46029</v>
      </c>
      <c r="J17" s="12"/>
      <c r="K17" s="61"/>
      <c r="L17" s="233"/>
      <c r="M17" s="10">
        <f ca="1">IF(ISBLANK(K17), TODAY()-(I17), Table27[[#This Row],[Effectiveness Review &amp; date deemed effective]]-Table27[[#This Row],[PTO initialized date]])</f>
        <v>38</v>
      </c>
    </row>
    <row r="18" spans="1:13" s="4" customFormat="1" ht="18">
      <c r="A18" s="9" t="s">
        <v>1182</v>
      </c>
      <c r="B18" s="18">
        <f>VLOOKUP(Table27[[#This Row],[Location 
(drop-down)]],'List source'!D$2:E$71,2,FALSE)</f>
        <v>136</v>
      </c>
      <c r="C18" s="154" t="s">
        <v>1335</v>
      </c>
      <c r="D18" s="20" t="str">
        <f t="shared" si="0"/>
        <v>PTO0007-136-26</v>
      </c>
      <c r="E18" s="76" t="s">
        <v>1336</v>
      </c>
      <c r="F18" s="135" t="str" cm="1">
        <f t="array" aca="1" ref="F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8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D5769 - Aromatic Type</v>
      </c>
      <c r="H18" s="158" t="s">
        <v>1285</v>
      </c>
      <c r="I18" s="12">
        <v>46029</v>
      </c>
      <c r="J18" s="12"/>
      <c r="K18" s="61"/>
      <c r="L18" s="233"/>
      <c r="M18" s="10">
        <f ca="1">IF(ISBLANK(K18), TODAY()-(I18), Table27[[#This Row],[Effectiveness Review &amp; date deemed effective]]-Table27[[#This Row],[PTO initialized date]])</f>
        <v>38</v>
      </c>
    </row>
    <row r="19" spans="1:13" s="4" customFormat="1" ht="28.9">
      <c r="A19" s="9" t="s">
        <v>1182</v>
      </c>
      <c r="B19" s="18">
        <f>VLOOKUP(Table27[[#This Row],[Location 
(drop-down)]],'List source'!D$2:E$71,2,FALSE)</f>
        <v>136</v>
      </c>
      <c r="C19" s="154" t="s">
        <v>1337</v>
      </c>
      <c r="D19" s="20" t="str">
        <f t="shared" si="0"/>
        <v>PTO0008-136-26</v>
      </c>
      <c r="E19" s="76" t="s">
        <v>1338</v>
      </c>
      <c r="F19" s="135" t="str" cm="1">
        <f t="array" aca="1" ref="F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19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D1319 - HC Type</v>
      </c>
      <c r="H19" s="158" t="s">
        <v>1339</v>
      </c>
      <c r="I19" s="12">
        <v>46029</v>
      </c>
      <c r="J19" s="12"/>
      <c r="K19" s="61"/>
      <c r="L19" s="233"/>
      <c r="M19" s="10">
        <f ca="1">IF(ISBLANK(K19), TODAY()-(I19), Table27[[#This Row],[Effectiveness Review &amp; date deemed effective]]-Table27[[#This Row],[PTO initialized date]])</f>
        <v>38</v>
      </c>
    </row>
    <row r="20" spans="1:13" s="4" customFormat="1" ht="28.9">
      <c r="A20" s="9" t="s">
        <v>1182</v>
      </c>
      <c r="B20" s="18">
        <f>VLOOKUP(Table27[[#This Row],[Location 
(drop-down)]],'List source'!D$2:E$71,2,FALSE)</f>
        <v>136</v>
      </c>
      <c r="C20" s="154" t="s">
        <v>1340</v>
      </c>
      <c r="D20" s="194" t="str">
        <f t="shared" si="0"/>
        <v>PTO0009-136-26</v>
      </c>
      <c r="E20" s="76" t="s">
        <v>1341</v>
      </c>
      <c r="F20" s="135" t="str" cm="1">
        <f t="array" aca="1" ref="F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0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D5191 - Vapor Pressure</v>
      </c>
      <c r="H20" s="158" t="s">
        <v>1342</v>
      </c>
      <c r="I20" s="12">
        <v>46029</v>
      </c>
      <c r="J20" s="12"/>
      <c r="K20" s="61"/>
      <c r="L20" s="350" t="s">
        <v>1310</v>
      </c>
      <c r="M20" s="10">
        <f ca="1">IF(ISBLANK(K20), TODAY()-(I20), Table27[[#This Row],[Effectiveness Review &amp; date deemed effective]]-Table27[[#This Row],[PTO initialized date]])</f>
        <v>38</v>
      </c>
    </row>
    <row r="21" spans="1:13" s="4" customFormat="1" ht="18">
      <c r="A21" s="9" t="s">
        <v>1233</v>
      </c>
      <c r="B21" s="18">
        <f>VLOOKUP(Table27[[#This Row],[Location 
(drop-down)]],'List source'!D$2:E$71,2,FALSE)</f>
        <v>139</v>
      </c>
      <c r="C21" s="154" t="s">
        <v>1343</v>
      </c>
      <c r="D21" s="20" t="str">
        <f t="shared" si="0"/>
        <v>PTO0010-139-26</v>
      </c>
      <c r="E21" s="76" t="s">
        <v>1344</v>
      </c>
      <c r="F21" s="135" t="str" cm="1">
        <f t="array" aca="1" ref="F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1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D5769 - Aromatic Type</v>
      </c>
      <c r="H21" s="158" t="s">
        <v>1345</v>
      </c>
      <c r="I21" s="12">
        <v>46029</v>
      </c>
      <c r="J21" s="12"/>
      <c r="K21" s="61"/>
      <c r="L21" s="233"/>
      <c r="M21" s="10">
        <f ca="1">IF(ISBLANK(K21), TODAY()-(I21), Table27[[#This Row],[Effectiveness Review &amp; date deemed effective]]-Table27[[#This Row],[PTO initialized date]])</f>
        <v>38</v>
      </c>
    </row>
    <row r="22" spans="1:13" s="4" customFormat="1" ht="18.75">
      <c r="A22" s="9" t="s">
        <v>1233</v>
      </c>
      <c r="B22" s="18">
        <f>VLOOKUP(Table27[[#This Row],[Location 
(drop-down)]],'List source'!D$2:E$71,2,FALSE)</f>
        <v>139</v>
      </c>
      <c r="C22" s="154" t="s">
        <v>1346</v>
      </c>
      <c r="D22" s="194" t="str">
        <f t="shared" si="0"/>
        <v>PTO0012-139-26</v>
      </c>
      <c r="E22" s="133" t="s">
        <v>1347</v>
      </c>
      <c r="F22" s="135" t="str" cm="1">
        <f t="array" aca="1" ref="F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2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D5453 - Sulfur</v>
      </c>
      <c r="H22" s="177">
        <v>2.2200000000000002</v>
      </c>
      <c r="I22" s="12">
        <v>46029</v>
      </c>
      <c r="J22" s="12" t="s">
        <v>1286</v>
      </c>
      <c r="K22" s="61">
        <v>46063</v>
      </c>
      <c r="L22" s="350" t="s">
        <v>1292</v>
      </c>
      <c r="M22" s="10">
        <f ca="1">IF(ISBLANK(K22), TODAY()-(I22), Table27[[#This Row],[Effectiveness Review &amp; date deemed effective]]-Table27[[#This Row],[PTO initialized date]])</f>
        <v>34</v>
      </c>
    </row>
    <row r="23" spans="1:13" s="4" customFormat="1" ht="18">
      <c r="A23" s="9" t="s">
        <v>1216</v>
      </c>
      <c r="B23" s="18">
        <f>VLOOKUP(Table27[[#This Row],[Location 
(drop-down)]],'List source'!D$2:E$71,2,FALSE)</f>
        <v>146</v>
      </c>
      <c r="C23" s="154" t="s">
        <v>1348</v>
      </c>
      <c r="D23" s="20" t="str">
        <f t="shared" si="0"/>
        <v>PTO0014-146-26</v>
      </c>
      <c r="E23" s="9" t="s">
        <v>1349</v>
      </c>
      <c r="F23" s="10" t="str" cm="1">
        <f t="array" aca="1" ref="F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3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D1319 - HC Type</v>
      </c>
      <c r="H23" s="10" t="s">
        <v>1350</v>
      </c>
      <c r="I23" s="12">
        <v>46029</v>
      </c>
      <c r="J23" s="12"/>
      <c r="K23" s="61"/>
      <c r="L23" s="233"/>
      <c r="M23" s="10">
        <f ca="1">IF(ISBLANK(K23), TODAY()-(I23), Table27[[#This Row],[Effectiveness Review &amp; date deemed effective]]-Table27[[#This Row],[PTO initialized date]])</f>
        <v>38</v>
      </c>
    </row>
    <row r="24" spans="1:13" s="4" customFormat="1" ht="18">
      <c r="A24" s="9" t="s">
        <v>1209</v>
      </c>
      <c r="B24" s="18">
        <f>VLOOKUP(Table27[[#This Row],[Location 
(drop-down)]],'List source'!D$2:E$71,2,FALSE)</f>
        <v>165</v>
      </c>
      <c r="C24" s="154" t="s">
        <v>1351</v>
      </c>
      <c r="D24" s="20" t="str">
        <f t="shared" si="0"/>
        <v>PTO0016-165-26</v>
      </c>
      <c r="E24" s="9" t="s">
        <v>1352</v>
      </c>
      <c r="F24" s="10" t="str" cm="1">
        <f t="array" aca="1" ref="F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4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24" s="130" t="s">
        <v>1353</v>
      </c>
      <c r="I24" s="12">
        <v>46029</v>
      </c>
      <c r="J24" s="12"/>
      <c r="K24" s="61"/>
      <c r="L24" s="233"/>
      <c r="M24" s="10">
        <f ca="1">IF(ISBLANK(K24), TODAY()-(I24), Table27[[#This Row],[Effectiveness Review &amp; date deemed effective]]-Table27[[#This Row],[PTO initialized date]])</f>
        <v>38</v>
      </c>
    </row>
    <row r="25" spans="1:13" s="4" customFormat="1" ht="18">
      <c r="A25" s="9" t="s">
        <v>308</v>
      </c>
      <c r="B25" s="18">
        <f>VLOOKUP(Table27[[#This Row],[Location 
(drop-down)]],'List source'!D$2:E$71,2,FALSE)</f>
        <v>170</v>
      </c>
      <c r="C25" s="154" t="s">
        <v>1354</v>
      </c>
      <c r="D25" s="41" t="str">
        <f t="shared" si="0"/>
        <v>PTO0020-170-26</v>
      </c>
      <c r="E25" s="9" t="s">
        <v>1355</v>
      </c>
      <c r="F25" s="10" t="str" cm="1">
        <f t="array" aca="1" ref="F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5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25" s="130">
        <v>2.0099999999999998</v>
      </c>
      <c r="I25" s="12">
        <v>46029</v>
      </c>
      <c r="J25" s="12"/>
      <c r="K25" s="61"/>
      <c r="L25" s="233"/>
      <c r="M25" s="10">
        <f ca="1">IF(ISBLANK(K25), TODAY()-(I25), Table27[[#This Row],[Effectiveness Review &amp; date deemed effective]]-Table27[[#This Row],[PTO initialized date]])</f>
        <v>38</v>
      </c>
    </row>
    <row r="26" spans="1:13" s="4" customFormat="1" ht="18">
      <c r="A26" s="9" t="s">
        <v>1162</v>
      </c>
      <c r="B26" s="18">
        <f>VLOOKUP(Table27[[#This Row],[Location 
(drop-down)]],'List source'!D$2:E$71,2,FALSE)</f>
        <v>215</v>
      </c>
      <c r="C26" s="154" t="s">
        <v>1356</v>
      </c>
      <c r="D26" s="20" t="str">
        <f t="shared" si="0"/>
        <v>PTO0025-215-26</v>
      </c>
      <c r="E26" s="75" t="s">
        <v>1357</v>
      </c>
      <c r="F26" s="13" t="str" cm="1">
        <f t="array" aca="1" ref="F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RFG</v>
      </c>
      <c r="G26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D86 - Distillation</v>
      </c>
      <c r="H26" s="11" t="s">
        <v>1358</v>
      </c>
      <c r="I26" s="12">
        <v>46029</v>
      </c>
      <c r="J26" s="12"/>
      <c r="K26" s="61"/>
      <c r="L26" s="233"/>
      <c r="M26" s="10">
        <f ca="1">IF(ISBLANK(K26), TODAY()-(I26), Table27[[#This Row],[Effectiveness Review &amp; date deemed effective]]-Table27[[#This Row],[PTO initialized date]])</f>
        <v>38</v>
      </c>
    </row>
    <row r="27" spans="1:13" s="4" customFormat="1" ht="18.75">
      <c r="A27" s="9" t="s">
        <v>43</v>
      </c>
      <c r="B27" s="18">
        <f>VLOOKUP(Table27[[#This Row],[Location 
(drop-down)]],'List source'!D$2:E$71,2,FALSE)</f>
        <v>130</v>
      </c>
      <c r="C27" s="154" t="s">
        <v>1359</v>
      </c>
      <c r="D27" s="20" t="str">
        <f t="shared" si="0"/>
        <v>PTO0026-130-26</v>
      </c>
      <c r="E27" s="9" t="s">
        <v>1360</v>
      </c>
      <c r="F27" s="10" t="s">
        <v>1361</v>
      </c>
      <c r="G27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D2699 &amp; D2700 - Octane Number</v>
      </c>
      <c r="H27" s="10" t="s">
        <v>1362</v>
      </c>
      <c r="I27" s="12">
        <v>46051</v>
      </c>
      <c r="J27" s="12" t="s">
        <v>46</v>
      </c>
      <c r="K27" s="61">
        <v>46056</v>
      </c>
      <c r="L27" s="233"/>
      <c r="M27" s="10">
        <f ca="1">IF(ISBLANK(K27), TODAY()-(I27), Table27[[#This Row],[Effectiveness Review &amp; date deemed effective]]-Table27[[#This Row],[PTO initialized date]])</f>
        <v>5</v>
      </c>
    </row>
    <row r="28" spans="1:13" s="4" customFormat="1" ht="30.75">
      <c r="A28" s="9" t="s">
        <v>43</v>
      </c>
      <c r="B28" s="18">
        <f>VLOOKUP(Table27[[#This Row],[Location 
(drop-down)]],'List source'!D$2:E$71,2,FALSE)</f>
        <v>130</v>
      </c>
      <c r="C28" s="154" t="s">
        <v>1363</v>
      </c>
      <c r="D28" s="20" t="str">
        <f t="shared" si="0"/>
        <v>PTO0027-130-26</v>
      </c>
      <c r="E28" s="9" t="s">
        <v>1364</v>
      </c>
      <c r="F28" s="10" t="s">
        <v>1361</v>
      </c>
      <c r="G28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D2699 &amp; D2700 - Octane Number &amp; Duplicate</v>
      </c>
      <c r="H28" s="10" t="s">
        <v>1362</v>
      </c>
      <c r="I28" s="12">
        <v>46051</v>
      </c>
      <c r="J28" s="12" t="s">
        <v>46</v>
      </c>
      <c r="K28" s="61">
        <v>46056</v>
      </c>
      <c r="L28" s="233"/>
      <c r="M28" s="10">
        <f ca="1">IF(ISBLANK(K28), TODAY()-(I28), Table27[[#This Row],[Effectiveness Review &amp; date deemed effective]]-Table27[[#This Row],[PTO initialized date]])</f>
        <v>5</v>
      </c>
    </row>
    <row r="29" spans="1:13" s="4" customFormat="1" ht="30.75">
      <c r="A29" s="9" t="s">
        <v>43</v>
      </c>
      <c r="B29" s="18">
        <f>VLOOKUP(Table27[[#This Row],[Location 
(drop-down)]],'List source'!D$2:E$71,2,FALSE)</f>
        <v>130</v>
      </c>
      <c r="C29" s="154" t="s">
        <v>1365</v>
      </c>
      <c r="D29" s="20" t="str">
        <f t="shared" si="0"/>
        <v>PTO0028-130-26</v>
      </c>
      <c r="E29" s="9" t="s">
        <v>1366</v>
      </c>
      <c r="F29" s="10" t="s">
        <v>1361</v>
      </c>
      <c r="G29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D2699 &amp; D2700 - Octane Number &amp; Duplicate</v>
      </c>
      <c r="H29" s="10" t="s">
        <v>1362</v>
      </c>
      <c r="I29" s="12">
        <v>46051</v>
      </c>
      <c r="J29" s="12" t="s">
        <v>46</v>
      </c>
      <c r="K29" s="61">
        <v>46056</v>
      </c>
      <c r="L29" s="233"/>
      <c r="M29" s="10">
        <f ca="1">IF(ISBLANK(K29), TODAY()-(I29), Table27[[#This Row],[Effectiveness Review &amp; date deemed effective]]-Table27[[#This Row],[PTO initialized date]])</f>
        <v>5</v>
      </c>
    </row>
    <row r="30" spans="1:13" s="4" customFormat="1" ht="18">
      <c r="A30" s="9" t="s">
        <v>1201</v>
      </c>
      <c r="B30" s="18">
        <f>VLOOKUP(Table27[[#This Row],[Location 
(drop-down)]],'List source'!D$2:E$71,2,FALSE)</f>
        <v>120</v>
      </c>
      <c r="C30" s="154" t="s">
        <v>1367</v>
      </c>
      <c r="D30" s="20" t="str">
        <f t="shared" si="0"/>
        <v>PTO0029-120-26</v>
      </c>
      <c r="E30" s="9" t="s">
        <v>1368</v>
      </c>
      <c r="F30" s="10" t="str" cm="1">
        <f t="array" aca="1" ref="F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NP</v>
      </c>
      <c r="G30" s="156" t="str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D5443 - HC Type</v>
      </c>
      <c r="H30" s="130" t="s">
        <v>1369</v>
      </c>
      <c r="I30" s="12">
        <v>46051</v>
      </c>
      <c r="J30" s="12" t="s">
        <v>1286</v>
      </c>
      <c r="K30" s="61">
        <v>46055</v>
      </c>
      <c r="L30" s="233" t="s">
        <v>1292</v>
      </c>
      <c r="M30" s="10">
        <f ca="1">IF(ISBLANK(K30), TODAY()-(I30), Table27[[#This Row],[Effectiveness Review &amp; date deemed effective]]-Table27[[#This Row],[PTO initialized date]])</f>
        <v>4</v>
      </c>
    </row>
    <row r="31" spans="1:13" s="4" customFormat="1" ht="18.75">
      <c r="A31" s="9"/>
      <c r="B31" s="18" t="e">
        <f>VLOOKUP(Table27[[#This Row],[Location 
(drop-down)]],'List source'!D$2:E$71,2,FALSE)</f>
        <v>#N/A</v>
      </c>
      <c r="C31" s="154" t="s">
        <v>1370</v>
      </c>
      <c r="D31" s="20" t="e">
        <f t="shared" si="0"/>
        <v>#N/A</v>
      </c>
      <c r="E31" s="9"/>
      <c r="F31" s="10" t="e" cm="1">
        <f t="array" aca="1" ref="F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" s="10"/>
      <c r="I31" s="12"/>
      <c r="J31" s="12"/>
      <c r="K31" s="61"/>
      <c r="L31" s="260"/>
      <c r="M31" s="10">
        <f ca="1">IF(ISBLANK(K31), TODAY()-(I31), Table27[[#This Row],[Effectiveness Review &amp; date deemed effective]]-Table27[[#This Row],[PTO initialized date]])</f>
        <v>46067</v>
      </c>
    </row>
    <row r="32" spans="1:13" s="4" customFormat="1" ht="18.75">
      <c r="A32" s="9"/>
      <c r="B32" s="18" t="e">
        <f>VLOOKUP(Table27[[#This Row],[Location 
(drop-down)]],'List source'!D$2:E$71,2,FALSE)</f>
        <v>#N/A</v>
      </c>
      <c r="C32" s="154" t="s">
        <v>1371</v>
      </c>
      <c r="D32" s="20" t="e">
        <f t="shared" si="0"/>
        <v>#N/A</v>
      </c>
      <c r="E32" s="292"/>
      <c r="F32" s="315" t="e" cm="1">
        <f t="array" aca="1" ref="F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" s="332"/>
      <c r="I32" s="12"/>
      <c r="J32" s="12"/>
      <c r="K32" s="61"/>
      <c r="L32" s="233"/>
      <c r="M32" s="10">
        <f ca="1">IF(ISBLANK(K32), TODAY()-(I32), Table27[[#This Row],[Effectiveness Review &amp; date deemed effective]]-Table27[[#This Row],[PTO initialized date]])</f>
        <v>46067</v>
      </c>
    </row>
    <row r="33" spans="1:13" s="4" customFormat="1" ht="18.75">
      <c r="A33" s="9"/>
      <c r="B33" s="18" t="e">
        <f>VLOOKUP(Table27[[#This Row],[Location 
(drop-down)]],'List source'!D$2:E$71,2,FALSE)</f>
        <v>#N/A</v>
      </c>
      <c r="C33" s="154" t="s">
        <v>1372</v>
      </c>
      <c r="D33" s="20" t="e">
        <f t="shared" si="0"/>
        <v>#N/A</v>
      </c>
      <c r="E33" s="9"/>
      <c r="F33" s="10" t="e" cm="1">
        <f t="array" aca="1" ref="F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" s="10"/>
      <c r="I33" s="12"/>
      <c r="J33" s="12"/>
      <c r="K33" s="61"/>
      <c r="L33" s="233"/>
      <c r="M33" s="10">
        <f ca="1">IF(ISBLANK(K33), TODAY()-(I33), Table27[[#This Row],[Effectiveness Review &amp; date deemed effective]]-Table27[[#This Row],[PTO initialized date]])</f>
        <v>46067</v>
      </c>
    </row>
    <row r="34" spans="1:13" s="4" customFormat="1" ht="18">
      <c r="A34" s="9"/>
      <c r="B34" s="18" t="e">
        <f>VLOOKUP(Table27[[#This Row],[Location 
(drop-down)]],'List source'!D$2:E$71,2,FALSE)</f>
        <v>#N/A</v>
      </c>
      <c r="C34" s="154" t="s">
        <v>1373</v>
      </c>
      <c r="D34" s="20" t="e">
        <f t="shared" si="0"/>
        <v>#N/A</v>
      </c>
      <c r="E34" s="9"/>
      <c r="F34" s="10" t="e" cm="1">
        <f t="array" aca="1" ref="F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" s="130"/>
      <c r="I34" s="12"/>
      <c r="J34" s="12"/>
      <c r="K34" s="61"/>
      <c r="L34" s="233"/>
      <c r="M34" s="10">
        <f ca="1">IF(ISBLANK(K34), TODAY()-(I34), Table27[[#This Row],[Effectiveness Review &amp; date deemed effective]]-Table27[[#This Row],[PTO initialized date]])</f>
        <v>46067</v>
      </c>
    </row>
    <row r="35" spans="1:13" s="4" customFormat="1" ht="18">
      <c r="A35" s="9"/>
      <c r="B35" s="18" t="e">
        <f>VLOOKUP(Table27[[#This Row],[Location 
(drop-down)]],'List source'!D$2:E$71,2,FALSE)</f>
        <v>#N/A</v>
      </c>
      <c r="C35" s="154" t="s">
        <v>1374</v>
      </c>
      <c r="D35" s="20" t="e">
        <f t="shared" si="0"/>
        <v>#N/A</v>
      </c>
      <c r="E35" s="62"/>
      <c r="F35" s="10" t="e" cm="1">
        <f t="array" aca="1" ref="F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" s="130"/>
      <c r="I35" s="12"/>
      <c r="J35" s="12"/>
      <c r="K35" s="61"/>
      <c r="L35" s="233"/>
      <c r="M35" s="10">
        <f ca="1">IF(ISBLANK(K35), TODAY()-(I35), Table27[[#This Row],[Effectiveness Review &amp; date deemed effective]]-Table27[[#This Row],[PTO initialized date]])</f>
        <v>46067</v>
      </c>
    </row>
    <row r="36" spans="1:13" s="4" customFormat="1" ht="18">
      <c r="A36" s="9"/>
      <c r="B36" s="18" t="e">
        <f>VLOOKUP(Table27[[#This Row],[Location 
(drop-down)]],'List source'!D$2:E$71,2,FALSE)</f>
        <v>#N/A</v>
      </c>
      <c r="C36" s="154" t="s">
        <v>1375</v>
      </c>
      <c r="D36" s="20" t="e">
        <f t="shared" si="0"/>
        <v>#N/A</v>
      </c>
      <c r="E36" s="9"/>
      <c r="F36" s="10" t="e" cm="1">
        <f t="array" aca="1" ref="F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" s="10"/>
      <c r="I36" s="12"/>
      <c r="J36" s="12"/>
      <c r="K36" s="61"/>
      <c r="L36" s="233"/>
      <c r="M36" s="10">
        <f ca="1">IF(ISBLANK(K36), TODAY()-(I36), Table27[[#This Row],[Effectiveness Review &amp; date deemed effective]]-Table27[[#This Row],[PTO initialized date]])</f>
        <v>46067</v>
      </c>
    </row>
    <row r="37" spans="1:13" s="4" customFormat="1" ht="18">
      <c r="A37" s="9"/>
      <c r="B37" s="18" t="e">
        <f>VLOOKUP(Table27[[#This Row],[Location 
(drop-down)]],'List source'!D$2:E$71,2,FALSE)</f>
        <v>#N/A</v>
      </c>
      <c r="C37" s="154" t="s">
        <v>1376</v>
      </c>
      <c r="D37" s="20" t="e">
        <f t="shared" si="0"/>
        <v>#N/A</v>
      </c>
      <c r="E37" s="9"/>
      <c r="F37" s="10" t="e" cm="1">
        <f t="array" aca="1" ref="F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" s="10"/>
      <c r="I37" s="12"/>
      <c r="J37" s="12"/>
      <c r="K37" s="61"/>
      <c r="L37" s="233"/>
      <c r="M37" s="10">
        <f ca="1">IF(ISBLANK(K37), TODAY()-(I37), Table27[[#This Row],[Effectiveness Review &amp; date deemed effective]]-Table27[[#This Row],[PTO initialized date]])</f>
        <v>46067</v>
      </c>
    </row>
    <row r="38" spans="1:13" s="4" customFormat="1" ht="18">
      <c r="A38" s="9"/>
      <c r="B38" s="18" t="e">
        <f>VLOOKUP(Table27[[#This Row],[Location 
(drop-down)]],'List source'!D$2:E$71,2,FALSE)</f>
        <v>#N/A</v>
      </c>
      <c r="C38" s="154" t="s">
        <v>1377</v>
      </c>
      <c r="D38" s="20" t="e">
        <f t="shared" si="0"/>
        <v>#N/A</v>
      </c>
      <c r="E38" s="9"/>
      <c r="F38" s="10" t="e" cm="1">
        <f t="array" aca="1" ref="F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" s="10"/>
      <c r="I38" s="12"/>
      <c r="J38" s="12"/>
      <c r="K38" s="61"/>
      <c r="L38" s="233"/>
      <c r="M38" s="10">
        <f ca="1">IF(ISBLANK(K38), TODAY()-(I38), Table27[[#This Row],[Effectiveness Review &amp; date deemed effective]]-Table27[[#This Row],[PTO initialized date]])</f>
        <v>46067</v>
      </c>
    </row>
    <row r="39" spans="1:13" s="4" customFormat="1" ht="18">
      <c r="A39" s="9"/>
      <c r="B39" s="18" t="e">
        <f>VLOOKUP(Table27[[#This Row],[Location 
(drop-down)]],'List source'!D$2:E$71,2,FALSE)</f>
        <v>#N/A</v>
      </c>
      <c r="C39" s="154" t="s">
        <v>1378</v>
      </c>
      <c r="D39" s="20" t="e">
        <f t="shared" si="0"/>
        <v>#N/A</v>
      </c>
      <c r="E39" s="9"/>
      <c r="F39" s="10" t="e" cm="1">
        <f t="array" aca="1" ref="F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" s="10"/>
      <c r="I39" s="12"/>
      <c r="J39" s="12"/>
      <c r="K39" s="61"/>
      <c r="L39" s="233"/>
      <c r="M39" s="10">
        <f ca="1">IF(ISBLANK(K39), TODAY()-(I39), Table27[[#This Row],[Effectiveness Review &amp; date deemed effective]]-Table27[[#This Row],[PTO initialized date]])</f>
        <v>46067</v>
      </c>
    </row>
    <row r="40" spans="1:13" s="4" customFormat="1" ht="18">
      <c r="A40" s="9"/>
      <c r="B40" s="18" t="e">
        <f>VLOOKUP(Table27[[#This Row],[Location 
(drop-down)]],'List source'!D$2:E$71,2,FALSE)</f>
        <v>#N/A</v>
      </c>
      <c r="C40" s="154" t="s">
        <v>1379</v>
      </c>
      <c r="D40" s="20" t="e">
        <f t="shared" si="0"/>
        <v>#N/A</v>
      </c>
      <c r="E40" s="9"/>
      <c r="F40" s="10" t="e" cm="1">
        <f t="array" aca="1" ref="F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" s="10"/>
      <c r="I40" s="12"/>
      <c r="J40" s="12"/>
      <c r="K40" s="61"/>
      <c r="L40" s="233"/>
      <c r="M40" s="10">
        <f ca="1">IF(ISBLANK(K40), TODAY()-(I40), Table27[[#This Row],[Effectiveness Review &amp; date deemed effective]]-Table27[[#This Row],[PTO initialized date]])</f>
        <v>46067</v>
      </c>
    </row>
    <row r="41" spans="1:13" s="4" customFormat="1" ht="18">
      <c r="A41" s="9"/>
      <c r="B41" s="18" t="e">
        <f>VLOOKUP(Table27[[#This Row],[Location 
(drop-down)]],'List source'!D$2:E$71,2,FALSE)</f>
        <v>#N/A</v>
      </c>
      <c r="C41" s="154" t="s">
        <v>1380</v>
      </c>
      <c r="D41" s="20" t="e">
        <f t="shared" si="0"/>
        <v>#N/A</v>
      </c>
      <c r="E41" s="9"/>
      <c r="F41" s="10" t="e" cm="1">
        <f t="array" aca="1" ref="F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" s="130"/>
      <c r="I41" s="12"/>
      <c r="J41" s="12"/>
      <c r="K41" s="61"/>
      <c r="L41" s="233"/>
      <c r="M41" s="10">
        <f ca="1">IF(ISBLANK(K41), TODAY()-(I41), Table27[[#This Row],[Effectiveness Review &amp; date deemed effective]]-Table27[[#This Row],[PTO initialized date]])</f>
        <v>46067</v>
      </c>
    </row>
    <row r="42" spans="1:13" s="4" customFormat="1" ht="18">
      <c r="A42" s="9"/>
      <c r="B42" s="18" t="e">
        <f>VLOOKUP(Table27[[#This Row],[Location 
(drop-down)]],'List source'!D$2:E$71,2,FALSE)</f>
        <v>#N/A</v>
      </c>
      <c r="C42" s="154" t="s">
        <v>1381</v>
      </c>
      <c r="D42" s="20" t="e">
        <f t="shared" si="0"/>
        <v>#N/A</v>
      </c>
      <c r="E42" s="67"/>
      <c r="F42" s="28" t="e" cm="1">
        <f t="array" aca="1" ref="F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" s="28"/>
      <c r="I42" s="12"/>
      <c r="J42" s="12"/>
      <c r="K42" s="61"/>
      <c r="L42" s="233"/>
      <c r="M42" s="10">
        <f ca="1">IF(ISBLANK(K42), TODAY()-(I42), Table27[[#This Row],[Effectiveness Review &amp; date deemed effective]]-Table27[[#This Row],[PTO initialized date]])</f>
        <v>46067</v>
      </c>
    </row>
    <row r="43" spans="1:13" s="4" customFormat="1" ht="18">
      <c r="A43" s="9"/>
      <c r="B43" s="18" t="e">
        <f>VLOOKUP(Table27[[#This Row],[Location 
(drop-down)]],'List source'!D$2:E$71,2,FALSE)</f>
        <v>#N/A</v>
      </c>
      <c r="C43" s="154" t="s">
        <v>1382</v>
      </c>
      <c r="D43" s="20" t="e">
        <f t="shared" si="0"/>
        <v>#N/A</v>
      </c>
      <c r="E43" s="9"/>
      <c r="F43" s="10" t="e" cm="1">
        <f t="array" aca="1" ref="F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" s="10"/>
      <c r="I43" s="12"/>
      <c r="J43" s="12"/>
      <c r="K43" s="61"/>
      <c r="L43" s="233"/>
      <c r="M43" s="10">
        <f ca="1">IF(ISBLANK(K43), TODAY()-(I43), Table27[[#This Row],[Effectiveness Review &amp; date deemed effective]]-Table27[[#This Row],[PTO initialized date]])</f>
        <v>46067</v>
      </c>
    </row>
    <row r="44" spans="1:13" s="4" customFormat="1" ht="18">
      <c r="A44" s="9"/>
      <c r="B44" s="18" t="e">
        <f>VLOOKUP(Table27[[#This Row],[Location 
(drop-down)]],'List source'!D$2:E$71,2,FALSE)</f>
        <v>#N/A</v>
      </c>
      <c r="C44" s="154" t="s">
        <v>1383</v>
      </c>
      <c r="D44" s="20" t="e">
        <f t="shared" si="0"/>
        <v>#N/A</v>
      </c>
      <c r="E44" s="9"/>
      <c r="F44" s="10" t="e" cm="1">
        <f t="array" aca="1" ref="F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" s="10"/>
      <c r="I44" s="12"/>
      <c r="J44" s="12"/>
      <c r="K44" s="61"/>
      <c r="L44" s="233"/>
      <c r="M44" s="10">
        <f ca="1">IF(ISBLANK(K44), TODAY()-(I44), Table27[[#This Row],[Effectiveness Review &amp; date deemed effective]]-Table27[[#This Row],[PTO initialized date]])</f>
        <v>46067</v>
      </c>
    </row>
    <row r="45" spans="1:13" s="4" customFormat="1" ht="18">
      <c r="A45" s="9"/>
      <c r="B45" s="18" t="e">
        <f>VLOOKUP(Table27[[#This Row],[Location 
(drop-down)]],'List source'!D$2:E$71,2,FALSE)</f>
        <v>#N/A</v>
      </c>
      <c r="C45" s="154" t="s">
        <v>1384</v>
      </c>
      <c r="D45" s="20" t="e">
        <f t="shared" si="0"/>
        <v>#N/A</v>
      </c>
      <c r="E45" s="9"/>
      <c r="F45" s="10" t="e" cm="1">
        <f t="array" aca="1" ref="F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" s="10"/>
      <c r="I45" s="12"/>
      <c r="J45" s="12"/>
      <c r="K45" s="61"/>
      <c r="L45" s="233"/>
      <c r="M45" s="10">
        <f ca="1">IF(ISBLANK(K45), TODAY()-(I45), Table27[[#This Row],[Effectiveness Review &amp; date deemed effective]]-Table27[[#This Row],[PTO initialized date]])</f>
        <v>46067</v>
      </c>
    </row>
    <row r="46" spans="1:13" s="4" customFormat="1" ht="18">
      <c r="A46" s="9"/>
      <c r="B46" s="18" t="e">
        <f>VLOOKUP(Table27[[#This Row],[Location 
(drop-down)]],'List source'!D$2:E$71,2,FALSE)</f>
        <v>#N/A</v>
      </c>
      <c r="C46" s="154" t="s">
        <v>1385</v>
      </c>
      <c r="D46" s="20" t="e">
        <f t="shared" si="0"/>
        <v>#N/A</v>
      </c>
      <c r="E46" s="9"/>
      <c r="F46" s="10" t="e" cm="1">
        <f t="array" aca="1" ref="F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" s="130"/>
      <c r="I46" s="12"/>
      <c r="J46" s="12"/>
      <c r="K46" s="61"/>
      <c r="L46" s="233"/>
      <c r="M46" s="10">
        <f ca="1">IF(ISBLANK(K46), TODAY()-(I46), Table27[[#This Row],[Effectiveness Review &amp; date deemed effective]]-Table27[[#This Row],[PTO initialized date]])</f>
        <v>46067</v>
      </c>
    </row>
    <row r="47" spans="1:13" s="4" customFormat="1" ht="18">
      <c r="A47" s="9"/>
      <c r="B47" s="18" t="e">
        <f>VLOOKUP(Table27[[#This Row],[Location 
(drop-down)]],'List source'!D$2:E$71,2,FALSE)</f>
        <v>#N/A</v>
      </c>
      <c r="C47" s="154" t="s">
        <v>1386</v>
      </c>
      <c r="D47" s="20" t="e">
        <f t="shared" si="0"/>
        <v>#N/A</v>
      </c>
      <c r="E47" s="9"/>
      <c r="F47" s="10" t="e" cm="1">
        <f t="array" aca="1" ref="F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" s="10"/>
      <c r="I47" s="12"/>
      <c r="J47" s="12"/>
      <c r="K47" s="61"/>
      <c r="L47" s="233"/>
      <c r="M47" s="10">
        <f ca="1">IF(ISBLANK(K47), TODAY()-(I47), Table27[[#This Row],[Effectiveness Review &amp; date deemed effective]]-Table27[[#This Row],[PTO initialized date]])</f>
        <v>46067</v>
      </c>
    </row>
    <row r="48" spans="1:13" s="4" customFormat="1" ht="18">
      <c r="A48" s="9"/>
      <c r="B48" s="18" t="e">
        <f>VLOOKUP(Table27[[#This Row],[Location 
(drop-down)]],'List source'!D$2:E$71,2,FALSE)</f>
        <v>#N/A</v>
      </c>
      <c r="C48" s="154" t="s">
        <v>1387</v>
      </c>
      <c r="D48" s="20" t="e">
        <f t="shared" si="0"/>
        <v>#N/A</v>
      </c>
      <c r="E48" s="159"/>
      <c r="F48" s="85" t="e" cm="1">
        <f t="array" aca="1" ref="F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" s="185"/>
      <c r="I48" s="12"/>
      <c r="J48" s="12"/>
      <c r="K48" s="61"/>
      <c r="L48" s="233"/>
      <c r="M48" s="10">
        <f ca="1">IF(ISBLANK(K48), TODAY()-(I48), Table27[[#This Row],[Effectiveness Review &amp; date deemed effective]]-Table27[[#This Row],[PTO initialized date]])</f>
        <v>46067</v>
      </c>
    </row>
    <row r="49" spans="1:13" s="4" customFormat="1" ht="18">
      <c r="A49" s="9"/>
      <c r="B49" s="18" t="e">
        <f>VLOOKUP(Table27[[#This Row],[Location 
(drop-down)]],'List source'!D$2:E$71,2,FALSE)</f>
        <v>#N/A</v>
      </c>
      <c r="C49" s="154" t="s">
        <v>1388</v>
      </c>
      <c r="D49" s="20" t="e">
        <f t="shared" si="0"/>
        <v>#N/A</v>
      </c>
      <c r="E49" s="129"/>
      <c r="F49" s="124" t="e" cm="1">
        <f t="array" aca="1" ref="F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" s="155"/>
      <c r="I49" s="12"/>
      <c r="J49" s="12"/>
      <c r="K49" s="61"/>
      <c r="L49" s="233"/>
      <c r="M49" s="10">
        <f ca="1">IF(ISBLANK(K49), TODAY()-(I49), Table27[[#This Row],[Effectiveness Review &amp; date deemed effective]]-Table27[[#This Row],[PTO initialized date]])</f>
        <v>46067</v>
      </c>
    </row>
    <row r="50" spans="1:13" s="4" customFormat="1" ht="18">
      <c r="A50" s="9"/>
      <c r="B50" s="18" t="e">
        <f>VLOOKUP(Table27[[#This Row],[Location 
(drop-down)]],'List source'!D$2:E$71,2,FALSE)</f>
        <v>#N/A</v>
      </c>
      <c r="C50" s="154" t="s">
        <v>1389</v>
      </c>
      <c r="D50" s="20" t="e">
        <f t="shared" si="0"/>
        <v>#N/A</v>
      </c>
      <c r="E50" s="9"/>
      <c r="F50" s="10" t="e" cm="1">
        <f t="array" aca="1" ref="F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" s="10"/>
      <c r="I50" s="12"/>
      <c r="J50" s="12"/>
      <c r="K50" s="61"/>
      <c r="L50" s="233"/>
      <c r="M50" s="10">
        <f ca="1">IF(ISBLANK(K50), TODAY()-(I50), Table27[[#This Row],[Effectiveness Review &amp; date deemed effective]]-Table27[[#This Row],[PTO initialized date]])</f>
        <v>46067</v>
      </c>
    </row>
    <row r="51" spans="1:13" s="4" customFormat="1" ht="18">
      <c r="A51" s="9"/>
      <c r="B51" s="18" t="e">
        <f>VLOOKUP(Table27[[#This Row],[Location 
(drop-down)]],'List source'!D$2:E$71,2,FALSE)</f>
        <v>#N/A</v>
      </c>
      <c r="C51" s="154" t="s">
        <v>1390</v>
      </c>
      <c r="D51" s="20" t="e">
        <f t="shared" si="0"/>
        <v>#N/A</v>
      </c>
      <c r="E51" s="9"/>
      <c r="F51" s="10" t="e" cm="1">
        <f t="array" aca="1" ref="F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" s="130"/>
      <c r="I51" s="12"/>
      <c r="J51" s="12"/>
      <c r="K51" s="61"/>
      <c r="L51" s="233"/>
      <c r="M51" s="10">
        <f ca="1">IF(ISBLANK(K51), TODAY()-(I51), Table27[[#This Row],[Effectiveness Review &amp; date deemed effective]]-Table27[[#This Row],[PTO initialized date]])</f>
        <v>46067</v>
      </c>
    </row>
    <row r="52" spans="1:13" s="4" customFormat="1" ht="18">
      <c r="A52" s="9"/>
      <c r="B52" s="18" t="e">
        <f>VLOOKUP(Table27[[#This Row],[Location 
(drop-down)]],'List source'!D$2:E$71,2,FALSE)</f>
        <v>#N/A</v>
      </c>
      <c r="C52" s="154" t="s">
        <v>1391</v>
      </c>
      <c r="D52" s="20" t="e">
        <f t="shared" si="0"/>
        <v>#N/A</v>
      </c>
      <c r="E52" s="73"/>
      <c r="F52" s="10" t="e" cm="1">
        <f t="array" aca="1" ref="F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" s="186"/>
      <c r="I52" s="12"/>
      <c r="J52" s="12"/>
      <c r="K52" s="61"/>
      <c r="L52" s="233"/>
      <c r="M52" s="10">
        <f ca="1">IF(ISBLANK(K52), TODAY()-(I52), Table27[[#This Row],[Effectiveness Review &amp; date deemed effective]]-Table27[[#This Row],[PTO initialized date]])</f>
        <v>46067</v>
      </c>
    </row>
    <row r="53" spans="1:13" s="4" customFormat="1" ht="18">
      <c r="A53" s="9"/>
      <c r="B53" s="18" t="e">
        <f>VLOOKUP(Table27[[#This Row],[Location 
(drop-down)]],'List source'!D$2:E$71,2,FALSE)</f>
        <v>#N/A</v>
      </c>
      <c r="C53" s="154" t="s">
        <v>1392</v>
      </c>
      <c r="D53" s="20" t="e">
        <f t="shared" si="0"/>
        <v>#N/A</v>
      </c>
      <c r="E53" s="9"/>
      <c r="F53" s="10" t="e" cm="1">
        <f t="array" aca="1" ref="F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" s="130"/>
      <c r="I53" s="12"/>
      <c r="J53" s="12"/>
      <c r="K53" s="61"/>
      <c r="L53" s="233"/>
      <c r="M53" s="10">
        <f ca="1">IF(ISBLANK(K53), TODAY()-(I53), Table27[[#This Row],[Effectiveness Review &amp; date deemed effective]]-Table27[[#This Row],[PTO initialized date]])</f>
        <v>46067</v>
      </c>
    </row>
    <row r="54" spans="1:13" s="4" customFormat="1" ht="18">
      <c r="A54" s="9"/>
      <c r="B54" s="18" t="e">
        <f>VLOOKUP(Table27[[#This Row],[Location 
(drop-down)]],'List source'!D$2:E$71,2,FALSE)</f>
        <v>#N/A</v>
      </c>
      <c r="C54" s="154" t="s">
        <v>1393</v>
      </c>
      <c r="D54" s="20" t="e">
        <f t="shared" si="0"/>
        <v>#N/A</v>
      </c>
      <c r="E54" s="9"/>
      <c r="F54" s="10" t="e" cm="1">
        <f t="array" aca="1" ref="F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" s="130"/>
      <c r="I54" s="12"/>
      <c r="J54" s="12"/>
      <c r="K54" s="12"/>
      <c r="L54" s="233"/>
      <c r="M54" s="10">
        <f ca="1">IF(ISBLANK(K54), TODAY()-(I54), Table27[[#This Row],[Effectiveness Review &amp; date deemed effective]]-Table27[[#This Row],[PTO initialized date]])</f>
        <v>46067</v>
      </c>
    </row>
    <row r="55" spans="1:13" s="4" customFormat="1" ht="18">
      <c r="A55" s="9"/>
      <c r="B55" s="18" t="e">
        <f>VLOOKUP(Table27[[#This Row],[Location 
(drop-down)]],'List source'!D$2:E$71,2,FALSE)</f>
        <v>#N/A</v>
      </c>
      <c r="C55" s="154" t="s">
        <v>1394</v>
      </c>
      <c r="D55" s="20" t="e">
        <f t="shared" si="0"/>
        <v>#N/A</v>
      </c>
      <c r="E55" s="9"/>
      <c r="F55" s="10" t="e" cm="1">
        <f t="array" aca="1" ref="F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" s="160"/>
      <c r="I55" s="12"/>
      <c r="J55" s="12"/>
      <c r="K55" s="12"/>
      <c r="L55" s="233"/>
      <c r="M55" s="10">
        <f ca="1">IF(ISBLANK(K55), TODAY()-(I55), Table27[[#This Row],[Effectiveness Review &amp; date deemed effective]]-Table27[[#This Row],[PTO initialized date]])</f>
        <v>46067</v>
      </c>
    </row>
    <row r="56" spans="1:13" s="4" customFormat="1" ht="18">
      <c r="A56" s="9"/>
      <c r="B56" s="18" t="e">
        <f>VLOOKUP(Table27[[#This Row],[Location 
(drop-down)]],'List source'!D$2:E$71,2,FALSE)</f>
        <v>#N/A</v>
      </c>
      <c r="C56" s="154" t="s">
        <v>1395</v>
      </c>
      <c r="D56" s="20" t="e">
        <f t="shared" si="0"/>
        <v>#N/A</v>
      </c>
      <c r="E56" s="9"/>
      <c r="F56" s="10" t="e" cm="1">
        <f t="array" aca="1" ref="F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" s="130"/>
      <c r="I56" s="12"/>
      <c r="J56" s="12"/>
      <c r="K56" s="12"/>
      <c r="L56" s="233"/>
      <c r="M56" s="10">
        <f ca="1">IF(ISBLANK(K56), TODAY()-(I56), Table27[[#This Row],[Effectiveness Review &amp; date deemed effective]]-Table27[[#This Row],[PTO initialized date]])</f>
        <v>46067</v>
      </c>
    </row>
    <row r="57" spans="1:13" s="4" customFormat="1" ht="18">
      <c r="A57" s="9"/>
      <c r="B57" s="18" t="e">
        <f>VLOOKUP(Table27[[#This Row],[Location 
(drop-down)]],'List source'!D$2:E$71,2,FALSE)</f>
        <v>#N/A</v>
      </c>
      <c r="C57" s="154" t="s">
        <v>1396</v>
      </c>
      <c r="D57" s="20" t="e">
        <f t="shared" si="0"/>
        <v>#N/A</v>
      </c>
      <c r="E57" s="9"/>
      <c r="F57" s="10" t="e" cm="1">
        <f t="array" aca="1" ref="F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" s="130"/>
      <c r="I57" s="12"/>
      <c r="J57" s="12"/>
      <c r="K57" s="61"/>
      <c r="L57" s="233"/>
      <c r="M57" s="10">
        <f ca="1">IF(ISBLANK(K57), TODAY()-(I57), Table27[[#This Row],[Effectiveness Review &amp; date deemed effective]]-Table27[[#This Row],[PTO initialized date]])</f>
        <v>46067</v>
      </c>
    </row>
    <row r="58" spans="1:13" s="4" customFormat="1" ht="18">
      <c r="A58" s="9"/>
      <c r="B58" s="18" t="e">
        <f>VLOOKUP(Table27[[#This Row],[Location 
(drop-down)]],'List source'!D$2:E$71,2,FALSE)</f>
        <v>#N/A</v>
      </c>
      <c r="C58" s="154" t="s">
        <v>1397</v>
      </c>
      <c r="D58" s="20" t="e">
        <f t="shared" si="0"/>
        <v>#N/A</v>
      </c>
      <c r="E58" s="9"/>
      <c r="F58" s="10" t="e" cm="1">
        <f t="array" aca="1" ref="F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" s="130"/>
      <c r="I58" s="12"/>
      <c r="J58" s="12"/>
      <c r="K58" s="61"/>
      <c r="L58" s="233"/>
      <c r="M58" s="10">
        <f ca="1">IF(ISBLANK(K58), TODAY()-(I58), Table27[[#This Row],[Effectiveness Review &amp; date deemed effective]]-Table27[[#This Row],[PTO initialized date]])</f>
        <v>46067</v>
      </c>
    </row>
    <row r="59" spans="1:13" s="4" customFormat="1" ht="18">
      <c r="A59" s="9"/>
      <c r="B59" s="18" t="e">
        <f>VLOOKUP(Table27[[#This Row],[Location 
(drop-down)]],'List source'!D$2:E$71,2,FALSE)</f>
        <v>#N/A</v>
      </c>
      <c r="C59" s="154" t="s">
        <v>1398</v>
      </c>
      <c r="D59" s="20" t="e">
        <f t="shared" si="0"/>
        <v>#N/A</v>
      </c>
      <c r="E59" s="9"/>
      <c r="F59" s="10" t="e" cm="1">
        <f t="array" aca="1" ref="F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" s="10"/>
      <c r="I59" s="12"/>
      <c r="J59" s="12"/>
      <c r="K59" s="61"/>
      <c r="L59" s="233"/>
      <c r="M59" s="10">
        <f ca="1">IF(ISBLANK(K59), TODAY()-(I59), Table27[[#This Row],[Effectiveness Review &amp; date deemed effective]]-Table27[[#This Row],[PTO initialized date]])</f>
        <v>46067</v>
      </c>
    </row>
    <row r="60" spans="1:13" s="4" customFormat="1" ht="18">
      <c r="A60" s="9"/>
      <c r="B60" s="18" t="e">
        <f>VLOOKUP(Table27[[#This Row],[Location 
(drop-down)]],'List source'!D$2:E$71,2,FALSE)</f>
        <v>#N/A</v>
      </c>
      <c r="C60" s="154" t="s">
        <v>1399</v>
      </c>
      <c r="D60" s="20" t="e">
        <f t="shared" si="0"/>
        <v>#N/A</v>
      </c>
      <c r="E60" s="9"/>
      <c r="F60" s="10" t="e" cm="1">
        <f t="array" aca="1" ref="F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" s="130"/>
      <c r="I60" s="12"/>
      <c r="J60" s="12"/>
      <c r="K60" s="61"/>
      <c r="L60" s="233"/>
      <c r="M60" s="10">
        <f ca="1">IF(ISBLANK(K60), TODAY()-(I60), Table27[[#This Row],[Effectiveness Review &amp; date deemed effective]]-Table27[[#This Row],[PTO initialized date]])</f>
        <v>46067</v>
      </c>
    </row>
    <row r="61" spans="1:13" s="4" customFormat="1" ht="18">
      <c r="A61" s="9"/>
      <c r="B61" s="18" t="e">
        <f>VLOOKUP(Table27[[#This Row],[Location 
(drop-down)]],'List source'!D$2:E$71,2,FALSE)</f>
        <v>#N/A</v>
      </c>
      <c r="C61" s="154" t="s">
        <v>1400</v>
      </c>
      <c r="D61" s="20" t="e">
        <f t="shared" si="0"/>
        <v>#N/A</v>
      </c>
      <c r="E61" s="9"/>
      <c r="F61" s="10" t="e" cm="1">
        <f t="array" aca="1" ref="F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" s="130"/>
      <c r="I61" s="12"/>
      <c r="J61" s="12"/>
      <c r="K61" s="61"/>
      <c r="L61" s="233"/>
      <c r="M61" s="10">
        <f ca="1">IF(ISBLANK(K61), TODAY()-(I61), Table27[[#This Row],[Effectiveness Review &amp; date deemed effective]]-Table27[[#This Row],[PTO initialized date]])</f>
        <v>46067</v>
      </c>
    </row>
    <row r="62" spans="1:13" s="4" customFormat="1" ht="18">
      <c r="A62" s="9"/>
      <c r="B62" s="18" t="e">
        <f>VLOOKUP(Table27[[#This Row],[Location 
(drop-down)]],'List source'!D$2:E$71,2,FALSE)</f>
        <v>#N/A</v>
      </c>
      <c r="C62" s="154" t="s">
        <v>1401</v>
      </c>
      <c r="D62" s="20" t="e">
        <f t="shared" si="0"/>
        <v>#N/A</v>
      </c>
      <c r="E62" s="9"/>
      <c r="F62" s="10" t="e" cm="1">
        <f t="array" aca="1" ref="F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" s="10"/>
      <c r="I62" s="12"/>
      <c r="J62" s="12"/>
      <c r="K62" s="61"/>
      <c r="L62" s="233"/>
      <c r="M62" s="10">
        <f ca="1">IF(ISBLANK(K62), TODAY()-(I62), Table27[[#This Row],[Effectiveness Review &amp; date deemed effective]]-Table27[[#This Row],[PTO initialized date]])</f>
        <v>46067</v>
      </c>
    </row>
    <row r="63" spans="1:13" s="4" customFormat="1" ht="18">
      <c r="A63" s="9"/>
      <c r="B63" s="18" t="e">
        <f>VLOOKUP(Table27[[#This Row],[Location 
(drop-down)]],'List source'!D$2:E$71,2,FALSE)</f>
        <v>#N/A</v>
      </c>
      <c r="C63" s="154" t="s">
        <v>1402</v>
      </c>
      <c r="D63" s="20" t="e">
        <f t="shared" si="0"/>
        <v>#N/A</v>
      </c>
      <c r="E63" s="9"/>
      <c r="F63" s="10" t="e" cm="1">
        <f t="array" aca="1" ref="F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" s="160"/>
      <c r="I63" s="12"/>
      <c r="J63" s="12"/>
      <c r="K63" s="61"/>
      <c r="L63" s="233"/>
      <c r="M63" s="10">
        <f ca="1">IF(ISBLANK(K63), TODAY()-(I63), Table27[[#This Row],[Effectiveness Review &amp; date deemed effective]]-Table27[[#This Row],[PTO initialized date]])</f>
        <v>46067</v>
      </c>
    </row>
    <row r="64" spans="1:13" s="4" customFormat="1" ht="18">
      <c r="A64" s="9"/>
      <c r="B64" s="18" t="e">
        <f>VLOOKUP(Table27[[#This Row],[Location 
(drop-down)]],'List source'!D$2:E$71,2,FALSE)</f>
        <v>#N/A</v>
      </c>
      <c r="C64" s="154" t="s">
        <v>1403</v>
      </c>
      <c r="D64" s="20" t="e">
        <f t="shared" si="0"/>
        <v>#N/A</v>
      </c>
      <c r="E64" s="9"/>
      <c r="F64" s="10" t="e" cm="1">
        <f t="array" aca="1" ref="F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" s="10"/>
      <c r="I64" s="12"/>
      <c r="J64" s="12"/>
      <c r="K64" s="61"/>
      <c r="L64" s="233"/>
      <c r="M64" s="10">
        <f ca="1">IF(ISBLANK(K64), TODAY()-(I64), Table27[[#This Row],[Effectiveness Review &amp; date deemed effective]]-Table27[[#This Row],[PTO initialized date]])</f>
        <v>46067</v>
      </c>
    </row>
    <row r="65" spans="1:13" s="4" customFormat="1" ht="18">
      <c r="A65" s="9"/>
      <c r="B65" s="18" t="e">
        <f>VLOOKUP(Table27[[#This Row],[Location 
(drop-down)]],'List source'!D$2:E$71,2,FALSE)</f>
        <v>#N/A</v>
      </c>
      <c r="C65" s="154" t="s">
        <v>1404</v>
      </c>
      <c r="D65" s="20" t="e">
        <f t="shared" si="0"/>
        <v>#N/A</v>
      </c>
      <c r="E65" s="9"/>
      <c r="F65" s="10" t="e" cm="1">
        <f t="array" aca="1" ref="F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" s="10"/>
      <c r="I65" s="12"/>
      <c r="J65" s="12"/>
      <c r="K65" s="61"/>
      <c r="L65" s="233"/>
      <c r="M65" s="10">
        <f ca="1">IF(ISBLANK(K65), TODAY()-(I65), Table27[[#This Row],[Effectiveness Review &amp; date deemed effective]]-Table27[[#This Row],[PTO initialized date]])</f>
        <v>46067</v>
      </c>
    </row>
    <row r="66" spans="1:13" s="4" customFormat="1" ht="18">
      <c r="A66" s="9"/>
      <c r="B66" s="18" t="e">
        <f>VLOOKUP(Table27[[#This Row],[Location 
(drop-down)]],'List source'!D$2:E$71,2,FALSE)</f>
        <v>#N/A</v>
      </c>
      <c r="C66" s="154" t="s">
        <v>1405</v>
      </c>
      <c r="D66" s="20" t="e">
        <f t="shared" ref="D66:D129" si="1">"PTO" &amp; C66 &amp; "-" &amp; B66 &amp; "-" &amp; "26"</f>
        <v>#N/A</v>
      </c>
      <c r="E66" s="9"/>
      <c r="F66" s="10" t="e" cm="1">
        <f t="array" aca="1" ref="F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" s="130"/>
      <c r="I66" s="12"/>
      <c r="J66" s="12"/>
      <c r="K66" s="61"/>
      <c r="L66" s="233"/>
      <c r="M66" s="10">
        <f ca="1">IF(ISBLANK(K66), TODAY()-(I66), Table27[[#This Row],[Effectiveness Review &amp; date deemed effective]]-Table27[[#This Row],[PTO initialized date]])</f>
        <v>46067</v>
      </c>
    </row>
    <row r="67" spans="1:13" s="4" customFormat="1" ht="18">
      <c r="A67" s="9"/>
      <c r="B67" s="18" t="e">
        <f>VLOOKUP(Table27[[#This Row],[Location 
(drop-down)]],'List source'!D$2:E$71,2,FALSE)</f>
        <v>#N/A</v>
      </c>
      <c r="C67" s="154" t="s">
        <v>1406</v>
      </c>
      <c r="D67" s="20" t="e">
        <f t="shared" si="1"/>
        <v>#N/A</v>
      </c>
      <c r="E67" s="9"/>
      <c r="F67" s="10" t="e" cm="1">
        <f t="array" aca="1" ref="F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" s="130"/>
      <c r="I67" s="12"/>
      <c r="J67" s="12"/>
      <c r="K67" s="61"/>
      <c r="L67" s="233"/>
      <c r="M67" s="10">
        <f ca="1">IF(ISBLANK(K67), TODAY()-(I67), Table27[[#This Row],[Effectiveness Review &amp; date deemed effective]]-Table27[[#This Row],[PTO initialized date]])</f>
        <v>46067</v>
      </c>
    </row>
    <row r="68" spans="1:13" s="4" customFormat="1" ht="18">
      <c r="A68" s="9"/>
      <c r="B68" s="18" t="e">
        <f>VLOOKUP(Table27[[#This Row],[Location 
(drop-down)]],'List source'!D$2:E$71,2,FALSE)</f>
        <v>#N/A</v>
      </c>
      <c r="C68" s="154" t="s">
        <v>1407</v>
      </c>
      <c r="D68" s="20" t="e">
        <f t="shared" si="1"/>
        <v>#N/A</v>
      </c>
      <c r="E68" s="9"/>
      <c r="F68" s="10" t="e" cm="1">
        <f t="array" aca="1" ref="F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" s="160"/>
      <c r="I68" s="12"/>
      <c r="J68" s="12"/>
      <c r="K68" s="61"/>
      <c r="L68" s="233"/>
      <c r="M68" s="10">
        <f ca="1">IF(ISBLANK(K68), TODAY()-(I68), Table27[[#This Row],[Effectiveness Review &amp; date deemed effective]]-Table27[[#This Row],[PTO initialized date]])</f>
        <v>46067</v>
      </c>
    </row>
    <row r="69" spans="1:13" s="4" customFormat="1" ht="18">
      <c r="A69" s="9"/>
      <c r="B69" s="18" t="e">
        <f>VLOOKUP(Table27[[#This Row],[Location 
(drop-down)]],'List source'!D$2:E$71,2,FALSE)</f>
        <v>#N/A</v>
      </c>
      <c r="C69" s="154" t="s">
        <v>1408</v>
      </c>
      <c r="D69" s="20" t="e">
        <f t="shared" si="1"/>
        <v>#N/A</v>
      </c>
      <c r="E69" s="9"/>
      <c r="F69" s="10" t="e" cm="1">
        <f t="array" aca="1" ref="F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" s="10"/>
      <c r="I69" s="12"/>
      <c r="J69" s="12"/>
      <c r="K69" s="61"/>
      <c r="L69" s="233"/>
      <c r="M69" s="10">
        <f ca="1">IF(ISBLANK(K69), TODAY()-(I69), Table27[[#This Row],[Effectiveness Review &amp; date deemed effective]]-Table27[[#This Row],[PTO initialized date]])</f>
        <v>46067</v>
      </c>
    </row>
    <row r="70" spans="1:13" s="4" customFormat="1" ht="18">
      <c r="A70" s="9"/>
      <c r="B70" s="18" t="e">
        <f>VLOOKUP(Table27[[#This Row],[Location 
(drop-down)]],'List source'!D$2:E$71,2,FALSE)</f>
        <v>#N/A</v>
      </c>
      <c r="C70" s="154" t="s">
        <v>1409</v>
      </c>
      <c r="D70" s="20" t="e">
        <f t="shared" si="1"/>
        <v>#N/A</v>
      </c>
      <c r="E70" s="9"/>
      <c r="F70" s="10" t="e" cm="1">
        <f t="array" aca="1" ref="F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" s="130"/>
      <c r="I70" s="12"/>
      <c r="J70" s="12"/>
      <c r="K70" s="61"/>
      <c r="L70" s="233"/>
      <c r="M70" s="10">
        <f ca="1">IF(ISBLANK(K70), TODAY()-(I70), Table27[[#This Row],[Effectiveness Review &amp; date deemed effective]]-Table27[[#This Row],[PTO initialized date]])</f>
        <v>46067</v>
      </c>
    </row>
    <row r="71" spans="1:13" s="4" customFormat="1" ht="18">
      <c r="A71" s="9"/>
      <c r="B71" s="18" t="e">
        <f>VLOOKUP(Table27[[#This Row],[Location 
(drop-down)]],'List source'!D$2:E$71,2,FALSE)</f>
        <v>#N/A</v>
      </c>
      <c r="C71" s="154" t="s">
        <v>1410</v>
      </c>
      <c r="D71" s="20" t="e">
        <f t="shared" si="1"/>
        <v>#N/A</v>
      </c>
      <c r="E71" s="9"/>
      <c r="F71" s="10" t="e" cm="1">
        <f t="array" aca="1" ref="F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" s="10"/>
      <c r="I71" s="12"/>
      <c r="J71" s="12"/>
      <c r="K71" s="61"/>
      <c r="L71" s="233"/>
      <c r="M71" s="10">
        <f ca="1">IF(ISBLANK(K71), TODAY()-(I71), Table27[[#This Row],[Effectiveness Review &amp; date deemed effective]]-Table27[[#This Row],[PTO initialized date]])</f>
        <v>46067</v>
      </c>
    </row>
    <row r="72" spans="1:13" s="4" customFormat="1" ht="18">
      <c r="A72" s="9"/>
      <c r="B72" s="18" t="e">
        <f>VLOOKUP(Table27[[#This Row],[Location 
(drop-down)]],'List source'!D$2:E$71,2,FALSE)</f>
        <v>#N/A</v>
      </c>
      <c r="C72" s="154" t="s">
        <v>1411</v>
      </c>
      <c r="D72" s="20" t="e">
        <f t="shared" si="1"/>
        <v>#N/A</v>
      </c>
      <c r="E72" s="9"/>
      <c r="F72" s="10" t="e" cm="1">
        <f t="array" aca="1" ref="F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" s="130"/>
      <c r="I72" s="12"/>
      <c r="J72" s="12"/>
      <c r="K72" s="61"/>
      <c r="L72" s="233"/>
      <c r="M72" s="10">
        <f ca="1">IF(ISBLANK(K72), TODAY()-(I72), Table27[[#This Row],[Effectiveness Review &amp; date deemed effective]]-Table27[[#This Row],[PTO initialized date]])</f>
        <v>46067</v>
      </c>
    </row>
    <row r="73" spans="1:13" s="4" customFormat="1" ht="18">
      <c r="A73" s="9"/>
      <c r="B73" s="18" t="e">
        <f>VLOOKUP(Table27[[#This Row],[Location 
(drop-down)]],'List source'!D$2:E$71,2,FALSE)</f>
        <v>#N/A</v>
      </c>
      <c r="C73" s="154" t="s">
        <v>1412</v>
      </c>
      <c r="D73" s="20" t="e">
        <f t="shared" si="1"/>
        <v>#N/A</v>
      </c>
      <c r="E73" s="9"/>
      <c r="F73" s="10" t="e" cm="1">
        <f t="array" aca="1" ref="F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" s="130"/>
      <c r="I73" s="12"/>
      <c r="J73" s="12"/>
      <c r="K73" s="61"/>
      <c r="L73" s="233"/>
      <c r="M73" s="10">
        <f ca="1">IF(ISBLANK(K73), TODAY()-(I73), Table27[[#This Row],[Effectiveness Review &amp; date deemed effective]]-Table27[[#This Row],[PTO initialized date]])</f>
        <v>46067</v>
      </c>
    </row>
    <row r="74" spans="1:13" s="4" customFormat="1" ht="18">
      <c r="A74" s="9"/>
      <c r="B74" s="18" t="e">
        <f>VLOOKUP(Table27[[#This Row],[Location 
(drop-down)]],'List source'!D$2:E$71,2,FALSE)</f>
        <v>#N/A</v>
      </c>
      <c r="C74" s="154" t="s">
        <v>1413</v>
      </c>
      <c r="D74" s="20" t="e">
        <f t="shared" si="1"/>
        <v>#N/A</v>
      </c>
      <c r="E74" s="75"/>
      <c r="F74" s="13" t="e" cm="1">
        <f t="array" aca="1" ref="F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" s="13"/>
      <c r="I74" s="12"/>
      <c r="J74" s="14"/>
      <c r="K74" s="61"/>
      <c r="L74" s="233"/>
      <c r="M74" s="10">
        <f ca="1">IF(ISBLANK(K74), TODAY()-(I74), Table27[[#This Row],[Effectiveness Review &amp; date deemed effective]]-Table27[[#This Row],[PTO initialized date]])</f>
        <v>46067</v>
      </c>
    </row>
    <row r="75" spans="1:13" s="4" customFormat="1" ht="18">
      <c r="A75" s="9"/>
      <c r="B75" s="18" t="e">
        <f>VLOOKUP(Table27[[#This Row],[Location 
(drop-down)]],'List source'!D$2:E$71,2,FALSE)</f>
        <v>#N/A</v>
      </c>
      <c r="C75" s="154" t="s">
        <v>1414</v>
      </c>
      <c r="D75" s="20" t="e">
        <f t="shared" si="1"/>
        <v>#N/A</v>
      </c>
      <c r="E75" s="75"/>
      <c r="F75" s="13" t="e" cm="1">
        <f t="array" aca="1" ref="F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" s="11"/>
      <c r="I75" s="12"/>
      <c r="J75" s="14"/>
      <c r="K75" s="61"/>
      <c r="L75" s="233"/>
      <c r="M75" s="10">
        <f ca="1">IF(ISBLANK(K75), TODAY()-(I75), Table27[[#This Row],[Effectiveness Review &amp; date deemed effective]]-Table27[[#This Row],[PTO initialized date]])</f>
        <v>46067</v>
      </c>
    </row>
    <row r="76" spans="1:13" s="4" customFormat="1" ht="18">
      <c r="A76" s="9"/>
      <c r="B76" s="18" t="e">
        <f>VLOOKUP(Table27[[#This Row],[Location 
(drop-down)]],'List source'!D$2:E$71,2,FALSE)</f>
        <v>#N/A</v>
      </c>
      <c r="C76" s="154" t="s">
        <v>1415</v>
      </c>
      <c r="D76" s="20" t="e">
        <f t="shared" si="1"/>
        <v>#N/A</v>
      </c>
      <c r="E76" s="75"/>
      <c r="F76" s="13" t="e" cm="1">
        <f t="array" aca="1" ref="F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" s="319"/>
      <c r="I76" s="12"/>
      <c r="J76" s="14"/>
      <c r="K76" s="61"/>
      <c r="L76" s="233"/>
      <c r="M76" s="10">
        <f ca="1">IF(ISBLANK(K76), TODAY()-(I76), Table27[[#This Row],[Effectiveness Review &amp; date deemed effective]]-Table27[[#This Row],[PTO initialized date]])</f>
        <v>46067</v>
      </c>
    </row>
    <row r="77" spans="1:13" s="4" customFormat="1" ht="18">
      <c r="A77" s="9"/>
      <c r="B77" s="18" t="e">
        <f>VLOOKUP(Table27[[#This Row],[Location 
(drop-down)]],'List source'!D$2:E$71,2,FALSE)</f>
        <v>#N/A</v>
      </c>
      <c r="C77" s="154" t="s">
        <v>1416</v>
      </c>
      <c r="D77" s="20" t="e">
        <f t="shared" si="1"/>
        <v>#N/A</v>
      </c>
      <c r="E77" s="75"/>
      <c r="F77" s="13" t="e" cm="1">
        <f t="array" aca="1" ref="F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" s="11"/>
      <c r="I77" s="12"/>
      <c r="J77" s="14"/>
      <c r="K77" s="61"/>
      <c r="L77" s="233"/>
      <c r="M77" s="10">
        <f ca="1">IF(ISBLANK(K77), TODAY()-(I77), Table27[[#This Row],[Effectiveness Review &amp; date deemed effective]]-Table27[[#This Row],[PTO initialized date]])</f>
        <v>46067</v>
      </c>
    </row>
    <row r="78" spans="1:13" s="4" customFormat="1" ht="18">
      <c r="A78" s="9"/>
      <c r="B78" s="18" t="e">
        <f>VLOOKUP(Table27[[#This Row],[Location 
(drop-down)]],'List source'!D$2:E$71,2,FALSE)</f>
        <v>#N/A</v>
      </c>
      <c r="C78" s="154" t="s">
        <v>1417</v>
      </c>
      <c r="D78" s="20" t="e">
        <f t="shared" si="1"/>
        <v>#N/A</v>
      </c>
      <c r="E78" s="75"/>
      <c r="F78" s="13" t="e" cm="1">
        <f t="array" aca="1" ref="F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" s="11"/>
      <c r="I78" s="12"/>
      <c r="J78" s="14"/>
      <c r="K78" s="61"/>
      <c r="L78" s="233"/>
      <c r="M78" s="10">
        <f ca="1">IF(ISBLANK(K78), TODAY()-(I78), Table27[[#This Row],[Effectiveness Review &amp; date deemed effective]]-Table27[[#This Row],[PTO initialized date]])</f>
        <v>46067</v>
      </c>
    </row>
    <row r="79" spans="1:13" s="4" customFormat="1" ht="18">
      <c r="A79" s="9"/>
      <c r="B79" s="18" t="e">
        <f>VLOOKUP(Table27[[#This Row],[Location 
(drop-down)]],'List source'!D$2:E$71,2,FALSE)</f>
        <v>#N/A</v>
      </c>
      <c r="C79" s="154" t="s">
        <v>1418</v>
      </c>
      <c r="D79" s="20" t="e">
        <f t="shared" si="1"/>
        <v>#N/A</v>
      </c>
      <c r="E79" s="75"/>
      <c r="F79" s="13" t="e" cm="1">
        <f t="array" aca="1" ref="F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" s="319"/>
      <c r="I79" s="12"/>
      <c r="J79" s="14"/>
      <c r="K79" s="61"/>
      <c r="L79" s="233"/>
      <c r="M79" s="10">
        <f ca="1">IF(ISBLANK(K79), TODAY()-(I79), Table27[[#This Row],[Effectiveness Review &amp; date deemed effective]]-Table27[[#This Row],[PTO initialized date]])</f>
        <v>46067</v>
      </c>
    </row>
    <row r="80" spans="1:13" s="4" customFormat="1" ht="18">
      <c r="A80" s="9"/>
      <c r="B80" s="18" t="e">
        <f>VLOOKUP(Table27[[#This Row],[Location 
(drop-down)]],'List source'!D$2:E$71,2,FALSE)</f>
        <v>#N/A</v>
      </c>
      <c r="C80" s="154" t="s">
        <v>1419</v>
      </c>
      <c r="D80" s="20" t="e">
        <f t="shared" si="1"/>
        <v>#N/A</v>
      </c>
      <c r="E80" s="67"/>
      <c r="F80" s="314" t="e" cm="1">
        <f t="array" aca="1" ref="F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" s="331"/>
      <c r="I80" s="12"/>
      <c r="J80" s="14"/>
      <c r="K80" s="61"/>
      <c r="L80" s="233"/>
      <c r="M80" s="10">
        <f ca="1">IF(ISBLANK(K80), TODAY()-(I80), Table27[[#This Row],[Effectiveness Review &amp; date deemed effective]]-Table27[[#This Row],[PTO initialized date]])</f>
        <v>46067</v>
      </c>
    </row>
    <row r="81" spans="1:13" s="4" customFormat="1" ht="18">
      <c r="A81" s="9"/>
      <c r="B81" s="18" t="e">
        <f>VLOOKUP(Table27[[#This Row],[Location 
(drop-down)]],'List source'!D$2:E$71,2,FALSE)</f>
        <v>#N/A</v>
      </c>
      <c r="C81" s="154" t="s">
        <v>1420</v>
      </c>
      <c r="D81" s="20" t="e">
        <f t="shared" si="1"/>
        <v>#N/A</v>
      </c>
      <c r="E81" s="75"/>
      <c r="F81" s="13" t="e" cm="1">
        <f t="array" aca="1" ref="F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" s="13"/>
      <c r="I81" s="12"/>
      <c r="J81" s="14"/>
      <c r="K81" s="61"/>
      <c r="L81" s="233"/>
      <c r="M81" s="10">
        <f ca="1">IF(ISBLANK(K81), TODAY()-(I81), Table27[[#This Row],[Effectiveness Review &amp; date deemed effective]]-Table27[[#This Row],[PTO initialized date]])</f>
        <v>46067</v>
      </c>
    </row>
    <row r="82" spans="1:13" s="4" customFormat="1" ht="18">
      <c r="A82" s="9"/>
      <c r="B82" s="18" t="e">
        <f>VLOOKUP(Table27[[#This Row],[Location 
(drop-down)]],'List source'!D$2:E$71,2,FALSE)</f>
        <v>#N/A</v>
      </c>
      <c r="C82" s="154" t="s">
        <v>1421</v>
      </c>
      <c r="D82" s="20" t="e">
        <f t="shared" si="1"/>
        <v>#N/A</v>
      </c>
      <c r="E82" s="75"/>
      <c r="F82" s="13" t="e" cm="1">
        <f t="array" aca="1" ref="F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" s="11"/>
      <c r="I82" s="12"/>
      <c r="J82" s="14"/>
      <c r="K82" s="61"/>
      <c r="L82" s="233"/>
      <c r="M82" s="10">
        <f ca="1">IF(ISBLANK(K82), TODAY()-(I82), Table27[[#This Row],[Effectiveness Review &amp; date deemed effective]]-Table27[[#This Row],[PTO initialized date]])</f>
        <v>46067</v>
      </c>
    </row>
    <row r="83" spans="1:13" s="4" customFormat="1" ht="18">
      <c r="A83" s="9"/>
      <c r="B83" s="18" t="e">
        <f>VLOOKUP(Table27[[#This Row],[Location 
(drop-down)]],'List source'!D$2:E$71,2,FALSE)</f>
        <v>#N/A</v>
      </c>
      <c r="C83" s="154" t="s">
        <v>1422</v>
      </c>
      <c r="D83" s="20" t="e">
        <f t="shared" si="1"/>
        <v>#N/A</v>
      </c>
      <c r="E83" s="89"/>
      <c r="F83" s="13" t="e" cm="1">
        <f t="array" aca="1" ref="F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" s="11"/>
      <c r="I83" s="12"/>
      <c r="J83" s="14"/>
      <c r="K83" s="61"/>
      <c r="L83" s="233"/>
      <c r="M83" s="10">
        <f ca="1">IF(ISBLANK(K83), TODAY()-(I83), Table27[[#This Row],[Effectiveness Review &amp; date deemed effective]]-Table27[[#This Row],[PTO initialized date]])</f>
        <v>46067</v>
      </c>
    </row>
    <row r="84" spans="1:13" s="4" customFormat="1" ht="18">
      <c r="A84" s="9"/>
      <c r="B84" s="18" t="e">
        <f>VLOOKUP(Table27[[#This Row],[Location 
(drop-down)]],'List source'!D$2:E$71,2,FALSE)</f>
        <v>#N/A</v>
      </c>
      <c r="C84" s="154" t="s">
        <v>1423</v>
      </c>
      <c r="D84" s="20" t="e">
        <f t="shared" si="1"/>
        <v>#N/A</v>
      </c>
      <c r="E84" s="9"/>
      <c r="F84" s="10" t="e" cm="1">
        <f t="array" aca="1" ref="F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" s="10"/>
      <c r="I84" s="12"/>
      <c r="J84" s="14"/>
      <c r="K84" s="61"/>
      <c r="L84" s="233"/>
      <c r="M84" s="10">
        <f ca="1">IF(ISBLANK(K84), TODAY()-(I84), Table27[[#This Row],[Effectiveness Review &amp; date deemed effective]]-Table27[[#This Row],[PTO initialized date]])</f>
        <v>46067</v>
      </c>
    </row>
    <row r="85" spans="1:13" s="4" customFormat="1" ht="18">
      <c r="A85" s="9"/>
      <c r="B85" s="18" t="e">
        <f>VLOOKUP(Table27[[#This Row],[Location 
(drop-down)]],'List source'!D$2:E$71,2,FALSE)</f>
        <v>#N/A</v>
      </c>
      <c r="C85" s="154" t="s">
        <v>1424</v>
      </c>
      <c r="D85" s="20" t="e">
        <f t="shared" si="1"/>
        <v>#N/A</v>
      </c>
      <c r="E85" s="9"/>
      <c r="F85" s="10" t="e" cm="1">
        <f t="array" aca="1" ref="F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" s="130"/>
      <c r="I85" s="12"/>
      <c r="J85" s="14"/>
      <c r="K85" s="143"/>
      <c r="L85" s="233"/>
      <c r="M85" s="10">
        <f ca="1">IF(ISBLANK(K85), TODAY()-(I85), Table27[[#This Row],[Effectiveness Review &amp; date deemed effective]]-Table27[[#This Row],[PTO initialized date]])</f>
        <v>46067</v>
      </c>
    </row>
    <row r="86" spans="1:13" s="4" customFormat="1" ht="18">
      <c r="A86" s="9"/>
      <c r="B86" s="18" t="e">
        <f>VLOOKUP(Table27[[#This Row],[Location 
(drop-down)]],'List source'!D$2:E$71,2,FALSE)</f>
        <v>#N/A</v>
      </c>
      <c r="C86" s="154" t="s">
        <v>1425</v>
      </c>
      <c r="D86" s="20" t="e">
        <f t="shared" si="1"/>
        <v>#N/A</v>
      </c>
      <c r="E86" s="9"/>
      <c r="F86" s="10" t="e" cm="1">
        <f t="array" aca="1" ref="F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" s="10"/>
      <c r="I86" s="12"/>
      <c r="J86" s="12"/>
      <c r="K86" s="61"/>
      <c r="L86" s="233"/>
      <c r="M86" s="10">
        <f ca="1">IF(ISBLANK(K86), TODAY()-(I86), Table27[[#This Row],[Effectiveness Review &amp; date deemed effective]]-Table27[[#This Row],[PTO initialized date]])</f>
        <v>46067</v>
      </c>
    </row>
    <row r="87" spans="1:13" s="4" customFormat="1" ht="18">
      <c r="A87" s="9"/>
      <c r="B87" s="18" t="e">
        <f>VLOOKUP(Table27[[#This Row],[Location 
(drop-down)]],'List source'!D$2:E$71,2,FALSE)</f>
        <v>#N/A</v>
      </c>
      <c r="C87" s="154" t="s">
        <v>1426</v>
      </c>
      <c r="D87" s="20" t="e">
        <f t="shared" si="1"/>
        <v>#N/A</v>
      </c>
      <c r="E87" s="9"/>
      <c r="F87" s="10" t="e" cm="1">
        <f t="array" aca="1" ref="F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" s="130"/>
      <c r="I87" s="12"/>
      <c r="J87" s="12"/>
      <c r="K87" s="61"/>
      <c r="L87" s="233"/>
      <c r="M87" s="10">
        <f ca="1">IF(ISBLANK(K87), TODAY()-(I87), Table27[[#This Row],[Effectiveness Review &amp; date deemed effective]]-Table27[[#This Row],[PTO initialized date]])</f>
        <v>46067</v>
      </c>
    </row>
    <row r="88" spans="1:13" s="4" customFormat="1" ht="18">
      <c r="A88" s="9"/>
      <c r="B88" s="18" t="e">
        <f>VLOOKUP(Table27[[#This Row],[Location 
(drop-down)]],'List source'!D$2:E$71,2,FALSE)</f>
        <v>#N/A</v>
      </c>
      <c r="C88" s="154" t="s">
        <v>1427</v>
      </c>
      <c r="D88" s="20" t="e">
        <f t="shared" si="1"/>
        <v>#N/A</v>
      </c>
      <c r="E88" s="9"/>
      <c r="F88" s="36" t="e" cm="1">
        <f t="array" aca="1" ref="F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" s="187"/>
      <c r="I88" s="12"/>
      <c r="J88" s="12"/>
      <c r="K88" s="61"/>
      <c r="L88" s="233"/>
      <c r="M88" s="10">
        <f ca="1">IF(ISBLANK(K88), TODAY()-(I88), Table27[[#This Row],[Effectiveness Review &amp; date deemed effective]]-Table27[[#This Row],[PTO initialized date]])</f>
        <v>46067</v>
      </c>
    </row>
    <row r="89" spans="1:13" s="4" customFormat="1" ht="18">
      <c r="A89" s="9"/>
      <c r="B89" s="18" t="e">
        <f>VLOOKUP(Table27[[#This Row],[Location 
(drop-down)]],'List source'!D$2:E$71,2,FALSE)</f>
        <v>#N/A</v>
      </c>
      <c r="C89" s="154" t="s">
        <v>1428</v>
      </c>
      <c r="D89" s="20" t="e">
        <f t="shared" si="1"/>
        <v>#N/A</v>
      </c>
      <c r="E89" s="9"/>
      <c r="F89" s="10" t="e" cm="1">
        <f t="array" aca="1" ref="F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" s="130"/>
      <c r="I89" s="12"/>
      <c r="J89" s="12"/>
      <c r="K89" s="61"/>
      <c r="L89" s="233"/>
      <c r="M89" s="10">
        <f ca="1">IF(ISBLANK(K89), TODAY()-(I89), Table27[[#This Row],[Effectiveness Review &amp; date deemed effective]]-Table27[[#This Row],[PTO initialized date]])</f>
        <v>46067</v>
      </c>
    </row>
    <row r="90" spans="1:13" s="4" customFormat="1" ht="18">
      <c r="A90" s="9"/>
      <c r="B90" s="18" t="e">
        <f>VLOOKUP(Table27[[#This Row],[Location 
(drop-down)]],'List source'!D$2:E$71,2,FALSE)</f>
        <v>#N/A</v>
      </c>
      <c r="C90" s="154" t="s">
        <v>1429</v>
      </c>
      <c r="D90" s="20" t="e">
        <f t="shared" si="1"/>
        <v>#N/A</v>
      </c>
      <c r="E90" s="9"/>
      <c r="F90" s="10" t="e" cm="1">
        <f t="array" aca="1" ref="F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" s="10"/>
      <c r="I90" s="12"/>
      <c r="J90" s="12"/>
      <c r="K90" s="61"/>
      <c r="L90" s="233"/>
      <c r="M90" s="10">
        <f ca="1">IF(ISBLANK(K90), TODAY()-(I90), Table27[[#This Row],[Effectiveness Review &amp; date deemed effective]]-Table27[[#This Row],[PTO initialized date]])</f>
        <v>46067</v>
      </c>
    </row>
    <row r="91" spans="1:13" s="4" customFormat="1" ht="18">
      <c r="A91" s="9"/>
      <c r="B91" s="18" t="e">
        <f>VLOOKUP(Table27[[#This Row],[Location 
(drop-down)]],'List source'!D$2:E$71,2,FALSE)</f>
        <v>#N/A</v>
      </c>
      <c r="C91" s="154" t="s">
        <v>1430</v>
      </c>
      <c r="D91" s="20" t="e">
        <f t="shared" si="1"/>
        <v>#N/A</v>
      </c>
      <c r="E91" s="308"/>
      <c r="F91" s="313" t="e" cm="1">
        <f t="array" aca="1" ref="F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" s="323"/>
      <c r="I91" s="12"/>
      <c r="J91" s="12"/>
      <c r="K91" s="61"/>
      <c r="L91" s="233"/>
      <c r="M91" s="10">
        <f ca="1">IF(ISBLANK(K91), TODAY()-(I91), Table27[[#This Row],[Effectiveness Review &amp; date deemed effective]]-Table27[[#This Row],[PTO initialized date]])</f>
        <v>46067</v>
      </c>
    </row>
    <row r="92" spans="1:13" s="4" customFormat="1" ht="18">
      <c r="A92" s="9"/>
      <c r="B92" s="18" t="e">
        <f>VLOOKUP(Table27[[#This Row],[Location 
(drop-down)]],'List source'!D$2:E$71,2,FALSE)</f>
        <v>#N/A</v>
      </c>
      <c r="C92" s="154" t="s">
        <v>1431</v>
      </c>
      <c r="D92" s="20" t="e">
        <f t="shared" si="1"/>
        <v>#N/A</v>
      </c>
      <c r="E92" s="9"/>
      <c r="F92" s="10" t="e" cm="1">
        <f t="array" aca="1" ref="F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" s="10"/>
      <c r="I92" s="12"/>
      <c r="J92" s="12"/>
      <c r="K92" s="61"/>
      <c r="L92" s="233"/>
      <c r="M92" s="10">
        <f ca="1">IF(ISBLANK(K92), TODAY()-(I92), Table27[[#This Row],[Effectiveness Review &amp; date deemed effective]]-Table27[[#This Row],[PTO initialized date]])</f>
        <v>46067</v>
      </c>
    </row>
    <row r="93" spans="1:13" s="4" customFormat="1" ht="18">
      <c r="A93" s="9"/>
      <c r="B93" s="18" t="e">
        <f>VLOOKUP(Table27[[#This Row],[Location 
(drop-down)]],'List source'!D$2:E$71,2,FALSE)</f>
        <v>#N/A</v>
      </c>
      <c r="C93" s="154" t="s">
        <v>1432</v>
      </c>
      <c r="D93" s="20" t="e">
        <f t="shared" si="1"/>
        <v>#N/A</v>
      </c>
      <c r="E93" s="9"/>
      <c r="F93" s="10" t="e" cm="1">
        <f t="array" aca="1" ref="F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" s="10"/>
      <c r="I93" s="12"/>
      <c r="J93" s="12"/>
      <c r="K93" s="61"/>
      <c r="L93" s="233"/>
      <c r="M93" s="10">
        <f ca="1">IF(ISBLANK(K93), TODAY()-(I93), Table27[[#This Row],[Effectiveness Review &amp; date deemed effective]]-Table27[[#This Row],[PTO initialized date]])</f>
        <v>46067</v>
      </c>
    </row>
    <row r="94" spans="1:13" s="4" customFormat="1" ht="18">
      <c r="A94" s="9"/>
      <c r="B94" s="18" t="e">
        <f>VLOOKUP(Table27[[#This Row],[Location 
(drop-down)]],'List source'!D$2:E$71,2,FALSE)</f>
        <v>#N/A</v>
      </c>
      <c r="C94" s="154" t="s">
        <v>1433</v>
      </c>
      <c r="D94" s="20" t="e">
        <f t="shared" si="1"/>
        <v>#N/A</v>
      </c>
      <c r="E94" s="9"/>
      <c r="F94" s="10" t="e" cm="1">
        <f t="array" aca="1" ref="F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" s="10"/>
      <c r="I94" s="12"/>
      <c r="J94" s="12"/>
      <c r="K94" s="61"/>
      <c r="L94" s="233"/>
      <c r="M94" s="10">
        <f ca="1">IF(ISBLANK(K94), TODAY()-(I94), Table27[[#This Row],[Effectiveness Review &amp; date deemed effective]]-Table27[[#This Row],[PTO initialized date]])</f>
        <v>46067</v>
      </c>
    </row>
    <row r="95" spans="1:13" s="4" customFormat="1" ht="18">
      <c r="A95" s="9"/>
      <c r="B95" s="18" t="e">
        <f>VLOOKUP(Table27[[#This Row],[Location 
(drop-down)]],'List source'!D$2:E$71,2,FALSE)</f>
        <v>#N/A</v>
      </c>
      <c r="C95" s="154" t="s">
        <v>1434</v>
      </c>
      <c r="D95" s="20" t="e">
        <f t="shared" si="1"/>
        <v>#N/A</v>
      </c>
      <c r="E95" s="9"/>
      <c r="F95" s="10" t="e" cm="1">
        <f t="array" aca="1" ref="F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" s="10"/>
      <c r="I95" s="12"/>
      <c r="J95" s="12"/>
      <c r="K95" s="61"/>
      <c r="L95" s="233"/>
      <c r="M95" s="10">
        <f ca="1">IF(ISBLANK(K95), TODAY()-(I95), Table27[[#This Row],[Effectiveness Review &amp; date deemed effective]]-Table27[[#This Row],[PTO initialized date]])</f>
        <v>46067</v>
      </c>
    </row>
    <row r="96" spans="1:13" s="4" customFormat="1" ht="18">
      <c r="A96" s="9"/>
      <c r="B96" s="18" t="e">
        <f>VLOOKUP(Table27[[#This Row],[Location 
(drop-down)]],'List source'!D$2:E$71,2,FALSE)</f>
        <v>#N/A</v>
      </c>
      <c r="C96" s="154" t="s">
        <v>1435</v>
      </c>
      <c r="D96" s="20" t="e">
        <f t="shared" si="1"/>
        <v>#N/A</v>
      </c>
      <c r="E96" s="129"/>
      <c r="F96" s="124" t="e" cm="1">
        <f t="array" aca="1" ref="F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" s="155"/>
      <c r="I96" s="12"/>
      <c r="J96" s="12"/>
      <c r="K96" s="61"/>
      <c r="L96" s="233"/>
      <c r="M96" s="10">
        <f ca="1">IF(ISBLANK(K96), TODAY()-(I96), Table27[[#This Row],[Effectiveness Review &amp; date deemed effective]]-Table27[[#This Row],[PTO initialized date]])</f>
        <v>46067</v>
      </c>
    </row>
    <row r="97" spans="1:13" s="4" customFormat="1" ht="18">
      <c r="A97" s="9"/>
      <c r="B97" s="18" t="e">
        <f>VLOOKUP(Table27[[#This Row],[Location 
(drop-down)]],'List source'!D$2:E$71,2,FALSE)</f>
        <v>#N/A</v>
      </c>
      <c r="C97" s="154" t="s">
        <v>1436</v>
      </c>
      <c r="D97" s="20" t="e">
        <f t="shared" si="1"/>
        <v>#N/A</v>
      </c>
      <c r="E97" s="9"/>
      <c r="F97" s="10" t="e" cm="1">
        <f t="array" aca="1" ref="F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" s="10"/>
      <c r="I97" s="12"/>
      <c r="J97" s="12"/>
      <c r="K97" s="61"/>
      <c r="L97" s="233"/>
      <c r="M97" s="10">
        <f ca="1">IF(ISBLANK(K97), TODAY()-(I97), Table27[[#This Row],[Effectiveness Review &amp; date deemed effective]]-Table27[[#This Row],[PTO initialized date]])</f>
        <v>46067</v>
      </c>
    </row>
    <row r="98" spans="1:13" s="4" customFormat="1" ht="18">
      <c r="A98" s="9"/>
      <c r="B98" s="18" t="e">
        <f>VLOOKUP(Table27[[#This Row],[Location 
(drop-down)]],'List source'!D$2:E$71,2,FALSE)</f>
        <v>#N/A</v>
      </c>
      <c r="C98" s="154" t="s">
        <v>1437</v>
      </c>
      <c r="D98" s="20" t="e">
        <f t="shared" si="1"/>
        <v>#N/A</v>
      </c>
      <c r="E98" s="9"/>
      <c r="F98" s="10" t="e" cm="1">
        <f t="array" aca="1" ref="F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" s="10"/>
      <c r="I98" s="12"/>
      <c r="J98" s="12"/>
      <c r="K98" s="61"/>
      <c r="L98" s="233"/>
      <c r="M98" s="10">
        <f ca="1">IF(ISBLANK(K98), TODAY()-(I98), Table27[[#This Row],[Effectiveness Review &amp; date deemed effective]]-Table27[[#This Row],[PTO initialized date]])</f>
        <v>46067</v>
      </c>
    </row>
    <row r="99" spans="1:13" s="4" customFormat="1" ht="18">
      <c r="A99" s="9"/>
      <c r="B99" s="18" t="e">
        <f>VLOOKUP(Table27[[#This Row],[Location 
(drop-down)]],'List source'!D$2:E$71,2,FALSE)</f>
        <v>#N/A</v>
      </c>
      <c r="C99" s="154" t="s">
        <v>1438</v>
      </c>
      <c r="D99" s="20" t="e">
        <f t="shared" si="1"/>
        <v>#N/A</v>
      </c>
      <c r="E99" s="9"/>
      <c r="F99" s="10" t="e" cm="1">
        <f t="array" aca="1" ref="F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" s="10"/>
      <c r="I99" s="12"/>
      <c r="J99" s="12"/>
      <c r="K99" s="61"/>
      <c r="L99" s="233"/>
      <c r="M99" s="10">
        <f ca="1">IF(ISBLANK(K99), TODAY()-(I99), Table27[[#This Row],[Effectiveness Review &amp; date deemed effective]]-Table27[[#This Row],[PTO initialized date]])</f>
        <v>46067</v>
      </c>
    </row>
    <row r="100" spans="1:13" s="4" customFormat="1" ht="18">
      <c r="A100" s="9"/>
      <c r="B100" s="18" t="e">
        <f>VLOOKUP(Table27[[#This Row],[Location 
(drop-down)]],'List source'!D$2:E$71,2,FALSE)</f>
        <v>#N/A</v>
      </c>
      <c r="C100" s="154" t="s">
        <v>1439</v>
      </c>
      <c r="D100" s="20" t="e">
        <f t="shared" si="1"/>
        <v>#N/A</v>
      </c>
      <c r="E100" s="9"/>
      <c r="F100" s="10" t="e" cm="1">
        <f t="array" aca="1" ref="F1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" s="130"/>
      <c r="I100" s="12"/>
      <c r="J100" s="12"/>
      <c r="K100" s="61"/>
      <c r="L100" s="233"/>
      <c r="M100" s="10">
        <f ca="1">IF(ISBLANK(K100), TODAY()-(I100), Table27[[#This Row],[Effectiveness Review &amp; date deemed effective]]-Table27[[#This Row],[PTO initialized date]])</f>
        <v>46067</v>
      </c>
    </row>
    <row r="101" spans="1:13" s="4" customFormat="1" ht="18">
      <c r="A101" s="9"/>
      <c r="B101" s="18" t="e">
        <f>VLOOKUP(Table27[[#This Row],[Location 
(drop-down)]],'List source'!D$2:E$71,2,FALSE)</f>
        <v>#N/A</v>
      </c>
      <c r="C101" s="154" t="s">
        <v>1440</v>
      </c>
      <c r="D101" s="20" t="e">
        <f t="shared" si="1"/>
        <v>#N/A</v>
      </c>
      <c r="E101" s="9"/>
      <c r="F101" s="10" t="e" cm="1">
        <f t="array" aca="1" ref="F1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" s="10"/>
      <c r="I101" s="12"/>
      <c r="J101" s="12"/>
      <c r="K101" s="61"/>
      <c r="L101" s="233"/>
      <c r="M101" s="10">
        <f ca="1">IF(ISBLANK(K101), TODAY()-(I101), Table27[[#This Row],[Effectiveness Review &amp; date deemed effective]]-Table27[[#This Row],[PTO initialized date]])</f>
        <v>46067</v>
      </c>
    </row>
    <row r="102" spans="1:13" s="4" customFormat="1" ht="18">
      <c r="A102" s="9"/>
      <c r="B102" s="18" t="e">
        <f>VLOOKUP(Table27[[#This Row],[Location 
(drop-down)]],'List source'!D$2:E$71,2,FALSE)</f>
        <v>#N/A</v>
      </c>
      <c r="C102" s="154" t="s">
        <v>1441</v>
      </c>
      <c r="D102" s="20" t="e">
        <f t="shared" si="1"/>
        <v>#N/A</v>
      </c>
      <c r="E102" s="9"/>
      <c r="F102" s="10" t="e" cm="1">
        <f t="array" aca="1" ref="F1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" s="10"/>
      <c r="I102" s="12"/>
      <c r="J102" s="12"/>
      <c r="K102" s="61"/>
      <c r="L102" s="233"/>
      <c r="M102" s="10">
        <f ca="1">IF(ISBLANK(K102), TODAY()-(I102), Table27[[#This Row],[Effectiveness Review &amp; date deemed effective]]-Table27[[#This Row],[PTO initialized date]])</f>
        <v>46067</v>
      </c>
    </row>
    <row r="103" spans="1:13" s="4" customFormat="1" ht="18">
      <c r="A103" s="9"/>
      <c r="B103" s="18" t="e">
        <f>VLOOKUP(Table27[[#This Row],[Location 
(drop-down)]],'List source'!D$2:E$71,2,FALSE)</f>
        <v>#N/A</v>
      </c>
      <c r="C103" s="154" t="s">
        <v>1442</v>
      </c>
      <c r="D103" s="20" t="e">
        <f t="shared" si="1"/>
        <v>#N/A</v>
      </c>
      <c r="E103" s="9"/>
      <c r="F103" s="10" t="e" cm="1">
        <f t="array" aca="1" ref="F1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" s="320"/>
      <c r="I103" s="12"/>
      <c r="J103" s="70"/>
      <c r="K103" s="61"/>
      <c r="L103" s="340"/>
      <c r="M103" s="10">
        <f ca="1">IF(ISBLANK(K103), TODAY()-(I103), Table27[[#This Row],[Effectiveness Review &amp; date deemed effective]]-Table27[[#This Row],[PTO initialized date]])</f>
        <v>46067</v>
      </c>
    </row>
    <row r="104" spans="1:13" s="4" customFormat="1" ht="18">
      <c r="A104" s="9"/>
      <c r="B104" s="18" t="e">
        <f>VLOOKUP(Table27[[#This Row],[Location 
(drop-down)]],'List source'!D$2:E$71,2,FALSE)</f>
        <v>#N/A</v>
      </c>
      <c r="C104" s="154" t="s">
        <v>1443</v>
      </c>
      <c r="D104" s="20" t="e">
        <f t="shared" si="1"/>
        <v>#N/A</v>
      </c>
      <c r="E104" s="67"/>
      <c r="F104" s="10" t="e" cm="1">
        <f t="array" aca="1" ref="F1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" s="167"/>
      <c r="I104" s="162"/>
      <c r="J104" s="163"/>
      <c r="K104" s="164"/>
      <c r="L104" s="340"/>
      <c r="M104" s="10">
        <f ca="1">IF(ISBLANK(K104), TODAY()-(I104), Table27[[#This Row],[Effectiveness Review &amp; date deemed effective]]-Table27[[#This Row],[PTO initialized date]])</f>
        <v>46067</v>
      </c>
    </row>
    <row r="105" spans="1:13" s="4" customFormat="1" ht="18">
      <c r="A105" s="9"/>
      <c r="B105" s="18" t="e">
        <f>VLOOKUP(Table27[[#This Row],[Location 
(drop-down)]],'List source'!D$2:E$71,2,FALSE)</f>
        <v>#N/A</v>
      </c>
      <c r="C105" s="154" t="s">
        <v>1444</v>
      </c>
      <c r="D105" s="20" t="e">
        <f t="shared" si="1"/>
        <v>#N/A</v>
      </c>
      <c r="E105" s="9"/>
      <c r="F105" s="10" t="e" cm="1">
        <f t="array" aca="1" ref="F1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" s="130"/>
      <c r="I105" s="162"/>
      <c r="J105" s="163"/>
      <c r="K105" s="164"/>
      <c r="L105" s="233"/>
      <c r="M105" s="10">
        <f ca="1">IF(ISBLANK(K105), TODAY()-(I105), Table27[[#This Row],[Effectiveness Review &amp; date deemed effective]]-Table27[[#This Row],[PTO initialized date]])</f>
        <v>46067</v>
      </c>
    </row>
    <row r="106" spans="1:13" s="4" customFormat="1" ht="18">
      <c r="A106" s="9"/>
      <c r="B106" s="18" t="e">
        <f>VLOOKUP(Table27[[#This Row],[Location 
(drop-down)]],'List source'!D$2:E$71,2,FALSE)</f>
        <v>#N/A</v>
      </c>
      <c r="C106" s="154" t="s">
        <v>1445</v>
      </c>
      <c r="D106" s="20" t="e">
        <f t="shared" si="1"/>
        <v>#N/A</v>
      </c>
      <c r="E106" s="9"/>
      <c r="F106" s="10" t="e" cm="1">
        <f t="array" aca="1" ref="F1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" s="10"/>
      <c r="I106" s="162"/>
      <c r="J106" s="163"/>
      <c r="K106" s="164"/>
      <c r="L106" s="233"/>
      <c r="M106" s="10">
        <f ca="1">IF(ISBLANK(K106), TODAY()-(I106), Table27[[#This Row],[Effectiveness Review &amp; date deemed effective]]-Table27[[#This Row],[PTO initialized date]])</f>
        <v>46067</v>
      </c>
    </row>
    <row r="107" spans="1:13" s="4" customFormat="1" ht="18">
      <c r="A107" s="9"/>
      <c r="B107" s="18" t="e">
        <f>VLOOKUP(Table27[[#This Row],[Location 
(drop-down)]],'List source'!D$2:E$71,2,FALSE)</f>
        <v>#N/A</v>
      </c>
      <c r="C107" s="154" t="s">
        <v>1446</v>
      </c>
      <c r="D107" s="20" t="e">
        <f t="shared" si="1"/>
        <v>#N/A</v>
      </c>
      <c r="E107" s="9"/>
      <c r="F107" s="10" t="e" cm="1">
        <f t="array" aca="1" ref="F1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" s="10"/>
      <c r="I107" s="12"/>
      <c r="J107" s="12"/>
      <c r="K107" s="61"/>
      <c r="L107" s="233"/>
      <c r="M107" s="10">
        <f ca="1">IF(ISBLANK(K107), TODAY()-(I107), Table27[[#This Row],[Effectiveness Review &amp; date deemed effective]]-Table27[[#This Row],[PTO initialized date]])</f>
        <v>46067</v>
      </c>
    </row>
    <row r="108" spans="1:13" s="4" customFormat="1" ht="18">
      <c r="A108" s="9"/>
      <c r="B108" s="18" t="e">
        <f>VLOOKUP(Table27[[#This Row],[Location 
(drop-down)]],'List source'!D$2:E$71,2,FALSE)</f>
        <v>#N/A</v>
      </c>
      <c r="C108" s="154" t="s">
        <v>1447</v>
      </c>
      <c r="D108" s="20" t="e">
        <f t="shared" si="1"/>
        <v>#N/A</v>
      </c>
      <c r="E108" s="9"/>
      <c r="F108" s="10" t="e" cm="1">
        <f t="array" aca="1" ref="F1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" s="10"/>
      <c r="I108" s="12"/>
      <c r="J108" s="12"/>
      <c r="K108" s="61"/>
      <c r="L108" s="233"/>
      <c r="M108" s="10">
        <f ca="1">IF(ISBLANK(K108), TODAY()-(I108), Table27[[#This Row],[Effectiveness Review &amp; date deemed effective]]-Table27[[#This Row],[PTO initialized date]])</f>
        <v>46067</v>
      </c>
    </row>
    <row r="109" spans="1:13" s="4" customFormat="1" ht="18">
      <c r="A109" s="9"/>
      <c r="B109" s="18" t="e">
        <f>VLOOKUP(Table27[[#This Row],[Location 
(drop-down)]],'List source'!D$2:E$71,2,FALSE)</f>
        <v>#N/A</v>
      </c>
      <c r="C109" s="154" t="s">
        <v>1448</v>
      </c>
      <c r="D109" s="20" t="e">
        <f t="shared" si="1"/>
        <v>#N/A</v>
      </c>
      <c r="E109" s="9"/>
      <c r="F109" s="10" t="e" cm="1">
        <f t="array" aca="1" ref="F1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" s="10"/>
      <c r="I109" s="12"/>
      <c r="J109" s="163"/>
      <c r="K109" s="164"/>
      <c r="L109" s="233"/>
      <c r="M109" s="10">
        <f ca="1">IF(ISBLANK(K109), TODAY()-(I109), Table27[[#This Row],[Effectiveness Review &amp; date deemed effective]]-Table27[[#This Row],[PTO initialized date]])</f>
        <v>46067</v>
      </c>
    </row>
    <row r="110" spans="1:13" s="4" customFormat="1" ht="18">
      <c r="A110" s="9"/>
      <c r="B110" s="18" t="e">
        <f>VLOOKUP(Table27[[#This Row],[Location 
(drop-down)]],'List source'!D$2:E$71,2,FALSE)</f>
        <v>#N/A</v>
      </c>
      <c r="C110" s="154" t="s">
        <v>1449</v>
      </c>
      <c r="D110" s="20" t="e">
        <f t="shared" si="1"/>
        <v>#N/A</v>
      </c>
      <c r="E110" s="9"/>
      <c r="F110" s="10" t="e" cm="1">
        <f t="array" aca="1" ref="F1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" s="10"/>
      <c r="I110" s="12"/>
      <c r="J110" s="163"/>
      <c r="K110" s="164"/>
      <c r="L110" s="233"/>
      <c r="M110" s="10">
        <f ca="1">IF(ISBLANK(K110), TODAY()-(I110), Table27[[#This Row],[Effectiveness Review &amp; date deemed effective]]-Table27[[#This Row],[PTO initialized date]])</f>
        <v>46067</v>
      </c>
    </row>
    <row r="111" spans="1:13" s="4" customFormat="1" ht="18">
      <c r="A111" s="9"/>
      <c r="B111" s="18" t="e">
        <f>VLOOKUP(Table27[[#This Row],[Location 
(drop-down)]],'List source'!D$2:E$71,2,FALSE)</f>
        <v>#N/A</v>
      </c>
      <c r="C111" s="154" t="s">
        <v>1450</v>
      </c>
      <c r="D111" s="20" t="e">
        <f t="shared" si="1"/>
        <v>#N/A</v>
      </c>
      <c r="E111" s="9"/>
      <c r="F111" s="10" t="e" cm="1">
        <f t="array" aca="1" ref="F1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" s="130"/>
      <c r="I111" s="12"/>
      <c r="J111" s="163"/>
      <c r="K111" s="164"/>
      <c r="L111" s="233"/>
      <c r="M111" s="10">
        <f ca="1">IF(ISBLANK(K111), TODAY()-(I111), Table27[[#This Row],[Effectiveness Review &amp; date deemed effective]]-Table27[[#This Row],[PTO initialized date]])</f>
        <v>46067</v>
      </c>
    </row>
    <row r="112" spans="1:13" s="4" customFormat="1" ht="18">
      <c r="A112" s="9"/>
      <c r="B112" s="18" t="e">
        <f>VLOOKUP(Table27[[#This Row],[Location 
(drop-down)]],'List source'!D$2:E$71,2,FALSE)</f>
        <v>#N/A</v>
      </c>
      <c r="C112" s="154" t="s">
        <v>1451</v>
      </c>
      <c r="D112" s="20" t="e">
        <f t="shared" si="1"/>
        <v>#N/A</v>
      </c>
      <c r="E112" s="68"/>
      <c r="F112" s="10" t="e" cm="1">
        <f t="array" aca="1" ref="F1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" s="130"/>
      <c r="I112" s="12"/>
      <c r="J112" s="163"/>
      <c r="K112" s="164"/>
      <c r="L112" s="233"/>
      <c r="M112" s="10">
        <f ca="1">IF(ISBLANK(K112), TODAY()-(I112), Table27[[#This Row],[Effectiveness Review &amp; date deemed effective]]-Table27[[#This Row],[PTO initialized date]])</f>
        <v>46067</v>
      </c>
    </row>
    <row r="113" spans="1:13" s="4" customFormat="1" ht="18">
      <c r="A113" s="9"/>
      <c r="B113" s="18" t="e">
        <f>VLOOKUP(Table27[[#This Row],[Location 
(drop-down)]],'List source'!D$2:E$71,2,FALSE)</f>
        <v>#N/A</v>
      </c>
      <c r="C113" s="154" t="s">
        <v>1452</v>
      </c>
      <c r="D113" s="20" t="e">
        <f t="shared" si="1"/>
        <v>#N/A</v>
      </c>
      <c r="E113" s="307"/>
      <c r="F113" s="10" t="e" cm="1">
        <f t="array" aca="1" ref="F1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" s="322"/>
      <c r="I113" s="12"/>
      <c r="J113" s="163"/>
      <c r="K113" s="164"/>
      <c r="L113" s="233"/>
      <c r="M113" s="10">
        <f ca="1">IF(ISBLANK(K113), TODAY()-(I113), Table27[[#This Row],[Effectiveness Review &amp; date deemed effective]]-Table27[[#This Row],[PTO initialized date]])</f>
        <v>46067</v>
      </c>
    </row>
    <row r="114" spans="1:13" s="4" customFormat="1" ht="18">
      <c r="A114" s="9"/>
      <c r="B114" s="18" t="e">
        <f>VLOOKUP(Table27[[#This Row],[Location 
(drop-down)]],'List source'!D$2:E$71,2,FALSE)</f>
        <v>#N/A</v>
      </c>
      <c r="C114" s="154" t="s">
        <v>1453</v>
      </c>
      <c r="D114" s="20" t="e">
        <f t="shared" si="1"/>
        <v>#N/A</v>
      </c>
      <c r="E114" s="129"/>
      <c r="F114" s="10" t="e" cm="1">
        <f t="array" aca="1" ref="F1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" s="10"/>
      <c r="I114" s="12"/>
      <c r="J114" s="163"/>
      <c r="K114" s="164"/>
      <c r="L114" s="233"/>
      <c r="M114" s="10">
        <f ca="1">IF(ISBLANK(K114), TODAY()-(I114), Table27[[#This Row],[Effectiveness Review &amp; date deemed effective]]-Table27[[#This Row],[PTO initialized date]])</f>
        <v>46067</v>
      </c>
    </row>
    <row r="115" spans="1:13" s="4" customFormat="1" ht="21" customHeight="1">
      <c r="A115" s="9"/>
      <c r="B115" s="18" t="e">
        <f>VLOOKUP(Table27[[#This Row],[Location 
(drop-down)]],'List source'!D$2:E$71,2,FALSE)</f>
        <v>#N/A</v>
      </c>
      <c r="C115" s="154" t="s">
        <v>1454</v>
      </c>
      <c r="D115" s="20" t="e">
        <f t="shared" si="1"/>
        <v>#N/A</v>
      </c>
      <c r="E115" s="9"/>
      <c r="F115" s="10" t="e" cm="1">
        <f t="array" aca="1" ref="F1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" s="10"/>
      <c r="I115" s="12"/>
      <c r="J115" s="163"/>
      <c r="K115" s="164"/>
      <c r="L115" s="233"/>
      <c r="M115" s="10">
        <f ca="1">IF(ISBLANK(K115), TODAY()-(I115), Table27[[#This Row],[Effectiveness Review &amp; date deemed effective]]-Table27[[#This Row],[PTO initialized date]])</f>
        <v>46067</v>
      </c>
    </row>
    <row r="116" spans="1:13" s="4" customFormat="1" ht="18">
      <c r="A116" s="9"/>
      <c r="B116" s="18" t="e">
        <f>VLOOKUP(Table27[[#This Row],[Location 
(drop-down)]],'List source'!D$2:E$71,2,FALSE)</f>
        <v>#N/A</v>
      </c>
      <c r="C116" s="154" t="s">
        <v>1455</v>
      </c>
      <c r="D116" s="20" t="e">
        <f t="shared" si="1"/>
        <v>#N/A</v>
      </c>
      <c r="E116" s="9"/>
      <c r="F116" s="10" t="e" cm="1">
        <f t="array" aca="1" ref="F1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" s="130"/>
      <c r="I116" s="12"/>
      <c r="J116" s="163"/>
      <c r="K116" s="164"/>
      <c r="L116" s="233"/>
      <c r="M116" s="10">
        <f ca="1">IF(ISBLANK(K116), TODAY()-(I116), Table27[[#This Row],[Effectiveness Review &amp; date deemed effective]]-Table27[[#This Row],[PTO initialized date]])</f>
        <v>46067</v>
      </c>
    </row>
    <row r="117" spans="1:13" s="4" customFormat="1" ht="18">
      <c r="A117" s="9"/>
      <c r="B117" s="18" t="e">
        <f>VLOOKUP(Table27[[#This Row],[Location 
(drop-down)]],'List source'!D$2:E$71,2,FALSE)</f>
        <v>#N/A</v>
      </c>
      <c r="C117" s="154" t="s">
        <v>1456</v>
      </c>
      <c r="D117" s="20" t="e">
        <f t="shared" si="1"/>
        <v>#N/A</v>
      </c>
      <c r="E117" s="9"/>
      <c r="F117" s="10" t="e" cm="1">
        <f t="array" aca="1" ref="F1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" s="10"/>
      <c r="I117" s="12"/>
      <c r="J117" s="12"/>
      <c r="K117" s="61"/>
      <c r="L117" s="233"/>
      <c r="M117" s="10">
        <f ca="1">IF(ISBLANK(K117), TODAY()-(I117), Table27[[#This Row],[Effectiveness Review &amp; date deemed effective]]-Table27[[#This Row],[PTO initialized date]])</f>
        <v>46067</v>
      </c>
    </row>
    <row r="118" spans="1:13" s="4" customFormat="1" ht="18">
      <c r="A118" s="9"/>
      <c r="B118" s="18" t="e">
        <f>VLOOKUP(Table27[[#This Row],[Location 
(drop-down)]],'List source'!D$2:E$71,2,FALSE)</f>
        <v>#N/A</v>
      </c>
      <c r="C118" s="154" t="s">
        <v>1457</v>
      </c>
      <c r="D118" s="20" t="e">
        <f t="shared" si="1"/>
        <v>#N/A</v>
      </c>
      <c r="E118" s="9"/>
      <c r="F118" s="10" t="e" cm="1">
        <f t="array" aca="1" ref="F1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" s="10"/>
      <c r="I118" s="12"/>
      <c r="J118" s="12"/>
      <c r="K118" s="61"/>
      <c r="L118" s="233"/>
      <c r="M118" s="10">
        <f ca="1">IF(ISBLANK(K118), TODAY()-(I118), Table27[[#This Row],[Effectiveness Review &amp; date deemed effective]]-Table27[[#This Row],[PTO initialized date]])</f>
        <v>46067</v>
      </c>
    </row>
    <row r="119" spans="1:13" s="4" customFormat="1" ht="18">
      <c r="A119" s="9"/>
      <c r="B119" s="18" t="e">
        <f>VLOOKUP(Table27[[#This Row],[Location 
(drop-down)]],'List source'!D$2:E$71,2,FALSE)</f>
        <v>#N/A</v>
      </c>
      <c r="C119" s="154" t="s">
        <v>1458</v>
      </c>
      <c r="D119" s="20" t="e">
        <f t="shared" si="1"/>
        <v>#N/A</v>
      </c>
      <c r="E119" s="9"/>
      <c r="F119" s="10" t="e" cm="1">
        <f t="array" aca="1" ref="F1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" s="10"/>
      <c r="I119" s="12"/>
      <c r="J119" s="12"/>
      <c r="K119" s="61"/>
      <c r="L119" s="233"/>
      <c r="M119" s="10">
        <f ca="1">IF(ISBLANK(K119), TODAY()-(I119), Table27[[#This Row],[Effectiveness Review &amp; date deemed effective]]-Table27[[#This Row],[PTO initialized date]])</f>
        <v>46067</v>
      </c>
    </row>
    <row r="120" spans="1:13" s="4" customFormat="1" ht="18">
      <c r="A120" s="9"/>
      <c r="B120" s="18" t="e">
        <f>VLOOKUP(Table27[[#This Row],[Location 
(drop-down)]],'List source'!D$2:E$71,2,FALSE)</f>
        <v>#N/A</v>
      </c>
      <c r="C120" s="154" t="s">
        <v>1459</v>
      </c>
      <c r="D120" s="20" t="e">
        <f t="shared" si="1"/>
        <v>#N/A</v>
      </c>
      <c r="E120" s="9"/>
      <c r="F120" s="10" t="e" cm="1">
        <f t="array" aca="1" ref="F1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" s="10"/>
      <c r="I120" s="12"/>
      <c r="J120" s="12"/>
      <c r="K120" s="61"/>
      <c r="L120" s="233"/>
      <c r="M120" s="10">
        <f ca="1">IF(ISBLANK(K120), TODAY()-(I120), Table27[[#This Row],[Effectiveness Review &amp; date deemed effective]]-Table27[[#This Row],[PTO initialized date]])</f>
        <v>46067</v>
      </c>
    </row>
    <row r="121" spans="1:13" s="4" customFormat="1" ht="18">
      <c r="A121" s="9"/>
      <c r="B121" s="18" t="e">
        <f>VLOOKUP(Table27[[#This Row],[Location 
(drop-down)]],'List source'!D$2:E$71,2,FALSE)</f>
        <v>#N/A</v>
      </c>
      <c r="C121" s="154" t="s">
        <v>1460</v>
      </c>
      <c r="D121" s="20" t="e">
        <f t="shared" si="1"/>
        <v>#N/A</v>
      </c>
      <c r="E121" s="9"/>
      <c r="F121" s="10" t="e" cm="1">
        <f t="array" aca="1" ref="F1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" s="130"/>
      <c r="I121" s="12"/>
      <c r="J121" s="12"/>
      <c r="K121" s="61"/>
      <c r="L121" s="233"/>
      <c r="M121" s="10">
        <f ca="1">IF(ISBLANK(K121), TODAY()-(I121), Table27[[#This Row],[Effectiveness Review &amp; date deemed effective]]-Table27[[#This Row],[PTO initialized date]])</f>
        <v>46067</v>
      </c>
    </row>
    <row r="122" spans="1:13" s="4" customFormat="1" ht="18">
      <c r="A122" s="9"/>
      <c r="B122" s="18" t="e">
        <f>VLOOKUP(Table27[[#This Row],[Location 
(drop-down)]],'List source'!D$2:E$71,2,FALSE)</f>
        <v>#N/A</v>
      </c>
      <c r="C122" s="154" t="s">
        <v>1461</v>
      </c>
      <c r="D122" s="20" t="e">
        <f t="shared" si="1"/>
        <v>#N/A</v>
      </c>
      <c r="E122" s="9"/>
      <c r="F122" s="10" t="e" cm="1">
        <f t="array" aca="1" ref="F1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" s="10"/>
      <c r="I122" s="12"/>
      <c r="J122" s="12"/>
      <c r="K122" s="61"/>
      <c r="L122" s="233"/>
      <c r="M122" s="10">
        <f ca="1">IF(ISBLANK(K122), TODAY()-(I122), Table27[[#This Row],[Effectiveness Review &amp; date deemed effective]]-Table27[[#This Row],[PTO initialized date]])</f>
        <v>46067</v>
      </c>
    </row>
    <row r="123" spans="1:13" s="4" customFormat="1" ht="18">
      <c r="A123" s="9"/>
      <c r="B123" s="18" t="e">
        <f>VLOOKUP(Table27[[#This Row],[Location 
(drop-down)]],'List source'!D$2:E$71,2,FALSE)</f>
        <v>#N/A</v>
      </c>
      <c r="C123" s="154" t="s">
        <v>1462</v>
      </c>
      <c r="D123" s="20" t="e">
        <f t="shared" si="1"/>
        <v>#N/A</v>
      </c>
      <c r="E123" s="9"/>
      <c r="F123" s="10" t="e" cm="1">
        <f t="array" aca="1" ref="F1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" s="10"/>
      <c r="I123" s="12"/>
      <c r="J123" s="12"/>
      <c r="K123" s="61"/>
      <c r="L123" s="233"/>
      <c r="M123" s="10">
        <f ca="1">IF(ISBLANK(K123), TODAY()-(I123), Table27[[#This Row],[Effectiveness Review &amp; date deemed effective]]-Table27[[#This Row],[PTO initialized date]])</f>
        <v>46067</v>
      </c>
    </row>
    <row r="124" spans="1:13" s="4" customFormat="1" ht="18">
      <c r="A124" s="9"/>
      <c r="B124" s="18" t="e">
        <f>VLOOKUP(Table27[[#This Row],[Location 
(drop-down)]],'List source'!D$2:E$71,2,FALSE)</f>
        <v>#N/A</v>
      </c>
      <c r="C124" s="154" t="s">
        <v>1463</v>
      </c>
      <c r="D124" s="20" t="e">
        <f t="shared" si="1"/>
        <v>#N/A</v>
      </c>
      <c r="E124" s="9"/>
      <c r="F124" s="10" t="e" cm="1">
        <f t="array" aca="1" ref="F1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" s="10"/>
      <c r="I124" s="12"/>
      <c r="J124" s="12"/>
      <c r="K124" s="61"/>
      <c r="L124" s="233"/>
      <c r="M124" s="10">
        <f ca="1">IF(ISBLANK(K124), TODAY()-(I124), Table27[[#This Row],[Effectiveness Review &amp; date deemed effective]]-Table27[[#This Row],[PTO initialized date]])</f>
        <v>46067</v>
      </c>
    </row>
    <row r="125" spans="1:13" s="4" customFormat="1" ht="18">
      <c r="A125" s="9"/>
      <c r="B125" s="18" t="e">
        <f>VLOOKUP(Table27[[#This Row],[Location 
(drop-down)]],'List source'!D$2:E$71,2,FALSE)</f>
        <v>#N/A</v>
      </c>
      <c r="C125" s="154" t="s">
        <v>1464</v>
      </c>
      <c r="D125" s="20" t="e">
        <f t="shared" si="1"/>
        <v>#N/A</v>
      </c>
      <c r="E125" s="9"/>
      <c r="F125" s="10" t="e" cm="1">
        <f t="array" aca="1" ref="F1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" s="130"/>
      <c r="I125" s="12"/>
      <c r="J125" s="12"/>
      <c r="K125" s="61"/>
      <c r="L125" s="233"/>
      <c r="M125" s="10">
        <f ca="1">IF(ISBLANK(K125), TODAY()-(I125), Table27[[#This Row],[Effectiveness Review &amp; date deemed effective]]-Table27[[#This Row],[PTO initialized date]])</f>
        <v>46067</v>
      </c>
    </row>
    <row r="126" spans="1:13" s="4" customFormat="1" ht="18">
      <c r="A126" s="9"/>
      <c r="B126" s="18" t="e">
        <f>VLOOKUP(Table27[[#This Row],[Location 
(drop-down)]],'List source'!D$2:E$71,2,FALSE)</f>
        <v>#N/A</v>
      </c>
      <c r="C126" s="154" t="s">
        <v>1465</v>
      </c>
      <c r="D126" s="20" t="e">
        <f t="shared" si="1"/>
        <v>#N/A</v>
      </c>
      <c r="E126" s="9"/>
      <c r="F126" s="10" t="e" cm="1">
        <f t="array" aca="1" ref="F1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" s="130"/>
      <c r="I126" s="12"/>
      <c r="J126" s="12"/>
      <c r="K126" s="61"/>
      <c r="L126" s="233"/>
      <c r="M126" s="10">
        <f ca="1">IF(ISBLANK(K126), TODAY()-(I126), Table27[[#This Row],[Effectiveness Review &amp; date deemed effective]]-Table27[[#This Row],[PTO initialized date]])</f>
        <v>46067</v>
      </c>
    </row>
    <row r="127" spans="1:13" s="4" customFormat="1" ht="18">
      <c r="A127" s="9"/>
      <c r="B127" s="18" t="e">
        <f>VLOOKUP(Table27[[#This Row],[Location 
(drop-down)]],'List source'!D$2:E$71,2,FALSE)</f>
        <v>#N/A</v>
      </c>
      <c r="C127" s="154" t="s">
        <v>1466</v>
      </c>
      <c r="D127" s="20" t="e">
        <f t="shared" si="1"/>
        <v>#N/A</v>
      </c>
      <c r="E127" s="9"/>
      <c r="F127" s="10" t="e" cm="1">
        <f t="array" aca="1" ref="F1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" s="130"/>
      <c r="I127" s="12"/>
      <c r="J127" s="12"/>
      <c r="K127" s="61"/>
      <c r="L127" s="233"/>
      <c r="M127" s="10">
        <f ca="1">IF(ISBLANK(K127), TODAY()-(I127), Table27[[#This Row],[Effectiveness Review &amp; date deemed effective]]-Table27[[#This Row],[PTO initialized date]])</f>
        <v>46067</v>
      </c>
    </row>
    <row r="128" spans="1:13" s="4" customFormat="1" ht="18">
      <c r="A128" s="9"/>
      <c r="B128" s="18" t="e">
        <f>VLOOKUP(Table27[[#This Row],[Location 
(drop-down)]],'List source'!D$2:E$71,2,FALSE)</f>
        <v>#N/A</v>
      </c>
      <c r="C128" s="154" t="s">
        <v>1467</v>
      </c>
      <c r="D128" s="20" t="e">
        <f t="shared" si="1"/>
        <v>#N/A</v>
      </c>
      <c r="E128" s="9"/>
      <c r="F128" s="10" t="e" cm="1">
        <f t="array" aca="1" ref="F1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" s="10"/>
      <c r="I128" s="12"/>
      <c r="J128" s="12"/>
      <c r="K128" s="61"/>
      <c r="L128" s="233"/>
      <c r="M128" s="10">
        <f ca="1">IF(ISBLANK(K128), TODAY()-(I128), Table27[[#This Row],[Effectiveness Review &amp; date deemed effective]]-Table27[[#This Row],[PTO initialized date]])</f>
        <v>46067</v>
      </c>
    </row>
    <row r="129" spans="1:13" s="4" customFormat="1" ht="18">
      <c r="A129" s="9"/>
      <c r="B129" s="18" t="e">
        <f>VLOOKUP(Table27[[#This Row],[Location 
(drop-down)]],'List source'!D$2:E$71,2,FALSE)</f>
        <v>#N/A</v>
      </c>
      <c r="C129" s="154" t="s">
        <v>1468</v>
      </c>
      <c r="D129" s="20" t="e">
        <f t="shared" si="1"/>
        <v>#N/A</v>
      </c>
      <c r="E129" s="9"/>
      <c r="F129" s="10" t="e" cm="1">
        <f t="array" aca="1" ref="F1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" s="130"/>
      <c r="I129" s="12"/>
      <c r="J129" s="12"/>
      <c r="K129" s="61"/>
      <c r="L129" s="233"/>
      <c r="M129" s="10">
        <f ca="1">IF(ISBLANK(K129), TODAY()-(I129), Table27[[#This Row],[Effectiveness Review &amp; date deemed effective]]-Table27[[#This Row],[PTO initialized date]])</f>
        <v>46067</v>
      </c>
    </row>
    <row r="130" spans="1:13" s="4" customFormat="1" ht="18">
      <c r="A130" s="9"/>
      <c r="B130" s="18" t="e">
        <f>VLOOKUP(Table27[[#This Row],[Location 
(drop-down)]],'List source'!D$2:E$71,2,FALSE)</f>
        <v>#N/A</v>
      </c>
      <c r="C130" s="154" t="s">
        <v>1469</v>
      </c>
      <c r="D130" s="20" t="e">
        <f t="shared" ref="D130:D193" si="2">"PTO" &amp; C130 &amp; "-" &amp; B130 &amp; "-" &amp; "26"</f>
        <v>#N/A</v>
      </c>
      <c r="E130" s="9"/>
      <c r="F130" s="10" t="e" cm="1">
        <f t="array" aca="1" ref="F1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" s="10"/>
      <c r="I130" s="12"/>
      <c r="J130" s="12"/>
      <c r="K130" s="61"/>
      <c r="L130" s="233"/>
      <c r="M130" s="10">
        <f ca="1">IF(ISBLANK(K130), TODAY()-(I130), Table27[[#This Row],[Effectiveness Review &amp; date deemed effective]]-Table27[[#This Row],[PTO initialized date]])</f>
        <v>46067</v>
      </c>
    </row>
    <row r="131" spans="1:13" s="4" customFormat="1" ht="18">
      <c r="A131" s="9"/>
      <c r="B131" s="18" t="e">
        <f>VLOOKUP(Table27[[#This Row],[Location 
(drop-down)]],'List source'!D$2:E$71,2,FALSE)</f>
        <v>#N/A</v>
      </c>
      <c r="C131" s="154" t="s">
        <v>1470</v>
      </c>
      <c r="D131" s="20" t="e">
        <f t="shared" si="2"/>
        <v>#N/A</v>
      </c>
      <c r="E131" s="68"/>
      <c r="F131" s="10" t="e" cm="1">
        <f t="array" aca="1" ref="F1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" s="72"/>
      <c r="I131" s="12"/>
      <c r="J131" s="12"/>
      <c r="K131" s="61"/>
      <c r="L131" s="233"/>
      <c r="M131" s="10">
        <f ca="1">IF(ISBLANK(K131), TODAY()-(I131), Table27[[#This Row],[Effectiveness Review &amp; date deemed effective]]-Table27[[#This Row],[PTO initialized date]])</f>
        <v>46067</v>
      </c>
    </row>
    <row r="132" spans="1:13" s="4" customFormat="1" ht="18">
      <c r="A132" s="9"/>
      <c r="B132" s="18" t="e">
        <f>VLOOKUP(Table27[[#This Row],[Location 
(drop-down)]],'List source'!D$2:E$71,2,FALSE)</f>
        <v>#N/A</v>
      </c>
      <c r="C132" s="154" t="s">
        <v>1471</v>
      </c>
      <c r="D132" s="20" t="e">
        <f t="shared" si="2"/>
        <v>#N/A</v>
      </c>
      <c r="E132" s="141"/>
      <c r="F132" s="10" t="e" cm="1">
        <f t="array" aca="1" ref="F1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" s="330"/>
      <c r="I132" s="12"/>
      <c r="J132" s="12"/>
      <c r="K132" s="61"/>
      <c r="L132" s="233"/>
      <c r="M132" s="10">
        <f ca="1">IF(ISBLANK(K132), TODAY()-(I132), Table27[[#This Row],[Effectiveness Review &amp; date deemed effective]]-Table27[[#This Row],[PTO initialized date]])</f>
        <v>46067</v>
      </c>
    </row>
    <row r="133" spans="1:13" s="4" customFormat="1" ht="18">
      <c r="A133" s="9"/>
      <c r="B133" s="18" t="e">
        <f>VLOOKUP(Table27[[#This Row],[Location 
(drop-down)]],'List source'!D$2:E$71,2,FALSE)</f>
        <v>#N/A</v>
      </c>
      <c r="C133" s="154" t="s">
        <v>1472</v>
      </c>
      <c r="D133" s="20" t="e">
        <f t="shared" si="2"/>
        <v>#N/A</v>
      </c>
      <c r="E133" s="129"/>
      <c r="F133" s="10" t="e" cm="1">
        <f t="array" aca="1" ref="F1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" s="155"/>
      <c r="I133" s="12"/>
      <c r="J133" s="12"/>
      <c r="K133" s="61"/>
      <c r="L133" s="233"/>
      <c r="M133" s="10">
        <f ca="1">IF(ISBLANK(K133), TODAY()-(I133), Table27[[#This Row],[Effectiveness Review &amp; date deemed effective]]-Table27[[#This Row],[PTO initialized date]])</f>
        <v>46067</v>
      </c>
    </row>
    <row r="134" spans="1:13" s="4" customFormat="1" ht="18">
      <c r="A134" s="9"/>
      <c r="B134" s="18" t="e">
        <f>VLOOKUP(Table27[[#This Row],[Location 
(drop-down)]],'List source'!D$2:E$71,2,FALSE)</f>
        <v>#N/A</v>
      </c>
      <c r="C134" s="154" t="s">
        <v>1473</v>
      </c>
      <c r="D134" s="20" t="e">
        <f t="shared" si="2"/>
        <v>#N/A</v>
      </c>
      <c r="E134" s="9"/>
      <c r="F134" s="10" t="e" cm="1">
        <f t="array" aca="1" ref="F1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" s="161"/>
      <c r="I134" s="12"/>
      <c r="J134" s="12"/>
      <c r="K134" s="61"/>
      <c r="L134" s="233"/>
      <c r="M134" s="10">
        <f ca="1">IF(ISBLANK(K134), TODAY()-(I134), Table27[[#This Row],[Effectiveness Review &amp; date deemed effective]]-Table27[[#This Row],[PTO initialized date]])</f>
        <v>46067</v>
      </c>
    </row>
    <row r="135" spans="1:13" s="4" customFormat="1" ht="18">
      <c r="A135" s="9"/>
      <c r="B135" s="18" t="e">
        <f>VLOOKUP(Table27[[#This Row],[Location 
(drop-down)]],'List source'!D$2:E$71,2,FALSE)</f>
        <v>#N/A</v>
      </c>
      <c r="C135" s="154" t="s">
        <v>1474</v>
      </c>
      <c r="D135" s="20" t="e">
        <f t="shared" si="2"/>
        <v>#N/A</v>
      </c>
      <c r="E135" s="9"/>
      <c r="F135" s="10" t="e" cm="1">
        <f t="array" aca="1" ref="F1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" s="130"/>
      <c r="I135" s="12"/>
      <c r="J135" s="12"/>
      <c r="K135" s="61"/>
      <c r="L135" s="233"/>
      <c r="M135" s="10">
        <f ca="1">IF(ISBLANK(K135), TODAY()-(I135), Table27[[#This Row],[Effectiveness Review &amp; date deemed effective]]-Table27[[#This Row],[PTO initialized date]])</f>
        <v>46067</v>
      </c>
    </row>
    <row r="136" spans="1:13" s="4" customFormat="1" ht="18">
      <c r="A136" s="9"/>
      <c r="B136" s="18" t="e">
        <f>VLOOKUP(Table27[[#This Row],[Location 
(drop-down)]],'List source'!D$2:E$71,2,FALSE)</f>
        <v>#N/A</v>
      </c>
      <c r="C136" s="154" t="s">
        <v>1475</v>
      </c>
      <c r="D136" s="20" t="e">
        <f t="shared" si="2"/>
        <v>#N/A</v>
      </c>
      <c r="E136" s="9"/>
      <c r="F136" s="10" t="e" cm="1">
        <f t="array" aca="1" ref="F1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" s="334"/>
      <c r="I136" s="12"/>
      <c r="J136" s="12"/>
      <c r="K136" s="61"/>
      <c r="L136" s="233"/>
      <c r="M136" s="10">
        <f ca="1">IF(ISBLANK(K136), TODAY()-(I136), Table27[[#This Row],[Effectiveness Review &amp; date deemed effective]]-Table27[[#This Row],[PTO initialized date]])</f>
        <v>46067</v>
      </c>
    </row>
    <row r="137" spans="1:13" s="4" customFormat="1" ht="18">
      <c r="A137" s="9"/>
      <c r="B137" s="18" t="e">
        <f>VLOOKUP(Table27[[#This Row],[Location 
(drop-down)]],'List source'!D$2:E$71,2,FALSE)</f>
        <v>#N/A</v>
      </c>
      <c r="C137" s="154" t="s">
        <v>1476</v>
      </c>
      <c r="D137" s="20" t="e">
        <f t="shared" si="2"/>
        <v>#N/A</v>
      </c>
      <c r="E137" s="9"/>
      <c r="F137" s="10" t="e" cm="1">
        <f t="array" aca="1" ref="F1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" s="10"/>
      <c r="I137" s="12"/>
      <c r="J137" s="12"/>
      <c r="K137" s="61"/>
      <c r="L137" s="233"/>
      <c r="M137" s="10">
        <f ca="1">IF(ISBLANK(K137), TODAY()-(I137), Table27[[#This Row],[Effectiveness Review &amp; date deemed effective]]-Table27[[#This Row],[PTO initialized date]])</f>
        <v>46067</v>
      </c>
    </row>
    <row r="138" spans="1:13" s="4" customFormat="1" ht="18">
      <c r="A138" s="9"/>
      <c r="B138" s="18" t="e">
        <f>VLOOKUP(Table27[[#This Row],[Location 
(drop-down)]],'List source'!D$2:E$71,2,FALSE)</f>
        <v>#N/A</v>
      </c>
      <c r="C138" s="154" t="s">
        <v>1477</v>
      </c>
      <c r="D138" s="20" t="e">
        <f t="shared" si="2"/>
        <v>#N/A</v>
      </c>
      <c r="E138" s="75"/>
      <c r="F138" s="10" t="e" cm="1">
        <f t="array" aca="1" ref="F1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" s="328"/>
      <c r="I138" s="142"/>
      <c r="J138" s="12"/>
      <c r="K138" s="61"/>
      <c r="L138" s="233"/>
      <c r="M138" s="10">
        <f ca="1">IF(ISBLANK(K138), TODAY()-(I138), Table27[[#This Row],[Effectiveness Review &amp; date deemed effective]]-Table27[[#This Row],[PTO initialized date]])</f>
        <v>46067</v>
      </c>
    </row>
    <row r="139" spans="1:13" s="4" customFormat="1" ht="18">
      <c r="A139" s="9"/>
      <c r="B139" s="18" t="e">
        <f>VLOOKUP(Table27[[#This Row],[Location 
(drop-down)]],'List source'!D$2:E$71,2,FALSE)</f>
        <v>#N/A</v>
      </c>
      <c r="C139" s="154" t="s">
        <v>1478</v>
      </c>
      <c r="D139" s="20" t="e">
        <f t="shared" si="2"/>
        <v>#N/A</v>
      </c>
      <c r="E139" s="75"/>
      <c r="F139" s="10" t="e" cm="1">
        <f t="array" aca="1" ref="F1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" s="328"/>
      <c r="I139" s="142"/>
      <c r="J139" s="12"/>
      <c r="K139" s="61"/>
      <c r="L139" s="233"/>
      <c r="M139" s="10">
        <f ca="1">IF(ISBLANK(K139), TODAY()-(I139), Table27[[#This Row],[Effectiveness Review &amp; date deemed effective]]-Table27[[#This Row],[PTO initialized date]])</f>
        <v>46067</v>
      </c>
    </row>
    <row r="140" spans="1:13" s="4" customFormat="1" ht="18">
      <c r="A140" s="9"/>
      <c r="B140" s="18" t="e">
        <f>VLOOKUP(Table27[[#This Row],[Location 
(drop-down)]],'List source'!D$2:E$71,2,FALSE)</f>
        <v>#N/A</v>
      </c>
      <c r="C140" s="154" t="s">
        <v>1479</v>
      </c>
      <c r="D140" s="20" t="e">
        <f t="shared" si="2"/>
        <v>#N/A</v>
      </c>
      <c r="E140" s="75"/>
      <c r="F140" s="10" t="e" cm="1">
        <f t="array" aca="1" ref="F1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" s="13"/>
      <c r="I140" s="12"/>
      <c r="J140" s="12"/>
      <c r="K140" s="61"/>
      <c r="L140" s="233"/>
      <c r="M140" s="10">
        <f ca="1">IF(ISBLANK(K140), TODAY()-(I140), Table27[[#This Row],[Effectiveness Review &amp; date deemed effective]]-Table27[[#This Row],[PTO initialized date]])</f>
        <v>46067</v>
      </c>
    </row>
    <row r="141" spans="1:13" s="4" customFormat="1" ht="18">
      <c r="A141" s="9"/>
      <c r="B141" s="18" t="e">
        <f>VLOOKUP(Table27[[#This Row],[Location 
(drop-down)]],'List source'!D$2:E$71,2,FALSE)</f>
        <v>#N/A</v>
      </c>
      <c r="C141" s="154" t="s">
        <v>1480</v>
      </c>
      <c r="D141" s="20" t="e">
        <f t="shared" si="2"/>
        <v>#N/A</v>
      </c>
      <c r="E141" s="75"/>
      <c r="F141" s="10" t="e" cm="1">
        <f t="array" aca="1" ref="F1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" s="11"/>
      <c r="I141" s="12"/>
      <c r="J141" s="12"/>
      <c r="K141" s="61"/>
      <c r="L141" s="233"/>
      <c r="M141" s="10">
        <f ca="1">IF(ISBLANK(K141), TODAY()-(I141), Table27[[#This Row],[Effectiveness Review &amp; date deemed effective]]-Table27[[#This Row],[PTO initialized date]])</f>
        <v>46067</v>
      </c>
    </row>
    <row r="142" spans="1:13" s="4" customFormat="1" ht="18">
      <c r="A142" s="9"/>
      <c r="B142" s="18" t="e">
        <f>VLOOKUP(Table27[[#This Row],[Location 
(drop-down)]],'List source'!D$2:E$71,2,FALSE)</f>
        <v>#N/A</v>
      </c>
      <c r="C142" s="154" t="s">
        <v>1481</v>
      </c>
      <c r="D142" s="20" t="e">
        <f t="shared" si="2"/>
        <v>#N/A</v>
      </c>
      <c r="E142" s="75"/>
      <c r="F142" s="10" t="e" cm="1">
        <f t="array" aca="1" ref="F1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" s="11"/>
      <c r="I142" s="16"/>
      <c r="J142" s="12"/>
      <c r="K142" s="61"/>
      <c r="L142" s="233"/>
      <c r="M142" s="10">
        <f ca="1">IF(ISBLANK(K142), TODAY()-(I142), Table27[[#This Row],[Effectiveness Review &amp; date deemed effective]]-Table27[[#This Row],[PTO initialized date]])</f>
        <v>46067</v>
      </c>
    </row>
    <row r="143" spans="1:13" s="4" customFormat="1" ht="18">
      <c r="A143" s="9"/>
      <c r="B143" s="18" t="e">
        <f>VLOOKUP(Table27[[#This Row],[Location 
(drop-down)]],'List source'!D$2:E$71,2,FALSE)</f>
        <v>#N/A</v>
      </c>
      <c r="C143" s="154" t="s">
        <v>1482</v>
      </c>
      <c r="D143" s="20" t="e">
        <f t="shared" si="2"/>
        <v>#N/A</v>
      </c>
      <c r="E143" s="75"/>
      <c r="F143" s="10" t="e" cm="1">
        <f t="array" aca="1" ref="F1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" s="11"/>
      <c r="I143" s="12"/>
      <c r="J143" s="12"/>
      <c r="K143" s="61"/>
      <c r="L143" s="233"/>
      <c r="M143" s="10">
        <f ca="1">IF(ISBLANK(K143), TODAY()-(I143), Table27[[#This Row],[Effectiveness Review &amp; date deemed effective]]-Table27[[#This Row],[PTO initialized date]])</f>
        <v>46067</v>
      </c>
    </row>
    <row r="144" spans="1:13" s="4" customFormat="1" ht="18">
      <c r="A144" s="9"/>
      <c r="B144" s="18" t="e">
        <f>VLOOKUP(Table27[[#This Row],[Location 
(drop-down)]],'List source'!D$2:E$71,2,FALSE)</f>
        <v>#N/A</v>
      </c>
      <c r="C144" s="154" t="s">
        <v>1483</v>
      </c>
      <c r="D144" s="20" t="e">
        <f t="shared" si="2"/>
        <v>#N/A</v>
      </c>
      <c r="E144" s="75"/>
      <c r="F144" s="10" t="e" cm="1">
        <f t="array" aca="1" ref="F1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" s="165"/>
      <c r="I144" s="12"/>
      <c r="J144" s="12"/>
      <c r="K144" s="61"/>
      <c r="L144" s="233"/>
      <c r="M144" s="10">
        <f ca="1">IF(ISBLANK(K144), TODAY()-(I144), Table27[[#This Row],[Effectiveness Review &amp; date deemed effective]]-Table27[[#This Row],[PTO initialized date]])</f>
        <v>46067</v>
      </c>
    </row>
    <row r="145" spans="1:13" s="4" customFormat="1" ht="18">
      <c r="A145" s="9"/>
      <c r="B145" s="18" t="e">
        <f>VLOOKUP(Table27[[#This Row],[Location 
(drop-down)]],'List source'!D$2:E$71,2,FALSE)</f>
        <v>#N/A</v>
      </c>
      <c r="C145" s="154" t="s">
        <v>1484</v>
      </c>
      <c r="D145" s="20" t="e">
        <f t="shared" si="2"/>
        <v>#N/A</v>
      </c>
      <c r="E145" s="75"/>
      <c r="F145" s="10" t="e" cm="1">
        <f t="array" aca="1" ref="F1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" s="13"/>
      <c r="I145" s="12"/>
      <c r="J145" s="12"/>
      <c r="K145" s="61"/>
      <c r="L145" s="233"/>
      <c r="M145" s="10">
        <f ca="1">IF(ISBLANK(K145), TODAY()-(I145), Table27[[#This Row],[Effectiveness Review &amp; date deemed effective]]-Table27[[#This Row],[PTO initialized date]])</f>
        <v>46067</v>
      </c>
    </row>
    <row r="146" spans="1:13" s="4" customFormat="1" ht="18">
      <c r="A146" s="9"/>
      <c r="B146" s="18" t="e">
        <f>VLOOKUP(Table27[[#This Row],[Location 
(drop-down)]],'List source'!D$2:E$71,2,FALSE)</f>
        <v>#N/A</v>
      </c>
      <c r="C146" s="154" t="s">
        <v>1485</v>
      </c>
      <c r="D146" s="20" t="e">
        <f t="shared" si="2"/>
        <v>#N/A</v>
      </c>
      <c r="E146" s="75"/>
      <c r="F146" s="10" t="e" cm="1">
        <f t="array" aca="1" ref="F1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" s="11"/>
      <c r="I146" s="12"/>
      <c r="J146" s="12"/>
      <c r="K146" s="61"/>
      <c r="L146" s="233"/>
      <c r="M146" s="10">
        <f ca="1">IF(ISBLANK(K146), TODAY()-(I146), Table27[[#This Row],[Effectiveness Review &amp; date deemed effective]]-Table27[[#This Row],[PTO initialized date]])</f>
        <v>46067</v>
      </c>
    </row>
    <row r="147" spans="1:13" s="4" customFormat="1" ht="18">
      <c r="A147" s="9"/>
      <c r="B147" s="18" t="e">
        <f>VLOOKUP(Table27[[#This Row],[Location 
(drop-down)]],'List source'!D$2:E$71,2,FALSE)</f>
        <v>#N/A</v>
      </c>
      <c r="C147" s="154" t="s">
        <v>1486</v>
      </c>
      <c r="D147" s="20" t="e">
        <f t="shared" si="2"/>
        <v>#N/A</v>
      </c>
      <c r="E147" s="75"/>
      <c r="F147" s="10" t="e" cm="1">
        <f t="array" aca="1" ref="F1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" s="11"/>
      <c r="I147" s="12"/>
      <c r="J147" s="12"/>
      <c r="K147" s="61"/>
      <c r="L147" s="233"/>
      <c r="M147" s="10">
        <f ca="1">IF(ISBLANK(K147), TODAY()-(I147), Table27[[#This Row],[Effectiveness Review &amp; date deemed effective]]-Table27[[#This Row],[PTO initialized date]])</f>
        <v>46067</v>
      </c>
    </row>
    <row r="148" spans="1:13" s="4" customFormat="1" ht="18">
      <c r="A148" s="9"/>
      <c r="B148" s="18" t="e">
        <f>VLOOKUP(Table27[[#This Row],[Location 
(drop-down)]],'List source'!D$2:E$71,2,FALSE)</f>
        <v>#N/A</v>
      </c>
      <c r="C148" s="154" t="s">
        <v>1487</v>
      </c>
      <c r="D148" s="20" t="e">
        <f t="shared" si="2"/>
        <v>#N/A</v>
      </c>
      <c r="E148" s="75"/>
      <c r="F148" s="10" t="e" cm="1">
        <f t="array" aca="1" ref="F1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" s="11"/>
      <c r="I148" s="12"/>
      <c r="J148" s="12"/>
      <c r="K148" s="61"/>
      <c r="L148" s="233"/>
      <c r="M148" s="10">
        <f ca="1">IF(ISBLANK(K148), TODAY()-(I148), Table27[[#This Row],[Effectiveness Review &amp; date deemed effective]]-Table27[[#This Row],[PTO initialized date]])</f>
        <v>46067</v>
      </c>
    </row>
    <row r="149" spans="1:13" s="4" customFormat="1" ht="18">
      <c r="A149" s="9"/>
      <c r="B149" s="18" t="e">
        <f>VLOOKUP(Table27[[#This Row],[Location 
(drop-down)]],'List source'!D$2:E$71,2,FALSE)</f>
        <v>#N/A</v>
      </c>
      <c r="C149" s="154" t="s">
        <v>1488</v>
      </c>
      <c r="D149" s="20" t="e">
        <f t="shared" si="2"/>
        <v>#N/A</v>
      </c>
      <c r="E149" s="75"/>
      <c r="F149" s="10" t="e" cm="1">
        <f t="array" aca="1" ref="F1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" s="17"/>
      <c r="I149" s="293"/>
      <c r="J149" s="12"/>
      <c r="K149" s="335"/>
      <c r="L149" s="233"/>
      <c r="M149" s="10">
        <f ca="1">IF(ISBLANK(K149), TODAY()-(I149), Table27[[#This Row],[Effectiveness Review &amp; date deemed effective]]-Table27[[#This Row],[PTO initialized date]])</f>
        <v>46067</v>
      </c>
    </row>
    <row r="150" spans="1:13" s="4" customFormat="1" ht="18">
      <c r="A150" s="9"/>
      <c r="B150" s="18" t="e">
        <f>VLOOKUP(Table27[[#This Row],[Location 
(drop-down)]],'List source'!D$2:E$71,2,FALSE)</f>
        <v>#N/A</v>
      </c>
      <c r="C150" s="154" t="s">
        <v>1489</v>
      </c>
      <c r="D150" s="20" t="e">
        <f t="shared" si="2"/>
        <v>#N/A</v>
      </c>
      <c r="E150" s="75"/>
      <c r="F150" s="10" t="e" cm="1">
        <f t="array" aca="1" ref="F1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0" s="13"/>
      <c r="I150" s="16"/>
      <c r="J150" s="12"/>
      <c r="K150" s="143"/>
      <c r="L150" s="233"/>
      <c r="M150" s="10">
        <f ca="1">IF(ISBLANK(K150), TODAY()-(I150), Table27[[#This Row],[Effectiveness Review &amp; date deemed effective]]-Table27[[#This Row],[PTO initialized date]])</f>
        <v>46067</v>
      </c>
    </row>
    <row r="151" spans="1:13" s="4" customFormat="1" ht="18">
      <c r="A151" s="9"/>
      <c r="B151" s="18" t="e">
        <f>VLOOKUP(Table27[[#This Row],[Location 
(drop-down)]],'List source'!D$2:E$71,2,FALSE)</f>
        <v>#N/A</v>
      </c>
      <c r="C151" s="154" t="s">
        <v>1490</v>
      </c>
      <c r="D151" s="20" t="e">
        <f t="shared" si="2"/>
        <v>#N/A</v>
      </c>
      <c r="E151" s="75"/>
      <c r="F151" s="10" t="e" cm="1">
        <f t="array" aca="1" ref="F1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1" s="11"/>
      <c r="I151" s="16"/>
      <c r="J151" s="12"/>
      <c r="K151" s="143"/>
      <c r="L151" s="233"/>
      <c r="M151" s="10">
        <f ca="1">IF(ISBLANK(K151), TODAY()-(I151), Table27[[#This Row],[Effectiveness Review &amp; date deemed effective]]-Table27[[#This Row],[PTO initialized date]])</f>
        <v>46067</v>
      </c>
    </row>
    <row r="152" spans="1:13" s="4" customFormat="1" ht="18">
      <c r="A152" s="9"/>
      <c r="B152" s="18" t="e">
        <f>VLOOKUP(Table27[[#This Row],[Location 
(drop-down)]],'List source'!D$2:E$71,2,FALSE)</f>
        <v>#N/A</v>
      </c>
      <c r="C152" s="154" t="s">
        <v>1491</v>
      </c>
      <c r="D152" s="20" t="e">
        <f t="shared" si="2"/>
        <v>#N/A</v>
      </c>
      <c r="E152" s="75"/>
      <c r="F152" s="10" t="e" cm="1">
        <f t="array" aca="1" ref="F1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2" s="13"/>
      <c r="I152" s="16"/>
      <c r="J152" s="14"/>
      <c r="K152" s="143"/>
      <c r="L152" s="233"/>
      <c r="M152" s="10">
        <f ca="1">IF(ISBLANK(K152), TODAY()-(I152), Table27[[#This Row],[Effectiveness Review &amp; date deemed effective]]-Table27[[#This Row],[PTO initialized date]])</f>
        <v>46067</v>
      </c>
    </row>
    <row r="153" spans="1:13" s="4" customFormat="1" ht="18">
      <c r="A153" s="9"/>
      <c r="B153" s="18" t="e">
        <f>VLOOKUP(Table27[[#This Row],[Location 
(drop-down)]],'List source'!D$2:E$71,2,FALSE)</f>
        <v>#N/A</v>
      </c>
      <c r="C153" s="154" t="s">
        <v>1492</v>
      </c>
      <c r="D153" s="20" t="e">
        <f t="shared" si="2"/>
        <v>#N/A</v>
      </c>
      <c r="E153" s="75"/>
      <c r="F153" s="10" t="e" cm="1">
        <f t="array" aca="1" ref="F1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3" s="11"/>
      <c r="I153" s="16"/>
      <c r="J153" s="14"/>
      <c r="K153" s="143"/>
      <c r="L153" s="233"/>
      <c r="M153" s="10">
        <f ca="1">IF(ISBLANK(K153), TODAY()-(I153), Table27[[#This Row],[Effectiveness Review &amp; date deemed effective]]-Table27[[#This Row],[PTO initialized date]])</f>
        <v>46067</v>
      </c>
    </row>
    <row r="154" spans="1:13" s="4" customFormat="1" ht="18">
      <c r="A154" s="9"/>
      <c r="B154" s="18" t="e">
        <f>VLOOKUP(Table27[[#This Row],[Location 
(drop-down)]],'List source'!D$2:E$71,2,FALSE)</f>
        <v>#N/A</v>
      </c>
      <c r="C154" s="154" t="s">
        <v>1493</v>
      </c>
      <c r="D154" s="20" t="e">
        <f t="shared" si="2"/>
        <v>#N/A</v>
      </c>
      <c r="E154" s="75"/>
      <c r="F154" s="10" t="e" cm="1">
        <f t="array" aca="1" ref="F1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4" s="11"/>
      <c r="I154" s="16"/>
      <c r="J154" s="14"/>
      <c r="K154" s="143"/>
      <c r="L154" s="233"/>
      <c r="M154" s="10">
        <f ca="1">IF(ISBLANK(K154), TODAY()-(I154), Table27[[#This Row],[Effectiveness Review &amp; date deemed effective]]-Table27[[#This Row],[PTO initialized date]])</f>
        <v>46067</v>
      </c>
    </row>
    <row r="155" spans="1:13" s="4" customFormat="1" ht="18">
      <c r="A155" s="9"/>
      <c r="B155" s="18" t="e">
        <f>VLOOKUP(Table27[[#This Row],[Location 
(drop-down)]],'List source'!D$2:E$71,2,FALSE)</f>
        <v>#N/A</v>
      </c>
      <c r="C155" s="154" t="s">
        <v>1494</v>
      </c>
      <c r="D155" s="20" t="e">
        <f t="shared" si="2"/>
        <v>#N/A</v>
      </c>
      <c r="E155" s="75"/>
      <c r="F155" s="10" t="e" cm="1">
        <f t="array" aca="1" ref="F1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5" s="139"/>
      <c r="I155" s="16"/>
      <c r="J155" s="14"/>
      <c r="K155" s="143"/>
      <c r="L155" s="233"/>
      <c r="M155" s="10">
        <f ca="1">IF(ISBLANK(K155), TODAY()-(I155), Table27[[#This Row],[Effectiveness Review &amp; date deemed effective]]-Table27[[#This Row],[PTO initialized date]])</f>
        <v>46067</v>
      </c>
    </row>
    <row r="156" spans="1:13" s="4" customFormat="1" ht="18">
      <c r="A156" s="9"/>
      <c r="B156" s="18" t="e">
        <f>VLOOKUP(Table27[[#This Row],[Location 
(drop-down)]],'List source'!D$2:E$71,2,FALSE)</f>
        <v>#N/A</v>
      </c>
      <c r="C156" s="154" t="s">
        <v>1495</v>
      </c>
      <c r="D156" s="20" t="e">
        <f t="shared" si="2"/>
        <v>#N/A</v>
      </c>
      <c r="E156" s="310"/>
      <c r="F156" s="10" t="e" cm="1">
        <f t="array" aca="1" ref="F1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6" s="326"/>
      <c r="I156" s="166"/>
      <c r="J156" s="14"/>
      <c r="K156" s="143"/>
      <c r="L156" s="233"/>
      <c r="M156" s="10">
        <f ca="1">IF(ISBLANK(K156), TODAY()-(I156), Table27[[#This Row],[Effectiveness Review &amp; date deemed effective]]-Table27[[#This Row],[PTO initialized date]])</f>
        <v>46067</v>
      </c>
    </row>
    <row r="157" spans="1:13" s="4" customFormat="1" ht="18">
      <c r="A157" s="9"/>
      <c r="B157" s="18" t="e">
        <f>VLOOKUP(Table27[[#This Row],[Location 
(drop-down)]],'List source'!D$2:E$71,2,FALSE)</f>
        <v>#N/A</v>
      </c>
      <c r="C157" s="154" t="s">
        <v>1496</v>
      </c>
      <c r="D157" s="20" t="e">
        <f t="shared" si="2"/>
        <v>#N/A</v>
      </c>
      <c r="E157" s="75"/>
      <c r="F157" s="10" t="e" cm="1">
        <f t="array" aca="1" ref="F1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7" s="17"/>
      <c r="I157" s="16"/>
      <c r="J157" s="14"/>
      <c r="K157" s="143"/>
      <c r="L157" s="233"/>
      <c r="M157" s="10">
        <f ca="1">IF(ISBLANK(K157), TODAY()-(I157), Table27[[#This Row],[Effectiveness Review &amp; date deemed effective]]-Table27[[#This Row],[PTO initialized date]])</f>
        <v>46067</v>
      </c>
    </row>
    <row r="158" spans="1:13" s="4" customFormat="1" ht="18">
      <c r="A158" s="9"/>
      <c r="B158" s="18" t="e">
        <f>VLOOKUP(Table27[[#This Row],[Location 
(drop-down)]],'List source'!D$2:E$71,2,FALSE)</f>
        <v>#N/A</v>
      </c>
      <c r="C158" s="154" t="s">
        <v>1497</v>
      </c>
      <c r="D158" s="20" t="e">
        <f t="shared" si="2"/>
        <v>#N/A</v>
      </c>
      <c r="E158" s="9"/>
      <c r="F158" s="10" t="e" cm="1">
        <f t="array" aca="1" ref="F1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8" s="130"/>
      <c r="I158" s="16"/>
      <c r="J158" s="14"/>
      <c r="K158" s="143"/>
      <c r="L158" s="233"/>
      <c r="M158" s="10">
        <f ca="1">IF(ISBLANK(K158), TODAY()-(I158), Table27[[#This Row],[Effectiveness Review &amp; date deemed effective]]-Table27[[#This Row],[PTO initialized date]])</f>
        <v>46067</v>
      </c>
    </row>
    <row r="159" spans="1:13" s="4" customFormat="1" ht="18">
      <c r="A159" s="9"/>
      <c r="B159" s="18" t="e">
        <f>VLOOKUP(Table27[[#This Row],[Location 
(drop-down)]],'List source'!D$2:E$71,2,FALSE)</f>
        <v>#N/A</v>
      </c>
      <c r="C159" s="154" t="s">
        <v>1498</v>
      </c>
      <c r="D159" s="20" t="e">
        <f t="shared" si="2"/>
        <v>#N/A</v>
      </c>
      <c r="E159" s="75"/>
      <c r="F159" s="10" t="e" cm="1">
        <f t="array" aca="1" ref="F1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9" s="11"/>
      <c r="I159" s="16"/>
      <c r="J159" s="14"/>
      <c r="K159" s="143"/>
      <c r="L159" s="233"/>
      <c r="M159" s="10">
        <f ca="1">IF(ISBLANK(K159), TODAY()-(I159), Table27[[#This Row],[Effectiveness Review &amp; date deemed effective]]-Table27[[#This Row],[PTO initialized date]])</f>
        <v>46067</v>
      </c>
    </row>
    <row r="160" spans="1:13" s="4" customFormat="1" ht="18">
      <c r="A160" s="9"/>
      <c r="B160" s="18" t="e">
        <f>VLOOKUP(Table27[[#This Row],[Location 
(drop-down)]],'List source'!D$2:E$71,2,FALSE)</f>
        <v>#N/A</v>
      </c>
      <c r="C160" s="154" t="s">
        <v>1499</v>
      </c>
      <c r="D160" s="20" t="e">
        <f t="shared" si="2"/>
        <v>#N/A</v>
      </c>
      <c r="E160" s="75"/>
      <c r="F160" s="10" t="e" cm="1">
        <f t="array" aca="1" ref="F1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0" s="319"/>
      <c r="I160" s="16"/>
      <c r="J160" s="14"/>
      <c r="K160" s="143"/>
      <c r="L160" s="339"/>
      <c r="M160" s="10">
        <f ca="1">IF(ISBLANK(K160), TODAY()-(I160), Table27[[#This Row],[Effectiveness Review &amp; date deemed effective]]-Table27[[#This Row],[PTO initialized date]])</f>
        <v>46067</v>
      </c>
    </row>
    <row r="161" spans="1:13" s="4" customFormat="1" ht="18">
      <c r="A161" s="9"/>
      <c r="B161" s="18" t="e">
        <f>VLOOKUP(Table27[[#This Row],[Location 
(drop-down)]],'List source'!D$2:E$71,2,FALSE)</f>
        <v>#N/A</v>
      </c>
      <c r="C161" s="154" t="s">
        <v>1500</v>
      </c>
      <c r="D161" s="20" t="e">
        <f t="shared" si="2"/>
        <v>#N/A</v>
      </c>
      <c r="E161" s="75"/>
      <c r="F161" s="10" t="e" cm="1">
        <f t="array" aca="1" ref="F1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1" s="13"/>
      <c r="I161" s="16"/>
      <c r="J161" s="14"/>
      <c r="K161" s="143"/>
      <c r="L161" s="339"/>
      <c r="M161" s="10">
        <f ca="1">IF(ISBLANK(K161), TODAY()-(I161), Table27[[#This Row],[Effectiveness Review &amp; date deemed effective]]-Table27[[#This Row],[PTO initialized date]])</f>
        <v>46067</v>
      </c>
    </row>
    <row r="162" spans="1:13" s="4" customFormat="1" ht="18">
      <c r="A162" s="9"/>
      <c r="B162" s="18" t="e">
        <f>VLOOKUP(Table27[[#This Row],[Location 
(drop-down)]],'List source'!D$2:E$71,2,FALSE)</f>
        <v>#N/A</v>
      </c>
      <c r="C162" s="154" t="s">
        <v>1501</v>
      </c>
      <c r="D162" s="20" t="e">
        <f t="shared" si="2"/>
        <v>#N/A</v>
      </c>
      <c r="E162" s="75"/>
      <c r="F162" s="10" t="e" cm="1">
        <f t="array" aca="1" ref="F1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2" s="13"/>
      <c r="I162" s="16"/>
      <c r="J162" s="14"/>
      <c r="K162" s="143"/>
      <c r="L162" s="233"/>
      <c r="M162" s="10">
        <f ca="1">IF(ISBLANK(K162), TODAY()-(I162), Table27[[#This Row],[Effectiveness Review &amp; date deemed effective]]-Table27[[#This Row],[PTO initialized date]])</f>
        <v>46067</v>
      </c>
    </row>
    <row r="163" spans="1:13" s="4" customFormat="1" ht="18">
      <c r="A163" s="9"/>
      <c r="B163" s="18" t="e">
        <f>VLOOKUP(Table27[[#This Row],[Location 
(drop-down)]],'List source'!D$2:E$71,2,FALSE)</f>
        <v>#N/A</v>
      </c>
      <c r="C163" s="154" t="s">
        <v>1502</v>
      </c>
      <c r="D163" s="20" t="e">
        <f t="shared" si="2"/>
        <v>#N/A</v>
      </c>
      <c r="E163" s="75"/>
      <c r="F163" s="10" t="e" cm="1">
        <f t="array" aca="1" ref="F1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3" s="11"/>
      <c r="I163" s="16"/>
      <c r="J163" s="12"/>
      <c r="K163" s="143"/>
      <c r="L163" s="233"/>
      <c r="M163" s="10">
        <f ca="1">IF(ISBLANK(K163), TODAY()-(I163), Table27[[#This Row],[Effectiveness Review &amp; date deemed effective]]-Table27[[#This Row],[PTO initialized date]])</f>
        <v>46067</v>
      </c>
    </row>
    <row r="164" spans="1:13" s="4" customFormat="1" ht="18">
      <c r="A164" s="9"/>
      <c r="B164" s="18" t="e">
        <f>VLOOKUP(Table27[[#This Row],[Location 
(drop-down)]],'List source'!D$2:E$71,2,FALSE)</f>
        <v>#N/A</v>
      </c>
      <c r="C164" s="154" t="s">
        <v>1503</v>
      </c>
      <c r="D164" s="20" t="e">
        <f t="shared" si="2"/>
        <v>#N/A</v>
      </c>
      <c r="E164" s="75"/>
      <c r="F164" s="10" t="e" cm="1">
        <f t="array" aca="1" ref="F1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4" s="13"/>
      <c r="I164" s="16"/>
      <c r="J164" s="12"/>
      <c r="K164" s="143"/>
      <c r="L164" s="233"/>
      <c r="M164" s="10">
        <f ca="1">IF(ISBLANK(K164), TODAY()-(I164), Table27[[#This Row],[Effectiveness Review &amp; date deemed effective]]-Table27[[#This Row],[PTO initialized date]])</f>
        <v>46067</v>
      </c>
    </row>
    <row r="165" spans="1:13" s="4" customFormat="1" ht="18">
      <c r="A165" s="9"/>
      <c r="B165" s="18" t="e">
        <f>VLOOKUP(Table27[[#This Row],[Location 
(drop-down)]],'List source'!D$2:E$71,2,FALSE)</f>
        <v>#N/A</v>
      </c>
      <c r="C165" s="154" t="s">
        <v>1504</v>
      </c>
      <c r="D165" s="20" t="e">
        <f t="shared" si="2"/>
        <v>#N/A</v>
      </c>
      <c r="E165" s="75"/>
      <c r="F165" s="10" t="e" cm="1">
        <f t="array" aca="1" ref="F1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5" s="11"/>
      <c r="I165" s="16"/>
      <c r="J165" s="12"/>
      <c r="K165" s="61"/>
      <c r="L165" s="233"/>
      <c r="M165" s="10">
        <f ca="1">IF(ISBLANK(K165), TODAY()-(I165), Table27[[#This Row],[Effectiveness Review &amp; date deemed effective]]-Table27[[#This Row],[PTO initialized date]])</f>
        <v>46067</v>
      </c>
    </row>
    <row r="166" spans="1:13" s="4" customFormat="1" ht="23.1" customHeight="1">
      <c r="A166" s="9"/>
      <c r="B166" s="18" t="e">
        <f>VLOOKUP(Table27[[#This Row],[Location 
(drop-down)]],'List source'!D$2:E$71,2,FALSE)</f>
        <v>#N/A</v>
      </c>
      <c r="C166" s="154" t="s">
        <v>1505</v>
      </c>
      <c r="D166" s="20" t="e">
        <f t="shared" si="2"/>
        <v>#N/A</v>
      </c>
      <c r="E166" s="75"/>
      <c r="F166" s="10" t="e" cm="1">
        <f t="array" aca="1" ref="F1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6" s="11"/>
      <c r="I166" s="16"/>
      <c r="J166" s="12"/>
      <c r="K166" s="143"/>
      <c r="L166" s="233"/>
      <c r="M166" s="10">
        <f ca="1">IF(ISBLANK(K166), TODAY()-(I166), Table27[[#This Row],[Effectiveness Review &amp; date deemed effective]]-Table27[[#This Row],[PTO initialized date]])</f>
        <v>46067</v>
      </c>
    </row>
    <row r="167" spans="1:13" s="4" customFormat="1" ht="18">
      <c r="A167" s="9"/>
      <c r="B167" s="18" t="e">
        <f>VLOOKUP(Table27[[#This Row],[Location 
(drop-down)]],'List source'!D$2:E$71,2,FALSE)</f>
        <v>#N/A</v>
      </c>
      <c r="C167" s="154" t="s">
        <v>1506</v>
      </c>
      <c r="D167" s="20" t="e">
        <f t="shared" si="2"/>
        <v>#N/A</v>
      </c>
      <c r="E167" s="75"/>
      <c r="F167" s="10" t="e" cm="1">
        <f t="array" aca="1" ref="F1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7" s="13"/>
      <c r="I167" s="16"/>
      <c r="J167" s="12"/>
      <c r="K167" s="61"/>
      <c r="L167" s="233"/>
      <c r="M167" s="10">
        <f ca="1">IF(ISBLANK(K167), TODAY()-(I167), Table27[[#This Row],[Effectiveness Review &amp; date deemed effective]]-Table27[[#This Row],[PTO initialized date]])</f>
        <v>46067</v>
      </c>
    </row>
    <row r="168" spans="1:13" s="4" customFormat="1" ht="18">
      <c r="A168" s="9"/>
      <c r="B168" s="18" t="e">
        <f>VLOOKUP(Table27[[#This Row],[Location 
(drop-down)]],'List source'!D$2:E$71,2,FALSE)</f>
        <v>#N/A</v>
      </c>
      <c r="C168" s="154" t="s">
        <v>1507</v>
      </c>
      <c r="D168" s="20" t="e">
        <f t="shared" si="2"/>
        <v>#N/A</v>
      </c>
      <c r="E168" s="75"/>
      <c r="F168" s="10" t="e" cm="1">
        <f t="array" aca="1" ref="F1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8" s="11"/>
      <c r="I168" s="16"/>
      <c r="J168" s="12"/>
      <c r="K168" s="143"/>
      <c r="L168" s="233"/>
      <c r="M168" s="10">
        <f ca="1">IF(ISBLANK(K168), TODAY()-(I168), Table27[[#This Row],[Effectiveness Review &amp; date deemed effective]]-Table27[[#This Row],[PTO initialized date]])</f>
        <v>46067</v>
      </c>
    </row>
    <row r="169" spans="1:13" s="4" customFormat="1" ht="18">
      <c r="A169" s="9"/>
      <c r="B169" s="18" t="e">
        <f>VLOOKUP(Table27[[#This Row],[Location 
(drop-down)]],'List source'!D$2:E$71,2,FALSE)</f>
        <v>#N/A</v>
      </c>
      <c r="C169" s="154" t="s">
        <v>1508</v>
      </c>
      <c r="D169" s="20" t="e">
        <f t="shared" si="2"/>
        <v>#N/A</v>
      </c>
      <c r="E169" s="9"/>
      <c r="F169" s="10" t="e" cm="1">
        <f t="array" aca="1" ref="F1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69" s="130"/>
      <c r="I169" s="16"/>
      <c r="J169" s="12"/>
      <c r="K169" s="61"/>
      <c r="L169" s="233"/>
      <c r="M169" s="10">
        <f ca="1">IF(ISBLANK(K169), TODAY()-(I169), Table27[[#This Row],[Effectiveness Review &amp; date deemed effective]]-Table27[[#This Row],[PTO initialized date]])</f>
        <v>46067</v>
      </c>
    </row>
    <row r="170" spans="1:13" s="4" customFormat="1" ht="18">
      <c r="A170" s="9"/>
      <c r="B170" s="18" t="e">
        <f>VLOOKUP(Table27[[#This Row],[Location 
(drop-down)]],'List source'!D$2:E$71,2,FALSE)</f>
        <v>#N/A</v>
      </c>
      <c r="C170" s="154" t="s">
        <v>1509</v>
      </c>
      <c r="D170" s="20" t="e">
        <f t="shared" si="2"/>
        <v>#N/A</v>
      </c>
      <c r="E170" s="11"/>
      <c r="F170" s="10" t="e" cm="1">
        <f t="array" aca="1" ref="F1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0" s="11"/>
      <c r="I170" s="16"/>
      <c r="J170" s="11"/>
      <c r="K170" s="14"/>
      <c r="L170" s="233"/>
      <c r="M170" s="10">
        <f ca="1">IF(ISBLANK(K170), TODAY()-(I170), Table27[[#This Row],[Effectiveness Review &amp; date deemed effective]]-Table27[[#This Row],[PTO initialized date]])</f>
        <v>46067</v>
      </c>
    </row>
    <row r="171" spans="1:13" s="4" customFormat="1" ht="18">
      <c r="A171" s="9"/>
      <c r="B171" s="18" t="e">
        <f>VLOOKUP(Table27[[#This Row],[Location 
(drop-down)]],'List source'!D$2:E$71,2,FALSE)</f>
        <v>#N/A</v>
      </c>
      <c r="C171" s="154" t="s">
        <v>1510</v>
      </c>
      <c r="D171" s="20" t="e">
        <f t="shared" si="2"/>
        <v>#N/A</v>
      </c>
      <c r="E171" s="67"/>
      <c r="F171" s="10" t="e" cm="1">
        <f t="array" aca="1" ref="F1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1" s="167"/>
      <c r="I171" s="16"/>
      <c r="J171" s="163"/>
      <c r="K171" s="164"/>
      <c r="L171" s="233"/>
      <c r="M171" s="10">
        <f ca="1">IF(ISBLANK(K171), TODAY()-(I171), Table27[[#This Row],[Effectiveness Review &amp; date deemed effective]]-Table27[[#This Row],[PTO initialized date]])</f>
        <v>46067</v>
      </c>
    </row>
    <row r="172" spans="1:13" s="4" customFormat="1" ht="18">
      <c r="A172" s="9"/>
      <c r="B172" s="18" t="e">
        <f>VLOOKUP(Table27[[#This Row],[Location 
(drop-down)]],'List source'!D$2:E$71,2,FALSE)</f>
        <v>#N/A</v>
      </c>
      <c r="C172" s="154" t="s">
        <v>1511</v>
      </c>
      <c r="D172" s="20" t="e">
        <f t="shared" si="2"/>
        <v>#N/A</v>
      </c>
      <c r="E172" s="9"/>
      <c r="F172" s="10" t="e" cm="1">
        <f t="array" aca="1" ref="F1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2" s="155"/>
      <c r="I172" s="293"/>
      <c r="J172" s="294"/>
      <c r="K172" s="335"/>
      <c r="L172" s="233"/>
      <c r="M172" s="10">
        <f ca="1">IF(ISBLANK(K172), TODAY()-(I172), Table27[[#This Row],[Effectiveness Review &amp; date deemed effective]]-Table27[[#This Row],[PTO initialized date]])</f>
        <v>46067</v>
      </c>
    </row>
    <row r="173" spans="1:13" s="4" customFormat="1" ht="18">
      <c r="A173" s="9"/>
      <c r="B173" s="18" t="e">
        <f>VLOOKUP(Table27[[#This Row],[Location 
(drop-down)]],'List source'!D$2:E$71,2,FALSE)</f>
        <v>#N/A</v>
      </c>
      <c r="C173" s="154" t="s">
        <v>1512</v>
      </c>
      <c r="D173" s="20" t="e">
        <f t="shared" si="2"/>
        <v>#N/A</v>
      </c>
      <c r="E173" s="9"/>
      <c r="F173" s="10" t="e" cm="1">
        <f t="array" aca="1" ref="F1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3" s="130"/>
      <c r="I173" s="16"/>
      <c r="J173" s="12"/>
      <c r="K173" s="61"/>
      <c r="L173" s="233"/>
      <c r="M173" s="10">
        <f ca="1">IF(ISBLANK(K173), TODAY()-(I173), Table27[[#This Row],[Effectiveness Review &amp; date deemed effective]]-Table27[[#This Row],[PTO initialized date]])</f>
        <v>46067</v>
      </c>
    </row>
    <row r="174" spans="1:13" s="4" customFormat="1" ht="18">
      <c r="A174" s="9"/>
      <c r="B174" s="18" t="e">
        <f>VLOOKUP(Table27[[#This Row],[Location 
(drop-down)]],'List source'!D$2:E$71,2,FALSE)</f>
        <v>#N/A</v>
      </c>
      <c r="C174" s="154" t="s">
        <v>1513</v>
      </c>
      <c r="D174" s="20" t="e">
        <f t="shared" si="2"/>
        <v>#N/A</v>
      </c>
      <c r="E174" s="9"/>
      <c r="F174" s="10" t="e" cm="1">
        <f t="array" aca="1" ref="F1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4" s="130"/>
      <c r="I174" s="16"/>
      <c r="J174" s="12"/>
      <c r="K174" s="61"/>
      <c r="L174" s="233"/>
      <c r="M174" s="10">
        <f ca="1">IF(ISBLANK(K174), TODAY()-(I174), Table27[[#This Row],[Effectiveness Review &amp; date deemed effective]]-Table27[[#This Row],[PTO initialized date]])</f>
        <v>46067</v>
      </c>
    </row>
    <row r="175" spans="1:13" s="4" customFormat="1" ht="18">
      <c r="A175" s="9"/>
      <c r="B175" s="18" t="e">
        <f>VLOOKUP(Table27[[#This Row],[Location 
(drop-down)]],'List source'!D$2:E$71,2,FALSE)</f>
        <v>#N/A</v>
      </c>
      <c r="C175" s="154" t="s">
        <v>1514</v>
      </c>
      <c r="D175" s="20" t="e">
        <f t="shared" si="2"/>
        <v>#N/A</v>
      </c>
      <c r="E175" s="9"/>
      <c r="F175" s="10" t="e" cm="1">
        <f t="array" aca="1" ref="F1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5" s="130"/>
      <c r="I175" s="16"/>
      <c r="J175" s="12"/>
      <c r="K175" s="61"/>
      <c r="L175" s="233"/>
      <c r="M175" s="10">
        <f ca="1">IF(ISBLANK(K175), TODAY()-(I175), Table27[[#This Row],[Effectiveness Review &amp; date deemed effective]]-Table27[[#This Row],[PTO initialized date]])</f>
        <v>46067</v>
      </c>
    </row>
    <row r="176" spans="1:13" s="4" customFormat="1" ht="18">
      <c r="A176" s="9"/>
      <c r="B176" s="18" t="e">
        <f>VLOOKUP(Table27[[#This Row],[Location 
(drop-down)]],'List source'!D$2:E$71,2,FALSE)</f>
        <v>#N/A</v>
      </c>
      <c r="C176" s="154" t="s">
        <v>1515</v>
      </c>
      <c r="D176" s="20" t="e">
        <f t="shared" si="2"/>
        <v>#N/A</v>
      </c>
      <c r="E176" s="9"/>
      <c r="F176" s="10" t="e" cm="1">
        <f t="array" aca="1" ref="F1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6" s="10"/>
      <c r="I176" s="16"/>
      <c r="J176" s="12"/>
      <c r="K176" s="61"/>
      <c r="L176" s="233"/>
      <c r="M176" s="10">
        <f ca="1">IF(ISBLANK(K176), TODAY()-(I176), Table27[[#This Row],[Effectiveness Review &amp; date deemed effective]]-Table27[[#This Row],[PTO initialized date]])</f>
        <v>46067</v>
      </c>
    </row>
    <row r="177" spans="1:13" s="4" customFormat="1" ht="18">
      <c r="A177" s="9"/>
      <c r="B177" s="18" t="e">
        <f>VLOOKUP(Table27[[#This Row],[Location 
(drop-down)]],'List source'!D$2:E$71,2,FALSE)</f>
        <v>#N/A</v>
      </c>
      <c r="C177" s="154" t="s">
        <v>1516</v>
      </c>
      <c r="D177" s="20" t="e">
        <f t="shared" si="2"/>
        <v>#N/A</v>
      </c>
      <c r="E177" s="9"/>
      <c r="F177" s="10" t="e" cm="1">
        <f t="array" aca="1" ref="F1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7" s="10"/>
      <c r="I177" s="16"/>
      <c r="J177" s="12"/>
      <c r="K177" s="61"/>
      <c r="L177" s="233"/>
      <c r="M177" s="10">
        <f ca="1">IF(ISBLANK(K177), TODAY()-(I177), Table27[[#This Row],[Effectiveness Review &amp; date deemed effective]]-Table27[[#This Row],[PTO initialized date]])</f>
        <v>46067</v>
      </c>
    </row>
    <row r="178" spans="1:13" s="4" customFormat="1" ht="18">
      <c r="A178" s="9"/>
      <c r="B178" s="18" t="e">
        <f>VLOOKUP(Table27[[#This Row],[Location 
(drop-down)]],'List source'!D$2:E$71,2,FALSE)</f>
        <v>#N/A</v>
      </c>
      <c r="C178" s="154" t="s">
        <v>1517</v>
      </c>
      <c r="D178" s="20" t="e">
        <f t="shared" si="2"/>
        <v>#N/A</v>
      </c>
      <c r="E178" s="9"/>
      <c r="F178" s="10" t="e" cm="1">
        <f t="array" aca="1" ref="F1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8" s="130"/>
      <c r="I178" s="16"/>
      <c r="J178" s="12"/>
      <c r="K178" s="61"/>
      <c r="L178" s="233"/>
      <c r="M178" s="10">
        <f ca="1">IF(ISBLANK(K178), TODAY()-(I178), Table27[[#This Row],[Effectiveness Review &amp; date deemed effective]]-Table27[[#This Row],[PTO initialized date]])</f>
        <v>46067</v>
      </c>
    </row>
    <row r="179" spans="1:13" s="4" customFormat="1" ht="18">
      <c r="A179" s="9"/>
      <c r="B179" s="18" t="e">
        <f>VLOOKUP(Table27[[#This Row],[Location 
(drop-down)]],'List source'!D$2:E$71,2,FALSE)</f>
        <v>#N/A</v>
      </c>
      <c r="C179" s="154" t="s">
        <v>1518</v>
      </c>
      <c r="D179" s="20" t="e">
        <f t="shared" si="2"/>
        <v>#N/A</v>
      </c>
      <c r="E179" s="9"/>
      <c r="F179" s="10" t="e" cm="1">
        <f t="array" aca="1" ref="F1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79" s="130"/>
      <c r="I179" s="16"/>
      <c r="J179" s="12"/>
      <c r="K179" s="61"/>
      <c r="L179" s="233"/>
      <c r="M179" s="10">
        <f ca="1">IF(ISBLANK(K179), TODAY()-(I179), Table27[[#This Row],[Effectiveness Review &amp; date deemed effective]]-Table27[[#This Row],[PTO initialized date]])</f>
        <v>46067</v>
      </c>
    </row>
    <row r="180" spans="1:13" s="4" customFormat="1" ht="18">
      <c r="A180" s="9"/>
      <c r="B180" s="18" t="e">
        <f>VLOOKUP(Table27[[#This Row],[Location 
(drop-down)]],'List source'!D$2:E$71,2,FALSE)</f>
        <v>#N/A</v>
      </c>
      <c r="C180" s="154" t="s">
        <v>1519</v>
      </c>
      <c r="D180" s="20" t="e">
        <f t="shared" si="2"/>
        <v>#N/A</v>
      </c>
      <c r="E180" s="9"/>
      <c r="F180" s="10" t="e" cm="1">
        <f t="array" aca="1" ref="F1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0" s="130"/>
      <c r="I180" s="16"/>
      <c r="J180" s="12"/>
      <c r="K180" s="61"/>
      <c r="L180" s="233"/>
      <c r="M180" s="10">
        <f ca="1">IF(ISBLANK(K180), TODAY()-(I180), Table27[[#This Row],[Effectiveness Review &amp; date deemed effective]]-Table27[[#This Row],[PTO initialized date]])</f>
        <v>46067</v>
      </c>
    </row>
    <row r="181" spans="1:13" s="4" customFormat="1" ht="18">
      <c r="A181" s="9"/>
      <c r="B181" s="18" t="e">
        <f>VLOOKUP(Table27[[#This Row],[Location 
(drop-down)]],'List source'!D$2:E$71,2,FALSE)</f>
        <v>#N/A</v>
      </c>
      <c r="C181" s="154" t="s">
        <v>1520</v>
      </c>
      <c r="D181" s="20" t="e">
        <f t="shared" si="2"/>
        <v>#N/A</v>
      </c>
      <c r="E181" s="129"/>
      <c r="F181" s="10" t="e" cm="1">
        <f t="array" aca="1" ref="F1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1" s="10"/>
      <c r="I181" s="16"/>
      <c r="J181" s="12"/>
      <c r="K181" s="61"/>
      <c r="L181" s="233"/>
      <c r="M181" s="10">
        <f ca="1">IF(ISBLANK(K181), TODAY()-(I181), Table27[[#This Row],[Effectiveness Review &amp; date deemed effective]]-Table27[[#This Row],[PTO initialized date]])</f>
        <v>46067</v>
      </c>
    </row>
    <row r="182" spans="1:13" s="4" customFormat="1" ht="18">
      <c r="A182" s="9"/>
      <c r="B182" s="18" t="e">
        <f>VLOOKUP(Table27[[#This Row],[Location 
(drop-down)]],'List source'!D$2:E$71,2,FALSE)</f>
        <v>#N/A</v>
      </c>
      <c r="C182" s="154" t="s">
        <v>1521</v>
      </c>
      <c r="D182" s="20" t="e">
        <f t="shared" si="2"/>
        <v>#N/A</v>
      </c>
      <c r="E182" s="9"/>
      <c r="F182" s="10" t="e" cm="1">
        <f t="array" aca="1" ref="F1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2" s="130"/>
      <c r="I182" s="16"/>
      <c r="J182" s="12"/>
      <c r="K182" s="61"/>
      <c r="L182" s="233"/>
      <c r="M182" s="10">
        <f ca="1">IF(ISBLANK(K182), TODAY()-(I182), Table27[[#This Row],[Effectiveness Review &amp; date deemed effective]]-Table27[[#This Row],[PTO initialized date]])</f>
        <v>46067</v>
      </c>
    </row>
    <row r="183" spans="1:13" s="4" customFormat="1" ht="18">
      <c r="A183" s="9"/>
      <c r="B183" s="18" t="e">
        <f>VLOOKUP(Table27[[#This Row],[Location 
(drop-down)]],'List source'!D$2:E$71,2,FALSE)</f>
        <v>#N/A</v>
      </c>
      <c r="C183" s="154" t="s">
        <v>1522</v>
      </c>
      <c r="D183" s="20" t="e">
        <f t="shared" si="2"/>
        <v>#N/A</v>
      </c>
      <c r="E183" s="9"/>
      <c r="F183" s="10" t="e" cm="1">
        <f t="array" aca="1" ref="F1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3" s="130"/>
      <c r="I183" s="16"/>
      <c r="J183" s="163"/>
      <c r="K183" s="164"/>
      <c r="L183" s="233"/>
      <c r="M183" s="10">
        <f ca="1">IF(ISBLANK(K183), TODAY()-(I183), Table27[[#This Row],[Effectiveness Review &amp; date deemed effective]]-Table27[[#This Row],[PTO initialized date]])</f>
        <v>46067</v>
      </c>
    </row>
    <row r="184" spans="1:13" s="4" customFormat="1" ht="18">
      <c r="A184" s="9"/>
      <c r="B184" s="18" t="e">
        <f>VLOOKUP(Table27[[#This Row],[Location 
(drop-down)]],'List source'!D$2:E$71,2,FALSE)</f>
        <v>#N/A</v>
      </c>
      <c r="C184" s="154" t="s">
        <v>1523</v>
      </c>
      <c r="D184" s="20" t="e">
        <f t="shared" si="2"/>
        <v>#N/A</v>
      </c>
      <c r="E184" s="9"/>
      <c r="F184" s="10" t="e" cm="1">
        <f t="array" aca="1" ref="F1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4" s="130"/>
      <c r="I184" s="16"/>
      <c r="J184" s="12"/>
      <c r="K184" s="61"/>
      <c r="L184" s="233"/>
      <c r="M184" s="10">
        <f ca="1">IF(ISBLANK(K184), TODAY()-(I184), Table27[[#This Row],[Effectiveness Review &amp; date deemed effective]]-Table27[[#This Row],[PTO initialized date]])</f>
        <v>46067</v>
      </c>
    </row>
    <row r="185" spans="1:13" s="4" customFormat="1" ht="18">
      <c r="A185" s="9"/>
      <c r="B185" s="18" t="e">
        <f>VLOOKUP(Table27[[#This Row],[Location 
(drop-down)]],'List source'!D$2:E$71,2,FALSE)</f>
        <v>#N/A</v>
      </c>
      <c r="C185" s="154" t="s">
        <v>1524</v>
      </c>
      <c r="D185" s="20" t="e">
        <f t="shared" si="2"/>
        <v>#N/A</v>
      </c>
      <c r="E185" s="9"/>
      <c r="F185" s="10" t="e" cm="1">
        <f t="array" aca="1" ref="F1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5" s="10"/>
      <c r="I185" s="16"/>
      <c r="J185" s="12"/>
      <c r="K185" s="61"/>
      <c r="L185" s="233"/>
      <c r="M185" s="10">
        <f ca="1">IF(ISBLANK(K185), TODAY()-(I185), Table27[[#This Row],[Effectiveness Review &amp; date deemed effective]]-Table27[[#This Row],[PTO initialized date]])</f>
        <v>46067</v>
      </c>
    </row>
    <row r="186" spans="1:13" s="4" customFormat="1" ht="18">
      <c r="A186" s="9"/>
      <c r="B186" s="18" t="e">
        <f>VLOOKUP(Table27[[#This Row],[Location 
(drop-down)]],'List source'!D$2:E$71,2,FALSE)</f>
        <v>#N/A</v>
      </c>
      <c r="C186" s="154" t="s">
        <v>1525</v>
      </c>
      <c r="D186" s="20" t="e">
        <f t="shared" si="2"/>
        <v>#N/A</v>
      </c>
      <c r="E186" s="306"/>
      <c r="F186" s="10" t="e" cm="1">
        <f t="array" aca="1" ref="F1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6" s="130"/>
      <c r="I186" s="16"/>
      <c r="J186" s="12"/>
      <c r="K186" s="61"/>
      <c r="L186" s="233"/>
      <c r="M186" s="10">
        <f ca="1">IF(ISBLANK(K186), TODAY()-(I186), Table27[[#This Row],[Effectiveness Review &amp; date deemed effective]]-Table27[[#This Row],[PTO initialized date]])</f>
        <v>46067</v>
      </c>
    </row>
    <row r="187" spans="1:13" s="4" customFormat="1" ht="18">
      <c r="A187" s="9"/>
      <c r="B187" s="18" t="e">
        <f>VLOOKUP(Table27[[#This Row],[Location 
(drop-down)]],'List source'!D$2:E$71,2,FALSE)</f>
        <v>#N/A</v>
      </c>
      <c r="C187" s="154" t="s">
        <v>1526</v>
      </c>
      <c r="D187" s="20" t="e">
        <f t="shared" si="2"/>
        <v>#N/A</v>
      </c>
      <c r="E187" s="9"/>
      <c r="F187" s="10" t="e" cm="1">
        <f t="array" aca="1" ref="F1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7" s="130"/>
      <c r="I187" s="16"/>
      <c r="J187" s="12"/>
      <c r="K187" s="61"/>
      <c r="L187" s="233"/>
      <c r="M187" s="10">
        <f ca="1">IF(ISBLANK(K187), TODAY()-(I187), Table27[[#This Row],[Effectiveness Review &amp; date deemed effective]]-Table27[[#This Row],[PTO initialized date]])</f>
        <v>46067</v>
      </c>
    </row>
    <row r="188" spans="1:13" s="4" customFormat="1" ht="18">
      <c r="A188" s="9"/>
      <c r="B188" s="18" t="e">
        <f>VLOOKUP(Table27[[#This Row],[Location 
(drop-down)]],'List source'!D$2:E$71,2,FALSE)</f>
        <v>#N/A</v>
      </c>
      <c r="C188" s="154" t="s">
        <v>1527</v>
      </c>
      <c r="D188" s="20" t="e">
        <f t="shared" si="2"/>
        <v>#N/A</v>
      </c>
      <c r="E188" s="9"/>
      <c r="F188" s="10" t="e" cm="1">
        <f t="array" aca="1" ref="F1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8" s="10"/>
      <c r="I188" s="16"/>
      <c r="J188" s="12"/>
      <c r="K188" s="61"/>
      <c r="L188" s="233"/>
      <c r="M188" s="10">
        <f ca="1">IF(ISBLANK(K188), TODAY()-(I188), Table27[[#This Row],[Effectiveness Review &amp; date deemed effective]]-Table27[[#This Row],[PTO initialized date]])</f>
        <v>46067</v>
      </c>
    </row>
    <row r="189" spans="1:13" s="4" customFormat="1" ht="18">
      <c r="A189" s="9"/>
      <c r="B189" s="18" t="e">
        <f>VLOOKUP(Table27[[#This Row],[Location 
(drop-down)]],'List source'!D$2:E$71,2,FALSE)</f>
        <v>#N/A</v>
      </c>
      <c r="C189" s="154" t="s">
        <v>1528</v>
      </c>
      <c r="D189" s="20" t="e">
        <f t="shared" si="2"/>
        <v>#N/A</v>
      </c>
      <c r="E189" s="9"/>
      <c r="F189" s="10" t="e" cm="1">
        <f t="array" aca="1" ref="F1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89" s="10"/>
      <c r="I189" s="16"/>
      <c r="J189" s="163"/>
      <c r="K189" s="164"/>
      <c r="L189" s="233"/>
      <c r="M189" s="10">
        <f ca="1">IF(ISBLANK(K189), TODAY()-(I189), Table27[[#This Row],[Effectiveness Review &amp; date deemed effective]]-Table27[[#This Row],[PTO initialized date]])</f>
        <v>46067</v>
      </c>
    </row>
    <row r="190" spans="1:13" s="4" customFormat="1" ht="18">
      <c r="A190" s="9"/>
      <c r="B190" s="18" t="e">
        <f>VLOOKUP(Table27[[#This Row],[Location 
(drop-down)]],'List source'!D$2:E$71,2,FALSE)</f>
        <v>#N/A</v>
      </c>
      <c r="C190" s="154" t="s">
        <v>1529</v>
      </c>
      <c r="D190" s="20" t="e">
        <f t="shared" si="2"/>
        <v>#N/A</v>
      </c>
      <c r="E190" s="9"/>
      <c r="F190" s="10" t="e" cm="1">
        <f t="array" aca="1" ref="F1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0" s="10"/>
      <c r="I190" s="16"/>
      <c r="J190" s="163"/>
      <c r="K190" s="164"/>
      <c r="L190" s="233"/>
      <c r="M190" s="10">
        <f ca="1">IF(ISBLANK(K190), TODAY()-(I190), Table27[[#This Row],[Effectiveness Review &amp; date deemed effective]]-Table27[[#This Row],[PTO initialized date]])</f>
        <v>46067</v>
      </c>
    </row>
    <row r="191" spans="1:13" s="4" customFormat="1" ht="18">
      <c r="A191" s="9"/>
      <c r="B191" s="18" t="e">
        <f>VLOOKUP(Table27[[#This Row],[Location 
(drop-down)]],'List source'!D$2:E$71,2,FALSE)</f>
        <v>#N/A</v>
      </c>
      <c r="C191" s="154" t="s">
        <v>1530</v>
      </c>
      <c r="D191" s="20" t="e">
        <f t="shared" si="2"/>
        <v>#N/A</v>
      </c>
      <c r="E191" s="9"/>
      <c r="F191" s="10" t="e" cm="1">
        <f t="array" aca="1" ref="F1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1" s="130"/>
      <c r="I191" s="16"/>
      <c r="J191" s="163"/>
      <c r="K191" s="164"/>
      <c r="L191" s="233"/>
      <c r="M191" s="10">
        <f ca="1">IF(ISBLANK(K191), TODAY()-(I191), Table27[[#This Row],[Effectiveness Review &amp; date deemed effective]]-Table27[[#This Row],[PTO initialized date]])</f>
        <v>46067</v>
      </c>
    </row>
    <row r="192" spans="1:13" s="4" customFormat="1" ht="18">
      <c r="A192" s="9"/>
      <c r="B192" s="18" t="e">
        <f>VLOOKUP(Table27[[#This Row],[Location 
(drop-down)]],'List source'!D$2:E$71,2,FALSE)</f>
        <v>#N/A</v>
      </c>
      <c r="C192" s="154" t="s">
        <v>1531</v>
      </c>
      <c r="D192" s="20" t="e">
        <f t="shared" si="2"/>
        <v>#N/A</v>
      </c>
      <c r="E192" s="9"/>
      <c r="F192" s="10" t="e" cm="1">
        <f t="array" aca="1" ref="F1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2" s="10"/>
      <c r="I192" s="16"/>
      <c r="J192" s="163"/>
      <c r="K192" s="164"/>
      <c r="L192" s="233"/>
      <c r="M192" s="10">
        <f ca="1">IF(ISBLANK(K192), TODAY()-(I192), Table27[[#This Row],[Effectiveness Review &amp; date deemed effective]]-Table27[[#This Row],[PTO initialized date]])</f>
        <v>46067</v>
      </c>
    </row>
    <row r="193" spans="1:13" s="4" customFormat="1" ht="18">
      <c r="A193" s="9"/>
      <c r="B193" s="18" t="e">
        <f>VLOOKUP(Table27[[#This Row],[Location 
(drop-down)]],'List source'!D$2:E$71,2,FALSE)</f>
        <v>#N/A</v>
      </c>
      <c r="C193" s="154" t="s">
        <v>1532</v>
      </c>
      <c r="D193" s="20" t="e">
        <f t="shared" si="2"/>
        <v>#N/A</v>
      </c>
      <c r="E193" s="9"/>
      <c r="F193" s="10" t="e" cm="1">
        <f t="array" aca="1" ref="F1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3" s="130"/>
      <c r="I193" s="16"/>
      <c r="J193" s="163"/>
      <c r="K193" s="164"/>
      <c r="L193" s="233"/>
      <c r="M193" s="10">
        <f ca="1">IF(ISBLANK(K193), TODAY()-(I193), Table27[[#This Row],[Effectiveness Review &amp; date deemed effective]]-Table27[[#This Row],[PTO initialized date]])</f>
        <v>46067</v>
      </c>
    </row>
    <row r="194" spans="1:13" s="4" customFormat="1" ht="18">
      <c r="A194" s="9"/>
      <c r="B194" s="18" t="e">
        <f>VLOOKUP(Table27[[#This Row],[Location 
(drop-down)]],'List source'!D$2:E$71,2,FALSE)</f>
        <v>#N/A</v>
      </c>
      <c r="C194" s="154" t="s">
        <v>1533</v>
      </c>
      <c r="D194" s="20" t="e">
        <f t="shared" ref="D194:D257" si="3">"PTO" &amp; C194 &amp; "-" &amp; B194 &amp; "-" &amp; "26"</f>
        <v>#N/A</v>
      </c>
      <c r="E194" s="9"/>
      <c r="F194" s="10" t="e" cm="1">
        <f t="array" aca="1" ref="F1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4" s="130"/>
      <c r="I194" s="16"/>
      <c r="J194" s="163"/>
      <c r="K194" s="164"/>
      <c r="L194" s="337"/>
      <c r="M194" s="10">
        <f ca="1">IF(ISBLANK(K194), TODAY()-(I194), Table27[[#This Row],[Effectiveness Review &amp; date deemed effective]]-Table27[[#This Row],[PTO initialized date]])</f>
        <v>46067</v>
      </c>
    </row>
    <row r="195" spans="1:13" s="4" customFormat="1" ht="18">
      <c r="A195" s="9"/>
      <c r="B195" s="18" t="e">
        <f>VLOOKUP(Table27[[#This Row],[Location 
(drop-down)]],'List source'!D$2:E$71,2,FALSE)</f>
        <v>#N/A</v>
      </c>
      <c r="C195" s="154" t="s">
        <v>1534</v>
      </c>
      <c r="D195" s="20" t="e">
        <f t="shared" si="3"/>
        <v>#N/A</v>
      </c>
      <c r="E195" s="9"/>
      <c r="F195" s="10" t="e" cm="1">
        <f t="array" aca="1" ref="F1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5" s="10"/>
      <c r="I195" s="16"/>
      <c r="J195" s="163"/>
      <c r="K195" s="164"/>
      <c r="L195" s="337"/>
      <c r="M195" s="10">
        <f ca="1">IF(ISBLANK(K195), TODAY()-(I195), Table27[[#This Row],[Effectiveness Review &amp; date deemed effective]]-Table27[[#This Row],[PTO initialized date]])</f>
        <v>46067</v>
      </c>
    </row>
    <row r="196" spans="1:13" s="4" customFormat="1" ht="18">
      <c r="A196" s="9"/>
      <c r="B196" s="18" t="e">
        <f>VLOOKUP(Table27[[#This Row],[Location 
(drop-down)]],'List source'!D$2:E$71,2,FALSE)</f>
        <v>#N/A</v>
      </c>
      <c r="C196" s="154" t="s">
        <v>1535</v>
      </c>
      <c r="D196" s="20" t="e">
        <f t="shared" si="3"/>
        <v>#N/A</v>
      </c>
      <c r="E196" s="9"/>
      <c r="F196" s="10" t="e" cm="1">
        <f t="array" aca="1" ref="F1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6" s="130"/>
      <c r="I196" s="16"/>
      <c r="J196" s="163"/>
      <c r="K196" s="164"/>
      <c r="L196" s="233"/>
      <c r="M196" s="10">
        <f ca="1">IF(ISBLANK(K196), TODAY()-(I196), Table27[[#This Row],[Effectiveness Review &amp; date deemed effective]]-Table27[[#This Row],[PTO initialized date]])</f>
        <v>46067</v>
      </c>
    </row>
    <row r="197" spans="1:13" s="4" customFormat="1" ht="18">
      <c r="A197" s="9"/>
      <c r="B197" s="18" t="e">
        <f>VLOOKUP(Table27[[#This Row],[Location 
(drop-down)]],'List source'!D$2:E$71,2,FALSE)</f>
        <v>#N/A</v>
      </c>
      <c r="C197" s="154" t="s">
        <v>1536</v>
      </c>
      <c r="D197" s="20" t="e">
        <f t="shared" si="3"/>
        <v>#N/A</v>
      </c>
      <c r="E197" s="9"/>
      <c r="F197" s="10" t="e" cm="1">
        <f t="array" aca="1" ref="F1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7" s="130"/>
      <c r="I197" s="16"/>
      <c r="J197" s="163"/>
      <c r="K197" s="164"/>
      <c r="L197" s="233"/>
      <c r="M197" s="10">
        <f ca="1">IF(ISBLANK(K197), TODAY()-(I197), Table27[[#This Row],[Effectiveness Review &amp; date deemed effective]]-Table27[[#This Row],[PTO initialized date]])</f>
        <v>46067</v>
      </c>
    </row>
    <row r="198" spans="1:13" s="4" customFormat="1" ht="18">
      <c r="A198" s="9"/>
      <c r="B198" s="18" t="e">
        <f>VLOOKUP(Table27[[#This Row],[Location 
(drop-down)]],'List source'!D$2:E$71,2,FALSE)</f>
        <v>#N/A</v>
      </c>
      <c r="C198" s="154" t="s">
        <v>1537</v>
      </c>
      <c r="D198" s="20" t="e">
        <f t="shared" si="3"/>
        <v>#N/A</v>
      </c>
      <c r="E198" s="9"/>
      <c r="F198" s="10" t="e" cm="1">
        <f t="array" aca="1" ref="F1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8" s="130"/>
      <c r="I198" s="16"/>
      <c r="J198" s="163"/>
      <c r="K198" s="164"/>
      <c r="L198" s="233"/>
      <c r="M198" s="10">
        <f ca="1">IF(ISBLANK(K198), TODAY()-(I198), Table27[[#This Row],[Effectiveness Review &amp; date deemed effective]]-Table27[[#This Row],[PTO initialized date]])</f>
        <v>46067</v>
      </c>
    </row>
    <row r="199" spans="1:13" s="4" customFormat="1" ht="18">
      <c r="A199" s="9"/>
      <c r="B199" s="18" t="e">
        <f>VLOOKUP(Table27[[#This Row],[Location 
(drop-down)]],'List source'!D$2:E$71,2,FALSE)</f>
        <v>#N/A</v>
      </c>
      <c r="C199" s="154" t="s">
        <v>1538</v>
      </c>
      <c r="D199" s="20" t="e">
        <f t="shared" si="3"/>
        <v>#N/A</v>
      </c>
      <c r="E199" s="9"/>
      <c r="F199" s="10" t="e" cm="1">
        <f t="array" aca="1" ref="F1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99" s="130"/>
      <c r="I199" s="16"/>
      <c r="J199" s="12"/>
      <c r="K199" s="61"/>
      <c r="L199" s="233"/>
      <c r="M199" s="10">
        <f ca="1">IF(ISBLANK(K199), TODAY()-(I199), Table27[[#This Row],[Effectiveness Review &amp; date deemed effective]]-Table27[[#This Row],[PTO initialized date]])</f>
        <v>46067</v>
      </c>
    </row>
    <row r="200" spans="1:13" s="4" customFormat="1" ht="18">
      <c r="A200" s="9"/>
      <c r="B200" s="18" t="e">
        <f>VLOOKUP(Table27[[#This Row],[Location 
(drop-down)]],'List source'!D$2:E$71,2,FALSE)</f>
        <v>#N/A</v>
      </c>
      <c r="C200" s="154" t="s">
        <v>1539</v>
      </c>
      <c r="D200" s="20" t="e">
        <f t="shared" si="3"/>
        <v>#N/A</v>
      </c>
      <c r="E200" s="9"/>
      <c r="F200" s="10" t="e" cm="1">
        <f t="array" aca="1" ref="F2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0" s="10"/>
      <c r="I200" s="16"/>
      <c r="J200" s="163"/>
      <c r="K200" s="164"/>
      <c r="L200" s="233"/>
      <c r="M200" s="10">
        <f ca="1">IF(ISBLANK(K200), TODAY()-(I200), Table27[[#This Row],[Effectiveness Review &amp; date deemed effective]]-Table27[[#This Row],[PTO initialized date]])</f>
        <v>46067</v>
      </c>
    </row>
    <row r="201" spans="1:13" s="4" customFormat="1" ht="18">
      <c r="A201" s="9"/>
      <c r="B201" s="18" t="e">
        <f>VLOOKUP(Table27[[#This Row],[Location 
(drop-down)]],'List source'!D$2:E$71,2,FALSE)</f>
        <v>#N/A</v>
      </c>
      <c r="C201" s="154" t="s">
        <v>1540</v>
      </c>
      <c r="D201" s="20" t="e">
        <f t="shared" si="3"/>
        <v>#N/A</v>
      </c>
      <c r="E201" s="9"/>
      <c r="F201" s="10" t="e" cm="1">
        <f t="array" aca="1" ref="F2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1" s="10"/>
      <c r="I201" s="16"/>
      <c r="J201" s="163"/>
      <c r="K201" s="164"/>
      <c r="L201" s="233"/>
      <c r="M201" s="10">
        <f ca="1">IF(ISBLANK(K201), TODAY()-(I201), Table27[[#This Row],[Effectiveness Review &amp; date deemed effective]]-Table27[[#This Row],[PTO initialized date]])</f>
        <v>46067</v>
      </c>
    </row>
    <row r="202" spans="1:13" s="4" customFormat="1" ht="18">
      <c r="A202" s="9"/>
      <c r="B202" s="18" t="e">
        <f>VLOOKUP(Table27[[#This Row],[Location 
(drop-down)]],'List source'!D$2:E$71,2,FALSE)</f>
        <v>#N/A</v>
      </c>
      <c r="C202" s="154" t="s">
        <v>1541</v>
      </c>
      <c r="D202" s="20" t="e">
        <f t="shared" si="3"/>
        <v>#N/A</v>
      </c>
      <c r="E202" s="9"/>
      <c r="F202" s="10" t="e" cm="1">
        <f t="array" aca="1" ref="F2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2" s="10"/>
      <c r="I202" s="16"/>
      <c r="J202" s="163"/>
      <c r="K202" s="164"/>
      <c r="L202" s="233"/>
      <c r="M202" s="10">
        <f ca="1">IF(ISBLANK(K202), TODAY()-(I202), Table27[[#This Row],[Effectiveness Review &amp; date deemed effective]]-Table27[[#This Row],[PTO initialized date]])</f>
        <v>46067</v>
      </c>
    </row>
    <row r="203" spans="1:13" s="4" customFormat="1" ht="18">
      <c r="A203" s="9"/>
      <c r="B203" s="18" t="e">
        <f>VLOOKUP(Table27[[#This Row],[Location 
(drop-down)]],'List source'!D$2:E$71,2,FALSE)</f>
        <v>#N/A</v>
      </c>
      <c r="C203" s="154" t="s">
        <v>1542</v>
      </c>
      <c r="D203" s="20" t="e">
        <f t="shared" si="3"/>
        <v>#N/A</v>
      </c>
      <c r="E203" s="9"/>
      <c r="F203" s="10" t="e" cm="1">
        <f t="array" aca="1" ref="F2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3" s="130"/>
      <c r="I203" s="16"/>
      <c r="J203" s="12"/>
      <c r="K203" s="61"/>
      <c r="L203" s="233"/>
      <c r="M203" s="10">
        <f ca="1">IF(ISBLANK(K203), TODAY()-(I203), Table27[[#This Row],[Effectiveness Review &amp; date deemed effective]]-Table27[[#This Row],[PTO initialized date]])</f>
        <v>46067</v>
      </c>
    </row>
    <row r="204" spans="1:13" s="4" customFormat="1" ht="18">
      <c r="A204" s="9"/>
      <c r="B204" s="18" t="e">
        <f>VLOOKUP(Table27[[#This Row],[Location 
(drop-down)]],'List source'!D$2:E$71,2,FALSE)</f>
        <v>#N/A</v>
      </c>
      <c r="C204" s="154" t="s">
        <v>1543</v>
      </c>
      <c r="D204" s="20" t="e">
        <f t="shared" si="3"/>
        <v>#N/A</v>
      </c>
      <c r="E204" s="9"/>
      <c r="F204" s="10" t="e" cm="1">
        <f t="array" aca="1" ref="F2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4" s="10"/>
      <c r="I204" s="16"/>
      <c r="J204" s="12"/>
      <c r="K204" s="168"/>
      <c r="L204" s="247"/>
      <c r="M204" s="10">
        <f ca="1">IF(ISBLANK(K204), TODAY()-(I204), Table27[[#This Row],[Effectiveness Review &amp; date deemed effective]]-Table27[[#This Row],[PTO initialized date]])</f>
        <v>46067</v>
      </c>
    </row>
    <row r="205" spans="1:13" s="4" customFormat="1" ht="18">
      <c r="A205" s="9"/>
      <c r="B205" s="18" t="e">
        <f>VLOOKUP(Table27[[#This Row],[Location 
(drop-down)]],'List source'!D$2:E$71,2,FALSE)</f>
        <v>#N/A</v>
      </c>
      <c r="C205" s="154" t="s">
        <v>1544</v>
      </c>
      <c r="D205" s="20" t="e">
        <f t="shared" si="3"/>
        <v>#N/A</v>
      </c>
      <c r="E205" s="9"/>
      <c r="F205" s="10" t="e" cm="1">
        <f t="array" aca="1" ref="F2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5" s="130"/>
      <c r="I205" s="16"/>
      <c r="J205" s="12"/>
      <c r="K205" s="168"/>
      <c r="L205" s="341"/>
      <c r="M205" s="10">
        <f ca="1">IF(ISBLANK(K205), TODAY()-(I205), Table27[[#This Row],[Effectiveness Review &amp; date deemed effective]]-Table27[[#This Row],[PTO initialized date]])</f>
        <v>46067</v>
      </c>
    </row>
    <row r="206" spans="1:13" s="4" customFormat="1" ht="18">
      <c r="A206" s="9"/>
      <c r="B206" s="18" t="e">
        <f>VLOOKUP(Table27[[#This Row],[Location 
(drop-down)]],'List source'!D$2:E$71,2,FALSE)</f>
        <v>#N/A</v>
      </c>
      <c r="C206" s="154" t="s">
        <v>1545</v>
      </c>
      <c r="D206" s="20" t="e">
        <f t="shared" si="3"/>
        <v>#N/A</v>
      </c>
      <c r="E206" s="9"/>
      <c r="F206" s="10" t="e" cm="1">
        <f t="array" aca="1" ref="F2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6" s="130"/>
      <c r="I206" s="16"/>
      <c r="J206" s="12"/>
      <c r="K206" s="61"/>
      <c r="L206" s="233"/>
      <c r="M206" s="10">
        <f ca="1">IF(ISBLANK(K206), TODAY()-(I206), Table27[[#This Row],[Effectiveness Review &amp; date deemed effective]]-Table27[[#This Row],[PTO initialized date]])</f>
        <v>46067</v>
      </c>
    </row>
    <row r="207" spans="1:13" s="4" customFormat="1" ht="18">
      <c r="A207" s="9"/>
      <c r="B207" s="18" t="e">
        <f>VLOOKUP(Table27[[#This Row],[Location 
(drop-down)]],'List source'!D$2:E$71,2,FALSE)</f>
        <v>#N/A</v>
      </c>
      <c r="C207" s="154" t="s">
        <v>1546</v>
      </c>
      <c r="D207" s="20" t="e">
        <f t="shared" si="3"/>
        <v>#N/A</v>
      </c>
      <c r="E207" s="9"/>
      <c r="F207" s="10" t="e" cm="1">
        <f t="array" aca="1" ref="F2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7" s="10"/>
      <c r="I207" s="16"/>
      <c r="J207" s="12"/>
      <c r="K207" s="61"/>
      <c r="L207" s="337"/>
      <c r="M207" s="10">
        <f ca="1">IF(ISBLANK(K207), TODAY()-(I207), Table27[[#This Row],[Effectiveness Review &amp; date deemed effective]]-Table27[[#This Row],[PTO initialized date]])</f>
        <v>46067</v>
      </c>
    </row>
    <row r="208" spans="1:13" s="4" customFormat="1" ht="18">
      <c r="A208" s="9"/>
      <c r="B208" s="18" t="e">
        <f>VLOOKUP(Table27[[#This Row],[Location 
(drop-down)]],'List source'!D$2:E$71,2,FALSE)</f>
        <v>#N/A</v>
      </c>
      <c r="C208" s="154" t="s">
        <v>1547</v>
      </c>
      <c r="D208" s="20" t="e">
        <f t="shared" si="3"/>
        <v>#N/A</v>
      </c>
      <c r="E208" s="9"/>
      <c r="F208" s="10" t="e" cm="1">
        <f t="array" aca="1" ref="F2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8" s="130"/>
      <c r="I208" s="16"/>
      <c r="J208" s="12"/>
      <c r="K208" s="61"/>
      <c r="L208" s="233"/>
      <c r="M208" s="10">
        <f ca="1">IF(ISBLANK(K208), TODAY()-(I208), Table27[[#This Row],[Effectiveness Review &amp; date deemed effective]]-Table27[[#This Row],[PTO initialized date]])</f>
        <v>46067</v>
      </c>
    </row>
    <row r="209" spans="1:13" s="4" customFormat="1" ht="18">
      <c r="A209" s="9"/>
      <c r="B209" s="18" t="e">
        <f>VLOOKUP(Table27[[#This Row],[Location 
(drop-down)]],'List source'!D$2:E$71,2,FALSE)</f>
        <v>#N/A</v>
      </c>
      <c r="C209" s="154" t="s">
        <v>1548</v>
      </c>
      <c r="D209" s="20" t="e">
        <f t="shared" si="3"/>
        <v>#N/A</v>
      </c>
      <c r="E209" s="9"/>
      <c r="F209" s="10" t="e" cm="1">
        <f t="array" aca="1" ref="F2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09" s="10"/>
      <c r="I209" s="16"/>
      <c r="J209" s="12"/>
      <c r="K209" s="61"/>
      <c r="L209" s="233"/>
      <c r="M209" s="10">
        <f ca="1">IF(ISBLANK(K209), TODAY()-(I209), Table27[[#This Row],[Effectiveness Review &amp; date deemed effective]]-Table27[[#This Row],[PTO initialized date]])</f>
        <v>46067</v>
      </c>
    </row>
    <row r="210" spans="1:13" s="4" customFormat="1" ht="18">
      <c r="A210" s="9"/>
      <c r="B210" s="18" t="e">
        <f>VLOOKUP(Table27[[#This Row],[Location 
(drop-down)]],'List source'!D$2:E$71,2,FALSE)</f>
        <v>#N/A</v>
      </c>
      <c r="C210" s="154" t="s">
        <v>1549</v>
      </c>
      <c r="D210" s="20" t="e">
        <f t="shared" si="3"/>
        <v>#N/A</v>
      </c>
      <c r="E210" s="9"/>
      <c r="F210" s="10" t="e" cm="1">
        <f t="array" aca="1" ref="F2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0" s="130"/>
      <c r="I210" s="16"/>
      <c r="J210" s="12"/>
      <c r="K210" s="61"/>
      <c r="L210" s="233"/>
      <c r="M210" s="10">
        <f ca="1">IF(ISBLANK(K210), TODAY()-(I210), Table27[[#This Row],[Effectiveness Review &amp; date deemed effective]]-Table27[[#This Row],[PTO initialized date]])</f>
        <v>46067</v>
      </c>
    </row>
    <row r="211" spans="1:13" s="4" customFormat="1" ht="18">
      <c r="A211" s="9"/>
      <c r="B211" s="18" t="e">
        <f>VLOOKUP(Table27[[#This Row],[Location 
(drop-down)]],'List source'!D$2:E$71,2,FALSE)</f>
        <v>#N/A</v>
      </c>
      <c r="C211" s="154" t="s">
        <v>1550</v>
      </c>
      <c r="D211" s="20" t="e">
        <f t="shared" si="3"/>
        <v>#N/A</v>
      </c>
      <c r="E211" s="9"/>
      <c r="F211" s="10" t="e" cm="1">
        <f t="array" aca="1" ref="F2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1" s="10"/>
      <c r="I211" s="16"/>
      <c r="J211" s="12"/>
      <c r="K211" s="61"/>
      <c r="L211" s="233"/>
      <c r="M211" s="10">
        <f ca="1">IF(ISBLANK(K211), TODAY()-(I211), Table27[[#This Row],[Effectiveness Review &amp; date deemed effective]]-Table27[[#This Row],[PTO initialized date]])</f>
        <v>46067</v>
      </c>
    </row>
    <row r="212" spans="1:13" s="4" customFormat="1" ht="18">
      <c r="A212" s="9"/>
      <c r="B212" s="18" t="e">
        <f>VLOOKUP(Table27[[#This Row],[Location 
(drop-down)]],'List source'!D$2:E$71,2,FALSE)</f>
        <v>#N/A</v>
      </c>
      <c r="C212" s="154" t="s">
        <v>1551</v>
      </c>
      <c r="D212" s="20" t="e">
        <f t="shared" si="3"/>
        <v>#N/A</v>
      </c>
      <c r="E212" s="146"/>
      <c r="F212" s="10" t="e" cm="1">
        <f t="array" aca="1" ref="F2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2" s="169"/>
      <c r="I212" s="16"/>
      <c r="J212" s="12"/>
      <c r="K212" s="61"/>
      <c r="L212" s="233"/>
      <c r="M212" s="10">
        <f ca="1">IF(ISBLANK(K212), TODAY()-(I212), Table27[[#This Row],[Effectiveness Review &amp; date deemed effective]]-Table27[[#This Row],[PTO initialized date]])</f>
        <v>46067</v>
      </c>
    </row>
    <row r="213" spans="1:13" s="4" customFormat="1" ht="18">
      <c r="A213" s="9"/>
      <c r="B213" s="18" t="e">
        <f>VLOOKUP(Table27[[#This Row],[Location 
(drop-down)]],'List source'!D$2:E$71,2,FALSE)</f>
        <v>#N/A</v>
      </c>
      <c r="C213" s="154" t="s">
        <v>1552</v>
      </c>
      <c r="D213" s="20" t="e">
        <f t="shared" si="3"/>
        <v>#N/A</v>
      </c>
      <c r="E213" s="9"/>
      <c r="F213" s="10" t="e" cm="1">
        <f t="array" aca="1" ref="F2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3" s="130"/>
      <c r="I213" s="16"/>
      <c r="J213" s="12"/>
      <c r="K213" s="61"/>
      <c r="L213" s="233"/>
      <c r="M213" s="10">
        <f ca="1">IF(ISBLANK(K213), TODAY()-(I213), Table27[[#This Row],[Effectiveness Review &amp; date deemed effective]]-Table27[[#This Row],[PTO initialized date]])</f>
        <v>46067</v>
      </c>
    </row>
    <row r="214" spans="1:13" s="4" customFormat="1" ht="18">
      <c r="A214" s="9"/>
      <c r="B214" s="18" t="e">
        <f>VLOOKUP(Table27[[#This Row],[Location 
(drop-down)]],'List source'!D$2:E$71,2,FALSE)</f>
        <v>#N/A</v>
      </c>
      <c r="C214" s="154" t="s">
        <v>1553</v>
      </c>
      <c r="D214" s="20" t="e">
        <f t="shared" si="3"/>
        <v>#N/A</v>
      </c>
      <c r="E214" s="9"/>
      <c r="F214" s="10" t="e" cm="1">
        <f t="array" aca="1" ref="F2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4" s="10"/>
      <c r="I214" s="16"/>
      <c r="J214" s="12"/>
      <c r="K214" s="61"/>
      <c r="L214" s="233"/>
      <c r="M214" s="10">
        <f ca="1">IF(ISBLANK(K214), TODAY()-(I214), Table27[[#This Row],[Effectiveness Review &amp; date deemed effective]]-Table27[[#This Row],[PTO initialized date]])</f>
        <v>46067</v>
      </c>
    </row>
    <row r="215" spans="1:13" s="4" customFormat="1" ht="18">
      <c r="A215" s="9"/>
      <c r="B215" s="18" t="e">
        <f>VLOOKUP(Table27[[#This Row],[Location 
(drop-down)]],'List source'!D$2:E$71,2,FALSE)</f>
        <v>#N/A</v>
      </c>
      <c r="C215" s="154" t="s">
        <v>1554</v>
      </c>
      <c r="D215" s="20" t="e">
        <f t="shared" si="3"/>
        <v>#N/A</v>
      </c>
      <c r="E215" s="88"/>
      <c r="F215" s="10" t="e" cm="1">
        <f t="array" aca="1" ref="F2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5" s="130"/>
      <c r="I215" s="16"/>
      <c r="J215" s="12"/>
      <c r="K215" s="61"/>
      <c r="L215" s="337"/>
      <c r="M215" s="10">
        <f ca="1">IF(ISBLANK(K215), TODAY()-(I215), Table27[[#This Row],[Effectiveness Review &amp; date deemed effective]]-Table27[[#This Row],[PTO initialized date]])</f>
        <v>46067</v>
      </c>
    </row>
    <row r="216" spans="1:13" s="4" customFormat="1" ht="18">
      <c r="A216" s="9"/>
      <c r="B216" s="18" t="e">
        <f>VLOOKUP(Table27[[#This Row],[Location 
(drop-down)]],'List source'!D$2:E$71,2,FALSE)</f>
        <v>#N/A</v>
      </c>
      <c r="C216" s="154" t="s">
        <v>1555</v>
      </c>
      <c r="D216" s="20" t="e">
        <f t="shared" si="3"/>
        <v>#N/A</v>
      </c>
      <c r="E216" s="9"/>
      <c r="F216" s="10" t="e" cm="1">
        <f t="array" aca="1" ref="F2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6" s="130"/>
      <c r="I216" s="16"/>
      <c r="J216" s="12"/>
      <c r="K216" s="61"/>
      <c r="L216" s="233"/>
      <c r="M216" s="10">
        <f ca="1">IF(ISBLANK(K216), TODAY()-(I216), Table27[[#This Row],[Effectiveness Review &amp; date deemed effective]]-Table27[[#This Row],[PTO initialized date]])</f>
        <v>46067</v>
      </c>
    </row>
    <row r="217" spans="1:13" s="4" customFormat="1" ht="18">
      <c r="A217" s="9"/>
      <c r="B217" s="18" t="e">
        <f>VLOOKUP(Table27[[#This Row],[Location 
(drop-down)]],'List source'!D$2:E$71,2,FALSE)</f>
        <v>#N/A</v>
      </c>
      <c r="C217" s="154" t="s">
        <v>1556</v>
      </c>
      <c r="D217" s="20" t="e">
        <f t="shared" si="3"/>
        <v>#N/A</v>
      </c>
      <c r="E217" s="9"/>
      <c r="F217" s="10" t="e" cm="1">
        <f t="array" aca="1" ref="F2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7" s="10"/>
      <c r="I217" s="16"/>
      <c r="J217" s="12"/>
      <c r="K217" s="61"/>
      <c r="L217" s="296"/>
      <c r="M217" s="10">
        <f ca="1">IF(ISBLANK(K217), TODAY()-(I217), Table27[[#This Row],[Effectiveness Review &amp; date deemed effective]]-Table27[[#This Row],[PTO initialized date]])</f>
        <v>46067</v>
      </c>
    </row>
    <row r="218" spans="1:13" s="4" customFormat="1" ht="18">
      <c r="A218" s="9"/>
      <c r="B218" s="18" t="e">
        <f>VLOOKUP(Table27[[#This Row],[Location 
(drop-down)]],'List source'!D$2:E$71,2,FALSE)</f>
        <v>#N/A</v>
      </c>
      <c r="C218" s="154" t="s">
        <v>1557</v>
      </c>
      <c r="D218" s="20" t="e">
        <f t="shared" si="3"/>
        <v>#N/A</v>
      </c>
      <c r="E218" s="9"/>
      <c r="F218" s="10" t="e" cm="1">
        <f t="array" aca="1" ref="F2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8" s="10"/>
      <c r="I218" s="16"/>
      <c r="J218" s="12"/>
      <c r="K218" s="168"/>
      <c r="L218" s="338"/>
      <c r="M218" s="10">
        <f ca="1">IF(ISBLANK(K218), TODAY()-(I218), Table27[[#This Row],[Effectiveness Review &amp; date deemed effective]]-Table27[[#This Row],[PTO initialized date]])</f>
        <v>46067</v>
      </c>
    </row>
    <row r="219" spans="1:13" s="4" customFormat="1" ht="18">
      <c r="A219" s="9"/>
      <c r="B219" s="18" t="e">
        <f>VLOOKUP(Table27[[#This Row],[Location 
(drop-down)]],'List source'!D$2:E$71,2,FALSE)</f>
        <v>#N/A</v>
      </c>
      <c r="C219" s="154" t="s">
        <v>1558</v>
      </c>
      <c r="D219" s="20" t="e">
        <f t="shared" si="3"/>
        <v>#N/A</v>
      </c>
      <c r="E219" s="9"/>
      <c r="F219" s="10" t="e" cm="1">
        <f t="array" aca="1" ref="F2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19" s="130"/>
      <c r="I219" s="16"/>
      <c r="J219" s="12"/>
      <c r="K219" s="61"/>
      <c r="L219" s="337"/>
      <c r="M219" s="10">
        <f ca="1">IF(ISBLANK(K219), TODAY()-(I219), Table27[[#This Row],[Effectiveness Review &amp; date deemed effective]]-Table27[[#This Row],[PTO initialized date]])</f>
        <v>46067</v>
      </c>
    </row>
    <row r="220" spans="1:13" s="4" customFormat="1" ht="18">
      <c r="A220" s="9"/>
      <c r="B220" s="18" t="e">
        <f>VLOOKUP(Table27[[#This Row],[Location 
(drop-down)]],'List source'!D$2:E$71,2,FALSE)</f>
        <v>#N/A</v>
      </c>
      <c r="C220" s="154" t="s">
        <v>1559</v>
      </c>
      <c r="D220" s="20" t="e">
        <f t="shared" si="3"/>
        <v>#N/A</v>
      </c>
      <c r="E220" s="9"/>
      <c r="F220" s="10" t="e" cm="1">
        <f t="array" aca="1" ref="F2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0" s="10"/>
      <c r="I220" s="16"/>
      <c r="J220" s="12"/>
      <c r="K220" s="168"/>
      <c r="L220" s="338"/>
      <c r="M220" s="10">
        <f ca="1">IF(ISBLANK(K220), TODAY()-(I220), Table27[[#This Row],[Effectiveness Review &amp; date deemed effective]]-Table27[[#This Row],[PTO initialized date]])</f>
        <v>46067</v>
      </c>
    </row>
    <row r="221" spans="1:13" s="4" customFormat="1" ht="18">
      <c r="A221" s="9"/>
      <c r="B221" s="18" t="e">
        <f>VLOOKUP(Table27[[#This Row],[Location 
(drop-down)]],'List source'!D$2:E$71,2,FALSE)</f>
        <v>#N/A</v>
      </c>
      <c r="C221" s="154" t="s">
        <v>1560</v>
      </c>
      <c r="D221" s="20" t="e">
        <f t="shared" si="3"/>
        <v>#N/A</v>
      </c>
      <c r="E221" s="9"/>
      <c r="F221" s="10" t="e" cm="1">
        <f t="array" aca="1" ref="F2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1" s="10"/>
      <c r="I221" s="16"/>
      <c r="J221" s="12"/>
      <c r="K221" s="61"/>
      <c r="L221" s="337"/>
      <c r="M221" s="10">
        <f ca="1">IF(ISBLANK(K221), TODAY()-(I221), Table27[[#This Row],[Effectiveness Review &amp; date deemed effective]]-Table27[[#This Row],[PTO initialized date]])</f>
        <v>46067</v>
      </c>
    </row>
    <row r="222" spans="1:13" s="4" customFormat="1" ht="18">
      <c r="A222" s="9"/>
      <c r="B222" s="18" t="e">
        <f>VLOOKUP(Table27[[#This Row],[Location 
(drop-down)]],'List source'!D$2:E$71,2,FALSE)</f>
        <v>#N/A</v>
      </c>
      <c r="C222" s="154" t="s">
        <v>1561</v>
      </c>
      <c r="D222" s="20" t="e">
        <f t="shared" si="3"/>
        <v>#N/A</v>
      </c>
      <c r="E222" s="9"/>
      <c r="F222" s="10" t="e" cm="1">
        <f t="array" aca="1" ref="F2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2" s="10"/>
      <c r="I222" s="16"/>
      <c r="J222" s="12"/>
      <c r="K222" s="168"/>
      <c r="L222" s="338"/>
      <c r="M222" s="10">
        <f ca="1">IF(ISBLANK(K222), TODAY()-(I222), Table27[[#This Row],[Effectiveness Review &amp; date deemed effective]]-Table27[[#This Row],[PTO initialized date]])</f>
        <v>46067</v>
      </c>
    </row>
    <row r="223" spans="1:13" s="4" customFormat="1" ht="18">
      <c r="A223" s="9"/>
      <c r="B223" s="18" t="e">
        <f>VLOOKUP(Table27[[#This Row],[Location 
(drop-down)]],'List source'!D$2:E$71,2,FALSE)</f>
        <v>#N/A</v>
      </c>
      <c r="C223" s="154" t="s">
        <v>1562</v>
      </c>
      <c r="D223" s="20" t="e">
        <f t="shared" si="3"/>
        <v>#N/A</v>
      </c>
      <c r="E223" s="9"/>
      <c r="F223" s="10" t="e" cm="1">
        <f t="array" aca="1" ref="F2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3" s="10"/>
      <c r="I223" s="16"/>
      <c r="J223" s="12"/>
      <c r="K223" s="61"/>
      <c r="L223" s="340"/>
      <c r="M223" s="10">
        <f ca="1">IF(ISBLANK(K223), TODAY()-(I223), Table27[[#This Row],[Effectiveness Review &amp; date deemed effective]]-Table27[[#This Row],[PTO initialized date]])</f>
        <v>46067</v>
      </c>
    </row>
    <row r="224" spans="1:13" s="4" customFormat="1" ht="18">
      <c r="A224" s="9"/>
      <c r="B224" s="18" t="e">
        <f>VLOOKUP(Table27[[#This Row],[Location 
(drop-down)]],'List source'!D$2:E$71,2,FALSE)</f>
        <v>#N/A</v>
      </c>
      <c r="C224" s="154" t="s">
        <v>1563</v>
      </c>
      <c r="D224" s="20" t="e">
        <f t="shared" si="3"/>
        <v>#N/A</v>
      </c>
      <c r="E224" s="9"/>
      <c r="F224" s="10" t="e" cm="1">
        <f t="array" aca="1" ref="F2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4" s="10"/>
      <c r="I224" s="16"/>
      <c r="J224" s="12"/>
      <c r="K224" s="61"/>
      <c r="L224" s="233"/>
      <c r="M224" s="10">
        <f ca="1">IF(ISBLANK(K224), TODAY()-(I224), Table27[[#This Row],[Effectiveness Review &amp; date deemed effective]]-Table27[[#This Row],[PTO initialized date]])</f>
        <v>46067</v>
      </c>
    </row>
    <row r="225" spans="1:13" s="4" customFormat="1" ht="18">
      <c r="A225" s="9"/>
      <c r="B225" s="18" t="e">
        <f>VLOOKUP(Table27[[#This Row],[Location 
(drop-down)]],'List source'!D$2:E$71,2,FALSE)</f>
        <v>#N/A</v>
      </c>
      <c r="C225" s="154" t="s">
        <v>1564</v>
      </c>
      <c r="D225" s="20" t="e">
        <f t="shared" si="3"/>
        <v>#N/A</v>
      </c>
      <c r="E225" s="9"/>
      <c r="F225" s="10" t="e" cm="1">
        <f t="array" aca="1" ref="F2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5" s="130"/>
      <c r="I225" s="16"/>
      <c r="J225" s="12"/>
      <c r="K225" s="61"/>
      <c r="L225" s="338"/>
      <c r="M225" s="10">
        <f ca="1">IF(ISBLANK(K225), TODAY()-(I225), Table27[[#This Row],[Effectiveness Review &amp; date deemed effective]]-Table27[[#This Row],[PTO initialized date]])</f>
        <v>46067</v>
      </c>
    </row>
    <row r="226" spans="1:13" s="4" customFormat="1" ht="18">
      <c r="A226" s="9"/>
      <c r="B226" s="18" t="e">
        <f>VLOOKUP(Table27[[#This Row],[Location 
(drop-down)]],'List source'!D$2:E$71,2,FALSE)</f>
        <v>#N/A</v>
      </c>
      <c r="C226" s="154" t="s">
        <v>1565</v>
      </c>
      <c r="D226" s="20" t="e">
        <f t="shared" si="3"/>
        <v>#N/A</v>
      </c>
      <c r="E226" s="9"/>
      <c r="F226" s="10" t="e" cm="1">
        <f t="array" aca="1" ref="F2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6" s="10"/>
      <c r="I226" s="16"/>
      <c r="J226" s="12"/>
      <c r="K226" s="61"/>
      <c r="L226" s="233"/>
      <c r="M226" s="10">
        <f ca="1">IF(ISBLANK(K226), TODAY()-(I226), Table27[[#This Row],[Effectiveness Review &amp; date deemed effective]]-Table27[[#This Row],[PTO initialized date]])</f>
        <v>46067</v>
      </c>
    </row>
    <row r="227" spans="1:13" s="4" customFormat="1" ht="18">
      <c r="A227" s="9"/>
      <c r="B227" s="18" t="e">
        <f>VLOOKUP(Table27[[#This Row],[Location 
(drop-down)]],'List source'!D$2:E$71,2,FALSE)</f>
        <v>#N/A</v>
      </c>
      <c r="C227" s="154" t="s">
        <v>1566</v>
      </c>
      <c r="D227" s="20" t="e">
        <f t="shared" si="3"/>
        <v>#N/A</v>
      </c>
      <c r="E227" s="9"/>
      <c r="F227" s="10" t="e" cm="1">
        <f t="array" aca="1" ref="F2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7" s="130"/>
      <c r="I227" s="16"/>
      <c r="J227" s="12"/>
      <c r="K227" s="61"/>
      <c r="L227" s="233"/>
      <c r="M227" s="10">
        <f ca="1">IF(ISBLANK(K227), TODAY()-(I227), Table27[[#This Row],[Effectiveness Review &amp; date deemed effective]]-Table27[[#This Row],[PTO initialized date]])</f>
        <v>46067</v>
      </c>
    </row>
    <row r="228" spans="1:13" s="4" customFormat="1" ht="18">
      <c r="A228" s="9"/>
      <c r="B228" s="18" t="e">
        <f>VLOOKUP(Table27[[#This Row],[Location 
(drop-down)]],'List source'!D$2:E$71,2,FALSE)</f>
        <v>#N/A</v>
      </c>
      <c r="C228" s="154" t="s">
        <v>1567</v>
      </c>
      <c r="D228" s="20" t="e">
        <f t="shared" si="3"/>
        <v>#N/A</v>
      </c>
      <c r="E228" s="9"/>
      <c r="F228" s="10" t="e" cm="1">
        <f t="array" aca="1" ref="F2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8" s="130"/>
      <c r="I228" s="16"/>
      <c r="J228" s="12"/>
      <c r="K228" s="61"/>
      <c r="L228" s="233"/>
      <c r="M228" s="10">
        <f ca="1">IF(ISBLANK(K228), TODAY()-(I228), Table27[[#This Row],[Effectiveness Review &amp; date deemed effective]]-Table27[[#This Row],[PTO initialized date]])</f>
        <v>46067</v>
      </c>
    </row>
    <row r="229" spans="1:13" s="4" customFormat="1" ht="18">
      <c r="A229" s="9"/>
      <c r="B229" s="18" t="e">
        <f>VLOOKUP(Table27[[#This Row],[Location 
(drop-down)]],'List source'!D$2:E$71,2,FALSE)</f>
        <v>#N/A</v>
      </c>
      <c r="C229" s="154" t="s">
        <v>1568</v>
      </c>
      <c r="D229" s="20" t="e">
        <f t="shared" si="3"/>
        <v>#N/A</v>
      </c>
      <c r="E229" s="9"/>
      <c r="F229" s="10" t="e" cm="1">
        <f t="array" aca="1" ref="F2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29" s="10"/>
      <c r="I229" s="16"/>
      <c r="J229" s="12"/>
      <c r="K229" s="227"/>
      <c r="L229" s="338"/>
      <c r="M229" s="10">
        <f ca="1">IF(ISBLANK(K229), TODAY()-(I229), Table27[[#This Row],[Effectiveness Review &amp; date deemed effective]]-Table27[[#This Row],[PTO initialized date]])</f>
        <v>46067</v>
      </c>
    </row>
    <row r="230" spans="1:13" s="4" customFormat="1" ht="18">
      <c r="A230" s="9"/>
      <c r="B230" s="18" t="e">
        <f>VLOOKUP(Table27[[#This Row],[Location 
(drop-down)]],'List source'!D$2:E$71,2,FALSE)</f>
        <v>#N/A</v>
      </c>
      <c r="C230" s="154" t="s">
        <v>1569</v>
      </c>
      <c r="D230" s="20" t="e">
        <f t="shared" si="3"/>
        <v>#N/A</v>
      </c>
      <c r="E230" s="9"/>
      <c r="F230" s="10" t="e" cm="1">
        <f t="array" aca="1" ref="F2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0" s="130"/>
      <c r="I230" s="16"/>
      <c r="J230" s="12"/>
      <c r="K230" s="61"/>
      <c r="L230" s="233"/>
      <c r="M230" s="10">
        <f ca="1">IF(ISBLANK(K230), TODAY()-(I230), Table27[[#This Row],[Effectiveness Review &amp; date deemed effective]]-Table27[[#This Row],[PTO initialized date]])</f>
        <v>46067</v>
      </c>
    </row>
    <row r="231" spans="1:13" s="4" customFormat="1" ht="18">
      <c r="A231" s="9"/>
      <c r="B231" s="18" t="e">
        <f>VLOOKUP(Table27[[#This Row],[Location 
(drop-down)]],'List source'!D$2:E$71,2,FALSE)</f>
        <v>#N/A</v>
      </c>
      <c r="C231" s="154" t="s">
        <v>1570</v>
      </c>
      <c r="D231" s="20" t="e">
        <f t="shared" si="3"/>
        <v>#N/A</v>
      </c>
      <c r="E231" s="9"/>
      <c r="F231" s="10" t="e" cm="1">
        <f t="array" aca="1" ref="F2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1" s="10"/>
      <c r="I231" s="16"/>
      <c r="J231" s="12"/>
      <c r="K231" s="61"/>
      <c r="L231" s="233"/>
      <c r="M231" s="10">
        <f ca="1">IF(ISBLANK(K231), TODAY()-(I231), Table27[[#This Row],[Effectiveness Review &amp; date deemed effective]]-Table27[[#This Row],[PTO initialized date]])</f>
        <v>46067</v>
      </c>
    </row>
    <row r="232" spans="1:13" s="4" customFormat="1" ht="18">
      <c r="A232" s="9"/>
      <c r="B232" s="18" t="e">
        <f>VLOOKUP(Table27[[#This Row],[Location 
(drop-down)]],'List source'!D$2:E$71,2,FALSE)</f>
        <v>#N/A</v>
      </c>
      <c r="C232" s="154" t="s">
        <v>1571</v>
      </c>
      <c r="D232" s="20" t="e">
        <f t="shared" si="3"/>
        <v>#N/A</v>
      </c>
      <c r="E232" s="9"/>
      <c r="F232" s="10" t="e" cm="1">
        <f t="array" aca="1" ref="F2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2" s="10"/>
      <c r="I232" s="16"/>
      <c r="J232" s="12"/>
      <c r="K232" s="61"/>
      <c r="L232" s="233"/>
      <c r="M232" s="10">
        <f ca="1">IF(ISBLANK(K232), TODAY()-(I232), Table27[[#This Row],[Effectiveness Review &amp; date deemed effective]]-Table27[[#This Row],[PTO initialized date]])</f>
        <v>46067</v>
      </c>
    </row>
    <row r="233" spans="1:13" s="4" customFormat="1" ht="18">
      <c r="A233" s="9"/>
      <c r="B233" s="18" t="e">
        <f>VLOOKUP(Table27[[#This Row],[Location 
(drop-down)]],'List source'!D$2:E$71,2,FALSE)</f>
        <v>#N/A</v>
      </c>
      <c r="C233" s="154" t="s">
        <v>1572</v>
      </c>
      <c r="D233" s="20" t="e">
        <f t="shared" si="3"/>
        <v>#N/A</v>
      </c>
      <c r="E233" s="9"/>
      <c r="F233" s="10" t="e" cm="1">
        <f t="array" aca="1" ref="F2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3" s="10"/>
      <c r="I233" s="16"/>
      <c r="J233" s="12"/>
      <c r="K233" s="61"/>
      <c r="L233" s="233"/>
      <c r="M233" s="10">
        <f ca="1">IF(ISBLANK(K233), TODAY()-(I233), Table27[[#This Row],[Effectiveness Review &amp; date deemed effective]]-Table27[[#This Row],[PTO initialized date]])</f>
        <v>46067</v>
      </c>
    </row>
    <row r="234" spans="1:13" s="4" customFormat="1" ht="18">
      <c r="A234" s="9"/>
      <c r="B234" s="18" t="e">
        <f>VLOOKUP(Table27[[#This Row],[Location 
(drop-down)]],'List source'!D$2:E$71,2,FALSE)</f>
        <v>#N/A</v>
      </c>
      <c r="C234" s="154" t="s">
        <v>1573</v>
      </c>
      <c r="D234" s="20" t="e">
        <f t="shared" si="3"/>
        <v>#N/A</v>
      </c>
      <c r="E234" s="9"/>
      <c r="F234" s="10" t="e" cm="1">
        <f t="array" aca="1" ref="F2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4" s="10"/>
      <c r="I234" s="16"/>
      <c r="J234" s="12"/>
      <c r="K234" s="61"/>
      <c r="L234" s="233"/>
      <c r="M234" s="10">
        <f ca="1">IF(ISBLANK(K234), TODAY()-(I234), Table27[[#This Row],[Effectiveness Review &amp; date deemed effective]]-Table27[[#This Row],[PTO initialized date]])</f>
        <v>46067</v>
      </c>
    </row>
    <row r="235" spans="1:13" s="4" customFormat="1" ht="18">
      <c r="A235" s="9"/>
      <c r="B235" s="18" t="e">
        <f>VLOOKUP(Table27[[#This Row],[Location 
(drop-down)]],'List source'!D$2:E$71,2,FALSE)</f>
        <v>#N/A</v>
      </c>
      <c r="C235" s="154" t="s">
        <v>1574</v>
      </c>
      <c r="D235" s="20" t="e">
        <f t="shared" si="3"/>
        <v>#N/A</v>
      </c>
      <c r="E235" s="9"/>
      <c r="F235" s="10" t="e" cm="1">
        <f t="array" aca="1" ref="F2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5" s="10"/>
      <c r="I235" s="16"/>
      <c r="J235" s="12"/>
      <c r="K235" s="61"/>
      <c r="L235" s="233"/>
      <c r="M235" s="10">
        <f ca="1">IF(ISBLANK(K235), TODAY()-(I235), Table27[[#This Row],[Effectiveness Review &amp; date deemed effective]]-Table27[[#This Row],[PTO initialized date]])</f>
        <v>46067</v>
      </c>
    </row>
    <row r="236" spans="1:13" s="4" customFormat="1" ht="18">
      <c r="A236" s="9"/>
      <c r="B236" s="18" t="e">
        <f>VLOOKUP(Table27[[#This Row],[Location 
(drop-down)]],'List source'!D$2:E$71,2,FALSE)</f>
        <v>#N/A</v>
      </c>
      <c r="C236" s="154" t="s">
        <v>1575</v>
      </c>
      <c r="D236" s="20" t="e">
        <f t="shared" si="3"/>
        <v>#N/A</v>
      </c>
      <c r="E236" s="9"/>
      <c r="F236" s="10" t="e" cm="1">
        <f t="array" aca="1" ref="F2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6" s="10"/>
      <c r="I236" s="16"/>
      <c r="J236" s="12"/>
      <c r="K236" s="61"/>
      <c r="L236" s="339"/>
      <c r="M236" s="10">
        <f ca="1">IF(ISBLANK(K236), TODAY()-(I236), Table27[[#This Row],[Effectiveness Review &amp; date deemed effective]]-Table27[[#This Row],[PTO initialized date]])</f>
        <v>46067</v>
      </c>
    </row>
    <row r="237" spans="1:13" s="4" customFormat="1" ht="18">
      <c r="A237" s="9"/>
      <c r="B237" s="18" t="e">
        <f>VLOOKUP(Table27[[#This Row],[Location 
(drop-down)]],'List source'!D$2:E$71,2,FALSE)</f>
        <v>#N/A</v>
      </c>
      <c r="C237" s="154" t="s">
        <v>1576</v>
      </c>
      <c r="D237" s="20" t="e">
        <f t="shared" si="3"/>
        <v>#N/A</v>
      </c>
      <c r="E237" s="9"/>
      <c r="F237" s="10" t="e" cm="1">
        <f t="array" aca="1" ref="F2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7" s="130"/>
      <c r="I237" s="16"/>
      <c r="J237" s="12"/>
      <c r="K237" s="61"/>
      <c r="L237" s="233"/>
      <c r="M237" s="10">
        <f ca="1">IF(ISBLANK(K237), TODAY()-(I237), Table27[[#This Row],[Effectiveness Review &amp; date deemed effective]]-Table27[[#This Row],[PTO initialized date]])</f>
        <v>46067</v>
      </c>
    </row>
    <row r="238" spans="1:13" s="4" customFormat="1" ht="18">
      <c r="A238" s="9"/>
      <c r="B238" s="18" t="e">
        <f>VLOOKUP(Table27[[#This Row],[Location 
(drop-down)]],'List source'!D$2:E$71,2,FALSE)</f>
        <v>#N/A</v>
      </c>
      <c r="C238" s="154" t="s">
        <v>1577</v>
      </c>
      <c r="D238" s="20" t="e">
        <f t="shared" si="3"/>
        <v>#N/A</v>
      </c>
      <c r="E238" s="9"/>
      <c r="F238" s="10" t="e" cm="1">
        <f t="array" aca="1" ref="F2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8" s="130"/>
      <c r="I238" s="16"/>
      <c r="J238" s="12"/>
      <c r="K238" s="61"/>
      <c r="L238" s="233"/>
      <c r="M238" s="10">
        <f ca="1">IF(ISBLANK(K238), TODAY()-(I238), Table27[[#This Row],[Effectiveness Review &amp; date deemed effective]]-Table27[[#This Row],[PTO initialized date]])</f>
        <v>46067</v>
      </c>
    </row>
    <row r="239" spans="1:13" s="4" customFormat="1" ht="18">
      <c r="A239" s="9"/>
      <c r="B239" s="18" t="e">
        <f>VLOOKUP(Table27[[#This Row],[Location 
(drop-down)]],'List source'!D$2:E$71,2,FALSE)</f>
        <v>#N/A</v>
      </c>
      <c r="C239" s="154" t="s">
        <v>1578</v>
      </c>
      <c r="D239" s="20" t="e">
        <f t="shared" si="3"/>
        <v>#N/A</v>
      </c>
      <c r="E239" s="9"/>
      <c r="F239" s="10" t="e" cm="1">
        <f t="array" aca="1" ref="F2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39" s="10"/>
      <c r="I239" s="16"/>
      <c r="J239" s="12"/>
      <c r="K239" s="61"/>
      <c r="L239" s="233"/>
      <c r="M239" s="10">
        <f ca="1">IF(ISBLANK(K239), TODAY()-(I239), Table27[[#This Row],[Effectiveness Review &amp; date deemed effective]]-Table27[[#This Row],[PTO initialized date]])</f>
        <v>46067</v>
      </c>
    </row>
    <row r="240" spans="1:13" s="4" customFormat="1" ht="18">
      <c r="A240" s="9"/>
      <c r="B240" s="18" t="e">
        <f>VLOOKUP(Table27[[#This Row],[Location 
(drop-down)]],'List source'!D$2:E$71,2,FALSE)</f>
        <v>#N/A</v>
      </c>
      <c r="C240" s="154" t="s">
        <v>1579</v>
      </c>
      <c r="D240" s="20" t="e">
        <f t="shared" si="3"/>
        <v>#N/A</v>
      </c>
      <c r="E240" s="9"/>
      <c r="F240" s="10" t="e" cm="1">
        <f t="array" aca="1" ref="F2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0" s="195"/>
      <c r="I240" s="16"/>
      <c r="J240" s="12"/>
      <c r="K240" s="61"/>
      <c r="L240" s="233"/>
      <c r="M240" s="10">
        <f ca="1">IF(ISBLANK(K240), TODAY()-(I240), Table27[[#This Row],[Effectiveness Review &amp; date deemed effective]]-Table27[[#This Row],[PTO initialized date]])</f>
        <v>46067</v>
      </c>
    </row>
    <row r="241" spans="1:13" s="4" customFormat="1" ht="18">
      <c r="A241" s="9"/>
      <c r="B241" s="18" t="e">
        <f>VLOOKUP(Table27[[#This Row],[Location 
(drop-down)]],'List source'!D$2:E$71,2,FALSE)</f>
        <v>#N/A</v>
      </c>
      <c r="C241" s="154" t="s">
        <v>1580</v>
      </c>
      <c r="D241" s="20" t="e">
        <f t="shared" si="3"/>
        <v>#N/A</v>
      </c>
      <c r="E241" s="9"/>
      <c r="F241" s="10" t="e" cm="1">
        <f t="array" aca="1" ref="F2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1" s="10"/>
      <c r="I241" s="16"/>
      <c r="J241" s="12"/>
      <c r="K241" s="61"/>
      <c r="L241" s="339"/>
      <c r="M241" s="10">
        <f ca="1">IF(ISBLANK(K241), TODAY()-(I241), Table27[[#This Row],[Effectiveness Review &amp; date deemed effective]]-Table27[[#This Row],[PTO initialized date]])</f>
        <v>46067</v>
      </c>
    </row>
    <row r="242" spans="1:13" s="4" customFormat="1" ht="18">
      <c r="A242" s="9"/>
      <c r="B242" s="18" t="e">
        <f>VLOOKUP(Table27[[#This Row],[Location 
(drop-down)]],'List source'!D$2:E$71,2,FALSE)</f>
        <v>#N/A</v>
      </c>
      <c r="C242" s="154" t="s">
        <v>1581</v>
      </c>
      <c r="D242" s="194" t="e">
        <f t="shared" si="3"/>
        <v>#N/A</v>
      </c>
      <c r="E242" s="9"/>
      <c r="F242" s="10" t="e" cm="1">
        <f t="array" aca="1" ref="F2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2" s="10"/>
      <c r="I242" s="16"/>
      <c r="J242" s="12"/>
      <c r="K242" s="61"/>
      <c r="L242" s="295"/>
      <c r="M242" s="10">
        <f ca="1">IF(ISBLANK(K242), TODAY()-(I242), Table27[[#This Row],[Effectiveness Review &amp; date deemed effective]]-Table27[[#This Row],[PTO initialized date]])</f>
        <v>46067</v>
      </c>
    </row>
    <row r="243" spans="1:13" s="4" customFormat="1" ht="18">
      <c r="A243" s="9"/>
      <c r="B243" s="18" t="e">
        <f>VLOOKUP(Table27[[#This Row],[Location 
(drop-down)]],'List source'!D$2:E$71,2,FALSE)</f>
        <v>#N/A</v>
      </c>
      <c r="C243" s="154" t="s">
        <v>1582</v>
      </c>
      <c r="D243" s="20" t="e">
        <f t="shared" si="3"/>
        <v>#N/A</v>
      </c>
      <c r="E243" s="9"/>
      <c r="F243" s="10" t="e" cm="1">
        <f t="array" aca="1" ref="F2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3" s="10"/>
      <c r="I243" s="16"/>
      <c r="J243" s="12"/>
      <c r="K243" s="61"/>
      <c r="L243" s="339"/>
      <c r="M243" s="10">
        <f ca="1">IF(ISBLANK(K243), TODAY()-(I243), Table27[[#This Row],[Effectiveness Review &amp; date deemed effective]]-Table27[[#This Row],[PTO initialized date]])</f>
        <v>46067</v>
      </c>
    </row>
    <row r="244" spans="1:13" s="4" customFormat="1" ht="18">
      <c r="A244" s="9"/>
      <c r="B244" s="18" t="e">
        <f>VLOOKUP(Table27[[#This Row],[Location 
(drop-down)]],'List source'!D$2:E$71,2,FALSE)</f>
        <v>#N/A</v>
      </c>
      <c r="C244" s="154" t="s">
        <v>1583</v>
      </c>
      <c r="D244" s="20" t="e">
        <f t="shared" si="3"/>
        <v>#N/A</v>
      </c>
      <c r="E244" s="9"/>
      <c r="F244" s="10" t="e" cm="1">
        <f t="array" aca="1" ref="F2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4" s="130"/>
      <c r="I244" s="16"/>
      <c r="J244" s="12"/>
      <c r="K244" s="143"/>
      <c r="L244" s="297"/>
      <c r="M244" s="10">
        <f ca="1">IF(ISBLANK(K244), TODAY()-(I244), Table27[[#This Row],[Effectiveness Review &amp; date deemed effective]]-Table27[[#This Row],[PTO initialized date]])</f>
        <v>46067</v>
      </c>
    </row>
    <row r="245" spans="1:13" s="4" customFormat="1" ht="18">
      <c r="A245" s="9"/>
      <c r="B245" s="18" t="e">
        <f>VLOOKUP(Table27[[#This Row],[Location 
(drop-down)]],'List source'!D$2:E$71,2,FALSE)</f>
        <v>#N/A</v>
      </c>
      <c r="C245" s="154" t="s">
        <v>1584</v>
      </c>
      <c r="D245" s="20" t="e">
        <f t="shared" si="3"/>
        <v>#N/A</v>
      </c>
      <c r="E245" s="9"/>
      <c r="F245" s="10" t="e" cm="1">
        <f t="array" aca="1" ref="F2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5" s="130"/>
      <c r="I245" s="16"/>
      <c r="J245" s="14"/>
      <c r="K245" s="143"/>
      <c r="L245" s="337"/>
      <c r="M245" s="10">
        <f ca="1">IF(ISBLANK(K245), TODAY()-(I245), Table27[[#This Row],[Effectiveness Review &amp; date deemed effective]]-Table27[[#This Row],[PTO initialized date]])</f>
        <v>46067</v>
      </c>
    </row>
    <row r="246" spans="1:13" s="4" customFormat="1" ht="18">
      <c r="A246" s="9"/>
      <c r="B246" s="18" t="e">
        <f>VLOOKUP(Table27[[#This Row],[Location 
(drop-down)]],'List source'!D$2:E$71,2,FALSE)</f>
        <v>#N/A</v>
      </c>
      <c r="C246" s="154" t="s">
        <v>1585</v>
      </c>
      <c r="D246" s="20" t="e">
        <f t="shared" si="3"/>
        <v>#N/A</v>
      </c>
      <c r="E246" s="9"/>
      <c r="F246" s="10" t="e" cm="1">
        <f t="array" aca="1" ref="F2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6" s="10"/>
      <c r="I246" s="16"/>
      <c r="J246" s="12"/>
      <c r="K246" s="61"/>
      <c r="L246" s="233"/>
      <c r="M246" s="10">
        <f ca="1">IF(ISBLANK(K246), TODAY()-(I246), Table27[[#This Row],[Effectiveness Review &amp; date deemed effective]]-Table27[[#This Row],[PTO initialized date]])</f>
        <v>46067</v>
      </c>
    </row>
    <row r="247" spans="1:13" s="4" customFormat="1" ht="18">
      <c r="A247" s="9"/>
      <c r="B247" s="18" t="e">
        <f>VLOOKUP(Table27[[#This Row],[Location 
(drop-down)]],'List source'!D$2:E$71,2,FALSE)</f>
        <v>#N/A</v>
      </c>
      <c r="C247" s="154" t="s">
        <v>1586</v>
      </c>
      <c r="D247" s="20" t="e">
        <f t="shared" si="3"/>
        <v>#N/A</v>
      </c>
      <c r="E247" s="304"/>
      <c r="F247" s="10" t="e" cm="1">
        <f t="array" aca="1" ref="F2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7" s="130"/>
      <c r="I247" s="16"/>
      <c r="J247" s="12"/>
      <c r="K247" s="61"/>
      <c r="L247" s="233"/>
      <c r="M247" s="10">
        <f ca="1">IF(ISBLANK(K247), TODAY()-(I247), Table27[[#This Row],[Effectiveness Review &amp; date deemed effective]]-Table27[[#This Row],[PTO initialized date]])</f>
        <v>46067</v>
      </c>
    </row>
    <row r="248" spans="1:13" s="4" customFormat="1" ht="18">
      <c r="A248" s="9"/>
      <c r="B248" s="18" t="e">
        <f>VLOOKUP(Table27[[#This Row],[Location 
(drop-down)]],'List source'!D$2:E$71,2,FALSE)</f>
        <v>#N/A</v>
      </c>
      <c r="C248" s="154" t="s">
        <v>1587</v>
      </c>
      <c r="D248" s="20" t="e">
        <f t="shared" si="3"/>
        <v>#N/A</v>
      </c>
      <c r="E248" s="9"/>
      <c r="F248" s="10" t="e" cm="1">
        <f t="array" aca="1" ref="F2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8" s="10"/>
      <c r="I248" s="12"/>
      <c r="J248" s="12"/>
      <c r="K248" s="61"/>
      <c r="L248" s="233"/>
      <c r="M248" s="10">
        <f ca="1">IF(ISBLANK(K248), TODAY()-(I248), Table27[[#This Row],[Effectiveness Review &amp; date deemed effective]]-Table27[[#This Row],[PTO initialized date]])</f>
        <v>46067</v>
      </c>
    </row>
    <row r="249" spans="1:13" s="4" customFormat="1" ht="18">
      <c r="A249" s="9"/>
      <c r="B249" s="18" t="e">
        <f>VLOOKUP(Table27[[#This Row],[Location 
(drop-down)]],'List source'!D$2:E$71,2,FALSE)</f>
        <v>#N/A</v>
      </c>
      <c r="C249" s="154" t="s">
        <v>1588</v>
      </c>
      <c r="D249" s="20" t="e">
        <f t="shared" si="3"/>
        <v>#N/A</v>
      </c>
      <c r="E249" s="9"/>
      <c r="F249" s="10" t="e" cm="1">
        <f t="array" aca="1" ref="F2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49" s="10"/>
      <c r="I249" s="12"/>
      <c r="J249" s="12"/>
      <c r="K249" s="61"/>
      <c r="L249" s="233"/>
      <c r="M249" s="10">
        <f ca="1">IF(ISBLANK(K249), TODAY()-(I249), Table27[[#This Row],[Effectiveness Review &amp; date deemed effective]]-Table27[[#This Row],[PTO initialized date]])</f>
        <v>46067</v>
      </c>
    </row>
    <row r="250" spans="1:13" s="4" customFormat="1" ht="18">
      <c r="A250" s="9"/>
      <c r="B250" s="18" t="e">
        <f>VLOOKUP(Table27[[#This Row],[Location 
(drop-down)]],'List source'!D$2:E$71,2,FALSE)</f>
        <v>#N/A</v>
      </c>
      <c r="C250" s="154" t="s">
        <v>1589</v>
      </c>
      <c r="D250" s="20" t="e">
        <f t="shared" si="3"/>
        <v>#N/A</v>
      </c>
      <c r="E250" s="9"/>
      <c r="F250" s="10" t="e" cm="1">
        <f t="array" aca="1" ref="F2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0" s="130"/>
      <c r="I250" s="12"/>
      <c r="J250" s="12"/>
      <c r="K250" s="61"/>
      <c r="L250" s="233"/>
      <c r="M250" s="10">
        <f ca="1">IF(ISBLANK(K250), TODAY()-(I250), Table27[[#This Row],[Effectiveness Review &amp; date deemed effective]]-Table27[[#This Row],[PTO initialized date]])</f>
        <v>46067</v>
      </c>
    </row>
    <row r="251" spans="1:13" s="4" customFormat="1" ht="18">
      <c r="A251" s="9"/>
      <c r="B251" s="18" t="e">
        <f>VLOOKUP(Table27[[#This Row],[Location 
(drop-down)]],'List source'!D$2:E$71,2,FALSE)</f>
        <v>#N/A</v>
      </c>
      <c r="C251" s="154" t="s">
        <v>1590</v>
      </c>
      <c r="D251" s="20" t="e">
        <f t="shared" si="3"/>
        <v>#N/A</v>
      </c>
      <c r="E251" s="9"/>
      <c r="F251" s="10" t="e" cm="1">
        <f t="array" aca="1" ref="F2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1" s="130"/>
      <c r="I251" s="12"/>
      <c r="J251" s="12"/>
      <c r="K251" s="61"/>
      <c r="L251" s="233"/>
      <c r="M251" s="10">
        <f ca="1">IF(ISBLANK(K251), TODAY()-(I251), Table27[[#This Row],[Effectiveness Review &amp; date deemed effective]]-Table27[[#This Row],[PTO initialized date]])</f>
        <v>46067</v>
      </c>
    </row>
    <row r="252" spans="1:13" s="4" customFormat="1" ht="18">
      <c r="A252" s="9"/>
      <c r="B252" s="18" t="e">
        <f>VLOOKUP(Table27[[#This Row],[Location 
(drop-down)]],'List source'!D$2:E$71,2,FALSE)</f>
        <v>#N/A</v>
      </c>
      <c r="C252" s="154" t="s">
        <v>1591</v>
      </c>
      <c r="D252" s="20" t="e">
        <f t="shared" si="3"/>
        <v>#N/A</v>
      </c>
      <c r="E252" s="9"/>
      <c r="F252" s="10" t="e" cm="1">
        <f t="array" aca="1" ref="F2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2" s="10"/>
      <c r="I252" s="12"/>
      <c r="J252" s="12"/>
      <c r="K252" s="61"/>
      <c r="L252" s="233"/>
      <c r="M252" s="10">
        <f ca="1">IF(ISBLANK(K252), TODAY()-(I252), Table27[[#This Row],[Effectiveness Review &amp; date deemed effective]]-Table27[[#This Row],[PTO initialized date]])</f>
        <v>46067</v>
      </c>
    </row>
    <row r="253" spans="1:13" s="4" customFormat="1" ht="18">
      <c r="A253" s="9"/>
      <c r="B253" s="18" t="e">
        <f>VLOOKUP(Table27[[#This Row],[Location 
(drop-down)]],'List source'!D$2:E$71,2,FALSE)</f>
        <v>#N/A</v>
      </c>
      <c r="C253" s="154" t="s">
        <v>1592</v>
      </c>
      <c r="D253" s="20" t="e">
        <f t="shared" si="3"/>
        <v>#N/A</v>
      </c>
      <c r="E253" s="9"/>
      <c r="F253" s="10" t="e" cm="1">
        <f t="array" aca="1" ref="F2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3" s="10"/>
      <c r="I253" s="12"/>
      <c r="J253" s="12"/>
      <c r="K253" s="61"/>
      <c r="L253" s="337"/>
      <c r="M253" s="10">
        <f ca="1">IF(ISBLANK(K253), TODAY()-(I253), Table27[[#This Row],[Effectiveness Review &amp; date deemed effective]]-Table27[[#This Row],[PTO initialized date]])</f>
        <v>46067</v>
      </c>
    </row>
    <row r="254" spans="1:13" s="4" customFormat="1" ht="18">
      <c r="A254" s="9"/>
      <c r="B254" s="18" t="e">
        <f>VLOOKUP(Table27[[#This Row],[Location 
(drop-down)]],'List source'!D$2:E$71,2,FALSE)</f>
        <v>#N/A</v>
      </c>
      <c r="C254" s="154" t="s">
        <v>1593</v>
      </c>
      <c r="D254" s="20" t="e">
        <f t="shared" si="3"/>
        <v>#N/A</v>
      </c>
      <c r="E254" s="147"/>
      <c r="F254" s="10" t="e" cm="1">
        <f t="array" aca="1" ref="F2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4" s="196"/>
      <c r="I254" s="12"/>
      <c r="J254" s="12"/>
      <c r="K254" s="61"/>
      <c r="L254" s="233"/>
      <c r="M254" s="10">
        <f ca="1">IF(ISBLANK(K254), TODAY()-(I254), Table27[[#This Row],[Effectiveness Review &amp; date deemed effective]]-Table27[[#This Row],[PTO initialized date]])</f>
        <v>46067</v>
      </c>
    </row>
    <row r="255" spans="1:13" s="4" customFormat="1" ht="18">
      <c r="A255" s="9"/>
      <c r="B255" s="18" t="e">
        <f>VLOOKUP(Table27[[#This Row],[Location 
(drop-down)]],'List source'!D$2:E$71,2,FALSE)</f>
        <v>#N/A</v>
      </c>
      <c r="C255" s="154" t="s">
        <v>1594</v>
      </c>
      <c r="D255" s="20" t="e">
        <f t="shared" si="3"/>
        <v>#N/A</v>
      </c>
      <c r="E255" s="147"/>
      <c r="F255" s="10" t="e" cm="1">
        <f t="array" aca="1" ref="F2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5" s="197"/>
      <c r="I255" s="12"/>
      <c r="J255" s="12"/>
      <c r="K255" s="61"/>
      <c r="L255" s="233"/>
      <c r="M255" s="10">
        <f ca="1">IF(ISBLANK(K255), TODAY()-(I255), Table27[[#This Row],[Effectiveness Review &amp; date deemed effective]]-Table27[[#This Row],[PTO initialized date]])</f>
        <v>46067</v>
      </c>
    </row>
    <row r="256" spans="1:13" s="4" customFormat="1" ht="18">
      <c r="A256" s="9"/>
      <c r="B256" s="18" t="e">
        <f>VLOOKUP(Table27[[#This Row],[Location 
(drop-down)]],'List source'!D$2:E$71,2,FALSE)</f>
        <v>#N/A</v>
      </c>
      <c r="C256" s="154" t="s">
        <v>1595</v>
      </c>
      <c r="D256" s="20" t="e">
        <f t="shared" si="3"/>
        <v>#N/A</v>
      </c>
      <c r="E256" s="148"/>
      <c r="F256" s="10" t="e" cm="1">
        <f t="array" aca="1" ref="F2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6" s="291"/>
      <c r="I256" s="12"/>
      <c r="J256" s="12"/>
      <c r="K256" s="61"/>
      <c r="L256" s="233"/>
      <c r="M256" s="10">
        <f ca="1">IF(ISBLANK(K256), TODAY()-(I256), Table27[[#This Row],[Effectiveness Review &amp; date deemed effective]]-Table27[[#This Row],[PTO initialized date]])</f>
        <v>46067</v>
      </c>
    </row>
    <row r="257" spans="1:13" s="4" customFormat="1" ht="18">
      <c r="A257" s="9"/>
      <c r="B257" s="18" t="e">
        <f>VLOOKUP(Table27[[#This Row],[Location 
(drop-down)]],'List source'!D$2:E$71,2,FALSE)</f>
        <v>#N/A</v>
      </c>
      <c r="C257" s="154" t="s">
        <v>1596</v>
      </c>
      <c r="D257" s="20" t="e">
        <f t="shared" si="3"/>
        <v>#N/A</v>
      </c>
      <c r="E257" s="9"/>
      <c r="F257" s="10" t="e" cm="1">
        <f t="array" aca="1" ref="F2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7" s="130"/>
      <c r="I257" s="12"/>
      <c r="J257" s="12"/>
      <c r="K257" s="61"/>
      <c r="L257" s="233"/>
      <c r="M257" s="10">
        <f ca="1">IF(ISBLANK(K257), TODAY()-(I257), Table27[[#This Row],[Effectiveness Review &amp; date deemed effective]]-Table27[[#This Row],[PTO initialized date]])</f>
        <v>46067</v>
      </c>
    </row>
    <row r="258" spans="1:13" s="4" customFormat="1" ht="18">
      <c r="A258" s="9"/>
      <c r="B258" s="18" t="e">
        <f>VLOOKUP(Table27[[#This Row],[Location 
(drop-down)]],'List source'!D$2:E$71,2,FALSE)</f>
        <v>#N/A</v>
      </c>
      <c r="C258" s="154" t="s">
        <v>1597</v>
      </c>
      <c r="D258" s="20" t="e">
        <f t="shared" ref="D258:D321" si="4">"PTO" &amp; C258 &amp; "-" &amp; B258 &amp; "-" &amp; "26"</f>
        <v>#N/A</v>
      </c>
      <c r="E258" s="9"/>
      <c r="F258" s="10" t="e" cm="1">
        <f t="array" aca="1" ref="F2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8" s="130"/>
      <c r="I258" s="12"/>
      <c r="J258" s="12"/>
      <c r="K258" s="61"/>
      <c r="L258" s="233"/>
      <c r="M258" s="10">
        <f ca="1">IF(ISBLANK(K258), TODAY()-(I258), Table27[[#This Row],[Effectiveness Review &amp; date deemed effective]]-Table27[[#This Row],[PTO initialized date]])</f>
        <v>46067</v>
      </c>
    </row>
    <row r="259" spans="1:13" s="4" customFormat="1" ht="18">
      <c r="A259" s="9"/>
      <c r="B259" s="18" t="e">
        <f>VLOOKUP(Table27[[#This Row],[Location 
(drop-down)]],'List source'!D$2:E$71,2,FALSE)</f>
        <v>#N/A</v>
      </c>
      <c r="C259" s="154" t="s">
        <v>1598</v>
      </c>
      <c r="D259" s="20" t="e">
        <f t="shared" si="4"/>
        <v>#N/A</v>
      </c>
      <c r="E259" s="304"/>
      <c r="F259" s="10" t="e" cm="1">
        <f t="array" aca="1" ref="F2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59" s="316"/>
      <c r="I259" s="142"/>
      <c r="J259" s="12"/>
      <c r="K259" s="61"/>
      <c r="L259" s="337"/>
      <c r="M259" s="10">
        <f ca="1">IF(ISBLANK(K259), TODAY()-(I259), Table27[[#This Row],[Effectiveness Review &amp; date deemed effective]]-Table27[[#This Row],[PTO initialized date]])</f>
        <v>46067</v>
      </c>
    </row>
    <row r="260" spans="1:13" s="4" customFormat="1" ht="18">
      <c r="A260" s="9"/>
      <c r="B260" s="18" t="e">
        <f>VLOOKUP(Table27[[#This Row],[Location 
(drop-down)]],'List source'!D$2:E$71,2,FALSE)</f>
        <v>#N/A</v>
      </c>
      <c r="C260" s="154" t="s">
        <v>1599</v>
      </c>
      <c r="D260" s="20" t="e">
        <f t="shared" si="4"/>
        <v>#N/A</v>
      </c>
      <c r="E260" s="9"/>
      <c r="F260" s="10" t="e" cm="1">
        <f t="array" aca="1" ref="F2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0" s="130"/>
      <c r="I260" s="12"/>
      <c r="J260" s="12"/>
      <c r="K260" s="61"/>
      <c r="L260" s="233"/>
      <c r="M260" s="10">
        <f ca="1">IF(ISBLANK(K260), TODAY()-(I260), Table27[[#This Row],[Effectiveness Review &amp; date deemed effective]]-Table27[[#This Row],[PTO initialized date]])</f>
        <v>46067</v>
      </c>
    </row>
    <row r="261" spans="1:13" s="4" customFormat="1" ht="18">
      <c r="A261" s="9"/>
      <c r="B261" s="18" t="e">
        <f>VLOOKUP(Table27[[#This Row],[Location 
(drop-down)]],'List source'!D$2:E$71,2,FALSE)</f>
        <v>#N/A</v>
      </c>
      <c r="C261" s="154" t="s">
        <v>1600</v>
      </c>
      <c r="D261" s="20" t="e">
        <f t="shared" si="4"/>
        <v>#N/A</v>
      </c>
      <c r="E261" s="311"/>
      <c r="F261" s="10" t="e" cm="1">
        <f t="array" aca="1" ref="F2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1" s="327"/>
      <c r="I261" s="12"/>
      <c r="J261" s="12"/>
      <c r="K261" s="61"/>
      <c r="L261" s="233"/>
      <c r="M261" s="10">
        <f ca="1">IF(ISBLANK(K261), TODAY()-(I261), Table27[[#This Row],[Effectiveness Review &amp; date deemed effective]]-Table27[[#This Row],[PTO initialized date]])</f>
        <v>46067</v>
      </c>
    </row>
    <row r="262" spans="1:13" s="4" customFormat="1" ht="18">
      <c r="A262" s="9"/>
      <c r="B262" s="18" t="e">
        <f>VLOOKUP(Table27[[#This Row],[Location 
(drop-down)]],'List source'!D$2:E$71,2,FALSE)</f>
        <v>#N/A</v>
      </c>
      <c r="C262" s="154" t="s">
        <v>1601</v>
      </c>
      <c r="D262" s="20" t="e">
        <f t="shared" si="4"/>
        <v>#N/A</v>
      </c>
      <c r="E262" s="76"/>
      <c r="F262" s="10" t="e" cm="1">
        <f t="array" aca="1" ref="F2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2" s="158"/>
      <c r="I262" s="12"/>
      <c r="J262" s="12"/>
      <c r="K262" s="61"/>
      <c r="L262" s="233"/>
      <c r="M262" s="10">
        <f ca="1">IF(ISBLANK(K262), TODAY()-(I262), Table27[[#This Row],[Effectiveness Review &amp; date deemed effective]]-Table27[[#This Row],[PTO initialized date]])</f>
        <v>46067</v>
      </c>
    </row>
    <row r="263" spans="1:13" s="4" customFormat="1" ht="18">
      <c r="A263" s="9"/>
      <c r="B263" s="18" t="e">
        <f>VLOOKUP(Table27[[#This Row],[Location 
(drop-down)]],'List source'!D$2:E$71,2,FALSE)</f>
        <v>#N/A</v>
      </c>
      <c r="C263" s="154" t="s">
        <v>1602</v>
      </c>
      <c r="D263" s="20" t="e">
        <f t="shared" si="4"/>
        <v>#N/A</v>
      </c>
      <c r="E263" s="76"/>
      <c r="F263" s="10" t="e" cm="1">
        <f t="array" aca="1" ref="F2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3" s="158"/>
      <c r="I263" s="12"/>
      <c r="J263" s="12"/>
      <c r="K263" s="61"/>
      <c r="L263" s="233"/>
      <c r="M263" s="10">
        <f ca="1">IF(ISBLANK(K263), TODAY()-(I263), Table27[[#This Row],[Effectiveness Review &amp; date deemed effective]]-Table27[[#This Row],[PTO initialized date]])</f>
        <v>46067</v>
      </c>
    </row>
    <row r="264" spans="1:13" s="4" customFormat="1" ht="18">
      <c r="A264" s="9"/>
      <c r="B264" s="18" t="e">
        <f>VLOOKUP(Table27[[#This Row],[Location 
(drop-down)]],'List source'!D$2:E$71,2,FALSE)</f>
        <v>#N/A</v>
      </c>
      <c r="C264" s="154" t="s">
        <v>1603</v>
      </c>
      <c r="D264" s="20" t="e">
        <f t="shared" si="4"/>
        <v>#N/A</v>
      </c>
      <c r="E264" s="76"/>
      <c r="F264" s="10" t="e" cm="1">
        <f t="array" aca="1" ref="F2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4" s="136"/>
      <c r="I264" s="12"/>
      <c r="J264" s="12"/>
      <c r="K264" s="61"/>
      <c r="L264" s="233"/>
      <c r="M264" s="10">
        <f ca="1">IF(ISBLANK(K264), TODAY()-(I264), Table27[[#This Row],[Effectiveness Review &amp; date deemed effective]]-Table27[[#This Row],[PTO initialized date]])</f>
        <v>46067</v>
      </c>
    </row>
    <row r="265" spans="1:13" s="4" customFormat="1" ht="18">
      <c r="A265" s="9"/>
      <c r="B265" s="18" t="e">
        <f>VLOOKUP(Table27[[#This Row],[Location 
(drop-down)]],'List source'!D$2:E$71,2,FALSE)</f>
        <v>#N/A</v>
      </c>
      <c r="C265" s="154" t="s">
        <v>1604</v>
      </c>
      <c r="D265" s="20" t="e">
        <f t="shared" si="4"/>
        <v>#N/A</v>
      </c>
      <c r="E265" s="76"/>
      <c r="F265" s="10" t="e" cm="1">
        <f t="array" aca="1" ref="F2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5" s="158"/>
      <c r="I265" s="12"/>
      <c r="J265" s="12"/>
      <c r="K265" s="61"/>
      <c r="L265" s="233"/>
      <c r="M265" s="10">
        <f ca="1">IF(ISBLANK(K265), TODAY()-(I265), Table27[[#This Row],[Effectiveness Review &amp; date deemed effective]]-Table27[[#This Row],[PTO initialized date]])</f>
        <v>46067</v>
      </c>
    </row>
    <row r="266" spans="1:13" s="4" customFormat="1" ht="18">
      <c r="A266" s="9"/>
      <c r="B266" s="18" t="e">
        <f>VLOOKUP(Table27[[#This Row],[Location 
(drop-down)]],'List source'!D$2:E$71,2,FALSE)</f>
        <v>#N/A</v>
      </c>
      <c r="C266" s="154" t="s">
        <v>1605</v>
      </c>
      <c r="D266" s="20" t="e">
        <f t="shared" si="4"/>
        <v>#N/A</v>
      </c>
      <c r="E266" s="76"/>
      <c r="F266" s="10" t="e" cm="1">
        <f t="array" aca="1" ref="F2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6" s="158"/>
      <c r="I266" s="12"/>
      <c r="J266" s="12"/>
      <c r="K266" s="61"/>
      <c r="L266" s="233"/>
      <c r="M266" s="10">
        <f ca="1">IF(ISBLANK(K266), TODAY()-(I266), Table27[[#This Row],[Effectiveness Review &amp; date deemed effective]]-Table27[[#This Row],[PTO initialized date]])</f>
        <v>46067</v>
      </c>
    </row>
    <row r="267" spans="1:13" s="4" customFormat="1" ht="18">
      <c r="A267" s="9"/>
      <c r="B267" s="18" t="e">
        <f>VLOOKUP(Table27[[#This Row],[Location 
(drop-down)]],'List source'!D$2:E$71,2,FALSE)</f>
        <v>#N/A</v>
      </c>
      <c r="C267" s="154" t="s">
        <v>1606</v>
      </c>
      <c r="D267" s="20" t="e">
        <f t="shared" si="4"/>
        <v>#N/A</v>
      </c>
      <c r="E267" s="76"/>
      <c r="F267" s="10" t="e" cm="1">
        <f t="array" aca="1" ref="F2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7" s="136"/>
      <c r="I267" s="12"/>
      <c r="J267" s="12"/>
      <c r="K267" s="61"/>
      <c r="L267" s="337"/>
      <c r="M267" s="10">
        <f ca="1">IF(ISBLANK(K267), TODAY()-(I267), Table27[[#This Row],[Effectiveness Review &amp; date deemed effective]]-Table27[[#This Row],[PTO initialized date]])</f>
        <v>46067</v>
      </c>
    </row>
    <row r="268" spans="1:13" s="4" customFormat="1" ht="18">
      <c r="A268" s="9"/>
      <c r="B268" s="18" t="e">
        <f>VLOOKUP(Table27[[#This Row],[Location 
(drop-down)]],'List source'!D$2:E$71,2,FALSE)</f>
        <v>#N/A</v>
      </c>
      <c r="C268" s="154" t="s">
        <v>1607</v>
      </c>
      <c r="D268" s="20" t="e">
        <f t="shared" si="4"/>
        <v>#N/A</v>
      </c>
      <c r="E268" s="76"/>
      <c r="F268" s="10" t="e" cm="1">
        <f t="array" aca="1" ref="F2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8" s="158"/>
      <c r="I268" s="12"/>
      <c r="J268" s="12"/>
      <c r="K268" s="61"/>
      <c r="L268" s="233"/>
      <c r="M268" s="10">
        <f ca="1">IF(ISBLANK(K268), TODAY()-(I268), Table27[[#This Row],[Effectiveness Review &amp; date deemed effective]]-Table27[[#This Row],[PTO initialized date]])</f>
        <v>46067</v>
      </c>
    </row>
    <row r="269" spans="1:13" s="4" customFormat="1" ht="18">
      <c r="A269" s="9"/>
      <c r="B269" s="18" t="e">
        <f>VLOOKUP(Table27[[#This Row],[Location 
(drop-down)]],'List source'!D$2:E$71,2,FALSE)</f>
        <v>#N/A</v>
      </c>
      <c r="C269" s="154" t="s">
        <v>1608</v>
      </c>
      <c r="D269" s="20" t="e">
        <f t="shared" si="4"/>
        <v>#N/A</v>
      </c>
      <c r="E269" s="76"/>
      <c r="F269" s="10" t="e" cm="1">
        <f t="array" aca="1" ref="F2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69" s="136"/>
      <c r="I269" s="12"/>
      <c r="J269" s="12"/>
      <c r="K269" s="61"/>
      <c r="L269" s="233"/>
      <c r="M269" s="10">
        <f ca="1">IF(ISBLANK(K269), TODAY()-(I269), Table27[[#This Row],[Effectiveness Review &amp; date deemed effective]]-Table27[[#This Row],[PTO initialized date]])</f>
        <v>46067</v>
      </c>
    </row>
    <row r="270" spans="1:13" s="4" customFormat="1" ht="18">
      <c r="A270" s="9"/>
      <c r="B270" s="18" t="e">
        <f>VLOOKUP(Table27[[#This Row],[Location 
(drop-down)]],'List source'!D$2:E$71,2,FALSE)</f>
        <v>#N/A</v>
      </c>
      <c r="C270" s="154" t="s">
        <v>1609</v>
      </c>
      <c r="D270" s="20" t="e">
        <f t="shared" si="4"/>
        <v>#N/A</v>
      </c>
      <c r="E270" s="76"/>
      <c r="F270" s="10" t="e" cm="1">
        <f t="array" aca="1" ref="F2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0" s="136"/>
      <c r="I270" s="12"/>
      <c r="J270" s="12"/>
      <c r="K270" s="61"/>
      <c r="L270" s="233"/>
      <c r="M270" s="10">
        <f ca="1">IF(ISBLANK(K270), TODAY()-(I270), Table27[[#This Row],[Effectiveness Review &amp; date deemed effective]]-Table27[[#This Row],[PTO initialized date]])</f>
        <v>46067</v>
      </c>
    </row>
    <row r="271" spans="1:13" s="4" customFormat="1" ht="18">
      <c r="A271" s="9"/>
      <c r="B271" s="18" t="e">
        <f>VLOOKUP(Table27[[#This Row],[Location 
(drop-down)]],'List source'!D$2:E$71,2,FALSE)</f>
        <v>#N/A</v>
      </c>
      <c r="C271" s="154" t="s">
        <v>1610</v>
      </c>
      <c r="D271" s="20" t="e">
        <f t="shared" si="4"/>
        <v>#N/A</v>
      </c>
      <c r="E271" s="76"/>
      <c r="F271" s="10" t="e" cm="1">
        <f t="array" aca="1" ref="F2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1" s="136"/>
      <c r="I271" s="12"/>
      <c r="J271" s="12"/>
      <c r="K271" s="61"/>
      <c r="L271" s="337"/>
      <c r="M271" s="10">
        <f ca="1">IF(ISBLANK(K271), TODAY()-(I271), Table27[[#This Row],[Effectiveness Review &amp; date deemed effective]]-Table27[[#This Row],[PTO initialized date]])</f>
        <v>46067</v>
      </c>
    </row>
    <row r="272" spans="1:13" s="4" customFormat="1" ht="18">
      <c r="A272" s="9"/>
      <c r="B272" s="18" t="e">
        <f>VLOOKUP(Table27[[#This Row],[Location 
(drop-down)]],'List source'!D$2:E$71,2,FALSE)</f>
        <v>#N/A</v>
      </c>
      <c r="C272" s="154" t="s">
        <v>1611</v>
      </c>
      <c r="D272" s="20" t="e">
        <f t="shared" si="4"/>
        <v>#N/A</v>
      </c>
      <c r="E272" s="76"/>
      <c r="F272" s="10" t="e" cm="1">
        <f t="array" aca="1" ref="F2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2" s="136"/>
      <c r="I272" s="12"/>
      <c r="J272" s="12"/>
      <c r="K272" s="61"/>
      <c r="L272" s="233"/>
      <c r="M272" s="10">
        <f ca="1">IF(ISBLANK(K272), TODAY()-(I272), Table27[[#This Row],[Effectiveness Review &amp; date deemed effective]]-Table27[[#This Row],[PTO initialized date]])</f>
        <v>46067</v>
      </c>
    </row>
    <row r="273" spans="1:13" s="4" customFormat="1" ht="18">
      <c r="A273" s="9"/>
      <c r="B273" s="18" t="e">
        <f>VLOOKUP(Table27[[#This Row],[Location 
(drop-down)]],'List source'!D$2:E$71,2,FALSE)</f>
        <v>#N/A</v>
      </c>
      <c r="C273" s="154" t="s">
        <v>1612</v>
      </c>
      <c r="D273" s="20" t="e">
        <f t="shared" si="4"/>
        <v>#N/A</v>
      </c>
      <c r="E273" s="76"/>
      <c r="F273" s="10" t="e" cm="1">
        <f t="array" aca="1" ref="F2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3" s="136"/>
      <c r="I273" s="12"/>
      <c r="J273" s="12"/>
      <c r="K273" s="61"/>
      <c r="L273" s="233"/>
      <c r="M273" s="10">
        <f ca="1">IF(ISBLANK(K273), TODAY()-(I273), Table27[[#This Row],[Effectiveness Review &amp; date deemed effective]]-Table27[[#This Row],[PTO initialized date]])</f>
        <v>46067</v>
      </c>
    </row>
    <row r="274" spans="1:13" s="4" customFormat="1" ht="18">
      <c r="A274" s="9"/>
      <c r="B274" s="18" t="e">
        <f>VLOOKUP(Table27[[#This Row],[Location 
(drop-down)]],'List source'!D$2:E$71,2,FALSE)</f>
        <v>#N/A</v>
      </c>
      <c r="C274" s="154" t="s">
        <v>1613</v>
      </c>
      <c r="D274" s="20" t="e">
        <f t="shared" si="4"/>
        <v>#N/A</v>
      </c>
      <c r="E274" s="67"/>
      <c r="F274" s="10" t="e" cm="1">
        <f t="array" aca="1" ref="F2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4" s="136"/>
      <c r="I274" s="12"/>
      <c r="J274" s="12"/>
      <c r="K274" s="61"/>
      <c r="L274" s="233"/>
      <c r="M274" s="10">
        <f ca="1">IF(ISBLANK(K274), TODAY()-(I274), Table27[[#This Row],[Effectiveness Review &amp; date deemed effective]]-Table27[[#This Row],[PTO initialized date]])</f>
        <v>46067</v>
      </c>
    </row>
    <row r="275" spans="1:13" s="4" customFormat="1" ht="18">
      <c r="A275" s="9"/>
      <c r="B275" s="18" t="e">
        <f>VLOOKUP(Table27[[#This Row],[Location 
(drop-down)]],'List source'!D$2:E$71,2,FALSE)</f>
        <v>#N/A</v>
      </c>
      <c r="C275" s="154" t="s">
        <v>1614</v>
      </c>
      <c r="D275" s="20" t="e">
        <f t="shared" si="4"/>
        <v>#N/A</v>
      </c>
      <c r="E275" s="67"/>
      <c r="F275" s="10" t="e" cm="1">
        <f t="array" aca="1" ref="F2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5" s="136"/>
      <c r="I275" s="12"/>
      <c r="J275" s="12"/>
      <c r="K275" s="61"/>
      <c r="L275" s="233"/>
      <c r="M275" s="10">
        <f ca="1">IF(ISBLANK(K275), TODAY()-(I275), Table27[[#This Row],[Effectiveness Review &amp; date deemed effective]]-Table27[[#This Row],[PTO initialized date]])</f>
        <v>46067</v>
      </c>
    </row>
    <row r="276" spans="1:13" s="4" customFormat="1" ht="18">
      <c r="A276" s="9"/>
      <c r="B276" s="18" t="e">
        <f>VLOOKUP(Table27[[#This Row],[Location 
(drop-down)]],'List source'!D$2:E$71,2,FALSE)</f>
        <v>#N/A</v>
      </c>
      <c r="C276" s="154" t="s">
        <v>1615</v>
      </c>
      <c r="D276" s="20" t="e">
        <f t="shared" si="4"/>
        <v>#N/A</v>
      </c>
      <c r="E276" s="9"/>
      <c r="F276" s="10" t="e" cm="1">
        <f t="array" aca="1" ref="F2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6" s="130"/>
      <c r="I276" s="12"/>
      <c r="J276" s="12"/>
      <c r="K276" s="61"/>
      <c r="L276" s="233"/>
      <c r="M276" s="10">
        <f ca="1">IF(ISBLANK(K276), TODAY()-(I276), Table27[[#This Row],[Effectiveness Review &amp; date deemed effective]]-Table27[[#This Row],[PTO initialized date]])</f>
        <v>46067</v>
      </c>
    </row>
    <row r="277" spans="1:13" s="4" customFormat="1" ht="18">
      <c r="A277" s="9"/>
      <c r="B277" s="18" t="e">
        <f>VLOOKUP(Table27[[#This Row],[Location 
(drop-down)]],'List source'!D$2:E$71,2,FALSE)</f>
        <v>#N/A</v>
      </c>
      <c r="C277" s="154" t="s">
        <v>1616</v>
      </c>
      <c r="D277" s="20" t="e">
        <f t="shared" si="4"/>
        <v>#N/A</v>
      </c>
      <c r="E277" s="305"/>
      <c r="F277" s="10" t="e" cm="1">
        <f t="array" aca="1" ref="F2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7" s="130"/>
      <c r="I277" s="12"/>
      <c r="J277" s="12"/>
      <c r="K277" s="61"/>
      <c r="L277" s="233"/>
      <c r="M277" s="10">
        <f ca="1">IF(ISBLANK(K277), TODAY()-(I277), Table27[[#This Row],[Effectiveness Review &amp; date deemed effective]]-Table27[[#This Row],[PTO initialized date]])</f>
        <v>46067</v>
      </c>
    </row>
    <row r="278" spans="1:13" s="4" customFormat="1" ht="18">
      <c r="A278" s="9"/>
      <c r="B278" s="18" t="e">
        <f>VLOOKUP(Table27[[#This Row],[Location 
(drop-down)]],'List source'!D$2:E$71,2,FALSE)</f>
        <v>#N/A</v>
      </c>
      <c r="C278" s="154" t="s">
        <v>1617</v>
      </c>
      <c r="D278" s="20" t="e">
        <f t="shared" si="4"/>
        <v>#N/A</v>
      </c>
      <c r="E278" s="9"/>
      <c r="F278" s="10" t="e" cm="1">
        <f t="array" aca="1" ref="F2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8" s="10"/>
      <c r="I278" s="12"/>
      <c r="J278" s="12"/>
      <c r="K278" s="61"/>
      <c r="L278" s="337"/>
      <c r="M278" s="10">
        <f ca="1">IF(ISBLANK(K278), TODAY()-(I278), Table27[[#This Row],[Effectiveness Review &amp; date deemed effective]]-Table27[[#This Row],[PTO initialized date]])</f>
        <v>46067</v>
      </c>
    </row>
    <row r="279" spans="1:13" s="4" customFormat="1" ht="18">
      <c r="A279" s="9"/>
      <c r="B279" s="18" t="e">
        <f>VLOOKUP(Table27[[#This Row],[Location 
(drop-down)]],'List source'!D$2:E$71,2,FALSE)</f>
        <v>#N/A</v>
      </c>
      <c r="C279" s="154" t="s">
        <v>1618</v>
      </c>
      <c r="D279" s="20" t="e">
        <f t="shared" si="4"/>
        <v>#N/A</v>
      </c>
      <c r="E279" s="9"/>
      <c r="F279" s="10" t="e" cm="1">
        <f t="array" aca="1" ref="F2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79" s="10"/>
      <c r="I279" s="12"/>
      <c r="J279" s="12"/>
      <c r="K279" s="61"/>
      <c r="L279" s="337"/>
      <c r="M279" s="10">
        <f ca="1">IF(ISBLANK(K279), TODAY()-(I279), Table27[[#This Row],[Effectiveness Review &amp; date deemed effective]]-Table27[[#This Row],[PTO initialized date]])</f>
        <v>46067</v>
      </c>
    </row>
    <row r="280" spans="1:13" s="4" customFormat="1" ht="18">
      <c r="A280" s="9"/>
      <c r="B280" s="18" t="e">
        <f>VLOOKUP(Table27[[#This Row],[Location 
(drop-down)]],'List source'!D$2:E$71,2,FALSE)</f>
        <v>#N/A</v>
      </c>
      <c r="C280" s="154" t="s">
        <v>1619</v>
      </c>
      <c r="D280" s="20" t="e">
        <f t="shared" si="4"/>
        <v>#N/A</v>
      </c>
      <c r="E280" s="9"/>
      <c r="F280" s="10" t="e" cm="1">
        <f t="array" aca="1" ref="F2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0" s="10"/>
      <c r="I280" s="12"/>
      <c r="J280" s="12"/>
      <c r="K280" s="61"/>
      <c r="L280" s="233"/>
      <c r="M280" s="10">
        <f ca="1">IF(ISBLANK(K280), TODAY()-(I280), Table27[[#This Row],[Effectiveness Review &amp; date deemed effective]]-Table27[[#This Row],[PTO initialized date]])</f>
        <v>46067</v>
      </c>
    </row>
    <row r="281" spans="1:13" s="4" customFormat="1" ht="18">
      <c r="A281" s="9"/>
      <c r="B281" s="18" t="e">
        <f>VLOOKUP(Table27[[#This Row],[Location 
(drop-down)]],'List source'!D$2:E$71,2,FALSE)</f>
        <v>#N/A</v>
      </c>
      <c r="C281" s="154" t="s">
        <v>1620</v>
      </c>
      <c r="D281" s="20" t="e">
        <f t="shared" si="4"/>
        <v>#N/A</v>
      </c>
      <c r="E281" s="9"/>
      <c r="F281" s="10" t="e" cm="1">
        <f t="array" aca="1" ref="F2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1" s="130"/>
      <c r="I281" s="12"/>
      <c r="J281" s="12"/>
      <c r="K281" s="61"/>
      <c r="L281" s="337"/>
      <c r="M281" s="10">
        <f ca="1">IF(ISBLANK(K281), TODAY()-(I281), Table27[[#This Row],[Effectiveness Review &amp; date deemed effective]]-Table27[[#This Row],[PTO initialized date]])</f>
        <v>46067</v>
      </c>
    </row>
    <row r="282" spans="1:13" s="4" customFormat="1" ht="18">
      <c r="A282" s="9"/>
      <c r="B282" s="18" t="e">
        <f>VLOOKUP(Table27[[#This Row],[Location 
(drop-down)]],'List source'!D$2:E$71,2,FALSE)</f>
        <v>#N/A</v>
      </c>
      <c r="C282" s="154" t="s">
        <v>1621</v>
      </c>
      <c r="D282" s="20" t="e">
        <f t="shared" si="4"/>
        <v>#N/A</v>
      </c>
      <c r="E282" s="9"/>
      <c r="F282" s="10" t="e" cm="1">
        <f t="array" aca="1" ref="F2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2" s="130"/>
      <c r="I282" s="12"/>
      <c r="J282" s="12"/>
      <c r="K282" s="61"/>
      <c r="L282" s="233"/>
      <c r="M282" s="10">
        <f ca="1">IF(ISBLANK(K282), TODAY()-(I282), Table27[[#This Row],[Effectiveness Review &amp; date deemed effective]]-Table27[[#This Row],[PTO initialized date]])</f>
        <v>46067</v>
      </c>
    </row>
    <row r="283" spans="1:13" s="4" customFormat="1" ht="18">
      <c r="A283" s="9"/>
      <c r="B283" s="18" t="e">
        <f>VLOOKUP(Table27[[#This Row],[Location 
(drop-down)]],'List source'!D$2:E$71,2,FALSE)</f>
        <v>#N/A</v>
      </c>
      <c r="C283" s="154" t="s">
        <v>1622</v>
      </c>
      <c r="D283" s="20" t="e">
        <f t="shared" si="4"/>
        <v>#N/A</v>
      </c>
      <c r="E283" s="9"/>
      <c r="F283" s="10" t="e" cm="1">
        <f t="array" aca="1" ref="F2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3" s="130"/>
      <c r="I283" s="12"/>
      <c r="J283" s="12"/>
      <c r="K283" s="61"/>
      <c r="L283" s="233"/>
      <c r="M283" s="10">
        <f ca="1">IF(ISBLANK(K283), TODAY()-(I283), Table27[[#This Row],[Effectiveness Review &amp; date deemed effective]]-Table27[[#This Row],[PTO initialized date]])</f>
        <v>46067</v>
      </c>
    </row>
    <row r="284" spans="1:13" s="4" customFormat="1" ht="18">
      <c r="A284" s="9"/>
      <c r="B284" s="18" t="e">
        <f>VLOOKUP(Table27[[#This Row],[Location 
(drop-down)]],'List source'!D$2:E$71,2,FALSE)</f>
        <v>#N/A</v>
      </c>
      <c r="C284" s="154" t="s">
        <v>1623</v>
      </c>
      <c r="D284" s="20" t="e">
        <f t="shared" si="4"/>
        <v>#N/A</v>
      </c>
      <c r="E284" s="9"/>
      <c r="F284" s="10" t="e" cm="1">
        <f t="array" aca="1" ref="F2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4" s="130"/>
      <c r="I284" s="12"/>
      <c r="J284" s="12"/>
      <c r="K284" s="61"/>
      <c r="L284" s="337"/>
      <c r="M284" s="10">
        <f ca="1">IF(ISBLANK(K284), TODAY()-(I284), Table27[[#This Row],[Effectiveness Review &amp; date deemed effective]]-Table27[[#This Row],[PTO initialized date]])</f>
        <v>46067</v>
      </c>
    </row>
    <row r="285" spans="1:13" s="4" customFormat="1" ht="18">
      <c r="A285" s="9"/>
      <c r="B285" s="18" t="e">
        <f>VLOOKUP(Table27[[#This Row],[Location 
(drop-down)]],'List source'!D$2:E$71,2,FALSE)</f>
        <v>#N/A</v>
      </c>
      <c r="C285" s="154" t="s">
        <v>1624</v>
      </c>
      <c r="D285" s="20" t="e">
        <f t="shared" si="4"/>
        <v>#N/A</v>
      </c>
      <c r="E285" s="9"/>
      <c r="F285" s="10" t="e" cm="1">
        <f t="array" aca="1" ref="F2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5" s="10"/>
      <c r="I285" s="12"/>
      <c r="J285" s="12"/>
      <c r="K285" s="61"/>
      <c r="L285" s="233"/>
      <c r="M285" s="10">
        <f ca="1">IF(ISBLANK(K285), TODAY()-(I285), Table27[[#This Row],[Effectiveness Review &amp; date deemed effective]]-Table27[[#This Row],[PTO initialized date]])</f>
        <v>46067</v>
      </c>
    </row>
    <row r="286" spans="1:13" s="4" customFormat="1" ht="18">
      <c r="A286" s="9"/>
      <c r="B286" s="18" t="e">
        <f>VLOOKUP(Table27[[#This Row],[Location 
(drop-down)]],'List source'!D$2:E$71,2,FALSE)</f>
        <v>#N/A</v>
      </c>
      <c r="C286" s="154" t="s">
        <v>1625</v>
      </c>
      <c r="D286" s="20" t="e">
        <f t="shared" si="4"/>
        <v>#N/A</v>
      </c>
      <c r="E286" s="9"/>
      <c r="F286" s="10" t="e" cm="1">
        <f t="array" aca="1" ref="F2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6" s="10"/>
      <c r="I286" s="12"/>
      <c r="J286" s="12"/>
      <c r="K286" s="61"/>
      <c r="L286" s="233"/>
      <c r="M286" s="10">
        <f ca="1">IF(ISBLANK(K286), TODAY()-(I286), Table27[[#This Row],[Effectiveness Review &amp; date deemed effective]]-Table27[[#This Row],[PTO initialized date]])</f>
        <v>46067</v>
      </c>
    </row>
    <row r="287" spans="1:13" s="4" customFormat="1" ht="18">
      <c r="A287" s="9"/>
      <c r="B287" s="18" t="e">
        <f>VLOOKUP(Table27[[#This Row],[Location 
(drop-down)]],'List source'!D$2:E$71,2,FALSE)</f>
        <v>#N/A</v>
      </c>
      <c r="C287" s="154" t="s">
        <v>1626</v>
      </c>
      <c r="D287" s="20" t="e">
        <f t="shared" si="4"/>
        <v>#N/A</v>
      </c>
      <c r="E287" s="9"/>
      <c r="F287" s="10" t="e" cm="1">
        <f t="array" aca="1" ref="F2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7" s="10"/>
      <c r="I287" s="12"/>
      <c r="J287" s="12"/>
      <c r="K287" s="61"/>
      <c r="L287" s="233"/>
      <c r="M287" s="10">
        <f ca="1">IF(ISBLANK(K287), TODAY()-(I287), Table27[[#This Row],[Effectiveness Review &amp; date deemed effective]]-Table27[[#This Row],[PTO initialized date]])</f>
        <v>46067</v>
      </c>
    </row>
    <row r="288" spans="1:13" s="4" customFormat="1" ht="18">
      <c r="A288" s="9"/>
      <c r="B288" s="18" t="e">
        <f>VLOOKUP(Table27[[#This Row],[Location 
(drop-down)]],'List source'!D$2:E$71,2,FALSE)</f>
        <v>#N/A</v>
      </c>
      <c r="C288" s="154" t="s">
        <v>1627</v>
      </c>
      <c r="D288" s="20" t="e">
        <f t="shared" si="4"/>
        <v>#N/A</v>
      </c>
      <c r="E288" s="9"/>
      <c r="F288" s="10" t="e" cm="1">
        <f t="array" aca="1" ref="F2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8" s="130"/>
      <c r="I288" s="12"/>
      <c r="J288" s="12"/>
      <c r="K288" s="61"/>
      <c r="L288" s="233"/>
      <c r="M288" s="10">
        <f ca="1">IF(ISBLANK(K288), TODAY()-(I288), Table27[[#This Row],[Effectiveness Review &amp; date deemed effective]]-Table27[[#This Row],[PTO initialized date]])</f>
        <v>46067</v>
      </c>
    </row>
    <row r="289" spans="1:13" s="4" customFormat="1" ht="18">
      <c r="A289" s="9"/>
      <c r="B289" s="18" t="e">
        <f>VLOOKUP(Table27[[#This Row],[Location 
(drop-down)]],'List source'!D$2:E$71,2,FALSE)</f>
        <v>#N/A</v>
      </c>
      <c r="C289" s="154" t="s">
        <v>1628</v>
      </c>
      <c r="D289" s="20" t="e">
        <f t="shared" si="4"/>
        <v>#N/A</v>
      </c>
      <c r="E289" s="9"/>
      <c r="F289" s="10" t="e" cm="1">
        <f t="array" aca="1" ref="F2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89" s="10"/>
      <c r="I289" s="12"/>
      <c r="J289" s="12"/>
      <c r="K289" s="61"/>
      <c r="L289" s="233"/>
      <c r="M289" s="10">
        <f ca="1">IF(ISBLANK(K289), TODAY()-(I289), Table27[[#This Row],[Effectiveness Review &amp; date deemed effective]]-Table27[[#This Row],[PTO initialized date]])</f>
        <v>46067</v>
      </c>
    </row>
    <row r="290" spans="1:13" s="4" customFormat="1" ht="18">
      <c r="A290" s="9"/>
      <c r="B290" s="18" t="e">
        <f>VLOOKUP(Table27[[#This Row],[Location 
(drop-down)]],'List source'!D$2:E$71,2,FALSE)</f>
        <v>#N/A</v>
      </c>
      <c r="C290" s="154" t="s">
        <v>1629</v>
      </c>
      <c r="D290" s="20" t="e">
        <f t="shared" si="4"/>
        <v>#N/A</v>
      </c>
      <c r="E290" s="9"/>
      <c r="F290" s="10" t="e" cm="1">
        <f t="array" aca="1" ref="F2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0" s="130"/>
      <c r="I290" s="12"/>
      <c r="J290" s="12"/>
      <c r="K290" s="61"/>
      <c r="L290" s="233"/>
      <c r="M290" s="10">
        <f ca="1">IF(ISBLANK(K290), TODAY()-(I290), Table27[[#This Row],[Effectiveness Review &amp; date deemed effective]]-Table27[[#This Row],[PTO initialized date]])</f>
        <v>46067</v>
      </c>
    </row>
    <row r="291" spans="1:13" ht="18">
      <c r="A291" s="9"/>
      <c r="B291" s="18" t="e">
        <f>VLOOKUP(Table27[[#This Row],[Location 
(drop-down)]],'List source'!D$2:E$71,2,FALSE)</f>
        <v>#N/A</v>
      </c>
      <c r="C291" s="154" t="s">
        <v>1630</v>
      </c>
      <c r="D291" s="20" t="e">
        <f t="shared" si="4"/>
        <v>#N/A</v>
      </c>
      <c r="E291" s="9"/>
      <c r="F291" s="10" t="e" cm="1">
        <f t="array" aca="1" ref="F2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1" s="10"/>
      <c r="I291" s="12"/>
      <c r="J291" s="12"/>
      <c r="K291" s="61"/>
      <c r="L291" s="233"/>
      <c r="M291" s="10">
        <f ca="1">IF(ISBLANK(K291), TODAY()-(I291), Table27[[#This Row],[Effectiveness Review &amp; date deemed effective]]-Table27[[#This Row],[PTO initialized date]])</f>
        <v>46067</v>
      </c>
    </row>
    <row r="292" spans="1:13" ht="18">
      <c r="A292" s="9"/>
      <c r="B292" s="18" t="e">
        <f>VLOOKUP(Table27[[#This Row],[Location 
(drop-down)]],'List source'!D$2:E$71,2,FALSE)</f>
        <v>#N/A</v>
      </c>
      <c r="C292" s="154" t="s">
        <v>1631</v>
      </c>
      <c r="D292" s="20" t="e">
        <f t="shared" si="4"/>
        <v>#N/A</v>
      </c>
      <c r="E292" s="9"/>
      <c r="F292" s="10" t="e" cm="1">
        <f t="array" aca="1" ref="F2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2" s="130"/>
      <c r="I292" s="12"/>
      <c r="J292" s="12"/>
      <c r="K292" s="61"/>
      <c r="L292" s="233"/>
      <c r="M292" s="10">
        <f ca="1">IF(ISBLANK(K292), TODAY()-(I292), Table27[[#This Row],[Effectiveness Review &amp; date deemed effective]]-Table27[[#This Row],[PTO initialized date]])</f>
        <v>46067</v>
      </c>
    </row>
    <row r="293" spans="1:13" ht="18">
      <c r="A293" s="9"/>
      <c r="B293" s="18" t="e">
        <f>VLOOKUP(Table27[[#This Row],[Location 
(drop-down)]],'List source'!D$2:E$71,2,FALSE)</f>
        <v>#N/A</v>
      </c>
      <c r="C293" s="154" t="s">
        <v>1632</v>
      </c>
      <c r="D293" s="20" t="e">
        <f t="shared" si="4"/>
        <v>#N/A</v>
      </c>
      <c r="E293" s="9"/>
      <c r="F293" s="10" t="e" cm="1">
        <f t="array" aca="1" ref="F2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3" s="10"/>
      <c r="I293" s="12"/>
      <c r="J293" s="12"/>
      <c r="K293" s="61"/>
      <c r="L293" s="233"/>
      <c r="M293" s="10">
        <f ca="1">IF(ISBLANK(K293), TODAY()-(I293), Table27[[#This Row],[Effectiveness Review &amp; date deemed effective]]-Table27[[#This Row],[PTO initialized date]])</f>
        <v>46067</v>
      </c>
    </row>
    <row r="294" spans="1:13" ht="18">
      <c r="A294" s="9"/>
      <c r="B294" s="18" t="e">
        <f>VLOOKUP(Table27[[#This Row],[Location 
(drop-down)]],'List source'!D$2:E$71,2,FALSE)</f>
        <v>#N/A</v>
      </c>
      <c r="C294" s="154" t="s">
        <v>1633</v>
      </c>
      <c r="D294" s="20" t="e">
        <f t="shared" si="4"/>
        <v>#N/A</v>
      </c>
      <c r="E294" s="9"/>
      <c r="F294" s="10" t="e" cm="1">
        <f t="array" aca="1" ref="F2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4" s="130"/>
      <c r="I294" s="12"/>
      <c r="J294" s="12"/>
      <c r="K294" s="61"/>
      <c r="L294" s="233"/>
      <c r="M294" s="10">
        <f ca="1">IF(ISBLANK(K294), TODAY()-(I294), Table27[[#This Row],[Effectiveness Review &amp; date deemed effective]]-Table27[[#This Row],[PTO initialized date]])</f>
        <v>46067</v>
      </c>
    </row>
    <row r="295" spans="1:13" ht="18">
      <c r="A295" s="9"/>
      <c r="B295" s="18" t="e">
        <f>VLOOKUP(Table27[[#This Row],[Location 
(drop-down)]],'List source'!D$2:E$71,2,FALSE)</f>
        <v>#N/A</v>
      </c>
      <c r="C295" s="154" t="s">
        <v>1634</v>
      </c>
      <c r="D295" s="20" t="e">
        <f t="shared" si="4"/>
        <v>#N/A</v>
      </c>
      <c r="E295" s="9"/>
      <c r="F295" s="10" t="e" cm="1">
        <f t="array" aca="1" ref="F2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5" s="130"/>
      <c r="I295" s="12"/>
      <c r="J295" s="12"/>
      <c r="K295" s="61"/>
      <c r="L295" s="233"/>
      <c r="M295" s="10">
        <f ca="1">IF(ISBLANK(K295), TODAY()-(I295), Table27[[#This Row],[Effectiveness Review &amp; date deemed effective]]-Table27[[#This Row],[PTO initialized date]])</f>
        <v>46067</v>
      </c>
    </row>
    <row r="296" spans="1:13" ht="18">
      <c r="A296" s="9"/>
      <c r="B296" s="18" t="e">
        <f>VLOOKUP(Table27[[#This Row],[Location 
(drop-down)]],'List source'!D$2:E$71,2,FALSE)</f>
        <v>#N/A</v>
      </c>
      <c r="C296" s="154" t="s">
        <v>1635</v>
      </c>
      <c r="D296" s="20" t="e">
        <f t="shared" si="4"/>
        <v>#N/A</v>
      </c>
      <c r="E296" s="9"/>
      <c r="F296" s="10" t="e" cm="1">
        <f t="array" aca="1" ref="F2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6" s="130"/>
      <c r="I296" s="12"/>
      <c r="J296" s="12"/>
      <c r="K296" s="61"/>
      <c r="L296" s="233"/>
      <c r="M296" s="10">
        <f ca="1">IF(ISBLANK(K296), TODAY()-(I296), Table27[[#This Row],[Effectiveness Review &amp; date deemed effective]]-Table27[[#This Row],[PTO initialized date]])</f>
        <v>46067</v>
      </c>
    </row>
    <row r="297" spans="1:13" ht="18">
      <c r="A297" s="9"/>
      <c r="B297" s="18" t="e">
        <f>VLOOKUP(Table27[[#This Row],[Location 
(drop-down)]],'List source'!D$2:E$71,2,FALSE)</f>
        <v>#N/A</v>
      </c>
      <c r="C297" s="154" t="s">
        <v>1636</v>
      </c>
      <c r="D297" s="20" t="e">
        <f t="shared" si="4"/>
        <v>#N/A</v>
      </c>
      <c r="E297" s="9"/>
      <c r="F297" s="10" t="e" cm="1">
        <f t="array" aca="1" ref="F2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7" s="130"/>
      <c r="I297" s="12"/>
      <c r="J297" s="12"/>
      <c r="K297" s="61"/>
      <c r="L297" s="233"/>
      <c r="M297" s="10">
        <f ca="1">IF(ISBLANK(K297), TODAY()-(I297), Table27[[#This Row],[Effectiveness Review &amp; date deemed effective]]-Table27[[#This Row],[PTO initialized date]])</f>
        <v>46067</v>
      </c>
    </row>
    <row r="298" spans="1:13" ht="18">
      <c r="A298" s="9"/>
      <c r="B298" s="18" t="e">
        <f>VLOOKUP(Table27[[#This Row],[Location 
(drop-down)]],'List source'!D$2:E$71,2,FALSE)</f>
        <v>#N/A</v>
      </c>
      <c r="C298" s="154" t="s">
        <v>1637</v>
      </c>
      <c r="D298" s="20" t="e">
        <f t="shared" si="4"/>
        <v>#N/A</v>
      </c>
      <c r="E298" s="9"/>
      <c r="F298" s="10" t="e" cm="1">
        <f t="array" aca="1" ref="F2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8" s="130"/>
      <c r="I298" s="12"/>
      <c r="J298" s="12"/>
      <c r="K298" s="61"/>
      <c r="L298" s="233"/>
      <c r="M298" s="10">
        <f ca="1">IF(ISBLANK(K298), TODAY()-(I298), Table27[[#This Row],[Effectiveness Review &amp; date deemed effective]]-Table27[[#This Row],[PTO initialized date]])</f>
        <v>46067</v>
      </c>
    </row>
    <row r="299" spans="1:13" ht="18">
      <c r="A299" s="9"/>
      <c r="B299" s="18" t="e">
        <f>VLOOKUP(Table27[[#This Row],[Location 
(drop-down)]],'List source'!D$2:E$71,2,FALSE)</f>
        <v>#N/A</v>
      </c>
      <c r="C299" s="154" t="s">
        <v>1638</v>
      </c>
      <c r="D299" s="20" t="e">
        <f t="shared" si="4"/>
        <v>#N/A</v>
      </c>
      <c r="E299" s="9"/>
      <c r="F299" s="10" t="e" cm="1">
        <f t="array" aca="1" ref="F2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2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299" s="10"/>
      <c r="I299" s="12"/>
      <c r="J299" s="12"/>
      <c r="K299" s="61"/>
      <c r="L299" s="233"/>
      <c r="M299" s="10">
        <f ca="1">IF(ISBLANK(K299), TODAY()-(I299), Table27[[#This Row],[Effectiveness Review &amp; date deemed effective]]-Table27[[#This Row],[PTO initialized date]])</f>
        <v>46067</v>
      </c>
    </row>
    <row r="300" spans="1:13" ht="18">
      <c r="A300" s="9"/>
      <c r="B300" s="18" t="e">
        <f>VLOOKUP(Table27[[#This Row],[Location 
(drop-down)]],'List source'!D$2:E$71,2,FALSE)</f>
        <v>#N/A</v>
      </c>
      <c r="C300" s="154" t="s">
        <v>1639</v>
      </c>
      <c r="D300" s="20" t="e">
        <f t="shared" si="4"/>
        <v>#N/A</v>
      </c>
      <c r="E300" s="9"/>
      <c r="F300" s="10" t="e" cm="1">
        <f t="array" aca="1" ref="F3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0" s="10"/>
      <c r="I300" s="12"/>
      <c r="J300" s="12"/>
      <c r="K300" s="61"/>
      <c r="L300" s="233"/>
      <c r="M300" s="10">
        <f ca="1">IF(ISBLANK(K300), TODAY()-(I300), Table27[[#This Row],[Effectiveness Review &amp; date deemed effective]]-Table27[[#This Row],[PTO initialized date]])</f>
        <v>46067</v>
      </c>
    </row>
    <row r="301" spans="1:13" ht="18">
      <c r="A301" s="9"/>
      <c r="B301" s="18" t="e">
        <f>VLOOKUP(Table27[[#This Row],[Location 
(drop-down)]],'List source'!D$2:E$71,2,FALSE)</f>
        <v>#N/A</v>
      </c>
      <c r="C301" s="154" t="s">
        <v>1640</v>
      </c>
      <c r="D301" s="20" t="e">
        <f t="shared" si="4"/>
        <v>#N/A</v>
      </c>
      <c r="E301" s="9"/>
      <c r="F301" s="10" t="e" cm="1">
        <f t="array" aca="1" ref="F3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1" s="130"/>
      <c r="I301" s="12"/>
      <c r="J301" s="12"/>
      <c r="K301" s="61"/>
      <c r="L301" s="233"/>
      <c r="M301" s="10">
        <f ca="1">IF(ISBLANK(K301), TODAY()-(I301), Table27[[#This Row],[Effectiveness Review &amp; date deemed effective]]-Table27[[#This Row],[PTO initialized date]])</f>
        <v>46067</v>
      </c>
    </row>
    <row r="302" spans="1:13" ht="18">
      <c r="A302" s="9"/>
      <c r="B302" s="18" t="e">
        <f>VLOOKUP(Table27[[#This Row],[Location 
(drop-down)]],'List source'!D$2:E$71,2,FALSE)</f>
        <v>#N/A</v>
      </c>
      <c r="C302" s="154" t="s">
        <v>1641</v>
      </c>
      <c r="D302" s="20" t="e">
        <f t="shared" si="4"/>
        <v>#N/A</v>
      </c>
      <c r="E302" s="9"/>
      <c r="F302" s="10" t="e" cm="1">
        <f t="array" aca="1" ref="F3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2" s="10"/>
      <c r="I302" s="12"/>
      <c r="J302" s="12"/>
      <c r="K302" s="61"/>
      <c r="L302" s="233"/>
      <c r="M302" s="10">
        <f ca="1">IF(ISBLANK(K302), TODAY()-(I302), Table27[[#This Row],[Effectiveness Review &amp; date deemed effective]]-Table27[[#This Row],[PTO initialized date]])</f>
        <v>46067</v>
      </c>
    </row>
    <row r="303" spans="1:13" ht="18">
      <c r="A303" s="9"/>
      <c r="B303" s="18" t="e">
        <f>VLOOKUP(Table27[[#This Row],[Location 
(drop-down)]],'List source'!D$2:E$71,2,FALSE)</f>
        <v>#N/A</v>
      </c>
      <c r="C303" s="154" t="s">
        <v>1642</v>
      </c>
      <c r="D303" s="20" t="e">
        <f t="shared" si="4"/>
        <v>#N/A</v>
      </c>
      <c r="E303" s="9"/>
      <c r="F303" s="10" t="e" cm="1">
        <f t="array" aca="1" ref="F3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3" s="10"/>
      <c r="I303" s="12"/>
      <c r="J303" s="12"/>
      <c r="K303" s="61"/>
      <c r="L303" s="233"/>
      <c r="M303" s="10">
        <f ca="1">IF(ISBLANK(K303), TODAY()-(I303), Table27[[#This Row],[Effectiveness Review &amp; date deemed effective]]-Table27[[#This Row],[PTO initialized date]])</f>
        <v>46067</v>
      </c>
    </row>
    <row r="304" spans="1:13" ht="18">
      <c r="A304" s="9"/>
      <c r="B304" s="18" t="e">
        <f>VLOOKUP(Table27[[#This Row],[Location 
(drop-down)]],'List source'!D$2:E$71,2,FALSE)</f>
        <v>#N/A</v>
      </c>
      <c r="C304" s="154" t="s">
        <v>1643</v>
      </c>
      <c r="D304" s="20" t="e">
        <f t="shared" si="4"/>
        <v>#N/A</v>
      </c>
      <c r="E304" s="9"/>
      <c r="F304" s="10" t="e" cm="1">
        <f t="array" aca="1" ref="F3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4" s="130"/>
      <c r="I304" s="12"/>
      <c r="J304" s="12"/>
      <c r="K304" s="61"/>
      <c r="L304" s="233"/>
      <c r="M304" s="10">
        <f ca="1">IF(ISBLANK(K304), TODAY()-(I304), Table27[[#This Row],[Effectiveness Review &amp; date deemed effective]]-Table27[[#This Row],[PTO initialized date]])</f>
        <v>46067</v>
      </c>
    </row>
    <row r="305" spans="1:13" ht="18">
      <c r="A305" s="9"/>
      <c r="B305" s="18" t="e">
        <f>VLOOKUP(Table27[[#This Row],[Location 
(drop-down)]],'List source'!D$2:E$71,2,FALSE)</f>
        <v>#N/A</v>
      </c>
      <c r="C305" s="154" t="s">
        <v>1644</v>
      </c>
      <c r="D305" s="20" t="e">
        <f t="shared" si="4"/>
        <v>#N/A</v>
      </c>
      <c r="E305" s="9"/>
      <c r="F305" s="10" t="e" cm="1">
        <f t="array" aca="1" ref="F3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5" s="10"/>
      <c r="I305" s="12"/>
      <c r="J305" s="12"/>
      <c r="K305" s="61"/>
      <c r="L305" s="233"/>
      <c r="M305" s="10">
        <f ca="1">IF(ISBLANK(K305), TODAY()-(I305), Table27[[#This Row],[Effectiveness Review &amp; date deemed effective]]-Table27[[#This Row],[PTO initialized date]])</f>
        <v>46067</v>
      </c>
    </row>
    <row r="306" spans="1:13" ht="18">
      <c r="A306" s="9"/>
      <c r="B306" s="18" t="e">
        <f>VLOOKUP(Table27[[#This Row],[Location 
(drop-down)]],'List source'!D$2:E$71,2,FALSE)</f>
        <v>#N/A</v>
      </c>
      <c r="C306" s="154" t="s">
        <v>1645</v>
      </c>
      <c r="D306" s="20" t="e">
        <f t="shared" si="4"/>
        <v>#N/A</v>
      </c>
      <c r="E306" s="9"/>
      <c r="F306" s="10" t="e" cm="1">
        <f t="array" aca="1" ref="F3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6" s="10"/>
      <c r="I306" s="12"/>
      <c r="J306" s="12"/>
      <c r="K306" s="61"/>
      <c r="L306" s="233"/>
      <c r="M306" s="10">
        <f ca="1">IF(ISBLANK(K306), TODAY()-(I306), Table27[[#This Row],[Effectiveness Review &amp; date deemed effective]]-Table27[[#This Row],[PTO initialized date]])</f>
        <v>46067</v>
      </c>
    </row>
    <row r="307" spans="1:13" ht="18">
      <c r="A307" s="9"/>
      <c r="B307" s="18" t="e">
        <f>VLOOKUP(Table27[[#This Row],[Location 
(drop-down)]],'List source'!D$2:E$71,2,FALSE)</f>
        <v>#N/A</v>
      </c>
      <c r="C307" s="154" t="s">
        <v>1646</v>
      </c>
      <c r="D307" s="20" t="e">
        <f t="shared" si="4"/>
        <v>#N/A</v>
      </c>
      <c r="E307" s="9"/>
      <c r="F307" s="10" t="e" cm="1">
        <f t="array" aca="1" ref="F3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7" s="10"/>
      <c r="I307" s="12"/>
      <c r="J307" s="12"/>
      <c r="K307" s="61"/>
      <c r="L307" s="233"/>
      <c r="M307" s="10">
        <f ca="1">IF(ISBLANK(K307), TODAY()-(I307), Table27[[#This Row],[Effectiveness Review &amp; date deemed effective]]-Table27[[#This Row],[PTO initialized date]])</f>
        <v>46067</v>
      </c>
    </row>
    <row r="308" spans="1:13" ht="18">
      <c r="A308" s="9"/>
      <c r="B308" s="18" t="e">
        <f>VLOOKUP(Table27[[#This Row],[Location 
(drop-down)]],'List source'!D$2:E$71,2,FALSE)</f>
        <v>#N/A</v>
      </c>
      <c r="C308" s="154" t="s">
        <v>1647</v>
      </c>
      <c r="D308" s="20" t="e">
        <f t="shared" si="4"/>
        <v>#N/A</v>
      </c>
      <c r="E308" s="9"/>
      <c r="F308" s="10" t="e" cm="1">
        <f t="array" aca="1" ref="F3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8" s="10"/>
      <c r="I308" s="12"/>
      <c r="J308" s="12"/>
      <c r="K308" s="61"/>
      <c r="L308" s="233"/>
      <c r="M308" s="10">
        <f ca="1">IF(ISBLANK(K308), TODAY()-(I308), Table27[[#This Row],[Effectiveness Review &amp; date deemed effective]]-Table27[[#This Row],[PTO initialized date]])</f>
        <v>46067</v>
      </c>
    </row>
    <row r="309" spans="1:13" ht="18">
      <c r="A309" s="9"/>
      <c r="B309" s="18" t="e">
        <f>VLOOKUP(Table27[[#This Row],[Location 
(drop-down)]],'List source'!D$2:E$71,2,FALSE)</f>
        <v>#N/A</v>
      </c>
      <c r="C309" s="154" t="s">
        <v>1648</v>
      </c>
      <c r="D309" s="20" t="e">
        <f t="shared" si="4"/>
        <v>#N/A</v>
      </c>
      <c r="E309" s="9"/>
      <c r="F309" s="10" t="e" cm="1">
        <f t="array" aca="1" ref="F3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09" s="10"/>
      <c r="I309" s="12"/>
      <c r="J309" s="12"/>
      <c r="K309" s="61"/>
      <c r="L309" s="233"/>
      <c r="M309" s="10">
        <f ca="1">IF(ISBLANK(K309), TODAY()-(I309), Table27[[#This Row],[Effectiveness Review &amp; date deemed effective]]-Table27[[#This Row],[PTO initialized date]])</f>
        <v>46067</v>
      </c>
    </row>
    <row r="310" spans="1:13" ht="18">
      <c r="A310" s="9"/>
      <c r="B310" s="18" t="e">
        <f>VLOOKUP(Table27[[#This Row],[Location 
(drop-down)]],'List source'!D$2:E$71,2,FALSE)</f>
        <v>#N/A</v>
      </c>
      <c r="C310" s="154" t="s">
        <v>1649</v>
      </c>
      <c r="D310" s="20" t="e">
        <f t="shared" si="4"/>
        <v>#N/A</v>
      </c>
      <c r="E310" s="9"/>
      <c r="F310" s="10" t="e" cm="1">
        <f t="array" aca="1" ref="F3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0" s="10"/>
      <c r="I310" s="12"/>
      <c r="J310" s="12"/>
      <c r="K310" s="61"/>
      <c r="L310" s="233"/>
      <c r="M310" s="10">
        <f ca="1">IF(ISBLANK(K310), TODAY()-(I310), Table27[[#This Row],[Effectiveness Review &amp; date deemed effective]]-Table27[[#This Row],[PTO initialized date]])</f>
        <v>46067</v>
      </c>
    </row>
    <row r="311" spans="1:13" ht="18">
      <c r="A311" s="9"/>
      <c r="B311" s="18" t="e">
        <f>VLOOKUP(Table27[[#This Row],[Location 
(drop-down)]],'List source'!D$2:E$71,2,FALSE)</f>
        <v>#N/A</v>
      </c>
      <c r="C311" s="154" t="s">
        <v>1650</v>
      </c>
      <c r="D311" s="20" t="e">
        <f t="shared" si="4"/>
        <v>#N/A</v>
      </c>
      <c r="E311" s="9"/>
      <c r="F311" s="10" t="e" cm="1">
        <f t="array" aca="1" ref="F3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1" s="10"/>
      <c r="I311" s="12"/>
      <c r="J311" s="12"/>
      <c r="K311" s="61"/>
      <c r="L311" s="233"/>
      <c r="M311" s="10">
        <f ca="1">IF(ISBLANK(K311), TODAY()-(I311), Table27[[#This Row],[Effectiveness Review &amp; date deemed effective]]-Table27[[#This Row],[PTO initialized date]])</f>
        <v>46067</v>
      </c>
    </row>
    <row r="312" spans="1:13" ht="18">
      <c r="A312" s="9"/>
      <c r="B312" s="18" t="e">
        <f>VLOOKUP(Table27[[#This Row],[Location 
(drop-down)]],'List source'!D$2:E$71,2,FALSE)</f>
        <v>#N/A</v>
      </c>
      <c r="C312" s="154" t="s">
        <v>1651</v>
      </c>
      <c r="D312" s="20" t="e">
        <f t="shared" si="4"/>
        <v>#N/A</v>
      </c>
      <c r="E312" s="9"/>
      <c r="F312" s="10" t="e" cm="1">
        <f t="array" aca="1" ref="F3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2" s="10"/>
      <c r="I312" s="12"/>
      <c r="J312" s="12"/>
      <c r="K312" s="61"/>
      <c r="L312" s="233"/>
      <c r="M312" s="10">
        <f ca="1">IF(ISBLANK(K312), TODAY()-(I312), Table27[[#This Row],[Effectiveness Review &amp; date deemed effective]]-Table27[[#This Row],[PTO initialized date]])</f>
        <v>46067</v>
      </c>
    </row>
    <row r="313" spans="1:13" ht="18">
      <c r="A313" s="9"/>
      <c r="B313" s="18" t="e">
        <f>VLOOKUP(Table27[[#This Row],[Location 
(drop-down)]],'List source'!D$2:E$71,2,FALSE)</f>
        <v>#N/A</v>
      </c>
      <c r="C313" s="154" t="s">
        <v>1652</v>
      </c>
      <c r="D313" s="20" t="e">
        <f t="shared" si="4"/>
        <v>#N/A</v>
      </c>
      <c r="E313" s="9"/>
      <c r="F313" s="10" t="e" cm="1">
        <f t="array" aca="1" ref="F3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3" s="10"/>
      <c r="I313" s="12"/>
      <c r="J313" s="12"/>
      <c r="K313" s="61"/>
      <c r="L313" s="233"/>
      <c r="M313" s="10">
        <f ca="1">IF(ISBLANK(K313), TODAY()-(I313), Table27[[#This Row],[Effectiveness Review &amp; date deemed effective]]-Table27[[#This Row],[PTO initialized date]])</f>
        <v>46067</v>
      </c>
    </row>
    <row r="314" spans="1:13" ht="18">
      <c r="A314" s="9"/>
      <c r="B314" s="18" t="e">
        <f>VLOOKUP(Table27[[#This Row],[Location 
(drop-down)]],'List source'!D$2:E$71,2,FALSE)</f>
        <v>#N/A</v>
      </c>
      <c r="C314" s="154" t="s">
        <v>1653</v>
      </c>
      <c r="D314" s="20" t="e">
        <f t="shared" si="4"/>
        <v>#N/A</v>
      </c>
      <c r="E314" s="9"/>
      <c r="F314" s="10" t="e" cm="1">
        <f t="array" aca="1" ref="F3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4" s="130"/>
      <c r="I314" s="12"/>
      <c r="J314" s="12"/>
      <c r="K314" s="61"/>
      <c r="L314" s="233"/>
      <c r="M314" s="10">
        <f ca="1">IF(ISBLANK(K314), TODAY()-(I314), Table27[[#This Row],[Effectiveness Review &amp; date deemed effective]]-Table27[[#This Row],[PTO initialized date]])</f>
        <v>46067</v>
      </c>
    </row>
    <row r="315" spans="1:13" ht="18">
      <c r="A315" s="9"/>
      <c r="B315" s="18" t="e">
        <f>VLOOKUP(Table27[[#This Row],[Location 
(drop-down)]],'List source'!D$2:E$71,2,FALSE)</f>
        <v>#N/A</v>
      </c>
      <c r="C315" s="154" t="s">
        <v>1654</v>
      </c>
      <c r="D315" s="20" t="e">
        <f t="shared" si="4"/>
        <v>#N/A</v>
      </c>
      <c r="E315" s="9"/>
      <c r="F315" s="10" t="e" cm="1">
        <f t="array" aca="1" ref="F3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5" s="130"/>
      <c r="I315" s="12"/>
      <c r="J315" s="12"/>
      <c r="K315" s="61"/>
      <c r="L315" s="233"/>
      <c r="M315" s="10">
        <f ca="1">IF(ISBLANK(K315), TODAY()-(I315), Table27[[#This Row],[Effectiveness Review &amp; date deemed effective]]-Table27[[#This Row],[PTO initialized date]])</f>
        <v>46067</v>
      </c>
    </row>
    <row r="316" spans="1:13" ht="18">
      <c r="A316" s="9"/>
      <c r="B316" s="18" t="e">
        <f>VLOOKUP(Table27[[#This Row],[Location 
(drop-down)]],'List source'!D$2:E$71,2,FALSE)</f>
        <v>#N/A</v>
      </c>
      <c r="C316" s="154" t="s">
        <v>1655</v>
      </c>
      <c r="D316" s="20" t="e">
        <f t="shared" si="4"/>
        <v>#N/A</v>
      </c>
      <c r="E316" s="9"/>
      <c r="F316" s="10" t="e" cm="1">
        <f t="array" aca="1" ref="F3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6" s="10"/>
      <c r="I316" s="12"/>
      <c r="J316" s="12"/>
      <c r="K316" s="61"/>
      <c r="L316" s="233"/>
      <c r="M316" s="10">
        <f ca="1">IF(ISBLANK(K316), TODAY()-(I316), Table27[[#This Row],[Effectiveness Review &amp; date deemed effective]]-Table27[[#This Row],[PTO initialized date]])</f>
        <v>46067</v>
      </c>
    </row>
    <row r="317" spans="1:13" ht="18">
      <c r="A317" s="9"/>
      <c r="B317" s="18" t="e">
        <f>VLOOKUP(Table27[[#This Row],[Location 
(drop-down)]],'List source'!D$2:E$71,2,FALSE)</f>
        <v>#N/A</v>
      </c>
      <c r="C317" s="154" t="s">
        <v>1656</v>
      </c>
      <c r="D317" s="20" t="e">
        <f t="shared" si="4"/>
        <v>#N/A</v>
      </c>
      <c r="E317" s="9"/>
      <c r="F317" s="10" t="e" cm="1">
        <f t="array" aca="1" ref="F3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7" s="10"/>
      <c r="I317" s="12"/>
      <c r="J317" s="12"/>
      <c r="K317" s="61"/>
      <c r="L317" s="233"/>
      <c r="M317" s="10">
        <f ca="1">IF(ISBLANK(K317), TODAY()-(I317), Table27[[#This Row],[Effectiveness Review &amp; date deemed effective]]-Table27[[#This Row],[PTO initialized date]])</f>
        <v>46067</v>
      </c>
    </row>
    <row r="318" spans="1:13" ht="18">
      <c r="A318" s="9"/>
      <c r="B318" s="18" t="e">
        <f>VLOOKUP(Table27[[#This Row],[Location 
(drop-down)]],'List source'!D$2:E$71,2,FALSE)</f>
        <v>#N/A</v>
      </c>
      <c r="C318" s="154" t="s">
        <v>1657</v>
      </c>
      <c r="D318" s="20" t="e">
        <f t="shared" si="4"/>
        <v>#N/A</v>
      </c>
      <c r="E318" s="9"/>
      <c r="F318" s="10" t="e" cm="1">
        <f t="array" aca="1" ref="F3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8" s="130"/>
      <c r="I318" s="12"/>
      <c r="J318" s="12"/>
      <c r="K318" s="61"/>
      <c r="L318" s="233"/>
      <c r="M318" s="10">
        <f ca="1">IF(ISBLANK(K318), TODAY()-(I318), Table27[[#This Row],[Effectiveness Review &amp; date deemed effective]]-Table27[[#This Row],[PTO initialized date]])</f>
        <v>46067</v>
      </c>
    </row>
    <row r="319" spans="1:13" ht="18">
      <c r="A319" s="9"/>
      <c r="B319" s="18" t="e">
        <f>VLOOKUP(Table27[[#This Row],[Location 
(drop-down)]],'List source'!D$2:E$71,2,FALSE)</f>
        <v>#N/A</v>
      </c>
      <c r="C319" s="154" t="s">
        <v>1658</v>
      </c>
      <c r="D319" s="20" t="e">
        <f t="shared" si="4"/>
        <v>#N/A</v>
      </c>
      <c r="E319" s="9"/>
      <c r="F319" s="10" t="e" cm="1">
        <f t="array" aca="1" ref="F3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19" s="130"/>
      <c r="I319" s="12"/>
      <c r="J319" s="12"/>
      <c r="K319" s="61"/>
      <c r="L319" s="233"/>
      <c r="M319" s="10">
        <f ca="1">IF(ISBLANK(K319), TODAY()-(I319), Table27[[#This Row],[Effectiveness Review &amp; date deemed effective]]-Table27[[#This Row],[PTO initialized date]])</f>
        <v>46067</v>
      </c>
    </row>
    <row r="320" spans="1:13" ht="18">
      <c r="A320" s="9"/>
      <c r="B320" s="18" t="e">
        <f>VLOOKUP(Table27[[#This Row],[Location 
(drop-down)]],'List source'!D$2:E$71,2,FALSE)</f>
        <v>#N/A</v>
      </c>
      <c r="C320" s="154" t="s">
        <v>1659</v>
      </c>
      <c r="D320" s="20" t="e">
        <f t="shared" si="4"/>
        <v>#N/A</v>
      </c>
      <c r="E320" s="67"/>
      <c r="F320" s="10" t="e" cm="1">
        <f t="array" aca="1" ref="F3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0" s="170"/>
      <c r="I320" s="12"/>
      <c r="J320" s="12"/>
      <c r="K320" s="61"/>
      <c r="L320" s="233"/>
      <c r="M320" s="10">
        <f ca="1">IF(ISBLANK(K320), TODAY()-(I320), Table27[[#This Row],[Effectiveness Review &amp; date deemed effective]]-Table27[[#This Row],[PTO initialized date]])</f>
        <v>46067</v>
      </c>
    </row>
    <row r="321" spans="1:13" ht="18">
      <c r="A321" s="9"/>
      <c r="B321" s="18" t="e">
        <f>VLOOKUP(Table27[[#This Row],[Location 
(drop-down)]],'List source'!D$2:E$71,2,FALSE)</f>
        <v>#N/A</v>
      </c>
      <c r="C321" s="154" t="s">
        <v>1660</v>
      </c>
      <c r="D321" s="20" t="e">
        <f t="shared" si="4"/>
        <v>#N/A</v>
      </c>
      <c r="E321" s="131"/>
      <c r="F321" s="10" t="e" cm="1">
        <f t="array" aca="1" ref="F3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1" s="170"/>
      <c r="I321" s="12"/>
      <c r="J321" s="12"/>
      <c r="K321" s="61"/>
      <c r="L321" s="233"/>
      <c r="M321" s="10">
        <f ca="1">IF(ISBLANK(K321), TODAY()-(I321), Table27[[#This Row],[Effectiveness Review &amp; date deemed effective]]-Table27[[#This Row],[PTO initialized date]])</f>
        <v>46067</v>
      </c>
    </row>
    <row r="322" spans="1:13" ht="18">
      <c r="A322" s="9"/>
      <c r="B322" s="18" t="e">
        <f>VLOOKUP(Table27[[#This Row],[Location 
(drop-down)]],'List source'!D$2:E$71,2,FALSE)</f>
        <v>#N/A</v>
      </c>
      <c r="C322" s="154" t="s">
        <v>1661</v>
      </c>
      <c r="D322" s="20" t="e">
        <f t="shared" ref="D322:D385" si="5">"PTO" &amp; C322 &amp; "-" &amp; B322 &amp; "-" &amp; "26"</f>
        <v>#N/A</v>
      </c>
      <c r="E322" s="9"/>
      <c r="F322" s="10" t="e" cm="1">
        <f t="array" aca="1" ref="F3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2" s="130"/>
      <c r="I322" s="12"/>
      <c r="J322" s="12"/>
      <c r="K322" s="61"/>
      <c r="L322" s="233"/>
      <c r="M322" s="10">
        <f ca="1">IF(ISBLANK(K322), TODAY()-(I322), Table27[[#This Row],[Effectiveness Review &amp; date deemed effective]]-Table27[[#This Row],[PTO initialized date]])</f>
        <v>46067</v>
      </c>
    </row>
    <row r="323" spans="1:13" ht="18">
      <c r="A323" s="9"/>
      <c r="B323" s="18" t="e">
        <f>VLOOKUP(Table27[[#This Row],[Location 
(drop-down)]],'List source'!D$2:E$71,2,FALSE)</f>
        <v>#N/A</v>
      </c>
      <c r="C323" s="154" t="s">
        <v>1662</v>
      </c>
      <c r="D323" s="20" t="e">
        <f t="shared" si="5"/>
        <v>#N/A</v>
      </c>
      <c r="E323" s="9"/>
      <c r="F323" s="10" t="e" cm="1">
        <f t="array" aca="1" ref="F3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3" s="10"/>
      <c r="I323" s="12"/>
      <c r="J323" s="12"/>
      <c r="K323" s="61"/>
      <c r="L323" s="233"/>
      <c r="M323" s="10">
        <f ca="1">IF(ISBLANK(K323), TODAY()-(I323), Table27[[#This Row],[Effectiveness Review &amp; date deemed effective]]-Table27[[#This Row],[PTO initialized date]])</f>
        <v>46067</v>
      </c>
    </row>
    <row r="324" spans="1:13" ht="18">
      <c r="A324" s="9"/>
      <c r="B324" s="18" t="e">
        <f>VLOOKUP(Table27[[#This Row],[Location 
(drop-down)]],'List source'!D$2:E$71,2,FALSE)</f>
        <v>#N/A</v>
      </c>
      <c r="C324" s="154" t="s">
        <v>1663</v>
      </c>
      <c r="D324" s="20" t="e">
        <f t="shared" si="5"/>
        <v>#N/A</v>
      </c>
      <c r="E324" s="9"/>
      <c r="F324" s="10" t="e" cm="1">
        <f t="array" aca="1" ref="F3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4" s="10"/>
      <c r="I324" s="12"/>
      <c r="J324" s="12"/>
      <c r="K324" s="61"/>
      <c r="L324" s="233"/>
      <c r="M324" s="10">
        <f ca="1">IF(ISBLANK(K324), TODAY()-(I324), Table27[[#This Row],[Effectiveness Review &amp; date deemed effective]]-Table27[[#This Row],[PTO initialized date]])</f>
        <v>46067</v>
      </c>
    </row>
    <row r="325" spans="1:13" ht="18">
      <c r="A325" s="9"/>
      <c r="B325" s="18" t="e">
        <f>VLOOKUP(Table27[[#This Row],[Location 
(drop-down)]],'List source'!D$2:E$71,2,FALSE)</f>
        <v>#N/A</v>
      </c>
      <c r="C325" s="154" t="s">
        <v>1664</v>
      </c>
      <c r="D325" s="20" t="e">
        <f t="shared" si="5"/>
        <v>#N/A</v>
      </c>
      <c r="E325" s="9"/>
      <c r="F325" s="10" t="e" cm="1">
        <f t="array" aca="1" ref="F3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5" s="10"/>
      <c r="I325" s="12"/>
      <c r="J325" s="12"/>
      <c r="K325" s="61"/>
      <c r="L325" s="233"/>
      <c r="M325" s="10">
        <f ca="1">IF(ISBLANK(K325), TODAY()-(I325), Table27[[#This Row],[Effectiveness Review &amp; date deemed effective]]-Table27[[#This Row],[PTO initialized date]])</f>
        <v>46067</v>
      </c>
    </row>
    <row r="326" spans="1:13" ht="18">
      <c r="A326" s="9"/>
      <c r="B326" s="18" t="e">
        <f>VLOOKUP(Table27[[#This Row],[Location 
(drop-down)]],'List source'!D$2:E$71,2,FALSE)</f>
        <v>#N/A</v>
      </c>
      <c r="C326" s="154" t="s">
        <v>1665</v>
      </c>
      <c r="D326" s="20" t="e">
        <f t="shared" si="5"/>
        <v>#N/A</v>
      </c>
      <c r="E326" s="9"/>
      <c r="F326" s="10" t="e" cm="1">
        <f t="array" aca="1" ref="F3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6" s="130"/>
      <c r="I326" s="12"/>
      <c r="J326" s="12"/>
      <c r="K326" s="61"/>
      <c r="L326" s="233"/>
      <c r="M326" s="10">
        <f ca="1">IF(ISBLANK(K326), TODAY()-(I326), Table27[[#This Row],[Effectiveness Review &amp; date deemed effective]]-Table27[[#This Row],[PTO initialized date]])</f>
        <v>46067</v>
      </c>
    </row>
    <row r="327" spans="1:13" ht="18">
      <c r="A327" s="9"/>
      <c r="B327" s="18" t="e">
        <f>VLOOKUP(Table27[[#This Row],[Location 
(drop-down)]],'List source'!D$2:E$71,2,FALSE)</f>
        <v>#N/A</v>
      </c>
      <c r="C327" s="154" t="s">
        <v>1666</v>
      </c>
      <c r="D327" s="20" t="e">
        <f t="shared" si="5"/>
        <v>#N/A</v>
      </c>
      <c r="E327" s="9"/>
      <c r="F327" s="10" t="e" cm="1">
        <f t="array" aca="1" ref="F3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7" s="130"/>
      <c r="I327" s="12"/>
      <c r="J327" s="12"/>
      <c r="K327" s="61"/>
      <c r="L327" s="233"/>
      <c r="M327" s="10">
        <f ca="1">IF(ISBLANK(K327), TODAY()-(I327), Table27[[#This Row],[Effectiveness Review &amp; date deemed effective]]-Table27[[#This Row],[PTO initialized date]])</f>
        <v>46067</v>
      </c>
    </row>
    <row r="328" spans="1:13" ht="11.1" customHeight="1">
      <c r="A328" s="9"/>
      <c r="B328" s="18" t="e">
        <f>VLOOKUP(Table27[[#This Row],[Location 
(drop-down)]],'List source'!D$2:E$71,2,FALSE)</f>
        <v>#N/A</v>
      </c>
      <c r="C328" s="154" t="s">
        <v>1667</v>
      </c>
      <c r="D328" s="20" t="e">
        <f t="shared" si="5"/>
        <v>#N/A</v>
      </c>
      <c r="E328" s="9"/>
      <c r="F328" s="10" t="e" cm="1">
        <f t="array" aca="1" ref="F3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8" s="130"/>
      <c r="I328" s="12"/>
      <c r="J328" s="12"/>
      <c r="K328" s="61"/>
      <c r="L328" s="233"/>
      <c r="M328" s="10">
        <f ca="1">IF(ISBLANK(K328), TODAY()-(I328), Table27[[#This Row],[Effectiveness Review &amp; date deemed effective]]-Table27[[#This Row],[PTO initialized date]])</f>
        <v>46067</v>
      </c>
    </row>
    <row r="329" spans="1:13" ht="18">
      <c r="A329" s="9"/>
      <c r="B329" s="18" t="e">
        <f>VLOOKUP(Table27[[#This Row],[Location 
(drop-down)]],'List source'!D$2:E$71,2,FALSE)</f>
        <v>#N/A</v>
      </c>
      <c r="C329" s="154" t="s">
        <v>1668</v>
      </c>
      <c r="D329" s="20" t="e">
        <f t="shared" si="5"/>
        <v>#N/A</v>
      </c>
      <c r="E329" s="9"/>
      <c r="F329" s="10" t="e" cm="1">
        <f t="array" aca="1" ref="F3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29" s="130"/>
      <c r="I329" s="12"/>
      <c r="J329" s="12"/>
      <c r="K329" s="61"/>
      <c r="L329" s="233"/>
      <c r="M329" s="10">
        <f ca="1">IF(ISBLANK(K329), TODAY()-(I329), Table27[[#This Row],[Effectiveness Review &amp; date deemed effective]]-Table27[[#This Row],[PTO initialized date]])</f>
        <v>46067</v>
      </c>
    </row>
    <row r="330" spans="1:13" ht="18">
      <c r="A330" s="9"/>
      <c r="B330" s="18" t="e">
        <f>VLOOKUP(Table27[[#This Row],[Location 
(drop-down)]],'List source'!D$2:E$71,2,FALSE)</f>
        <v>#N/A</v>
      </c>
      <c r="C330" s="154" t="s">
        <v>1669</v>
      </c>
      <c r="D330" s="20" t="e">
        <f t="shared" si="5"/>
        <v>#N/A</v>
      </c>
      <c r="E330" s="9"/>
      <c r="F330" s="10" t="e" cm="1">
        <f t="array" aca="1" ref="F3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0" s="10"/>
      <c r="I330" s="12"/>
      <c r="J330" s="12"/>
      <c r="K330" s="61"/>
      <c r="L330" s="233"/>
      <c r="M330" s="10">
        <f ca="1">IF(ISBLANK(K330), TODAY()-(I330), Table27[[#This Row],[Effectiveness Review &amp; date deemed effective]]-Table27[[#This Row],[PTO initialized date]])</f>
        <v>46067</v>
      </c>
    </row>
    <row r="331" spans="1:13" ht="18">
      <c r="A331" s="9"/>
      <c r="B331" s="18" t="e">
        <f>VLOOKUP(Table27[[#This Row],[Location 
(drop-down)]],'List source'!D$2:E$71,2,FALSE)</f>
        <v>#N/A</v>
      </c>
      <c r="C331" s="154" t="s">
        <v>1670</v>
      </c>
      <c r="D331" s="20" t="e">
        <f t="shared" si="5"/>
        <v>#N/A</v>
      </c>
      <c r="E331" s="9"/>
      <c r="F331" s="10" t="e" cm="1">
        <f t="array" aca="1" ref="F3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1" s="130"/>
      <c r="I331" s="12"/>
      <c r="J331" s="12"/>
      <c r="K331" s="61"/>
      <c r="L331" s="233"/>
      <c r="M331" s="10">
        <f ca="1">IF(ISBLANK(K331), TODAY()-(I331), Table27[[#This Row],[Effectiveness Review &amp; date deemed effective]]-Table27[[#This Row],[PTO initialized date]])</f>
        <v>46067</v>
      </c>
    </row>
    <row r="332" spans="1:13" ht="18">
      <c r="A332" s="9"/>
      <c r="B332" s="18" t="e">
        <f>VLOOKUP(Table27[[#This Row],[Location 
(drop-down)]],'List source'!D$2:E$71,2,FALSE)</f>
        <v>#N/A</v>
      </c>
      <c r="C332" s="154" t="s">
        <v>1671</v>
      </c>
      <c r="D332" s="20" t="e">
        <f t="shared" si="5"/>
        <v>#N/A</v>
      </c>
      <c r="E332" s="9"/>
      <c r="F332" s="10" t="e" cm="1">
        <f t="array" aca="1" ref="F3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2" s="10"/>
      <c r="I332" s="12"/>
      <c r="J332" s="12"/>
      <c r="K332" s="61"/>
      <c r="L332" s="233"/>
      <c r="M332" s="10">
        <f ca="1">IF(ISBLANK(K332), TODAY()-(I332), Table27[[#This Row],[Effectiveness Review &amp; date deemed effective]]-Table27[[#This Row],[PTO initialized date]])</f>
        <v>46067</v>
      </c>
    </row>
    <row r="333" spans="1:13" ht="18">
      <c r="A333" s="9"/>
      <c r="B333" s="18" t="e">
        <f>VLOOKUP(Table27[[#This Row],[Location 
(drop-down)]],'List source'!D$2:E$71,2,FALSE)</f>
        <v>#N/A</v>
      </c>
      <c r="C333" s="154" t="s">
        <v>1672</v>
      </c>
      <c r="D333" s="20" t="e">
        <f t="shared" si="5"/>
        <v>#N/A</v>
      </c>
      <c r="E333" s="9"/>
      <c r="F333" s="10" t="e" cm="1">
        <f t="array" aca="1" ref="F3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3" s="130"/>
      <c r="I333" s="12"/>
      <c r="J333" s="12"/>
      <c r="K333" s="61"/>
      <c r="L333" s="233"/>
      <c r="M333" s="10">
        <f ca="1">IF(ISBLANK(K333), TODAY()-(I333), Table27[[#This Row],[Effectiveness Review &amp; date deemed effective]]-Table27[[#This Row],[PTO initialized date]])</f>
        <v>46067</v>
      </c>
    </row>
    <row r="334" spans="1:13" ht="18">
      <c r="A334" s="9"/>
      <c r="B334" s="18" t="e">
        <f>VLOOKUP(Table27[[#This Row],[Location 
(drop-down)]],'List source'!D$2:E$71,2,FALSE)</f>
        <v>#N/A</v>
      </c>
      <c r="C334" s="154" t="s">
        <v>1673</v>
      </c>
      <c r="D334" s="20" t="e">
        <f t="shared" si="5"/>
        <v>#N/A</v>
      </c>
      <c r="E334" s="9"/>
      <c r="F334" s="10" t="e" cm="1">
        <f t="array" aca="1" ref="F3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4" s="130"/>
      <c r="I334" s="12"/>
      <c r="J334" s="12"/>
      <c r="K334" s="61"/>
      <c r="L334" s="233"/>
      <c r="M334" s="10">
        <f ca="1">IF(ISBLANK(K334), TODAY()-(I334), Table27[[#This Row],[Effectiveness Review &amp; date deemed effective]]-Table27[[#This Row],[PTO initialized date]])</f>
        <v>46067</v>
      </c>
    </row>
    <row r="335" spans="1:13" ht="18">
      <c r="A335" s="9"/>
      <c r="B335" s="18" t="e">
        <f>VLOOKUP(Table27[[#This Row],[Location 
(drop-down)]],'List source'!D$2:E$71,2,FALSE)</f>
        <v>#N/A</v>
      </c>
      <c r="C335" s="154" t="s">
        <v>1674</v>
      </c>
      <c r="D335" s="20" t="e">
        <f t="shared" si="5"/>
        <v>#N/A</v>
      </c>
      <c r="E335" s="9"/>
      <c r="F335" s="10" t="e" cm="1">
        <f t="array" aca="1" ref="F3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5" s="10"/>
      <c r="I335" s="12"/>
      <c r="J335" s="12"/>
      <c r="K335" s="61"/>
      <c r="L335" s="233"/>
      <c r="M335" s="10">
        <f ca="1">IF(ISBLANK(K335), TODAY()-(I335), Table27[[#This Row],[Effectiveness Review &amp; date deemed effective]]-Table27[[#This Row],[PTO initialized date]])</f>
        <v>46067</v>
      </c>
    </row>
    <row r="336" spans="1:13" ht="18">
      <c r="A336" s="9"/>
      <c r="B336" s="18" t="e">
        <f>VLOOKUP(Table27[[#This Row],[Location 
(drop-down)]],'List source'!D$2:E$71,2,FALSE)</f>
        <v>#N/A</v>
      </c>
      <c r="C336" s="154" t="s">
        <v>1675</v>
      </c>
      <c r="D336" s="20" t="e">
        <f t="shared" si="5"/>
        <v>#N/A</v>
      </c>
      <c r="E336" s="9"/>
      <c r="F336" s="10" t="e" cm="1">
        <f t="array" aca="1" ref="F3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6" s="10"/>
      <c r="I336" s="12"/>
      <c r="J336" s="12"/>
      <c r="K336" s="61"/>
      <c r="L336" s="233"/>
      <c r="M336" s="10">
        <f ca="1">IF(ISBLANK(K336), TODAY()-(I336), Table27[[#This Row],[Effectiveness Review &amp; date deemed effective]]-Table27[[#This Row],[PTO initialized date]])</f>
        <v>46067</v>
      </c>
    </row>
    <row r="337" spans="1:13" ht="18">
      <c r="A337" s="9"/>
      <c r="B337" s="18" t="e">
        <f>VLOOKUP(Table27[[#This Row],[Location 
(drop-down)]],'List source'!D$2:E$71,2,FALSE)</f>
        <v>#N/A</v>
      </c>
      <c r="C337" s="154" t="s">
        <v>1676</v>
      </c>
      <c r="D337" s="20" t="e">
        <f t="shared" si="5"/>
        <v>#N/A</v>
      </c>
      <c r="E337" s="9"/>
      <c r="F337" s="10" t="e" cm="1">
        <f t="array" aca="1" ref="F3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7" s="10"/>
      <c r="I337" s="12"/>
      <c r="J337" s="12"/>
      <c r="K337" s="61"/>
      <c r="L337" s="233"/>
      <c r="M337" s="10">
        <f ca="1">IF(ISBLANK(K337), TODAY()-(I337), Table27[[#This Row],[Effectiveness Review &amp; date deemed effective]]-Table27[[#This Row],[PTO initialized date]])</f>
        <v>46067</v>
      </c>
    </row>
    <row r="338" spans="1:13" ht="18">
      <c r="A338" s="9"/>
      <c r="B338" s="18" t="e">
        <f>VLOOKUP(Table27[[#This Row],[Location 
(drop-down)]],'List source'!D$2:E$71,2,FALSE)</f>
        <v>#N/A</v>
      </c>
      <c r="C338" s="154" t="s">
        <v>1677</v>
      </c>
      <c r="D338" s="20" t="e">
        <f t="shared" si="5"/>
        <v>#N/A</v>
      </c>
      <c r="E338" s="9"/>
      <c r="F338" s="10" t="e" cm="1">
        <f t="array" aca="1" ref="F3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8" s="10"/>
      <c r="I338" s="12"/>
      <c r="J338" s="12"/>
      <c r="K338" s="61"/>
      <c r="L338" s="233"/>
      <c r="M338" s="10">
        <f ca="1">IF(ISBLANK(K338), TODAY()-(I338), Table27[[#This Row],[Effectiveness Review &amp; date deemed effective]]-Table27[[#This Row],[PTO initialized date]])</f>
        <v>46067</v>
      </c>
    </row>
    <row r="339" spans="1:13" ht="18">
      <c r="A339" s="9"/>
      <c r="B339" s="18" t="e">
        <f>VLOOKUP(Table27[[#This Row],[Location 
(drop-down)]],'List source'!D$2:E$71,2,FALSE)</f>
        <v>#N/A</v>
      </c>
      <c r="C339" s="154" t="s">
        <v>1678</v>
      </c>
      <c r="D339" s="20" t="e">
        <f t="shared" si="5"/>
        <v>#N/A</v>
      </c>
      <c r="E339" s="9"/>
      <c r="F339" s="10" t="e" cm="1">
        <f t="array" aca="1" ref="F3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39" s="10"/>
      <c r="I339" s="12"/>
      <c r="J339" s="12"/>
      <c r="K339" s="61"/>
      <c r="L339" s="233"/>
      <c r="M339" s="10">
        <f ca="1">IF(ISBLANK(K339), TODAY()-(I339), Table27[[#This Row],[Effectiveness Review &amp; date deemed effective]]-Table27[[#This Row],[PTO initialized date]])</f>
        <v>46067</v>
      </c>
    </row>
    <row r="340" spans="1:13" ht="18">
      <c r="A340" s="9"/>
      <c r="B340" s="18" t="e">
        <f>VLOOKUP(Table27[[#This Row],[Location 
(drop-down)]],'List source'!D$2:E$71,2,FALSE)</f>
        <v>#N/A</v>
      </c>
      <c r="C340" s="154" t="s">
        <v>1679</v>
      </c>
      <c r="D340" s="20" t="e">
        <f t="shared" si="5"/>
        <v>#N/A</v>
      </c>
      <c r="E340" s="9"/>
      <c r="F340" s="10" t="e" cm="1">
        <f t="array" aca="1" ref="F3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0" s="130"/>
      <c r="I340" s="12"/>
      <c r="J340" s="12"/>
      <c r="K340" s="61"/>
      <c r="L340" s="233"/>
      <c r="M340" s="10">
        <f ca="1">IF(ISBLANK(K340), TODAY()-(I340), Table27[[#This Row],[Effectiveness Review &amp; date deemed effective]]-Table27[[#This Row],[PTO initialized date]])</f>
        <v>46067</v>
      </c>
    </row>
    <row r="341" spans="1:13" ht="18">
      <c r="A341" s="9"/>
      <c r="B341" s="18" t="e">
        <f>VLOOKUP(Table27[[#This Row],[Location 
(drop-down)]],'List source'!D$2:E$71,2,FALSE)</f>
        <v>#N/A</v>
      </c>
      <c r="C341" s="154" t="s">
        <v>1680</v>
      </c>
      <c r="D341" s="20" t="e">
        <f t="shared" si="5"/>
        <v>#N/A</v>
      </c>
      <c r="E341" s="9"/>
      <c r="F341" s="10" t="e" cm="1">
        <f t="array" aca="1" ref="F3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1" s="130"/>
      <c r="I341" s="12"/>
      <c r="J341" s="12"/>
      <c r="K341" s="61"/>
      <c r="L341" s="233"/>
      <c r="M341" s="10">
        <f ca="1">IF(ISBLANK(K341), TODAY()-(I341), Table27[[#This Row],[Effectiveness Review &amp; date deemed effective]]-Table27[[#This Row],[PTO initialized date]])</f>
        <v>46067</v>
      </c>
    </row>
    <row r="342" spans="1:13" ht="18">
      <c r="A342" s="9"/>
      <c r="B342" s="18" t="e">
        <f>VLOOKUP(Table27[[#This Row],[Location 
(drop-down)]],'List source'!D$2:E$71,2,FALSE)</f>
        <v>#N/A</v>
      </c>
      <c r="C342" s="154" t="s">
        <v>1681</v>
      </c>
      <c r="D342" s="20" t="e">
        <f t="shared" si="5"/>
        <v>#N/A</v>
      </c>
      <c r="E342" s="9"/>
      <c r="F342" s="10" t="e" cm="1">
        <f t="array" aca="1" ref="F3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2" s="130"/>
      <c r="I342" s="12"/>
      <c r="J342" s="12"/>
      <c r="K342" s="61"/>
      <c r="L342" s="233"/>
      <c r="M342" s="10">
        <f ca="1">IF(ISBLANK(K342), TODAY()-(I342), Table27[[#This Row],[Effectiveness Review &amp; date deemed effective]]-Table27[[#This Row],[PTO initialized date]])</f>
        <v>46067</v>
      </c>
    </row>
    <row r="343" spans="1:13" ht="18">
      <c r="A343" s="9"/>
      <c r="B343" s="18" t="e">
        <f>VLOOKUP(Table27[[#This Row],[Location 
(drop-down)]],'List source'!D$2:E$71,2,FALSE)</f>
        <v>#N/A</v>
      </c>
      <c r="C343" s="154" t="s">
        <v>1682</v>
      </c>
      <c r="D343" s="20" t="e">
        <f t="shared" si="5"/>
        <v>#N/A</v>
      </c>
      <c r="E343" s="9"/>
      <c r="F343" s="10" t="e" cm="1">
        <f t="array" aca="1" ref="F3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3" s="130"/>
      <c r="I343" s="12"/>
      <c r="J343" s="12"/>
      <c r="K343" s="61"/>
      <c r="L343" s="233"/>
      <c r="M343" s="10">
        <f ca="1">IF(ISBLANK(K343), TODAY()-(I343), Table27[[#This Row],[Effectiveness Review &amp; date deemed effective]]-Table27[[#This Row],[PTO initialized date]])</f>
        <v>46067</v>
      </c>
    </row>
    <row r="344" spans="1:13" ht="18">
      <c r="A344" s="9"/>
      <c r="B344" s="18" t="e">
        <f>VLOOKUP(Table27[[#This Row],[Location 
(drop-down)]],'List source'!D$2:E$71,2,FALSE)</f>
        <v>#N/A</v>
      </c>
      <c r="C344" s="154" t="s">
        <v>1683</v>
      </c>
      <c r="D344" s="20" t="e">
        <f t="shared" si="5"/>
        <v>#N/A</v>
      </c>
      <c r="E344" s="9"/>
      <c r="F344" s="10" t="e" cm="1">
        <f t="array" aca="1" ref="F3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4" s="10"/>
      <c r="I344" s="12"/>
      <c r="J344" s="12"/>
      <c r="K344" s="61"/>
      <c r="L344" s="233"/>
      <c r="M344" s="10">
        <f ca="1">IF(ISBLANK(K344), TODAY()-(I344), Table27[[#This Row],[Effectiveness Review &amp; date deemed effective]]-Table27[[#This Row],[PTO initialized date]])</f>
        <v>46067</v>
      </c>
    </row>
    <row r="345" spans="1:13" ht="18">
      <c r="A345" s="9"/>
      <c r="B345" s="18" t="e">
        <f>VLOOKUP(Table27[[#This Row],[Location 
(drop-down)]],'List source'!D$2:E$71,2,FALSE)</f>
        <v>#N/A</v>
      </c>
      <c r="C345" s="154" t="s">
        <v>1684</v>
      </c>
      <c r="D345" s="20" t="e">
        <f t="shared" si="5"/>
        <v>#N/A</v>
      </c>
      <c r="E345" s="9"/>
      <c r="F345" s="10" t="e" cm="1">
        <f t="array" aca="1" ref="F3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5" s="130"/>
      <c r="I345" s="12"/>
      <c r="J345" s="12"/>
      <c r="K345" s="61"/>
      <c r="L345" s="233"/>
      <c r="M345" s="10">
        <f ca="1">IF(ISBLANK(K345), TODAY()-(I345), Table27[[#This Row],[Effectiveness Review &amp; date deemed effective]]-Table27[[#This Row],[PTO initialized date]])</f>
        <v>46067</v>
      </c>
    </row>
    <row r="346" spans="1:13" ht="18">
      <c r="A346" s="9"/>
      <c r="B346" s="18" t="e">
        <f>VLOOKUP(Table27[[#This Row],[Location 
(drop-down)]],'List source'!D$2:E$71,2,FALSE)</f>
        <v>#N/A</v>
      </c>
      <c r="C346" s="154" t="s">
        <v>1685</v>
      </c>
      <c r="D346" s="20" t="e">
        <f t="shared" si="5"/>
        <v>#N/A</v>
      </c>
      <c r="E346" s="9"/>
      <c r="F346" s="10" t="e" cm="1">
        <f t="array" aca="1" ref="F3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6" s="10"/>
      <c r="I346" s="12"/>
      <c r="J346" s="12"/>
      <c r="K346" s="61"/>
      <c r="L346" s="233"/>
      <c r="M346" s="10">
        <f ca="1">IF(ISBLANK(K346), TODAY()-(I346), Table27[[#This Row],[Effectiveness Review &amp; date deemed effective]]-Table27[[#This Row],[PTO initialized date]])</f>
        <v>46067</v>
      </c>
    </row>
    <row r="347" spans="1:13" ht="18">
      <c r="A347" s="9"/>
      <c r="B347" s="18" t="e">
        <f>VLOOKUP(Table27[[#This Row],[Location 
(drop-down)]],'List source'!D$2:E$71,2,FALSE)</f>
        <v>#N/A</v>
      </c>
      <c r="C347" s="154" t="s">
        <v>1686</v>
      </c>
      <c r="D347" s="20" t="e">
        <f t="shared" si="5"/>
        <v>#N/A</v>
      </c>
      <c r="E347" s="9"/>
      <c r="F347" s="10" t="e" cm="1">
        <f t="array" aca="1" ref="F3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7" s="130"/>
      <c r="I347" s="12"/>
      <c r="J347" s="12"/>
      <c r="K347" s="61"/>
      <c r="L347" s="233"/>
      <c r="M347" s="10">
        <f ca="1">IF(ISBLANK(K347), TODAY()-(I347), Table27[[#This Row],[Effectiveness Review &amp; date deemed effective]]-Table27[[#This Row],[PTO initialized date]])</f>
        <v>46067</v>
      </c>
    </row>
    <row r="348" spans="1:13" ht="18">
      <c r="A348" s="9"/>
      <c r="B348" s="18" t="e">
        <f>VLOOKUP(Table27[[#This Row],[Location 
(drop-down)]],'List source'!D$2:E$71,2,FALSE)</f>
        <v>#N/A</v>
      </c>
      <c r="C348" s="154" t="s">
        <v>1687</v>
      </c>
      <c r="D348" s="20" t="e">
        <f t="shared" si="5"/>
        <v>#N/A</v>
      </c>
      <c r="E348" s="9"/>
      <c r="F348" s="10" t="e" cm="1">
        <f t="array" aca="1" ref="F3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8" s="130"/>
      <c r="I348" s="12"/>
      <c r="J348" s="12"/>
      <c r="K348" s="61"/>
      <c r="L348" s="233"/>
      <c r="M348" s="10">
        <f ca="1">IF(ISBLANK(K348), TODAY()-(I348), Table27[[#This Row],[Effectiveness Review &amp; date deemed effective]]-Table27[[#This Row],[PTO initialized date]])</f>
        <v>46067</v>
      </c>
    </row>
    <row r="349" spans="1:13" ht="18">
      <c r="A349" s="9"/>
      <c r="B349" s="18" t="e">
        <f>VLOOKUP(Table27[[#This Row],[Location 
(drop-down)]],'List source'!D$2:E$71,2,FALSE)</f>
        <v>#N/A</v>
      </c>
      <c r="C349" s="154" t="s">
        <v>1688</v>
      </c>
      <c r="D349" s="20" t="e">
        <f t="shared" si="5"/>
        <v>#N/A</v>
      </c>
      <c r="E349" s="9"/>
      <c r="F349" s="10" t="e" cm="1">
        <f t="array" aca="1" ref="F3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49" s="130"/>
      <c r="I349" s="12"/>
      <c r="J349" s="12"/>
      <c r="K349" s="61"/>
      <c r="L349" s="233"/>
      <c r="M349" s="10">
        <f ca="1">IF(ISBLANK(K349), TODAY()-(I349), Table27[[#This Row],[Effectiveness Review &amp; date deemed effective]]-Table27[[#This Row],[PTO initialized date]])</f>
        <v>46067</v>
      </c>
    </row>
    <row r="350" spans="1:13" ht="18">
      <c r="A350" s="9"/>
      <c r="B350" s="18" t="e">
        <f>VLOOKUP(Table27[[#This Row],[Location 
(drop-down)]],'List source'!D$2:E$71,2,FALSE)</f>
        <v>#N/A</v>
      </c>
      <c r="C350" s="154" t="s">
        <v>1689</v>
      </c>
      <c r="D350" s="20" t="e">
        <f t="shared" si="5"/>
        <v>#N/A</v>
      </c>
      <c r="E350" s="9"/>
      <c r="F350" s="10" t="e" cm="1">
        <f t="array" aca="1" ref="F3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0" s="10"/>
      <c r="I350" s="12"/>
      <c r="J350" s="12"/>
      <c r="K350" s="61"/>
      <c r="L350" s="233"/>
      <c r="M350" s="10">
        <f ca="1">IF(ISBLANK(K350), TODAY()-(I350), Table27[[#This Row],[Effectiveness Review &amp; date deemed effective]]-Table27[[#This Row],[PTO initialized date]])</f>
        <v>46067</v>
      </c>
    </row>
    <row r="351" spans="1:13" ht="18">
      <c r="A351" s="9"/>
      <c r="B351" s="18" t="e">
        <f>VLOOKUP(Table27[[#This Row],[Location 
(drop-down)]],'List source'!D$2:E$71,2,FALSE)</f>
        <v>#N/A</v>
      </c>
      <c r="C351" s="154" t="s">
        <v>1690</v>
      </c>
      <c r="D351" s="20" t="e">
        <f t="shared" si="5"/>
        <v>#N/A</v>
      </c>
      <c r="E351" s="127"/>
      <c r="F351" s="10" t="e" cm="1">
        <f t="array" aca="1" ref="F3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1" s="66"/>
      <c r="I351" s="12"/>
      <c r="J351" s="12"/>
      <c r="K351" s="61"/>
      <c r="L351" s="233"/>
      <c r="M351" s="10">
        <f ca="1">IF(ISBLANK(K351), TODAY()-(I351), Table27[[#This Row],[Effectiveness Review &amp; date deemed effective]]-Table27[[#This Row],[PTO initialized date]])</f>
        <v>46067</v>
      </c>
    </row>
    <row r="352" spans="1:13" ht="18">
      <c r="A352" s="9"/>
      <c r="B352" s="18" t="e">
        <f>VLOOKUP(Table27[[#This Row],[Location 
(drop-down)]],'List source'!D$2:E$71,2,FALSE)</f>
        <v>#N/A</v>
      </c>
      <c r="C352" s="154" t="s">
        <v>1691</v>
      </c>
      <c r="D352" s="20" t="e">
        <f t="shared" si="5"/>
        <v>#N/A</v>
      </c>
      <c r="E352" s="127"/>
      <c r="F352" s="10" t="e" cm="1">
        <f t="array" aca="1" ref="F3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2" s="171"/>
      <c r="I352" s="12"/>
      <c r="J352" s="12"/>
      <c r="K352" s="61"/>
      <c r="L352" s="233"/>
      <c r="M352" s="10">
        <f ca="1">IF(ISBLANK(K352), TODAY()-(I352), Table27[[#This Row],[Effectiveness Review &amp; date deemed effective]]-Table27[[#This Row],[PTO initialized date]])</f>
        <v>46067</v>
      </c>
    </row>
    <row r="353" spans="1:13" ht="18">
      <c r="A353" s="9"/>
      <c r="B353" s="18" t="e">
        <f>VLOOKUP(Table27[[#This Row],[Location 
(drop-down)]],'List source'!D$2:E$71,2,FALSE)</f>
        <v>#N/A</v>
      </c>
      <c r="C353" s="154" t="s">
        <v>1692</v>
      </c>
      <c r="D353" s="20" t="e">
        <f t="shared" si="5"/>
        <v>#N/A</v>
      </c>
      <c r="E353" s="127"/>
      <c r="F353" s="10" t="e" cm="1">
        <f t="array" aca="1" ref="F3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3" s="171"/>
      <c r="I353" s="12"/>
      <c r="J353" s="12"/>
      <c r="K353" s="61"/>
      <c r="L353" s="233"/>
      <c r="M353" s="10">
        <f ca="1">IF(ISBLANK(K353), TODAY()-(I353), Table27[[#This Row],[Effectiveness Review &amp; date deemed effective]]-Table27[[#This Row],[PTO initialized date]])</f>
        <v>46067</v>
      </c>
    </row>
    <row r="354" spans="1:13" ht="18">
      <c r="A354" s="9"/>
      <c r="B354" s="18" t="e">
        <f>VLOOKUP(Table27[[#This Row],[Location 
(drop-down)]],'List source'!D$2:E$71,2,FALSE)</f>
        <v>#N/A</v>
      </c>
      <c r="C354" s="154" t="s">
        <v>1693</v>
      </c>
      <c r="D354" s="20" t="e">
        <f t="shared" si="5"/>
        <v>#N/A</v>
      </c>
      <c r="E354" s="127"/>
      <c r="F354" s="10" t="e" cm="1">
        <f t="array" aca="1" ref="F3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4" s="66"/>
      <c r="I354" s="12"/>
      <c r="J354" s="12"/>
      <c r="K354" s="61"/>
      <c r="L354" s="233"/>
      <c r="M354" s="10">
        <f ca="1">IF(ISBLANK(K354), TODAY()-(I354), Table27[[#This Row],[Effectiveness Review &amp; date deemed effective]]-Table27[[#This Row],[PTO initialized date]])</f>
        <v>46067</v>
      </c>
    </row>
    <row r="355" spans="1:13" ht="18">
      <c r="A355" s="9"/>
      <c r="B355" s="18" t="e">
        <f>VLOOKUP(Table27[[#This Row],[Location 
(drop-down)]],'List source'!D$2:E$71,2,FALSE)</f>
        <v>#N/A</v>
      </c>
      <c r="C355" s="154" t="s">
        <v>1694</v>
      </c>
      <c r="D355" s="20" t="e">
        <f t="shared" si="5"/>
        <v>#N/A</v>
      </c>
      <c r="E355" s="127"/>
      <c r="F355" s="10" t="e" cm="1">
        <f t="array" aca="1" ref="F3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5" s="66"/>
      <c r="I355" s="12"/>
      <c r="J355" s="12"/>
      <c r="K355" s="61"/>
      <c r="L355" s="233"/>
      <c r="M355" s="10">
        <f ca="1">IF(ISBLANK(K355), TODAY()-(I355), Table27[[#This Row],[Effectiveness Review &amp; date deemed effective]]-Table27[[#This Row],[PTO initialized date]])</f>
        <v>46067</v>
      </c>
    </row>
    <row r="356" spans="1:13" ht="18">
      <c r="A356" s="9"/>
      <c r="B356" s="18" t="e">
        <f>VLOOKUP(Table27[[#This Row],[Location 
(drop-down)]],'List source'!D$2:E$71,2,FALSE)</f>
        <v>#N/A</v>
      </c>
      <c r="C356" s="154" t="s">
        <v>1695</v>
      </c>
      <c r="D356" s="20" t="e">
        <f t="shared" si="5"/>
        <v>#N/A</v>
      </c>
      <c r="E356" s="9"/>
      <c r="F356" s="10" t="e" cm="1">
        <f t="array" aca="1" ref="F3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6" s="130"/>
      <c r="I356" s="12"/>
      <c r="J356" s="12"/>
      <c r="K356" s="61"/>
      <c r="L356" s="233"/>
      <c r="M356" s="10">
        <f ca="1">IF(ISBLANK(K356), TODAY()-(I356), Table27[[#This Row],[Effectiveness Review &amp; date deemed effective]]-Table27[[#This Row],[PTO initialized date]])</f>
        <v>46067</v>
      </c>
    </row>
    <row r="357" spans="1:13" ht="18">
      <c r="A357" s="9"/>
      <c r="B357" s="18" t="e">
        <f>VLOOKUP(Table27[[#This Row],[Location 
(drop-down)]],'List source'!D$2:E$71,2,FALSE)</f>
        <v>#N/A</v>
      </c>
      <c r="C357" s="154" t="s">
        <v>1696</v>
      </c>
      <c r="D357" s="20" t="e">
        <f t="shared" si="5"/>
        <v>#N/A</v>
      </c>
      <c r="E357" s="9"/>
      <c r="F357" s="10" t="e" cm="1">
        <f t="array" aca="1" ref="F3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7" s="10"/>
      <c r="I357" s="12"/>
      <c r="J357" s="12"/>
      <c r="K357" s="61"/>
      <c r="L357" s="233"/>
      <c r="M357" s="10">
        <f ca="1">IF(ISBLANK(K357), TODAY()-(I357), Table27[[#This Row],[Effectiveness Review &amp; date deemed effective]]-Table27[[#This Row],[PTO initialized date]])</f>
        <v>46067</v>
      </c>
    </row>
    <row r="358" spans="1:13" ht="18">
      <c r="A358" s="9"/>
      <c r="B358" s="18" t="e">
        <f>VLOOKUP(Table27[[#This Row],[Location 
(drop-down)]],'List source'!D$2:E$71,2,FALSE)</f>
        <v>#N/A</v>
      </c>
      <c r="C358" s="154" t="s">
        <v>1697</v>
      </c>
      <c r="D358" s="20" t="e">
        <f t="shared" si="5"/>
        <v>#N/A</v>
      </c>
      <c r="E358" s="9"/>
      <c r="F358" s="10" t="e" cm="1">
        <f t="array" aca="1" ref="F3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8" s="10"/>
      <c r="I358" s="12"/>
      <c r="J358" s="12"/>
      <c r="K358" s="61"/>
      <c r="L358" s="233"/>
      <c r="M358" s="10">
        <f ca="1">IF(ISBLANK(K358), TODAY()-(I358), Table27[[#This Row],[Effectiveness Review &amp; date deemed effective]]-Table27[[#This Row],[PTO initialized date]])</f>
        <v>46067</v>
      </c>
    </row>
    <row r="359" spans="1:13" ht="18">
      <c r="A359" s="9"/>
      <c r="B359" s="18" t="e">
        <f>VLOOKUP(Table27[[#This Row],[Location 
(drop-down)]],'List source'!D$2:E$71,2,FALSE)</f>
        <v>#N/A</v>
      </c>
      <c r="C359" s="154" t="s">
        <v>1698</v>
      </c>
      <c r="D359" s="20" t="e">
        <f t="shared" si="5"/>
        <v>#N/A</v>
      </c>
      <c r="E359" s="9"/>
      <c r="F359" s="10" t="e" cm="1">
        <f t="array" aca="1" ref="F3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59" s="10"/>
      <c r="I359" s="12"/>
      <c r="J359" s="12"/>
      <c r="K359" s="61"/>
      <c r="L359" s="233"/>
      <c r="M359" s="10">
        <f ca="1">IF(ISBLANK(K359), TODAY()-(I359), Table27[[#This Row],[Effectiveness Review &amp; date deemed effective]]-Table27[[#This Row],[PTO initialized date]])</f>
        <v>46067</v>
      </c>
    </row>
    <row r="360" spans="1:13" ht="18">
      <c r="A360" s="9"/>
      <c r="B360" s="18" t="e">
        <f>VLOOKUP(Table27[[#This Row],[Location 
(drop-down)]],'List source'!D$2:E$71,2,FALSE)</f>
        <v>#N/A</v>
      </c>
      <c r="C360" s="154" t="s">
        <v>1699</v>
      </c>
      <c r="D360" s="20" t="e">
        <f t="shared" si="5"/>
        <v>#N/A</v>
      </c>
      <c r="E360" s="127"/>
      <c r="F360" s="10" t="e" cm="1">
        <f t="array" aca="1" ref="F3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0" s="66"/>
      <c r="I360" s="12"/>
      <c r="J360" s="12"/>
      <c r="K360" s="61"/>
      <c r="L360" s="233"/>
      <c r="M360" s="10">
        <f ca="1">IF(ISBLANK(K360), TODAY()-(I360), Table27[[#This Row],[Effectiveness Review &amp; date deemed effective]]-Table27[[#This Row],[PTO initialized date]])</f>
        <v>46067</v>
      </c>
    </row>
    <row r="361" spans="1:13" ht="18">
      <c r="A361" s="9"/>
      <c r="B361" s="18" t="e">
        <f>VLOOKUP(Table27[[#This Row],[Location 
(drop-down)]],'List source'!D$2:E$71,2,FALSE)</f>
        <v>#N/A</v>
      </c>
      <c r="C361" s="154" t="s">
        <v>1700</v>
      </c>
      <c r="D361" s="20" t="e">
        <f t="shared" si="5"/>
        <v>#N/A</v>
      </c>
      <c r="E361" s="127"/>
      <c r="F361" s="10" t="e" cm="1">
        <f t="array" aca="1" ref="F3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1" s="66"/>
      <c r="I361" s="12"/>
      <c r="J361" s="12"/>
      <c r="K361" s="61"/>
      <c r="L361" s="233"/>
      <c r="M361" s="10">
        <f ca="1">IF(ISBLANK(K361), TODAY()-(I361), Table27[[#This Row],[Effectiveness Review &amp; date deemed effective]]-Table27[[#This Row],[PTO initialized date]])</f>
        <v>46067</v>
      </c>
    </row>
    <row r="362" spans="1:13" ht="18">
      <c r="A362" s="9"/>
      <c r="B362" s="18" t="e">
        <f>VLOOKUP(Table27[[#This Row],[Location 
(drop-down)]],'List source'!D$2:E$71,2,FALSE)</f>
        <v>#N/A</v>
      </c>
      <c r="C362" s="154" t="s">
        <v>1701</v>
      </c>
      <c r="D362" s="20" t="e">
        <f t="shared" si="5"/>
        <v>#N/A</v>
      </c>
      <c r="E362" s="9"/>
      <c r="F362" s="10" t="e" cm="1">
        <f t="array" aca="1" ref="F3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2" s="10"/>
      <c r="I362" s="12"/>
      <c r="J362" s="12"/>
      <c r="K362" s="61"/>
      <c r="L362" s="233"/>
      <c r="M362" s="10">
        <f ca="1">IF(ISBLANK(K362), TODAY()-(I362), Table27[[#This Row],[Effectiveness Review &amp; date deemed effective]]-Table27[[#This Row],[PTO initialized date]])</f>
        <v>46067</v>
      </c>
    </row>
    <row r="363" spans="1:13" ht="18">
      <c r="A363" s="9"/>
      <c r="B363" s="18" t="e">
        <f>VLOOKUP(Table27[[#This Row],[Location 
(drop-down)]],'List source'!D$2:E$71,2,FALSE)</f>
        <v>#N/A</v>
      </c>
      <c r="C363" s="154" t="s">
        <v>1702</v>
      </c>
      <c r="D363" s="20" t="e">
        <f t="shared" si="5"/>
        <v>#N/A</v>
      </c>
      <c r="E363" s="9"/>
      <c r="F363" s="10" t="e" cm="1">
        <f t="array" aca="1" ref="F3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3" s="10"/>
      <c r="I363" s="12"/>
      <c r="J363" s="12"/>
      <c r="K363" s="61"/>
      <c r="L363" s="233"/>
      <c r="M363" s="10">
        <f ca="1">IF(ISBLANK(K363), TODAY()-(I363), Table27[[#This Row],[Effectiveness Review &amp; date deemed effective]]-Table27[[#This Row],[PTO initialized date]])</f>
        <v>46067</v>
      </c>
    </row>
    <row r="364" spans="1:13" ht="18">
      <c r="A364" s="9"/>
      <c r="B364" s="18" t="e">
        <f>VLOOKUP(Table27[[#This Row],[Location 
(drop-down)]],'List source'!D$2:E$71,2,FALSE)</f>
        <v>#N/A</v>
      </c>
      <c r="C364" s="154" t="s">
        <v>1703</v>
      </c>
      <c r="D364" s="20" t="e">
        <f t="shared" si="5"/>
        <v>#N/A</v>
      </c>
      <c r="E364" s="9"/>
      <c r="F364" s="10" t="e" cm="1">
        <f t="array" aca="1" ref="F3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4" s="130"/>
      <c r="I364" s="12"/>
      <c r="J364" s="12"/>
      <c r="K364" s="61"/>
      <c r="L364" s="233"/>
      <c r="M364" s="10">
        <f ca="1">IF(ISBLANK(K364), TODAY()-(I364), Table27[[#This Row],[Effectiveness Review &amp; date deemed effective]]-Table27[[#This Row],[PTO initialized date]])</f>
        <v>46067</v>
      </c>
    </row>
    <row r="365" spans="1:13" ht="18">
      <c r="A365" s="9"/>
      <c r="B365" s="18" t="e">
        <f>VLOOKUP(Table27[[#This Row],[Location 
(drop-down)]],'List source'!D$2:E$71,2,FALSE)</f>
        <v>#N/A</v>
      </c>
      <c r="C365" s="154" t="s">
        <v>1704</v>
      </c>
      <c r="D365" s="20" t="e">
        <f t="shared" si="5"/>
        <v>#N/A</v>
      </c>
      <c r="E365" s="9"/>
      <c r="F365" s="10" t="e" cm="1">
        <f t="array" aca="1" ref="F3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5" s="10"/>
      <c r="I365" s="12"/>
      <c r="J365" s="12"/>
      <c r="K365" s="61"/>
      <c r="L365" s="233"/>
      <c r="M365" s="10">
        <f ca="1">IF(ISBLANK(K365), TODAY()-(I365), Table27[[#This Row],[Effectiveness Review &amp; date deemed effective]]-Table27[[#This Row],[PTO initialized date]])</f>
        <v>46067</v>
      </c>
    </row>
    <row r="366" spans="1:13" ht="18">
      <c r="A366" s="9"/>
      <c r="B366" s="18" t="e">
        <f>VLOOKUP(Table27[[#This Row],[Location 
(drop-down)]],'List source'!D$2:E$71,2,FALSE)</f>
        <v>#N/A</v>
      </c>
      <c r="C366" s="154" t="s">
        <v>1705</v>
      </c>
      <c r="D366" s="20" t="e">
        <f t="shared" si="5"/>
        <v>#N/A</v>
      </c>
      <c r="E366" s="9"/>
      <c r="F366" s="10" t="e" cm="1">
        <f t="array" aca="1" ref="F3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6" s="10"/>
      <c r="I366" s="12"/>
      <c r="J366" s="12"/>
      <c r="K366" s="61"/>
      <c r="L366" s="233"/>
      <c r="M366" s="10">
        <f ca="1">IF(ISBLANK(K366), TODAY()-(I366), Table27[[#This Row],[Effectiveness Review &amp; date deemed effective]]-Table27[[#This Row],[PTO initialized date]])</f>
        <v>46067</v>
      </c>
    </row>
    <row r="367" spans="1:13" ht="18">
      <c r="A367" s="9"/>
      <c r="B367" s="18" t="e">
        <f>VLOOKUP(Table27[[#This Row],[Location 
(drop-down)]],'List source'!D$2:E$71,2,FALSE)</f>
        <v>#N/A</v>
      </c>
      <c r="C367" s="154" t="s">
        <v>1706</v>
      </c>
      <c r="D367" s="20" t="e">
        <f t="shared" si="5"/>
        <v>#N/A</v>
      </c>
      <c r="E367" s="9"/>
      <c r="F367" s="10" t="e" cm="1">
        <f t="array" aca="1" ref="F3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7" s="10"/>
      <c r="I367" s="12"/>
      <c r="J367" s="12"/>
      <c r="K367" s="61"/>
      <c r="L367" s="233"/>
      <c r="M367" s="10">
        <f ca="1">IF(ISBLANK(K367), TODAY()-(I367), Table27[[#This Row],[Effectiveness Review &amp; date deemed effective]]-Table27[[#This Row],[PTO initialized date]])</f>
        <v>46067</v>
      </c>
    </row>
    <row r="368" spans="1:13" ht="18">
      <c r="A368" s="9"/>
      <c r="B368" s="18" t="e">
        <f>VLOOKUP(Table27[[#This Row],[Location 
(drop-down)]],'List source'!D$2:E$71,2,FALSE)</f>
        <v>#N/A</v>
      </c>
      <c r="C368" s="154" t="s">
        <v>1707</v>
      </c>
      <c r="D368" s="20" t="e">
        <f t="shared" si="5"/>
        <v>#N/A</v>
      </c>
      <c r="E368" s="9"/>
      <c r="F368" s="10" t="e" cm="1">
        <f t="array" aca="1" ref="F3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8" s="130"/>
      <c r="I368" s="12"/>
      <c r="J368" s="12"/>
      <c r="K368" s="61"/>
      <c r="L368" s="233"/>
      <c r="M368" s="10">
        <f ca="1">IF(ISBLANK(K368), TODAY()-(I368), Table27[[#This Row],[Effectiveness Review &amp; date deemed effective]]-Table27[[#This Row],[PTO initialized date]])</f>
        <v>46067</v>
      </c>
    </row>
    <row r="369" spans="1:13" ht="18">
      <c r="A369" s="9"/>
      <c r="B369" s="18" t="e">
        <f>VLOOKUP(Table27[[#This Row],[Location 
(drop-down)]],'List source'!D$2:E$71,2,FALSE)</f>
        <v>#N/A</v>
      </c>
      <c r="C369" s="154" t="s">
        <v>1708</v>
      </c>
      <c r="D369" s="20" t="e">
        <f t="shared" si="5"/>
        <v>#N/A</v>
      </c>
      <c r="E369" s="9"/>
      <c r="F369" s="10" t="e" cm="1">
        <f t="array" aca="1" ref="F3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69" s="10"/>
      <c r="I369" s="12"/>
      <c r="J369" s="12"/>
      <c r="K369" s="61"/>
      <c r="L369" s="233"/>
      <c r="M369" s="10">
        <f ca="1">IF(ISBLANK(K369), TODAY()-(I369), Table27[[#This Row],[Effectiveness Review &amp; date deemed effective]]-Table27[[#This Row],[PTO initialized date]])</f>
        <v>46067</v>
      </c>
    </row>
    <row r="370" spans="1:13" ht="18">
      <c r="A370" s="9"/>
      <c r="B370" s="18" t="e">
        <f>VLOOKUP(Table27[[#This Row],[Location 
(drop-down)]],'List source'!D$2:E$71,2,FALSE)</f>
        <v>#N/A</v>
      </c>
      <c r="C370" s="154" t="s">
        <v>1709</v>
      </c>
      <c r="D370" s="20" t="e">
        <f t="shared" si="5"/>
        <v>#N/A</v>
      </c>
      <c r="E370" s="9"/>
      <c r="F370" s="10" t="e" cm="1">
        <f t="array" aca="1" ref="F3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0" s="10"/>
      <c r="I370" s="12"/>
      <c r="J370" s="12"/>
      <c r="K370" s="61"/>
      <c r="L370" s="233"/>
      <c r="M370" s="10">
        <f ca="1">IF(ISBLANK(K370), TODAY()-(I370), Table27[[#This Row],[Effectiveness Review &amp; date deemed effective]]-Table27[[#This Row],[PTO initialized date]])</f>
        <v>46067</v>
      </c>
    </row>
    <row r="371" spans="1:13" ht="18">
      <c r="A371" s="9"/>
      <c r="B371" s="18" t="e">
        <f>VLOOKUP(Table27[[#This Row],[Location 
(drop-down)]],'List source'!D$2:E$71,2,FALSE)</f>
        <v>#N/A</v>
      </c>
      <c r="C371" s="154" t="s">
        <v>1710</v>
      </c>
      <c r="D371" s="20" t="e">
        <f t="shared" si="5"/>
        <v>#N/A</v>
      </c>
      <c r="E371" s="9"/>
      <c r="F371" s="10" t="e" cm="1">
        <f t="array" aca="1" ref="F3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1" s="10"/>
      <c r="I371" s="12"/>
      <c r="J371" s="12"/>
      <c r="K371" s="61"/>
      <c r="L371" s="233"/>
      <c r="M371" s="10">
        <f ca="1">IF(ISBLANK(K371), TODAY()-(I371), Table27[[#This Row],[Effectiveness Review &amp; date deemed effective]]-Table27[[#This Row],[PTO initialized date]])</f>
        <v>46067</v>
      </c>
    </row>
    <row r="372" spans="1:13" ht="18">
      <c r="A372" s="9"/>
      <c r="B372" s="18" t="e">
        <f>VLOOKUP(Table27[[#This Row],[Location 
(drop-down)]],'List source'!D$2:E$71,2,FALSE)</f>
        <v>#N/A</v>
      </c>
      <c r="C372" s="154" t="s">
        <v>1711</v>
      </c>
      <c r="D372" s="20" t="e">
        <f t="shared" si="5"/>
        <v>#N/A</v>
      </c>
      <c r="E372" s="147"/>
      <c r="F372" s="10" t="e" cm="1">
        <f t="array" aca="1" ref="F3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2" s="196"/>
      <c r="I372" s="12"/>
      <c r="J372" s="12"/>
      <c r="K372" s="61"/>
      <c r="L372" s="233"/>
      <c r="M372" s="10">
        <f ca="1">IF(ISBLANK(K372), TODAY()-(I372), Table27[[#This Row],[Effectiveness Review &amp; date deemed effective]]-Table27[[#This Row],[PTO initialized date]])</f>
        <v>46067</v>
      </c>
    </row>
    <row r="373" spans="1:13" ht="18">
      <c r="A373" s="9"/>
      <c r="B373" s="18" t="e">
        <f>VLOOKUP(Table27[[#This Row],[Location 
(drop-down)]],'List source'!D$2:E$71,2,FALSE)</f>
        <v>#N/A</v>
      </c>
      <c r="C373" s="154" t="s">
        <v>1712</v>
      </c>
      <c r="D373" s="20" t="e">
        <f t="shared" si="5"/>
        <v>#N/A</v>
      </c>
      <c r="E373" s="9"/>
      <c r="F373" s="10" t="e" cm="1">
        <f t="array" aca="1" ref="F3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3" s="10"/>
      <c r="I373" s="12"/>
      <c r="J373" s="12"/>
      <c r="K373" s="61"/>
      <c r="L373" s="233"/>
      <c r="M373" s="10">
        <f ca="1">IF(ISBLANK(K373), TODAY()-(I373), Table27[[#This Row],[Effectiveness Review &amp; date deemed effective]]-Table27[[#This Row],[PTO initialized date]])</f>
        <v>46067</v>
      </c>
    </row>
    <row r="374" spans="1:13" ht="18">
      <c r="A374" s="9"/>
      <c r="B374" s="18" t="e">
        <f>VLOOKUP(Table27[[#This Row],[Location 
(drop-down)]],'List source'!D$2:E$71,2,FALSE)</f>
        <v>#N/A</v>
      </c>
      <c r="C374" s="154" t="s">
        <v>1713</v>
      </c>
      <c r="D374" s="20" t="e">
        <f t="shared" si="5"/>
        <v>#N/A</v>
      </c>
      <c r="E374" s="9"/>
      <c r="F374" s="10" t="e" cm="1">
        <f t="array" aca="1" ref="F3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4" s="10"/>
      <c r="I374" s="12"/>
      <c r="J374" s="12"/>
      <c r="K374" s="61"/>
      <c r="L374" s="233"/>
      <c r="M374" s="10">
        <f ca="1">IF(ISBLANK(K374), TODAY()-(I374), Table27[[#This Row],[Effectiveness Review &amp; date deemed effective]]-Table27[[#This Row],[PTO initialized date]])</f>
        <v>46067</v>
      </c>
    </row>
    <row r="375" spans="1:13" ht="18">
      <c r="A375" s="9"/>
      <c r="B375" s="18" t="e">
        <f>VLOOKUP(Table27[[#This Row],[Location 
(drop-down)]],'List source'!D$2:E$71,2,FALSE)</f>
        <v>#N/A</v>
      </c>
      <c r="C375" s="154" t="s">
        <v>1714</v>
      </c>
      <c r="D375" s="20" t="e">
        <f t="shared" si="5"/>
        <v>#N/A</v>
      </c>
      <c r="E375" s="9"/>
      <c r="F375" s="10" t="e" cm="1">
        <f t="array" aca="1" ref="F3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5" s="130"/>
      <c r="I375" s="12"/>
      <c r="J375" s="12"/>
      <c r="K375" s="61"/>
      <c r="L375" s="233"/>
      <c r="M375" s="10">
        <f ca="1">IF(ISBLANK(K375), TODAY()-(I375), Table27[[#This Row],[Effectiveness Review &amp; date deemed effective]]-Table27[[#This Row],[PTO initialized date]])</f>
        <v>46067</v>
      </c>
    </row>
    <row r="376" spans="1:13" ht="18">
      <c r="A376" s="9"/>
      <c r="B376" s="18" t="e">
        <f>VLOOKUP(Table27[[#This Row],[Location 
(drop-down)]],'List source'!D$2:E$71,2,FALSE)</f>
        <v>#N/A</v>
      </c>
      <c r="C376" s="154" t="s">
        <v>1715</v>
      </c>
      <c r="D376" s="20" t="e">
        <f t="shared" si="5"/>
        <v>#N/A</v>
      </c>
      <c r="E376" s="9"/>
      <c r="F376" s="10" t="e" cm="1">
        <f t="array" aca="1" ref="F3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6" s="130"/>
      <c r="I376" s="12"/>
      <c r="J376" s="12"/>
      <c r="K376" s="61"/>
      <c r="L376" s="233"/>
      <c r="M376" s="10">
        <f ca="1">IF(ISBLANK(K376), TODAY()-(I376), Table27[[#This Row],[Effectiveness Review &amp; date deemed effective]]-Table27[[#This Row],[PTO initialized date]])</f>
        <v>46067</v>
      </c>
    </row>
    <row r="377" spans="1:13" ht="18">
      <c r="A377" s="9"/>
      <c r="B377" s="18" t="e">
        <f>VLOOKUP(Table27[[#This Row],[Location 
(drop-down)]],'List source'!D$2:E$71,2,FALSE)</f>
        <v>#N/A</v>
      </c>
      <c r="C377" s="154" t="s">
        <v>1716</v>
      </c>
      <c r="D377" s="20" t="e">
        <f t="shared" si="5"/>
        <v>#N/A</v>
      </c>
      <c r="E377" s="9"/>
      <c r="F377" s="10" t="e" cm="1">
        <f t="array" aca="1" ref="F3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7" s="130"/>
      <c r="I377" s="12"/>
      <c r="J377" s="12"/>
      <c r="K377" s="61"/>
      <c r="L377" s="233"/>
      <c r="M377" s="10">
        <f ca="1">IF(ISBLANK(K377), TODAY()-(I377), Table27[[#This Row],[Effectiveness Review &amp; date deemed effective]]-Table27[[#This Row],[PTO initialized date]])</f>
        <v>46067</v>
      </c>
    </row>
    <row r="378" spans="1:13" ht="18">
      <c r="A378" s="9"/>
      <c r="B378" s="18" t="e">
        <f>VLOOKUP(Table27[[#This Row],[Location 
(drop-down)]],'List source'!D$2:E$71,2,FALSE)</f>
        <v>#N/A</v>
      </c>
      <c r="C378" s="154" t="s">
        <v>1717</v>
      </c>
      <c r="D378" s="20" t="e">
        <f t="shared" si="5"/>
        <v>#N/A</v>
      </c>
      <c r="E378" s="9"/>
      <c r="F378" s="10" t="e" cm="1">
        <f t="array" aca="1" ref="F3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8" s="130"/>
      <c r="I378" s="12"/>
      <c r="J378" s="12"/>
      <c r="K378" s="61"/>
      <c r="L378" s="233"/>
      <c r="M378" s="10">
        <f ca="1">IF(ISBLANK(K378), TODAY()-(I378), Table27[[#This Row],[Effectiveness Review &amp; date deemed effective]]-Table27[[#This Row],[PTO initialized date]])</f>
        <v>46067</v>
      </c>
    </row>
    <row r="379" spans="1:13" ht="18">
      <c r="A379" s="9"/>
      <c r="B379" s="18" t="e">
        <f>VLOOKUP(Table27[[#This Row],[Location 
(drop-down)]],'List source'!D$2:E$71,2,FALSE)</f>
        <v>#N/A</v>
      </c>
      <c r="C379" s="154" t="s">
        <v>1718</v>
      </c>
      <c r="D379" s="20" t="e">
        <f t="shared" si="5"/>
        <v>#N/A</v>
      </c>
      <c r="E379" s="9"/>
      <c r="F379" s="10" t="e" cm="1">
        <f t="array" aca="1" ref="F3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79" s="130"/>
      <c r="I379" s="12"/>
      <c r="J379" s="12"/>
      <c r="K379" s="61"/>
      <c r="L379" s="233"/>
      <c r="M379" s="10">
        <f ca="1">IF(ISBLANK(K379), TODAY()-(I379), Table27[[#This Row],[Effectiveness Review &amp; date deemed effective]]-Table27[[#This Row],[PTO initialized date]])</f>
        <v>46067</v>
      </c>
    </row>
    <row r="380" spans="1:13" ht="18">
      <c r="A380" s="9"/>
      <c r="B380" s="18" t="e">
        <f>VLOOKUP(Table27[[#This Row],[Location 
(drop-down)]],'List source'!D$2:E$71,2,FALSE)</f>
        <v>#N/A</v>
      </c>
      <c r="C380" s="154" t="s">
        <v>1719</v>
      </c>
      <c r="D380" s="20" t="e">
        <f t="shared" si="5"/>
        <v>#N/A</v>
      </c>
      <c r="E380" s="9"/>
      <c r="F380" s="10" t="e" cm="1">
        <f t="array" aca="1" ref="F3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0" s="10"/>
      <c r="I380" s="12"/>
      <c r="J380" s="12"/>
      <c r="K380" s="61"/>
      <c r="L380" s="233"/>
      <c r="M380" s="10">
        <f ca="1">IF(ISBLANK(K380), TODAY()-(I380), Table27[[#This Row],[Effectiveness Review &amp; date deemed effective]]-Table27[[#This Row],[PTO initialized date]])</f>
        <v>46067</v>
      </c>
    </row>
    <row r="381" spans="1:13" ht="18">
      <c r="A381" s="9"/>
      <c r="B381" s="18" t="e">
        <f>VLOOKUP(Table27[[#This Row],[Location 
(drop-down)]],'List source'!D$2:E$71,2,FALSE)</f>
        <v>#N/A</v>
      </c>
      <c r="C381" s="154" t="s">
        <v>1720</v>
      </c>
      <c r="D381" s="20" t="e">
        <f t="shared" si="5"/>
        <v>#N/A</v>
      </c>
      <c r="E381" s="9"/>
      <c r="F381" s="10" t="e" cm="1">
        <f t="array" aca="1" ref="F3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1" s="130"/>
      <c r="I381" s="12"/>
      <c r="J381" s="12"/>
      <c r="K381" s="61"/>
      <c r="L381" s="233"/>
      <c r="M381" s="10">
        <f ca="1">IF(ISBLANK(K381), TODAY()-(I381), Table27[[#This Row],[Effectiveness Review &amp; date deemed effective]]-Table27[[#This Row],[PTO initialized date]])</f>
        <v>46067</v>
      </c>
    </row>
    <row r="382" spans="1:13" ht="18">
      <c r="A382" s="9"/>
      <c r="B382" s="18" t="e">
        <f>VLOOKUP(Table27[[#This Row],[Location 
(drop-down)]],'List source'!D$2:E$71,2,FALSE)</f>
        <v>#N/A</v>
      </c>
      <c r="C382" s="154" t="s">
        <v>1721</v>
      </c>
      <c r="D382" s="20" t="e">
        <f t="shared" si="5"/>
        <v>#N/A</v>
      </c>
      <c r="E382" s="9"/>
      <c r="F382" s="10" t="e" cm="1">
        <f t="array" aca="1" ref="F3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2" s="10"/>
      <c r="I382" s="12"/>
      <c r="J382" s="12"/>
      <c r="K382" s="61"/>
      <c r="L382" s="233"/>
      <c r="M382" s="10">
        <f ca="1">IF(ISBLANK(K382), TODAY()-(I382), Table27[[#This Row],[Effectiveness Review &amp; date deemed effective]]-Table27[[#This Row],[PTO initialized date]])</f>
        <v>46067</v>
      </c>
    </row>
    <row r="383" spans="1:13" ht="18">
      <c r="A383" s="9"/>
      <c r="B383" s="18" t="e">
        <f>VLOOKUP(Table27[[#This Row],[Location 
(drop-down)]],'List source'!D$2:E$71,2,FALSE)</f>
        <v>#N/A</v>
      </c>
      <c r="C383" s="154" t="s">
        <v>1722</v>
      </c>
      <c r="D383" s="20" t="e">
        <f t="shared" si="5"/>
        <v>#N/A</v>
      </c>
      <c r="E383" s="9"/>
      <c r="F383" s="10" t="e" cm="1">
        <f t="array" aca="1" ref="F3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3" s="10"/>
      <c r="I383" s="12"/>
      <c r="J383" s="12"/>
      <c r="K383" s="61"/>
      <c r="L383" s="233"/>
      <c r="M383" s="10">
        <f ca="1">IF(ISBLANK(K383), TODAY()-(I383), Table27[[#This Row],[Effectiveness Review &amp; date deemed effective]]-Table27[[#This Row],[PTO initialized date]])</f>
        <v>46067</v>
      </c>
    </row>
    <row r="384" spans="1:13" ht="18">
      <c r="A384" s="9"/>
      <c r="B384" s="18" t="e">
        <f>VLOOKUP(Table27[[#This Row],[Location 
(drop-down)]],'List source'!D$2:E$71,2,FALSE)</f>
        <v>#N/A</v>
      </c>
      <c r="C384" s="154" t="s">
        <v>1723</v>
      </c>
      <c r="D384" s="20" t="e">
        <f t="shared" si="5"/>
        <v>#N/A</v>
      </c>
      <c r="E384" s="9"/>
      <c r="F384" s="10" t="e" cm="1">
        <f t="array" aca="1" ref="F3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4" s="10"/>
      <c r="I384" s="12"/>
      <c r="J384" s="12"/>
      <c r="K384" s="61"/>
      <c r="L384" s="233"/>
      <c r="M384" s="10">
        <f ca="1">IF(ISBLANK(K384), TODAY()-(I384), Table27[[#This Row],[Effectiveness Review &amp; date deemed effective]]-Table27[[#This Row],[PTO initialized date]])</f>
        <v>46067</v>
      </c>
    </row>
    <row r="385" spans="1:13" ht="18">
      <c r="A385" s="9"/>
      <c r="B385" s="18" t="e">
        <f>VLOOKUP(Table27[[#This Row],[Location 
(drop-down)]],'List source'!D$2:E$71,2,FALSE)</f>
        <v>#N/A</v>
      </c>
      <c r="C385" s="154" t="s">
        <v>1724</v>
      </c>
      <c r="D385" s="20" t="e">
        <f t="shared" si="5"/>
        <v>#N/A</v>
      </c>
      <c r="E385" s="9"/>
      <c r="F385" s="10" t="e" cm="1">
        <f t="array" aca="1" ref="F3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5" s="10"/>
      <c r="I385" s="12"/>
      <c r="J385" s="12"/>
      <c r="K385" s="61"/>
      <c r="L385" s="233"/>
      <c r="M385" s="10">
        <f ca="1">IF(ISBLANK(K385), TODAY()-(I385), Table27[[#This Row],[Effectiveness Review &amp; date deemed effective]]-Table27[[#This Row],[PTO initialized date]])</f>
        <v>46067</v>
      </c>
    </row>
    <row r="386" spans="1:13" ht="18">
      <c r="A386" s="9"/>
      <c r="B386" s="18" t="e">
        <f>VLOOKUP(Table27[[#This Row],[Location 
(drop-down)]],'List source'!D$2:E$71,2,FALSE)</f>
        <v>#N/A</v>
      </c>
      <c r="C386" s="154" t="s">
        <v>1725</v>
      </c>
      <c r="D386" s="20" t="e">
        <f t="shared" ref="D386:D449" si="6">"PTO" &amp; C386 &amp; "-" &amp; B386 &amp; "-" &amp; "26"</f>
        <v>#N/A</v>
      </c>
      <c r="E386" s="9"/>
      <c r="F386" s="10" t="e" cm="1">
        <f t="array" aca="1" ref="F3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6" s="130"/>
      <c r="I386" s="12"/>
      <c r="J386" s="12"/>
      <c r="K386" s="61"/>
      <c r="L386" s="233"/>
      <c r="M386" s="10">
        <f ca="1">IF(ISBLANK(K386), TODAY()-(I386), Table27[[#This Row],[Effectiveness Review &amp; date deemed effective]]-Table27[[#This Row],[PTO initialized date]])</f>
        <v>46067</v>
      </c>
    </row>
    <row r="387" spans="1:13" ht="18">
      <c r="A387" s="9"/>
      <c r="B387" s="18" t="e">
        <f>VLOOKUP(Table27[[#This Row],[Location 
(drop-down)]],'List source'!D$2:E$71,2,FALSE)</f>
        <v>#N/A</v>
      </c>
      <c r="C387" s="154" t="s">
        <v>1726</v>
      </c>
      <c r="D387" s="20" t="e">
        <f t="shared" si="6"/>
        <v>#N/A</v>
      </c>
      <c r="E387" s="9"/>
      <c r="F387" s="10" t="e" cm="1">
        <f t="array" aca="1" ref="F3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7" s="130"/>
      <c r="I387" s="12"/>
      <c r="J387" s="12"/>
      <c r="K387" s="61"/>
      <c r="L387" s="233"/>
      <c r="M387" s="10">
        <f ca="1">IF(ISBLANK(K387), TODAY()-(I387), Table27[[#This Row],[Effectiveness Review &amp; date deemed effective]]-Table27[[#This Row],[PTO initialized date]])</f>
        <v>46067</v>
      </c>
    </row>
    <row r="388" spans="1:13" ht="18">
      <c r="A388" s="9"/>
      <c r="B388" s="18" t="e">
        <f>VLOOKUP(Table27[[#This Row],[Location 
(drop-down)]],'List source'!D$2:E$71,2,FALSE)</f>
        <v>#N/A</v>
      </c>
      <c r="C388" s="154" t="s">
        <v>1727</v>
      </c>
      <c r="D388" s="20" t="e">
        <f t="shared" si="6"/>
        <v>#N/A</v>
      </c>
      <c r="E388" s="9"/>
      <c r="F388" s="10" t="e" cm="1">
        <f t="array" aca="1" ref="F3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8" s="130"/>
      <c r="I388" s="12"/>
      <c r="J388" s="12"/>
      <c r="K388" s="61"/>
      <c r="L388" s="233"/>
      <c r="M388" s="10">
        <f ca="1">IF(ISBLANK(K388), TODAY()-(I388), Table27[[#This Row],[Effectiveness Review &amp; date deemed effective]]-Table27[[#This Row],[PTO initialized date]])</f>
        <v>46067</v>
      </c>
    </row>
    <row r="389" spans="1:13" ht="18">
      <c r="A389" s="9"/>
      <c r="B389" s="18" t="e">
        <f>VLOOKUP(Table27[[#This Row],[Location 
(drop-down)]],'List source'!D$2:E$71,2,FALSE)</f>
        <v>#N/A</v>
      </c>
      <c r="C389" s="154" t="s">
        <v>1728</v>
      </c>
      <c r="D389" s="20" t="e">
        <f t="shared" si="6"/>
        <v>#N/A</v>
      </c>
      <c r="E389" s="9"/>
      <c r="F389" s="10" t="e" cm="1">
        <f t="array" aca="1" ref="F3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89" s="130"/>
      <c r="I389" s="12"/>
      <c r="J389" s="12"/>
      <c r="K389" s="61"/>
      <c r="L389" s="233"/>
      <c r="M389" s="10">
        <f ca="1">IF(ISBLANK(K389), TODAY()-(I389), Table27[[#This Row],[Effectiveness Review &amp; date deemed effective]]-Table27[[#This Row],[PTO initialized date]])</f>
        <v>46067</v>
      </c>
    </row>
    <row r="390" spans="1:13" ht="18">
      <c r="A390" s="9"/>
      <c r="B390" s="18" t="e">
        <f>VLOOKUP(Table27[[#This Row],[Location 
(drop-down)]],'List source'!D$2:E$71,2,FALSE)</f>
        <v>#N/A</v>
      </c>
      <c r="C390" s="154" t="s">
        <v>1729</v>
      </c>
      <c r="D390" s="20" t="e">
        <f t="shared" si="6"/>
        <v>#N/A</v>
      </c>
      <c r="E390" s="9"/>
      <c r="F390" s="10" t="e" cm="1">
        <f t="array" aca="1" ref="F3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0" s="10"/>
      <c r="I390" s="12"/>
      <c r="J390" s="12"/>
      <c r="K390" s="61"/>
      <c r="L390" s="233"/>
      <c r="M390" s="10">
        <f ca="1">IF(ISBLANK(K390), TODAY()-(I390), Table27[[#This Row],[Effectiveness Review &amp; date deemed effective]]-Table27[[#This Row],[PTO initialized date]])</f>
        <v>46067</v>
      </c>
    </row>
    <row r="391" spans="1:13" ht="18">
      <c r="A391" s="9"/>
      <c r="B391" s="18" t="e">
        <f>VLOOKUP(Table27[[#This Row],[Location 
(drop-down)]],'List source'!D$2:E$71,2,FALSE)</f>
        <v>#N/A</v>
      </c>
      <c r="C391" s="154" t="s">
        <v>1730</v>
      </c>
      <c r="D391" s="20" t="e">
        <f t="shared" si="6"/>
        <v>#N/A</v>
      </c>
      <c r="E391" s="9"/>
      <c r="F391" s="10" t="e" cm="1">
        <f t="array" aca="1" ref="F3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1" s="10"/>
      <c r="I391" s="12"/>
      <c r="J391" s="12"/>
      <c r="K391" s="61"/>
      <c r="L391" s="233"/>
      <c r="M391" s="10">
        <f ca="1">IF(ISBLANK(K391), TODAY()-(I391), Table27[[#This Row],[Effectiveness Review &amp; date deemed effective]]-Table27[[#This Row],[PTO initialized date]])</f>
        <v>46067</v>
      </c>
    </row>
    <row r="392" spans="1:13" ht="18">
      <c r="A392" s="9"/>
      <c r="B392" s="18" t="e">
        <f>VLOOKUP(Table27[[#This Row],[Location 
(drop-down)]],'List source'!D$2:E$71,2,FALSE)</f>
        <v>#N/A</v>
      </c>
      <c r="C392" s="154" t="s">
        <v>1731</v>
      </c>
      <c r="D392" s="20" t="e">
        <f t="shared" si="6"/>
        <v>#N/A</v>
      </c>
      <c r="E392" s="9"/>
      <c r="F392" s="10" t="e" cm="1">
        <f t="array" aca="1" ref="F3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2" s="10"/>
      <c r="I392" s="12"/>
      <c r="J392" s="12"/>
      <c r="K392" s="61"/>
      <c r="L392" s="233"/>
      <c r="M392" s="10">
        <f ca="1">IF(ISBLANK(K392), TODAY()-(I392), Table27[[#This Row],[Effectiveness Review &amp; date deemed effective]]-Table27[[#This Row],[PTO initialized date]])</f>
        <v>46067</v>
      </c>
    </row>
    <row r="393" spans="1:13" ht="18">
      <c r="A393" s="9"/>
      <c r="B393" s="18" t="e">
        <f>VLOOKUP(Table27[[#This Row],[Location 
(drop-down)]],'List source'!D$2:E$71,2,FALSE)</f>
        <v>#N/A</v>
      </c>
      <c r="C393" s="154" t="s">
        <v>1732</v>
      </c>
      <c r="D393" s="20" t="e">
        <f t="shared" si="6"/>
        <v>#N/A</v>
      </c>
      <c r="E393" s="9"/>
      <c r="F393" s="10" t="e" cm="1">
        <f t="array" aca="1" ref="F3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3" s="10"/>
      <c r="I393" s="12"/>
      <c r="J393" s="12"/>
      <c r="K393" s="61"/>
      <c r="L393" s="233"/>
      <c r="M393" s="10">
        <f ca="1">IF(ISBLANK(K393), TODAY()-(I393), Table27[[#This Row],[Effectiveness Review &amp; date deemed effective]]-Table27[[#This Row],[PTO initialized date]])</f>
        <v>46067</v>
      </c>
    </row>
    <row r="394" spans="1:13" ht="18">
      <c r="A394" s="9"/>
      <c r="B394" s="18" t="e">
        <f>VLOOKUP(Table27[[#This Row],[Location 
(drop-down)]],'List source'!D$2:E$71,2,FALSE)</f>
        <v>#N/A</v>
      </c>
      <c r="C394" s="154" t="s">
        <v>1733</v>
      </c>
      <c r="D394" s="20" t="e">
        <f t="shared" si="6"/>
        <v>#N/A</v>
      </c>
      <c r="E394" s="9"/>
      <c r="F394" s="10" t="e" cm="1">
        <f t="array" aca="1" ref="F3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4" s="10"/>
      <c r="I394" s="12"/>
      <c r="J394" s="12"/>
      <c r="K394" s="61"/>
      <c r="L394" s="233"/>
      <c r="M394" s="10">
        <f ca="1">IF(ISBLANK(K394), TODAY()-(I394), Table27[[#This Row],[Effectiveness Review &amp; date deemed effective]]-Table27[[#This Row],[PTO initialized date]])</f>
        <v>46067</v>
      </c>
    </row>
    <row r="395" spans="1:13" ht="18">
      <c r="A395" s="9"/>
      <c r="B395" s="18" t="e">
        <f>VLOOKUP(Table27[[#This Row],[Location 
(drop-down)]],'List source'!D$2:E$71,2,FALSE)</f>
        <v>#N/A</v>
      </c>
      <c r="C395" s="154" t="s">
        <v>1734</v>
      </c>
      <c r="D395" s="20" t="e">
        <f t="shared" si="6"/>
        <v>#N/A</v>
      </c>
      <c r="E395" s="9"/>
      <c r="F395" s="10" t="e" cm="1">
        <f t="array" aca="1" ref="F3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5" s="10"/>
      <c r="I395" s="12"/>
      <c r="J395" s="12"/>
      <c r="K395" s="61"/>
      <c r="L395" s="233"/>
      <c r="M395" s="10">
        <f ca="1">IF(ISBLANK(K395), TODAY()-(I395), Table27[[#This Row],[Effectiveness Review &amp; date deemed effective]]-Table27[[#This Row],[PTO initialized date]])</f>
        <v>46067</v>
      </c>
    </row>
    <row r="396" spans="1:13" ht="18">
      <c r="A396" s="9"/>
      <c r="B396" s="18" t="e">
        <f>VLOOKUP(Table27[[#This Row],[Location 
(drop-down)]],'List source'!D$2:E$71,2,FALSE)</f>
        <v>#N/A</v>
      </c>
      <c r="C396" s="154" t="s">
        <v>1735</v>
      </c>
      <c r="D396" s="20" t="e">
        <f t="shared" si="6"/>
        <v>#N/A</v>
      </c>
      <c r="E396" s="9"/>
      <c r="F396" s="10" t="e" cm="1">
        <f t="array" aca="1" ref="F3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6" s="10"/>
      <c r="I396" s="12"/>
      <c r="J396" s="12"/>
      <c r="K396" s="61"/>
      <c r="L396" s="233"/>
      <c r="M396" s="10">
        <f ca="1">IF(ISBLANK(K396), TODAY()-(I396), Table27[[#This Row],[Effectiveness Review &amp; date deemed effective]]-Table27[[#This Row],[PTO initialized date]])</f>
        <v>46067</v>
      </c>
    </row>
    <row r="397" spans="1:13" ht="18">
      <c r="A397" s="9"/>
      <c r="B397" s="18" t="e">
        <f>VLOOKUP(Table27[[#This Row],[Location 
(drop-down)]],'List source'!D$2:E$71,2,FALSE)</f>
        <v>#N/A</v>
      </c>
      <c r="C397" s="154" t="s">
        <v>1736</v>
      </c>
      <c r="D397" s="20" t="e">
        <f t="shared" si="6"/>
        <v>#N/A</v>
      </c>
      <c r="E397" s="9"/>
      <c r="F397" s="10" t="e" cm="1">
        <f t="array" aca="1" ref="F3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7" s="130"/>
      <c r="I397" s="12"/>
      <c r="J397" s="12"/>
      <c r="K397" s="61"/>
      <c r="L397" s="233"/>
      <c r="M397" s="10">
        <f ca="1">IF(ISBLANK(K397), TODAY()-(I397), Table27[[#This Row],[Effectiveness Review &amp; date deemed effective]]-Table27[[#This Row],[PTO initialized date]])</f>
        <v>46067</v>
      </c>
    </row>
    <row r="398" spans="1:13" ht="18">
      <c r="A398" s="9"/>
      <c r="B398" s="18" t="e">
        <f>VLOOKUP(Table27[[#This Row],[Location 
(drop-down)]],'List source'!D$2:E$71,2,FALSE)</f>
        <v>#N/A</v>
      </c>
      <c r="C398" s="154" t="s">
        <v>1737</v>
      </c>
      <c r="D398" s="20" t="e">
        <f t="shared" si="6"/>
        <v>#N/A</v>
      </c>
      <c r="E398" s="9"/>
      <c r="F398" s="10" t="e" cm="1">
        <f t="array" aca="1" ref="F3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8" s="10"/>
      <c r="I398" s="12"/>
      <c r="J398" s="12"/>
      <c r="K398" s="61"/>
      <c r="L398" s="233"/>
      <c r="M398" s="10">
        <f ca="1">IF(ISBLANK(K398), TODAY()-(I398), Table27[[#This Row],[Effectiveness Review &amp; date deemed effective]]-Table27[[#This Row],[PTO initialized date]])</f>
        <v>46067</v>
      </c>
    </row>
    <row r="399" spans="1:13" ht="18">
      <c r="A399" s="9"/>
      <c r="B399" s="18" t="e">
        <f>VLOOKUP(Table27[[#This Row],[Location 
(drop-down)]],'List source'!D$2:E$71,2,FALSE)</f>
        <v>#N/A</v>
      </c>
      <c r="C399" s="154" t="s">
        <v>1738</v>
      </c>
      <c r="D399" s="20" t="e">
        <f t="shared" si="6"/>
        <v>#N/A</v>
      </c>
      <c r="E399" s="9"/>
      <c r="F399" s="10" t="e" cm="1">
        <f t="array" aca="1" ref="F3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3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399" s="10"/>
      <c r="I399" s="12"/>
      <c r="J399" s="12"/>
      <c r="K399" s="61"/>
      <c r="L399" s="233"/>
      <c r="M399" s="10">
        <f ca="1">IF(ISBLANK(K399), TODAY()-(I399), Table27[[#This Row],[Effectiveness Review &amp; date deemed effective]]-Table27[[#This Row],[PTO initialized date]])</f>
        <v>46067</v>
      </c>
    </row>
    <row r="400" spans="1:13" ht="18">
      <c r="A400" s="9"/>
      <c r="B400" s="18" t="e">
        <f>VLOOKUP(Table27[[#This Row],[Location 
(drop-down)]],'List source'!D$2:E$71,2,FALSE)</f>
        <v>#N/A</v>
      </c>
      <c r="C400" s="154" t="s">
        <v>1739</v>
      </c>
      <c r="D400" s="20" t="e">
        <f t="shared" si="6"/>
        <v>#N/A</v>
      </c>
      <c r="E400" s="9"/>
      <c r="F400" s="10" t="e" cm="1">
        <f t="array" aca="1" ref="F4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0" s="10"/>
      <c r="I400" s="12"/>
      <c r="J400" s="12"/>
      <c r="K400" s="61"/>
      <c r="L400" s="233"/>
      <c r="M400" s="10">
        <f ca="1">IF(ISBLANK(K400), TODAY()-(I400), Table27[[#This Row],[Effectiveness Review &amp; date deemed effective]]-Table27[[#This Row],[PTO initialized date]])</f>
        <v>46067</v>
      </c>
    </row>
    <row r="401" spans="1:13" ht="18">
      <c r="A401" s="9"/>
      <c r="B401" s="18" t="e">
        <f>VLOOKUP(Table27[[#This Row],[Location 
(drop-down)]],'List source'!D$2:E$71,2,FALSE)</f>
        <v>#N/A</v>
      </c>
      <c r="C401" s="154" t="s">
        <v>1740</v>
      </c>
      <c r="D401" s="20" t="e">
        <f t="shared" si="6"/>
        <v>#N/A</v>
      </c>
      <c r="E401" s="9"/>
      <c r="F401" s="10" t="e" cm="1">
        <f t="array" aca="1" ref="F4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1" s="130"/>
      <c r="I401" s="12"/>
      <c r="J401" s="12"/>
      <c r="K401" s="61"/>
      <c r="L401" s="233"/>
      <c r="M401" s="10">
        <f ca="1">IF(ISBLANK(K401), TODAY()-(I401), Table27[[#This Row],[Effectiveness Review &amp; date deemed effective]]-Table27[[#This Row],[PTO initialized date]])</f>
        <v>46067</v>
      </c>
    </row>
    <row r="402" spans="1:13" ht="18">
      <c r="A402" s="9"/>
      <c r="B402" s="18" t="e">
        <f>VLOOKUP(Table27[[#This Row],[Location 
(drop-down)]],'List source'!D$2:E$71,2,FALSE)</f>
        <v>#N/A</v>
      </c>
      <c r="C402" s="154" t="s">
        <v>1741</v>
      </c>
      <c r="D402" s="20" t="e">
        <f t="shared" si="6"/>
        <v>#N/A</v>
      </c>
      <c r="E402" s="9"/>
      <c r="F402" s="10" t="e" cm="1">
        <f t="array" aca="1" ref="F4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2" s="10"/>
      <c r="I402" s="12"/>
      <c r="J402" s="12"/>
      <c r="K402" s="61"/>
      <c r="L402" s="233"/>
      <c r="M402" s="10">
        <f ca="1">IF(ISBLANK(K402), TODAY()-(I402), Table27[[#This Row],[Effectiveness Review &amp; date deemed effective]]-Table27[[#This Row],[PTO initialized date]])</f>
        <v>46067</v>
      </c>
    </row>
    <row r="403" spans="1:13" ht="18">
      <c r="A403" s="9"/>
      <c r="B403" s="18" t="e">
        <f>VLOOKUP(Table27[[#This Row],[Location 
(drop-down)]],'List source'!D$2:E$71,2,FALSE)</f>
        <v>#N/A</v>
      </c>
      <c r="C403" s="154" t="s">
        <v>1742</v>
      </c>
      <c r="D403" s="20" t="e">
        <f t="shared" si="6"/>
        <v>#N/A</v>
      </c>
      <c r="E403" s="9"/>
      <c r="F403" s="10" t="e" cm="1">
        <f t="array" aca="1" ref="F4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3" s="10"/>
      <c r="I403" s="12"/>
      <c r="J403" s="12"/>
      <c r="K403" s="61"/>
      <c r="L403" s="233"/>
      <c r="M403" s="10">
        <f ca="1">IF(ISBLANK(K403), TODAY()-(I403), Table27[[#This Row],[Effectiveness Review &amp; date deemed effective]]-Table27[[#This Row],[PTO initialized date]])</f>
        <v>46067</v>
      </c>
    </row>
    <row r="404" spans="1:13" ht="18">
      <c r="A404" s="9"/>
      <c r="B404" s="18" t="e">
        <f>VLOOKUP(Table27[[#This Row],[Location 
(drop-down)]],'List source'!D$2:E$71,2,FALSE)</f>
        <v>#N/A</v>
      </c>
      <c r="C404" s="154" t="s">
        <v>1743</v>
      </c>
      <c r="D404" s="20" t="e">
        <f t="shared" si="6"/>
        <v>#N/A</v>
      </c>
      <c r="E404" s="9"/>
      <c r="F404" s="10" t="e" cm="1">
        <f t="array" aca="1" ref="F4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4" s="10"/>
      <c r="I404" s="12"/>
      <c r="J404" s="12"/>
      <c r="K404" s="61"/>
      <c r="L404" s="233"/>
      <c r="M404" s="10">
        <f ca="1">IF(ISBLANK(K404), TODAY()-(I404), Table27[[#This Row],[Effectiveness Review &amp; date deemed effective]]-Table27[[#This Row],[PTO initialized date]])</f>
        <v>46067</v>
      </c>
    </row>
    <row r="405" spans="1:13" ht="18">
      <c r="A405" s="9"/>
      <c r="B405" s="18" t="e">
        <f>VLOOKUP(Table27[[#This Row],[Location 
(drop-down)]],'List source'!D$2:E$71,2,FALSE)</f>
        <v>#N/A</v>
      </c>
      <c r="C405" s="154" t="s">
        <v>1744</v>
      </c>
      <c r="D405" s="20" t="e">
        <f t="shared" si="6"/>
        <v>#N/A</v>
      </c>
      <c r="E405" s="9"/>
      <c r="F405" s="10" t="e" cm="1">
        <f t="array" aca="1" ref="F4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5" s="130"/>
      <c r="I405" s="12"/>
      <c r="J405" s="12"/>
      <c r="K405" s="61"/>
      <c r="L405" s="233"/>
      <c r="M405" s="10">
        <f ca="1">IF(ISBLANK(K405), TODAY()-(I405), Table27[[#This Row],[Effectiveness Review &amp; date deemed effective]]-Table27[[#This Row],[PTO initialized date]])</f>
        <v>46067</v>
      </c>
    </row>
    <row r="406" spans="1:13" ht="18">
      <c r="A406" s="9"/>
      <c r="B406" s="18" t="e">
        <f>VLOOKUP(Table27[[#This Row],[Location 
(drop-down)]],'List source'!D$2:E$71,2,FALSE)</f>
        <v>#N/A</v>
      </c>
      <c r="C406" s="154" t="s">
        <v>1745</v>
      </c>
      <c r="D406" s="20" t="e">
        <f t="shared" si="6"/>
        <v>#N/A</v>
      </c>
      <c r="E406" s="9"/>
      <c r="F406" s="10" t="e" cm="1">
        <f t="array" aca="1" ref="F4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6" s="10"/>
      <c r="I406" s="12"/>
      <c r="J406" s="12"/>
      <c r="K406" s="61"/>
      <c r="L406" s="233"/>
      <c r="M406" s="10">
        <f ca="1">IF(ISBLANK(K406), TODAY()-(I406), Table27[[#This Row],[Effectiveness Review &amp; date deemed effective]]-Table27[[#This Row],[PTO initialized date]])</f>
        <v>46067</v>
      </c>
    </row>
    <row r="407" spans="1:13" ht="18">
      <c r="A407" s="9"/>
      <c r="B407" s="18" t="e">
        <f>VLOOKUP(Table27[[#This Row],[Location 
(drop-down)]],'List source'!D$2:E$71,2,FALSE)</f>
        <v>#N/A</v>
      </c>
      <c r="C407" s="154" t="s">
        <v>1746</v>
      </c>
      <c r="D407" s="20" t="e">
        <f t="shared" si="6"/>
        <v>#N/A</v>
      </c>
      <c r="E407" s="9"/>
      <c r="F407" s="10" t="e" cm="1">
        <f t="array" aca="1" ref="F4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7" s="130"/>
      <c r="I407" s="12"/>
      <c r="J407" s="12"/>
      <c r="K407" s="61"/>
      <c r="L407" s="233"/>
      <c r="M407" s="10">
        <f ca="1">IF(ISBLANK(K407), TODAY()-(I407), Table27[[#This Row],[Effectiveness Review &amp; date deemed effective]]-Table27[[#This Row],[PTO initialized date]])</f>
        <v>46067</v>
      </c>
    </row>
    <row r="408" spans="1:13" ht="18">
      <c r="A408" s="9"/>
      <c r="B408" s="18" t="e">
        <f>VLOOKUP(Table27[[#This Row],[Location 
(drop-down)]],'List source'!D$2:E$71,2,FALSE)</f>
        <v>#N/A</v>
      </c>
      <c r="C408" s="154" t="s">
        <v>1747</v>
      </c>
      <c r="D408" s="20" t="e">
        <f t="shared" si="6"/>
        <v>#N/A</v>
      </c>
      <c r="E408" s="9"/>
      <c r="F408" s="10" t="e" cm="1">
        <f t="array" aca="1" ref="F4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8" s="130"/>
      <c r="I408" s="12"/>
      <c r="J408" s="12"/>
      <c r="K408" s="61"/>
      <c r="L408" s="233"/>
      <c r="M408" s="10">
        <f ca="1">IF(ISBLANK(K408), TODAY()-(I408), Table27[[#This Row],[Effectiveness Review &amp; date deemed effective]]-Table27[[#This Row],[PTO initialized date]])</f>
        <v>46067</v>
      </c>
    </row>
    <row r="409" spans="1:13" ht="18">
      <c r="A409" s="9"/>
      <c r="B409" s="18" t="e">
        <f>VLOOKUP(Table27[[#This Row],[Location 
(drop-down)]],'List source'!D$2:E$71,2,FALSE)</f>
        <v>#N/A</v>
      </c>
      <c r="C409" s="154" t="s">
        <v>1748</v>
      </c>
      <c r="D409" s="20" t="e">
        <f t="shared" si="6"/>
        <v>#N/A</v>
      </c>
      <c r="E409" s="9"/>
      <c r="F409" s="10" t="e" cm="1">
        <f t="array" aca="1" ref="F4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09" s="10"/>
      <c r="I409" s="12"/>
      <c r="J409" s="12"/>
      <c r="K409" s="61"/>
      <c r="L409" s="233"/>
      <c r="M409" s="10">
        <f ca="1">IF(ISBLANK(K409), TODAY()-(I409), Table27[[#This Row],[Effectiveness Review &amp; date deemed effective]]-Table27[[#This Row],[PTO initialized date]])</f>
        <v>46067</v>
      </c>
    </row>
    <row r="410" spans="1:13" ht="18">
      <c r="A410" s="9"/>
      <c r="B410" s="18" t="e">
        <f>VLOOKUP(Table27[[#This Row],[Location 
(drop-down)]],'List source'!D$2:E$71,2,FALSE)</f>
        <v>#N/A</v>
      </c>
      <c r="C410" s="154" t="s">
        <v>1749</v>
      </c>
      <c r="D410" s="20" t="e">
        <f t="shared" si="6"/>
        <v>#N/A</v>
      </c>
      <c r="E410" s="9"/>
      <c r="F410" s="10" t="e" cm="1">
        <f t="array" aca="1" ref="F4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0" s="10"/>
      <c r="I410" s="12"/>
      <c r="J410" s="12"/>
      <c r="K410" s="61"/>
      <c r="L410" s="233"/>
      <c r="M410" s="10">
        <f ca="1">IF(ISBLANK(K410), TODAY()-(I410), Table27[[#This Row],[Effectiveness Review &amp; date deemed effective]]-Table27[[#This Row],[PTO initialized date]])</f>
        <v>46067</v>
      </c>
    </row>
    <row r="411" spans="1:13" ht="18">
      <c r="A411" s="9"/>
      <c r="B411" s="18" t="e">
        <f>VLOOKUP(Table27[[#This Row],[Location 
(drop-down)]],'List source'!D$2:E$71,2,FALSE)</f>
        <v>#N/A</v>
      </c>
      <c r="C411" s="154" t="s">
        <v>1750</v>
      </c>
      <c r="D411" s="20" t="e">
        <f t="shared" si="6"/>
        <v>#N/A</v>
      </c>
      <c r="E411" s="9"/>
      <c r="F411" s="10" t="e" cm="1">
        <f t="array" aca="1" ref="F4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1" s="10"/>
      <c r="I411" s="12"/>
      <c r="J411" s="12"/>
      <c r="K411" s="61"/>
      <c r="L411" s="233"/>
      <c r="M411" s="10">
        <f ca="1">IF(ISBLANK(K411), TODAY()-(I411), Table27[[#This Row],[Effectiveness Review &amp; date deemed effective]]-Table27[[#This Row],[PTO initialized date]])</f>
        <v>46067</v>
      </c>
    </row>
    <row r="412" spans="1:13" ht="18">
      <c r="A412" s="9"/>
      <c r="B412" s="18" t="e">
        <f>VLOOKUP(Table27[[#This Row],[Location 
(drop-down)]],'List source'!D$2:E$71,2,FALSE)</f>
        <v>#N/A</v>
      </c>
      <c r="C412" s="154" t="s">
        <v>1751</v>
      </c>
      <c r="D412" s="20" t="e">
        <f t="shared" si="6"/>
        <v>#N/A</v>
      </c>
      <c r="E412" s="9"/>
      <c r="F412" s="10" t="e" cm="1">
        <f t="array" aca="1" ref="F4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2" s="130"/>
      <c r="I412" s="12"/>
      <c r="J412" s="12"/>
      <c r="K412" s="61"/>
      <c r="L412" s="233"/>
      <c r="M412" s="10">
        <f ca="1">IF(ISBLANK(K412), TODAY()-(I412), Table27[[#This Row],[Effectiveness Review &amp; date deemed effective]]-Table27[[#This Row],[PTO initialized date]])</f>
        <v>46067</v>
      </c>
    </row>
    <row r="413" spans="1:13" ht="18">
      <c r="A413" s="9"/>
      <c r="B413" s="18" t="e">
        <f>VLOOKUP(Table27[[#This Row],[Location 
(drop-down)]],'List source'!D$2:E$71,2,FALSE)</f>
        <v>#N/A</v>
      </c>
      <c r="C413" s="154" t="s">
        <v>1752</v>
      </c>
      <c r="D413" s="20" t="e">
        <f t="shared" si="6"/>
        <v>#N/A</v>
      </c>
      <c r="E413" s="9"/>
      <c r="F413" s="10" t="e" cm="1">
        <f t="array" aca="1" ref="F4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3" s="10"/>
      <c r="I413" s="12"/>
      <c r="J413" s="12"/>
      <c r="K413" s="61"/>
      <c r="L413" s="233"/>
      <c r="M413" s="10">
        <f ca="1">IF(ISBLANK(K413), TODAY()-(I413), Table27[[#This Row],[Effectiveness Review &amp; date deemed effective]]-Table27[[#This Row],[PTO initialized date]])</f>
        <v>46067</v>
      </c>
    </row>
    <row r="414" spans="1:13" ht="18">
      <c r="A414" s="9"/>
      <c r="B414" s="18" t="e">
        <f>VLOOKUP(Table27[[#This Row],[Location 
(drop-down)]],'List source'!D$2:E$71,2,FALSE)</f>
        <v>#N/A</v>
      </c>
      <c r="C414" s="154" t="s">
        <v>1753</v>
      </c>
      <c r="D414" s="20" t="e">
        <f t="shared" si="6"/>
        <v>#N/A</v>
      </c>
      <c r="E414" s="9"/>
      <c r="F414" s="10" t="e" cm="1">
        <f t="array" aca="1" ref="F4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4" s="130"/>
      <c r="I414" s="12"/>
      <c r="J414" s="12"/>
      <c r="K414" s="61"/>
      <c r="L414" s="233"/>
      <c r="M414" s="10">
        <f ca="1">IF(ISBLANK(K414), TODAY()-(I414), Table27[[#This Row],[Effectiveness Review &amp; date deemed effective]]-Table27[[#This Row],[PTO initialized date]])</f>
        <v>46067</v>
      </c>
    </row>
    <row r="415" spans="1:13" ht="18">
      <c r="A415" s="9"/>
      <c r="B415" s="18" t="e">
        <f>VLOOKUP(Table27[[#This Row],[Location 
(drop-down)]],'List source'!D$2:E$71,2,FALSE)</f>
        <v>#N/A</v>
      </c>
      <c r="C415" s="154" t="s">
        <v>1754</v>
      </c>
      <c r="D415" s="20" t="e">
        <f t="shared" si="6"/>
        <v>#N/A</v>
      </c>
      <c r="E415" s="9"/>
      <c r="F415" s="10" t="e" cm="1">
        <f t="array" aca="1" ref="F4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5" s="130"/>
      <c r="I415" s="12"/>
      <c r="J415" s="12"/>
      <c r="K415" s="61"/>
      <c r="L415" s="233"/>
      <c r="M415" s="10">
        <f ca="1">IF(ISBLANK(K415), TODAY()-(I415), Table27[[#This Row],[Effectiveness Review &amp; date deemed effective]]-Table27[[#This Row],[PTO initialized date]])</f>
        <v>46067</v>
      </c>
    </row>
    <row r="416" spans="1:13" ht="18">
      <c r="A416" s="9"/>
      <c r="B416" s="18" t="e">
        <f>VLOOKUP(Table27[[#This Row],[Location 
(drop-down)]],'List source'!D$2:E$71,2,FALSE)</f>
        <v>#N/A</v>
      </c>
      <c r="C416" s="154" t="s">
        <v>1755</v>
      </c>
      <c r="D416" s="20" t="e">
        <f t="shared" si="6"/>
        <v>#N/A</v>
      </c>
      <c r="E416" s="9"/>
      <c r="F416" s="10" t="e" cm="1">
        <f t="array" aca="1" ref="F4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6" s="130"/>
      <c r="I416" s="12"/>
      <c r="J416" s="12"/>
      <c r="K416" s="61"/>
      <c r="L416" s="233"/>
      <c r="M416" s="10">
        <f ca="1">IF(ISBLANK(K416), TODAY()-(I416), Table27[[#This Row],[Effectiveness Review &amp; date deemed effective]]-Table27[[#This Row],[PTO initialized date]])</f>
        <v>46067</v>
      </c>
    </row>
    <row r="417" spans="1:13" ht="18">
      <c r="A417" s="9"/>
      <c r="B417" s="18" t="e">
        <f>VLOOKUP(Table27[[#This Row],[Location 
(drop-down)]],'List source'!D$2:E$71,2,FALSE)</f>
        <v>#N/A</v>
      </c>
      <c r="C417" s="154" t="s">
        <v>1756</v>
      </c>
      <c r="D417" s="20" t="e">
        <f t="shared" si="6"/>
        <v>#N/A</v>
      </c>
      <c r="E417" s="9"/>
      <c r="F417" s="10" t="e" cm="1">
        <f t="array" aca="1" ref="F4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7" s="10"/>
      <c r="I417" s="12"/>
      <c r="J417" s="12"/>
      <c r="K417" s="61"/>
      <c r="L417" s="233"/>
      <c r="M417" s="10">
        <f ca="1">IF(ISBLANK(K417), TODAY()-(I417), Table27[[#This Row],[Effectiveness Review &amp; date deemed effective]]-Table27[[#This Row],[PTO initialized date]])</f>
        <v>46067</v>
      </c>
    </row>
    <row r="418" spans="1:13" ht="18">
      <c r="A418" s="9"/>
      <c r="B418" s="18" t="e">
        <f>VLOOKUP(Table27[[#This Row],[Location 
(drop-down)]],'List source'!D$2:E$71,2,FALSE)</f>
        <v>#N/A</v>
      </c>
      <c r="C418" s="154" t="s">
        <v>1757</v>
      </c>
      <c r="D418" s="20" t="e">
        <f t="shared" si="6"/>
        <v>#N/A</v>
      </c>
      <c r="E418" s="9"/>
      <c r="F418" s="10" t="e" cm="1">
        <f t="array" aca="1" ref="F4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8" s="130"/>
      <c r="I418" s="12"/>
      <c r="J418" s="12"/>
      <c r="K418" s="61"/>
      <c r="L418" s="233"/>
      <c r="M418" s="10">
        <f ca="1">IF(ISBLANK(K418), TODAY()-(I418), Table27[[#This Row],[Effectiveness Review &amp; date deemed effective]]-Table27[[#This Row],[PTO initialized date]])</f>
        <v>46067</v>
      </c>
    </row>
    <row r="419" spans="1:13" ht="18">
      <c r="A419" s="9"/>
      <c r="B419" s="18" t="e">
        <f>VLOOKUP(Table27[[#This Row],[Location 
(drop-down)]],'List source'!D$2:E$71,2,FALSE)</f>
        <v>#N/A</v>
      </c>
      <c r="C419" s="154" t="s">
        <v>1758</v>
      </c>
      <c r="D419" s="20" t="e">
        <f t="shared" si="6"/>
        <v>#N/A</v>
      </c>
      <c r="E419" s="9"/>
      <c r="F419" s="10" t="e" cm="1">
        <f t="array" aca="1" ref="F4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19" s="130"/>
      <c r="I419" s="12"/>
      <c r="J419" s="12"/>
      <c r="K419" s="61"/>
      <c r="L419" s="233"/>
      <c r="M419" s="10">
        <f ca="1">IF(ISBLANK(K419), TODAY()-(I419), Table27[[#This Row],[Effectiveness Review &amp; date deemed effective]]-Table27[[#This Row],[PTO initialized date]])</f>
        <v>46067</v>
      </c>
    </row>
    <row r="420" spans="1:13" ht="18">
      <c r="A420" s="9"/>
      <c r="B420" s="18" t="e">
        <f>VLOOKUP(Table27[[#This Row],[Location 
(drop-down)]],'List source'!D$2:E$71,2,FALSE)</f>
        <v>#N/A</v>
      </c>
      <c r="C420" s="154" t="s">
        <v>1759</v>
      </c>
      <c r="D420" s="20" t="e">
        <f t="shared" si="6"/>
        <v>#N/A</v>
      </c>
      <c r="E420" s="9"/>
      <c r="F420" s="10" t="e" cm="1">
        <f t="array" aca="1" ref="F4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0" s="130"/>
      <c r="I420" s="12"/>
      <c r="J420" s="12"/>
      <c r="K420" s="61"/>
      <c r="L420" s="233"/>
      <c r="M420" s="10">
        <f ca="1">IF(ISBLANK(K420), TODAY()-(I420), Table27[[#This Row],[Effectiveness Review &amp; date deemed effective]]-Table27[[#This Row],[PTO initialized date]])</f>
        <v>46067</v>
      </c>
    </row>
    <row r="421" spans="1:13" ht="18">
      <c r="A421" s="9"/>
      <c r="B421" s="18" t="e">
        <f>VLOOKUP(Table27[[#This Row],[Location 
(drop-down)]],'List source'!D$2:E$71,2,FALSE)</f>
        <v>#N/A</v>
      </c>
      <c r="C421" s="154" t="s">
        <v>1760</v>
      </c>
      <c r="D421" s="20" t="e">
        <f t="shared" si="6"/>
        <v>#N/A</v>
      </c>
      <c r="E421" s="9"/>
      <c r="F421" s="10" t="e" cm="1">
        <f t="array" aca="1" ref="F4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1" s="130"/>
      <c r="I421" s="12"/>
      <c r="J421" s="12"/>
      <c r="K421" s="61"/>
      <c r="L421" s="233"/>
      <c r="M421" s="10">
        <f ca="1">IF(ISBLANK(K421), TODAY()-(I421), Table27[[#This Row],[Effectiveness Review &amp; date deemed effective]]-Table27[[#This Row],[PTO initialized date]])</f>
        <v>46067</v>
      </c>
    </row>
    <row r="422" spans="1:13" ht="18">
      <c r="A422" s="9"/>
      <c r="B422" s="18" t="e">
        <f>VLOOKUP(Table27[[#This Row],[Location 
(drop-down)]],'List source'!D$2:E$71,2,FALSE)</f>
        <v>#N/A</v>
      </c>
      <c r="C422" s="154" t="s">
        <v>1761</v>
      </c>
      <c r="D422" s="20" t="e">
        <f t="shared" si="6"/>
        <v>#N/A</v>
      </c>
      <c r="E422" s="9"/>
      <c r="F422" s="10" t="e" cm="1">
        <f t="array" aca="1" ref="F4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2" s="10"/>
      <c r="I422" s="12"/>
      <c r="J422" s="12"/>
      <c r="K422" s="61"/>
      <c r="L422" s="233"/>
      <c r="M422" s="10">
        <f ca="1">IF(ISBLANK(K422), TODAY()-(I422), Table27[[#This Row],[Effectiveness Review &amp; date deemed effective]]-Table27[[#This Row],[PTO initialized date]])</f>
        <v>46067</v>
      </c>
    </row>
    <row r="423" spans="1:13" ht="18">
      <c r="A423" s="9"/>
      <c r="B423" s="18" t="e">
        <f>VLOOKUP(Table27[[#This Row],[Location 
(drop-down)]],'List source'!D$2:E$71,2,FALSE)</f>
        <v>#N/A</v>
      </c>
      <c r="C423" s="154" t="s">
        <v>1762</v>
      </c>
      <c r="D423" s="20" t="e">
        <f t="shared" si="6"/>
        <v>#N/A</v>
      </c>
      <c r="E423" s="9"/>
      <c r="F423" s="10" t="e" cm="1">
        <f t="array" aca="1" ref="F4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3" s="130"/>
      <c r="I423" s="12"/>
      <c r="J423" s="12"/>
      <c r="K423" s="61"/>
      <c r="L423" s="233"/>
      <c r="M423" s="10">
        <f ca="1">IF(ISBLANK(K423), TODAY()-(I423), Table27[[#This Row],[Effectiveness Review &amp; date deemed effective]]-Table27[[#This Row],[PTO initialized date]])</f>
        <v>46067</v>
      </c>
    </row>
    <row r="424" spans="1:13" ht="18">
      <c r="A424" s="9"/>
      <c r="B424" s="18" t="e">
        <f>VLOOKUP(Table27[[#This Row],[Location 
(drop-down)]],'List source'!D$2:E$71,2,FALSE)</f>
        <v>#N/A</v>
      </c>
      <c r="C424" s="154" t="s">
        <v>1763</v>
      </c>
      <c r="D424" s="20" t="e">
        <f t="shared" si="6"/>
        <v>#N/A</v>
      </c>
      <c r="E424" s="9"/>
      <c r="F424" s="10" t="e" cm="1">
        <f t="array" aca="1" ref="F4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4" s="10"/>
      <c r="I424" s="12"/>
      <c r="J424" s="12"/>
      <c r="K424" s="61"/>
      <c r="L424" s="233"/>
      <c r="M424" s="10">
        <f ca="1">IF(ISBLANK(K424), TODAY()-(I424), Table27[[#This Row],[Effectiveness Review &amp; date deemed effective]]-Table27[[#This Row],[PTO initialized date]])</f>
        <v>46067</v>
      </c>
    </row>
    <row r="425" spans="1:13" ht="18">
      <c r="A425" s="9"/>
      <c r="B425" s="18" t="e">
        <f>VLOOKUP(Table27[[#This Row],[Location 
(drop-down)]],'List source'!D$2:E$71,2,FALSE)</f>
        <v>#N/A</v>
      </c>
      <c r="C425" s="154" t="s">
        <v>1764</v>
      </c>
      <c r="D425" s="20" t="e">
        <f t="shared" si="6"/>
        <v>#N/A</v>
      </c>
      <c r="E425" s="9"/>
      <c r="F425" s="10" t="e" cm="1">
        <f t="array" aca="1" ref="F4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5" s="10"/>
      <c r="I425" s="12"/>
      <c r="J425" s="12"/>
      <c r="K425" s="61"/>
      <c r="L425" s="233"/>
      <c r="M425" s="10">
        <f ca="1">IF(ISBLANK(K425), TODAY()-(I425), Table27[[#This Row],[Effectiveness Review &amp; date deemed effective]]-Table27[[#This Row],[PTO initialized date]])</f>
        <v>46067</v>
      </c>
    </row>
    <row r="426" spans="1:13" ht="18">
      <c r="A426" s="9"/>
      <c r="B426" s="18" t="e">
        <f>VLOOKUP(Table27[[#This Row],[Location 
(drop-down)]],'List source'!D$2:E$71,2,FALSE)</f>
        <v>#N/A</v>
      </c>
      <c r="C426" s="154" t="s">
        <v>1765</v>
      </c>
      <c r="D426" s="20" t="e">
        <f t="shared" si="6"/>
        <v>#N/A</v>
      </c>
      <c r="E426" s="9"/>
      <c r="F426" s="10" t="e" cm="1">
        <f t="array" aca="1" ref="F4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6" s="130"/>
      <c r="I426" s="12"/>
      <c r="J426" s="12"/>
      <c r="K426" s="61"/>
      <c r="L426" s="233"/>
      <c r="M426" s="10">
        <f ca="1">IF(ISBLANK(K426), TODAY()-(I426), Table27[[#This Row],[Effectiveness Review &amp; date deemed effective]]-Table27[[#This Row],[PTO initialized date]])</f>
        <v>46067</v>
      </c>
    </row>
    <row r="427" spans="1:13" ht="18">
      <c r="A427" s="9"/>
      <c r="B427" s="18" t="e">
        <f>VLOOKUP(Table27[[#This Row],[Location 
(drop-down)]],'List source'!D$2:E$71,2,FALSE)</f>
        <v>#N/A</v>
      </c>
      <c r="C427" s="154" t="s">
        <v>1766</v>
      </c>
      <c r="D427" s="20" t="e">
        <f t="shared" si="6"/>
        <v>#N/A</v>
      </c>
      <c r="E427" s="9"/>
      <c r="F427" s="10" t="e" cm="1">
        <f t="array" aca="1" ref="F4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7" s="130"/>
      <c r="I427" s="12"/>
      <c r="J427" s="12"/>
      <c r="K427" s="61"/>
      <c r="L427" s="233"/>
      <c r="M427" s="10">
        <f ca="1">IF(ISBLANK(K427), TODAY()-(I427), Table27[[#This Row],[Effectiveness Review &amp; date deemed effective]]-Table27[[#This Row],[PTO initialized date]])</f>
        <v>46067</v>
      </c>
    </row>
    <row r="428" spans="1:13" ht="18">
      <c r="A428" s="9"/>
      <c r="B428" s="18" t="e">
        <f>VLOOKUP(Table27[[#This Row],[Location 
(drop-down)]],'List source'!D$2:E$71,2,FALSE)</f>
        <v>#N/A</v>
      </c>
      <c r="C428" s="154" t="s">
        <v>1767</v>
      </c>
      <c r="D428" s="20" t="e">
        <f t="shared" si="6"/>
        <v>#N/A</v>
      </c>
      <c r="E428" s="9"/>
      <c r="F428" s="10" t="e" cm="1">
        <f t="array" aca="1" ref="F4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8" s="130"/>
      <c r="I428" s="12"/>
      <c r="J428" s="12"/>
      <c r="K428" s="61"/>
      <c r="L428" s="233"/>
      <c r="M428" s="10">
        <f ca="1">IF(ISBLANK(K428), TODAY()-(I428), Table27[[#This Row],[Effectiveness Review &amp; date deemed effective]]-Table27[[#This Row],[PTO initialized date]])</f>
        <v>46067</v>
      </c>
    </row>
    <row r="429" spans="1:13" ht="18">
      <c r="A429" s="9"/>
      <c r="B429" s="18" t="e">
        <f>VLOOKUP(Table27[[#This Row],[Location 
(drop-down)]],'List source'!D$2:E$71,2,FALSE)</f>
        <v>#N/A</v>
      </c>
      <c r="C429" s="154" t="s">
        <v>1768</v>
      </c>
      <c r="D429" s="20" t="e">
        <f t="shared" si="6"/>
        <v>#N/A</v>
      </c>
      <c r="E429" s="9"/>
      <c r="F429" s="10" t="e" cm="1">
        <f t="array" aca="1" ref="F4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29" s="10"/>
      <c r="I429" s="12"/>
      <c r="J429" s="12"/>
      <c r="K429" s="61"/>
      <c r="L429" s="233"/>
      <c r="M429" s="10">
        <f ca="1">IF(ISBLANK(K429), TODAY()-(I429), Table27[[#This Row],[Effectiveness Review &amp; date deemed effective]]-Table27[[#This Row],[PTO initialized date]])</f>
        <v>46067</v>
      </c>
    </row>
    <row r="430" spans="1:13" ht="18">
      <c r="A430" s="9"/>
      <c r="B430" s="18" t="e">
        <f>VLOOKUP(Table27[[#This Row],[Location 
(drop-down)]],'List source'!D$2:E$71,2,FALSE)</f>
        <v>#N/A</v>
      </c>
      <c r="C430" s="154" t="s">
        <v>1769</v>
      </c>
      <c r="D430" s="20" t="e">
        <f t="shared" si="6"/>
        <v>#N/A</v>
      </c>
      <c r="E430" s="9"/>
      <c r="F430" s="10" t="e" cm="1">
        <f t="array" aca="1" ref="F4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0" s="10"/>
      <c r="I430" s="12"/>
      <c r="J430" s="12"/>
      <c r="K430" s="61"/>
      <c r="L430" s="233"/>
      <c r="M430" s="10">
        <f ca="1">IF(ISBLANK(K430), TODAY()-(I430), Table27[[#This Row],[Effectiveness Review &amp; date deemed effective]]-Table27[[#This Row],[PTO initialized date]])</f>
        <v>46067</v>
      </c>
    </row>
    <row r="431" spans="1:13" ht="18">
      <c r="A431" s="9"/>
      <c r="B431" s="18" t="e">
        <f>VLOOKUP(Table27[[#This Row],[Location 
(drop-down)]],'List source'!D$2:E$71,2,FALSE)</f>
        <v>#N/A</v>
      </c>
      <c r="C431" s="154" t="s">
        <v>1770</v>
      </c>
      <c r="D431" s="20" t="e">
        <f t="shared" si="6"/>
        <v>#N/A</v>
      </c>
      <c r="E431" s="131"/>
      <c r="F431" s="10" t="e" cm="1">
        <f t="array" aca="1" ref="F4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1" s="324"/>
      <c r="I431" s="12"/>
      <c r="J431" s="12"/>
      <c r="K431" s="61"/>
      <c r="L431" s="233"/>
      <c r="M431" s="10">
        <f ca="1">IF(ISBLANK(K431), TODAY()-(I431), Table27[[#This Row],[Effectiveness Review &amp; date deemed effective]]-Table27[[#This Row],[PTO initialized date]])</f>
        <v>46067</v>
      </c>
    </row>
    <row r="432" spans="1:13" ht="18">
      <c r="A432" s="9"/>
      <c r="B432" s="18" t="e">
        <f>VLOOKUP(Table27[[#This Row],[Location 
(drop-down)]],'List source'!D$2:E$71,2,FALSE)</f>
        <v>#N/A</v>
      </c>
      <c r="C432" s="154" t="s">
        <v>1771</v>
      </c>
      <c r="D432" s="20" t="e">
        <f t="shared" si="6"/>
        <v>#N/A</v>
      </c>
      <c r="E432" s="9"/>
      <c r="F432" s="10" t="e" cm="1">
        <f t="array" aca="1" ref="F4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2" s="10"/>
      <c r="I432" s="12"/>
      <c r="J432" s="12"/>
      <c r="K432" s="61"/>
      <c r="L432" s="233"/>
      <c r="M432" s="10">
        <f ca="1">IF(ISBLANK(K432), TODAY()-(I432), Table27[[#This Row],[Effectiveness Review &amp; date deemed effective]]-Table27[[#This Row],[PTO initialized date]])</f>
        <v>46067</v>
      </c>
    </row>
    <row r="433" spans="1:13" ht="18">
      <c r="A433" s="9"/>
      <c r="B433" s="18" t="e">
        <f>VLOOKUP(Table27[[#This Row],[Location 
(drop-down)]],'List source'!D$2:E$71,2,FALSE)</f>
        <v>#N/A</v>
      </c>
      <c r="C433" s="154" t="s">
        <v>1772</v>
      </c>
      <c r="D433" s="20" t="e">
        <f t="shared" si="6"/>
        <v>#N/A</v>
      </c>
      <c r="E433" s="9"/>
      <c r="F433" s="10" t="e" cm="1">
        <f t="array" aca="1" ref="F4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3" s="130"/>
      <c r="I433" s="12"/>
      <c r="J433" s="12"/>
      <c r="K433" s="61"/>
      <c r="L433" s="233"/>
      <c r="M433" s="10">
        <f ca="1">IF(ISBLANK(K433), TODAY()-(I433), Table27[[#This Row],[Effectiveness Review &amp; date deemed effective]]-Table27[[#This Row],[PTO initialized date]])</f>
        <v>46067</v>
      </c>
    </row>
    <row r="434" spans="1:13" ht="18">
      <c r="A434" s="9"/>
      <c r="B434" s="18" t="e">
        <f>VLOOKUP(Table27[[#This Row],[Location 
(drop-down)]],'List source'!D$2:E$71,2,FALSE)</f>
        <v>#N/A</v>
      </c>
      <c r="C434" s="154" t="s">
        <v>1773</v>
      </c>
      <c r="D434" s="20" t="e">
        <f t="shared" si="6"/>
        <v>#N/A</v>
      </c>
      <c r="E434" s="9"/>
      <c r="F434" s="10" t="e" cm="1">
        <f t="array" aca="1" ref="F4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4" s="130"/>
      <c r="I434" s="12"/>
      <c r="J434" s="12"/>
      <c r="K434" s="61"/>
      <c r="L434" s="233"/>
      <c r="M434" s="10">
        <f ca="1">IF(ISBLANK(K434), TODAY()-(I434), Table27[[#This Row],[Effectiveness Review &amp; date deemed effective]]-Table27[[#This Row],[PTO initialized date]])</f>
        <v>46067</v>
      </c>
    </row>
    <row r="435" spans="1:13" ht="18">
      <c r="A435" s="9"/>
      <c r="B435" s="18" t="e">
        <f>VLOOKUP(Table27[[#This Row],[Location 
(drop-down)]],'List source'!D$2:E$71,2,FALSE)</f>
        <v>#N/A</v>
      </c>
      <c r="C435" s="154" t="s">
        <v>1774</v>
      </c>
      <c r="D435" s="20" t="e">
        <f t="shared" si="6"/>
        <v>#N/A</v>
      </c>
      <c r="E435" s="9"/>
      <c r="F435" s="10" t="e" cm="1">
        <f t="array" aca="1" ref="F4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5" s="10"/>
      <c r="I435" s="12"/>
      <c r="J435" s="12"/>
      <c r="K435" s="61"/>
      <c r="L435" s="233"/>
      <c r="M435" s="10">
        <f ca="1">IF(ISBLANK(K435), TODAY()-(I435), Table27[[#This Row],[Effectiveness Review &amp; date deemed effective]]-Table27[[#This Row],[PTO initialized date]])</f>
        <v>46067</v>
      </c>
    </row>
    <row r="436" spans="1:13" ht="18">
      <c r="A436" s="9"/>
      <c r="B436" s="18" t="e">
        <f>VLOOKUP(Table27[[#This Row],[Location 
(drop-down)]],'List source'!D$2:E$71,2,FALSE)</f>
        <v>#N/A</v>
      </c>
      <c r="C436" s="154" t="s">
        <v>1775</v>
      </c>
      <c r="D436" s="20" t="e">
        <f t="shared" si="6"/>
        <v>#N/A</v>
      </c>
      <c r="E436" s="9"/>
      <c r="F436" s="10" t="e" cm="1">
        <f t="array" aca="1" ref="F4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6" s="130"/>
      <c r="I436" s="12"/>
      <c r="J436" s="12"/>
      <c r="K436" s="168"/>
      <c r="L436" s="233"/>
      <c r="M436" s="10">
        <f ca="1">IF(ISBLANK(K436), TODAY()-(I436), Table27[[#This Row],[Effectiveness Review &amp; date deemed effective]]-Table27[[#This Row],[PTO initialized date]])</f>
        <v>46067</v>
      </c>
    </row>
    <row r="437" spans="1:13" ht="18">
      <c r="A437" s="9"/>
      <c r="B437" s="18" t="e">
        <f>VLOOKUP(Table27[[#This Row],[Location 
(drop-down)]],'List source'!D$2:E$71,2,FALSE)</f>
        <v>#N/A</v>
      </c>
      <c r="C437" s="154" t="s">
        <v>1776</v>
      </c>
      <c r="D437" s="20" t="e">
        <f t="shared" si="6"/>
        <v>#N/A</v>
      </c>
      <c r="E437" s="9"/>
      <c r="F437" s="10" t="e" cm="1">
        <f t="array" aca="1" ref="F4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7" s="130"/>
      <c r="I437" s="12"/>
      <c r="J437" s="12"/>
      <c r="K437" s="61"/>
      <c r="L437" s="233"/>
      <c r="M437" s="10">
        <f ca="1">IF(ISBLANK(K437), TODAY()-(I437), Table27[[#This Row],[Effectiveness Review &amp; date deemed effective]]-Table27[[#This Row],[PTO initialized date]])</f>
        <v>46067</v>
      </c>
    </row>
    <row r="438" spans="1:13" ht="18">
      <c r="A438" s="9"/>
      <c r="B438" s="18" t="e">
        <f>VLOOKUP(Table27[[#This Row],[Location 
(drop-down)]],'List source'!D$2:E$71,2,FALSE)</f>
        <v>#N/A</v>
      </c>
      <c r="C438" s="154" t="s">
        <v>1777</v>
      </c>
      <c r="D438" s="20" t="e">
        <f t="shared" si="6"/>
        <v>#N/A</v>
      </c>
      <c r="E438" s="172"/>
      <c r="F438" s="10" t="e" cm="1">
        <f t="array" aca="1" ref="F4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8" s="10"/>
      <c r="I438" s="12"/>
      <c r="J438" s="12"/>
      <c r="K438" s="61"/>
      <c r="L438" s="298"/>
      <c r="M438" s="10">
        <f ca="1">IF(ISBLANK(K438), TODAY()-(I438), Table27[[#This Row],[Effectiveness Review &amp; date deemed effective]]-Table27[[#This Row],[PTO initialized date]])</f>
        <v>46067</v>
      </c>
    </row>
    <row r="439" spans="1:13" ht="18">
      <c r="A439" s="9"/>
      <c r="B439" s="18" t="e">
        <f>VLOOKUP(Table27[[#This Row],[Location 
(drop-down)]],'List source'!D$2:E$71,2,FALSE)</f>
        <v>#N/A</v>
      </c>
      <c r="C439" s="154" t="s">
        <v>1778</v>
      </c>
      <c r="D439" s="20" t="e">
        <f t="shared" si="6"/>
        <v>#N/A</v>
      </c>
      <c r="E439" s="172"/>
      <c r="F439" s="10" t="e" cm="1">
        <f t="array" aca="1" ref="F4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39" s="130"/>
      <c r="I439" s="12"/>
      <c r="J439" s="12"/>
      <c r="K439" s="61"/>
      <c r="L439" s="233"/>
      <c r="M439" s="10">
        <f ca="1">IF(ISBLANK(K439), TODAY()-(I439), Table27[[#This Row],[Effectiveness Review &amp; date deemed effective]]-Table27[[#This Row],[PTO initialized date]])</f>
        <v>46067</v>
      </c>
    </row>
    <row r="440" spans="1:13" ht="18">
      <c r="A440" s="9"/>
      <c r="B440" s="18" t="e">
        <f>VLOOKUP(Table27[[#This Row],[Location 
(drop-down)]],'List source'!D$2:E$71,2,FALSE)</f>
        <v>#N/A</v>
      </c>
      <c r="C440" s="154" t="s">
        <v>1779</v>
      </c>
      <c r="D440" s="20" t="e">
        <f t="shared" si="6"/>
        <v>#N/A</v>
      </c>
      <c r="E440" s="172"/>
      <c r="F440" s="10" t="e" cm="1">
        <f t="array" aca="1" ref="F4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0" s="10"/>
      <c r="I440" s="12"/>
      <c r="J440" s="12"/>
      <c r="K440" s="61"/>
      <c r="L440" s="233"/>
      <c r="M440" s="10">
        <f ca="1">IF(ISBLANK(K440), TODAY()-(I440), Table27[[#This Row],[Effectiveness Review &amp; date deemed effective]]-Table27[[#This Row],[PTO initialized date]])</f>
        <v>46067</v>
      </c>
    </row>
    <row r="441" spans="1:13" ht="18">
      <c r="A441" s="9"/>
      <c r="B441" s="18" t="e">
        <f>VLOOKUP(Table27[[#This Row],[Location 
(drop-down)]],'List source'!D$2:E$71,2,FALSE)</f>
        <v>#N/A</v>
      </c>
      <c r="C441" s="154" t="s">
        <v>1780</v>
      </c>
      <c r="D441" s="20" t="e">
        <f t="shared" si="6"/>
        <v>#N/A</v>
      </c>
      <c r="E441" s="172"/>
      <c r="F441" s="10" t="e" cm="1">
        <f t="array" aca="1" ref="F4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1" s="130"/>
      <c r="I441" s="12"/>
      <c r="J441" s="12"/>
      <c r="K441" s="61"/>
      <c r="L441" s="233"/>
      <c r="M441" s="10">
        <f ca="1">IF(ISBLANK(K441), TODAY()-(I441), Table27[[#This Row],[Effectiveness Review &amp; date deemed effective]]-Table27[[#This Row],[PTO initialized date]])</f>
        <v>46067</v>
      </c>
    </row>
    <row r="442" spans="1:13" ht="18">
      <c r="A442" s="9"/>
      <c r="B442" s="18" t="e">
        <f>VLOOKUP(Table27[[#This Row],[Location 
(drop-down)]],'List source'!D$2:E$71,2,FALSE)</f>
        <v>#N/A</v>
      </c>
      <c r="C442" s="154" t="s">
        <v>1781</v>
      </c>
      <c r="D442" s="20" t="e">
        <f t="shared" si="6"/>
        <v>#N/A</v>
      </c>
      <c r="E442" s="172"/>
      <c r="F442" s="10" t="e" cm="1">
        <f t="array" aca="1" ref="F4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2" s="10"/>
      <c r="I442" s="12"/>
      <c r="J442" s="12"/>
      <c r="K442" s="61"/>
      <c r="L442" s="233"/>
      <c r="M442" s="10">
        <f ca="1">IF(ISBLANK(K442), TODAY()-(I442), Table27[[#This Row],[Effectiveness Review &amp; date deemed effective]]-Table27[[#This Row],[PTO initialized date]])</f>
        <v>46067</v>
      </c>
    </row>
    <row r="443" spans="1:13" ht="18">
      <c r="A443" s="9"/>
      <c r="B443" s="18" t="e">
        <f>VLOOKUP(Table27[[#This Row],[Location 
(drop-down)]],'List source'!D$2:E$71,2,FALSE)</f>
        <v>#N/A</v>
      </c>
      <c r="C443" s="154" t="s">
        <v>1782</v>
      </c>
      <c r="D443" s="20" t="e">
        <f t="shared" si="6"/>
        <v>#N/A</v>
      </c>
      <c r="E443" s="172"/>
      <c r="F443" s="10" t="e" cm="1">
        <f t="array" aca="1" ref="F4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3" s="130"/>
      <c r="I443" s="12"/>
      <c r="J443" s="12"/>
      <c r="K443" s="61"/>
      <c r="L443" s="233"/>
      <c r="M443" s="10">
        <f ca="1">IF(ISBLANK(K443), TODAY()-(I443), Table27[[#This Row],[Effectiveness Review &amp; date deemed effective]]-Table27[[#This Row],[PTO initialized date]])</f>
        <v>46067</v>
      </c>
    </row>
    <row r="444" spans="1:13" ht="18">
      <c r="A444" s="9"/>
      <c r="B444" s="18" t="e">
        <f>VLOOKUP(Table27[[#This Row],[Location 
(drop-down)]],'List source'!D$2:E$71,2,FALSE)</f>
        <v>#N/A</v>
      </c>
      <c r="C444" s="154" t="s">
        <v>1783</v>
      </c>
      <c r="D444" s="20" t="e">
        <f t="shared" si="6"/>
        <v>#N/A</v>
      </c>
      <c r="E444" s="172"/>
      <c r="F444" s="10" t="e" cm="1">
        <f t="array" aca="1" ref="F4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4" s="130"/>
      <c r="I444" s="12"/>
      <c r="J444" s="12"/>
      <c r="K444" s="61"/>
      <c r="L444" s="233"/>
      <c r="M444" s="10">
        <f ca="1">IF(ISBLANK(K444), TODAY()-(I444), Table27[[#This Row],[Effectiveness Review &amp; date deemed effective]]-Table27[[#This Row],[PTO initialized date]])</f>
        <v>46067</v>
      </c>
    </row>
    <row r="445" spans="1:13" ht="18">
      <c r="A445" s="9"/>
      <c r="B445" s="18" t="e">
        <f>VLOOKUP(Table27[[#This Row],[Location 
(drop-down)]],'List source'!D$2:E$71,2,FALSE)</f>
        <v>#N/A</v>
      </c>
      <c r="C445" s="154" t="s">
        <v>1784</v>
      </c>
      <c r="D445" s="20" t="e">
        <f t="shared" si="6"/>
        <v>#N/A</v>
      </c>
      <c r="E445" s="9"/>
      <c r="F445" s="10" t="e" cm="1">
        <f t="array" aca="1" ref="F4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5" s="130"/>
      <c r="I445" s="12"/>
      <c r="J445" s="12"/>
      <c r="K445" s="61"/>
      <c r="L445" s="233"/>
      <c r="M445" s="10">
        <f ca="1">IF(ISBLANK(K445), TODAY()-(I445), Table27[[#This Row],[Effectiveness Review &amp; date deemed effective]]-Table27[[#This Row],[PTO initialized date]])</f>
        <v>46067</v>
      </c>
    </row>
    <row r="446" spans="1:13" ht="18">
      <c r="A446" s="9"/>
      <c r="B446" s="18" t="e">
        <f>VLOOKUP(Table27[[#This Row],[Location 
(drop-down)]],'List source'!D$2:E$71,2,FALSE)</f>
        <v>#N/A</v>
      </c>
      <c r="C446" s="154" t="s">
        <v>1785</v>
      </c>
      <c r="D446" s="20" t="e">
        <f t="shared" si="6"/>
        <v>#N/A</v>
      </c>
      <c r="E446" s="9"/>
      <c r="F446" s="10" t="e" cm="1">
        <f t="array" aca="1" ref="F4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6" s="10"/>
      <c r="I446" s="12"/>
      <c r="J446" s="12"/>
      <c r="K446" s="61"/>
      <c r="L446" s="233"/>
      <c r="M446" s="10">
        <f ca="1">IF(ISBLANK(K446), TODAY()-(I446), Table27[[#This Row],[Effectiveness Review &amp; date deemed effective]]-Table27[[#This Row],[PTO initialized date]])</f>
        <v>46067</v>
      </c>
    </row>
    <row r="447" spans="1:13" ht="18">
      <c r="A447" s="9"/>
      <c r="B447" s="18" t="e">
        <f>VLOOKUP(Table27[[#This Row],[Location 
(drop-down)]],'List source'!D$2:E$71,2,FALSE)</f>
        <v>#N/A</v>
      </c>
      <c r="C447" s="154" t="s">
        <v>1786</v>
      </c>
      <c r="D447" s="20" t="e">
        <f t="shared" si="6"/>
        <v>#N/A</v>
      </c>
      <c r="E447" s="9"/>
      <c r="F447" s="10" t="e" cm="1">
        <f t="array" aca="1" ref="F4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7" s="130"/>
      <c r="I447" s="12"/>
      <c r="J447" s="12"/>
      <c r="K447" s="61"/>
      <c r="L447" s="233"/>
      <c r="M447" s="10">
        <f ca="1">IF(ISBLANK(K447), TODAY()-(I447), Table27[[#This Row],[Effectiveness Review &amp; date deemed effective]]-Table27[[#This Row],[PTO initialized date]])</f>
        <v>46067</v>
      </c>
    </row>
    <row r="448" spans="1:13" ht="18">
      <c r="A448" s="9"/>
      <c r="B448" s="18" t="e">
        <f>VLOOKUP(Table27[[#This Row],[Location 
(drop-down)]],'List source'!D$2:E$71,2,FALSE)</f>
        <v>#N/A</v>
      </c>
      <c r="C448" s="154" t="s">
        <v>1787</v>
      </c>
      <c r="D448" s="20" t="e">
        <f t="shared" si="6"/>
        <v>#N/A</v>
      </c>
      <c r="E448" s="9"/>
      <c r="F448" s="10" t="e" cm="1">
        <f t="array" aca="1" ref="F4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8" s="130"/>
      <c r="I448" s="12"/>
      <c r="J448" s="12"/>
      <c r="K448" s="61"/>
      <c r="L448" s="233"/>
      <c r="M448" s="10">
        <f ca="1">IF(ISBLANK(K448), TODAY()-(I448), Table27[[#This Row],[Effectiveness Review &amp; date deemed effective]]-Table27[[#This Row],[PTO initialized date]])</f>
        <v>46067</v>
      </c>
    </row>
    <row r="449" spans="1:13" ht="18">
      <c r="A449" s="9"/>
      <c r="B449" s="18" t="e">
        <f>VLOOKUP(Table27[[#This Row],[Location 
(drop-down)]],'List source'!D$2:E$71,2,FALSE)</f>
        <v>#N/A</v>
      </c>
      <c r="C449" s="154" t="s">
        <v>1788</v>
      </c>
      <c r="D449" s="20" t="e">
        <f t="shared" si="6"/>
        <v>#N/A</v>
      </c>
      <c r="E449" s="9"/>
      <c r="F449" s="10" t="e" cm="1">
        <f t="array" aca="1" ref="F4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49" s="130"/>
      <c r="I449" s="12"/>
      <c r="J449" s="12"/>
      <c r="K449" s="12"/>
      <c r="L449" s="233"/>
      <c r="M449" s="10">
        <f ca="1">IF(ISBLANK(K449), TODAY()-(I449), Table27[[#This Row],[Effectiveness Review &amp; date deemed effective]]-Table27[[#This Row],[PTO initialized date]])</f>
        <v>46067</v>
      </c>
    </row>
    <row r="450" spans="1:13" ht="18">
      <c r="A450" s="9"/>
      <c r="B450" s="18" t="e">
        <f>VLOOKUP(Table27[[#This Row],[Location 
(drop-down)]],'List source'!D$2:E$71,2,FALSE)</f>
        <v>#N/A</v>
      </c>
      <c r="C450" s="154" t="s">
        <v>1789</v>
      </c>
      <c r="D450" s="20" t="e">
        <f t="shared" ref="D450:D513" si="7">"PTO" &amp; C450 &amp; "-" &amp; B450 &amp; "-" &amp; "26"</f>
        <v>#N/A</v>
      </c>
      <c r="E450" s="9"/>
      <c r="F450" s="10" t="e" cm="1">
        <f t="array" aca="1" ref="F4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0" s="10"/>
      <c r="I450" s="12"/>
      <c r="J450" s="12"/>
      <c r="K450" s="61"/>
      <c r="L450" s="233"/>
      <c r="M450" s="10">
        <f ca="1">IF(ISBLANK(K450), TODAY()-(I450), Table27[[#This Row],[Effectiveness Review &amp; date deemed effective]]-Table27[[#This Row],[PTO initialized date]])</f>
        <v>46067</v>
      </c>
    </row>
    <row r="451" spans="1:13" ht="18">
      <c r="A451" s="9"/>
      <c r="B451" s="18" t="e">
        <f>VLOOKUP(Table27[[#This Row],[Location 
(drop-down)]],'List source'!D$2:E$71,2,FALSE)</f>
        <v>#N/A</v>
      </c>
      <c r="C451" s="154" t="s">
        <v>1790</v>
      </c>
      <c r="D451" s="20" t="e">
        <f t="shared" si="7"/>
        <v>#N/A</v>
      </c>
      <c r="E451" s="9"/>
      <c r="F451" s="10" t="e" cm="1">
        <f t="array" aca="1" ref="F4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1" s="130"/>
      <c r="I451" s="12"/>
      <c r="J451" s="12"/>
      <c r="K451" s="61"/>
      <c r="L451" s="233"/>
      <c r="M451" s="10">
        <f ca="1">IF(ISBLANK(K451), TODAY()-(I451), Table27[[#This Row],[Effectiveness Review &amp; date deemed effective]]-Table27[[#This Row],[PTO initialized date]])</f>
        <v>46067</v>
      </c>
    </row>
    <row r="452" spans="1:13" ht="18">
      <c r="A452" s="9"/>
      <c r="B452" s="18" t="e">
        <f>VLOOKUP(Table27[[#This Row],[Location 
(drop-down)]],'List source'!D$2:E$71,2,FALSE)</f>
        <v>#N/A</v>
      </c>
      <c r="C452" s="154" t="s">
        <v>1791</v>
      </c>
      <c r="D452" s="20" t="e">
        <f t="shared" si="7"/>
        <v>#N/A</v>
      </c>
      <c r="E452" s="9"/>
      <c r="F452" s="10" t="e" cm="1">
        <f t="array" aca="1" ref="F4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2" s="130"/>
      <c r="I452" s="12"/>
      <c r="J452" s="12"/>
      <c r="K452" s="61"/>
      <c r="L452" s="233"/>
      <c r="M452" s="10">
        <f ca="1">IF(ISBLANK(K452), TODAY()-(I452), Table27[[#This Row],[Effectiveness Review &amp; date deemed effective]]-Table27[[#This Row],[PTO initialized date]])</f>
        <v>46067</v>
      </c>
    </row>
    <row r="453" spans="1:13" ht="18">
      <c r="A453" s="9"/>
      <c r="B453" s="18" t="e">
        <f>VLOOKUP(Table27[[#This Row],[Location 
(drop-down)]],'List source'!D$2:E$71,2,FALSE)</f>
        <v>#N/A</v>
      </c>
      <c r="C453" s="154" t="s">
        <v>1792</v>
      </c>
      <c r="D453" s="20" t="e">
        <f t="shared" si="7"/>
        <v>#N/A</v>
      </c>
      <c r="E453" s="145"/>
      <c r="F453" s="10" t="e" cm="1">
        <f t="array" aca="1" ref="F4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3" s="11"/>
      <c r="I453" s="12"/>
      <c r="J453" s="12"/>
      <c r="K453" s="61"/>
      <c r="L453" s="233"/>
      <c r="M453" s="10">
        <f ca="1">IF(ISBLANK(K453), TODAY()-(I453), Table27[[#This Row],[Effectiveness Review &amp; date deemed effective]]-Table27[[#This Row],[PTO initialized date]])</f>
        <v>46067</v>
      </c>
    </row>
    <row r="454" spans="1:13" ht="18">
      <c r="A454" s="9"/>
      <c r="B454" s="18" t="e">
        <f>VLOOKUP(Table27[[#This Row],[Location 
(drop-down)]],'List source'!D$2:E$71,2,FALSE)</f>
        <v>#N/A</v>
      </c>
      <c r="C454" s="154" t="s">
        <v>1793</v>
      </c>
      <c r="D454" s="20" t="e">
        <f t="shared" si="7"/>
        <v>#N/A</v>
      </c>
      <c r="E454" s="9"/>
      <c r="F454" s="10" t="e" cm="1">
        <f t="array" aca="1" ref="F4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4" s="130"/>
      <c r="I454" s="12"/>
      <c r="J454" s="12"/>
      <c r="K454" s="61"/>
      <c r="L454" s="233"/>
      <c r="M454" s="10">
        <f ca="1">IF(ISBLANK(K454), TODAY()-(I454), Table27[[#This Row],[Effectiveness Review &amp; date deemed effective]]-Table27[[#This Row],[PTO initialized date]])</f>
        <v>46067</v>
      </c>
    </row>
    <row r="455" spans="1:13" ht="18">
      <c r="A455" s="9"/>
      <c r="B455" s="18" t="e">
        <f>VLOOKUP(Table27[[#This Row],[Location 
(drop-down)]],'List source'!D$2:E$71,2,FALSE)</f>
        <v>#N/A</v>
      </c>
      <c r="C455" s="154" t="s">
        <v>1794</v>
      </c>
      <c r="D455" s="20" t="e">
        <f t="shared" si="7"/>
        <v>#N/A</v>
      </c>
      <c r="E455" s="9"/>
      <c r="F455" s="10" t="e" cm="1">
        <f t="array" aca="1" ref="F4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5" s="130"/>
      <c r="I455" s="12"/>
      <c r="J455" s="12"/>
      <c r="K455" s="61"/>
      <c r="L455" s="233"/>
      <c r="M455" s="10">
        <f ca="1">IF(ISBLANK(K455), TODAY()-(I455), Table27[[#This Row],[Effectiveness Review &amp; date deemed effective]]-Table27[[#This Row],[PTO initialized date]])</f>
        <v>46067</v>
      </c>
    </row>
    <row r="456" spans="1:13" ht="18">
      <c r="A456" s="9"/>
      <c r="B456" s="18" t="e">
        <f>VLOOKUP(Table27[[#This Row],[Location 
(drop-down)]],'List source'!D$2:E$71,2,FALSE)</f>
        <v>#N/A</v>
      </c>
      <c r="C456" s="154" t="s">
        <v>1795</v>
      </c>
      <c r="D456" s="20" t="e">
        <f t="shared" si="7"/>
        <v>#N/A</v>
      </c>
      <c r="E456" s="9"/>
      <c r="F456" s="10" t="e" cm="1">
        <f t="array" aca="1" ref="F4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6" s="130"/>
      <c r="I456" s="12"/>
      <c r="J456" s="12"/>
      <c r="K456" s="61"/>
      <c r="L456" s="233"/>
      <c r="M456" s="10">
        <f ca="1">IF(ISBLANK(K456), TODAY()-(I456), Table27[[#This Row],[Effectiveness Review &amp; date deemed effective]]-Table27[[#This Row],[PTO initialized date]])</f>
        <v>46067</v>
      </c>
    </row>
    <row r="457" spans="1:13" ht="18">
      <c r="A457" s="9"/>
      <c r="B457" s="18" t="e">
        <f>VLOOKUP(Table27[[#This Row],[Location 
(drop-down)]],'List source'!D$2:E$71,2,FALSE)</f>
        <v>#N/A</v>
      </c>
      <c r="C457" s="154" t="s">
        <v>1796</v>
      </c>
      <c r="D457" s="20" t="e">
        <f t="shared" si="7"/>
        <v>#N/A</v>
      </c>
      <c r="E457" s="9"/>
      <c r="F457" s="10" t="e" cm="1">
        <f t="array" aca="1" ref="F4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7" s="130"/>
      <c r="I457" s="12"/>
      <c r="J457" s="12"/>
      <c r="K457" s="61"/>
      <c r="L457" s="233"/>
      <c r="M457" s="10">
        <f ca="1">IF(ISBLANK(K457), TODAY()-(I457), Table27[[#This Row],[Effectiveness Review &amp; date deemed effective]]-Table27[[#This Row],[PTO initialized date]])</f>
        <v>46067</v>
      </c>
    </row>
    <row r="458" spans="1:13" ht="18">
      <c r="A458" s="9"/>
      <c r="B458" s="18" t="e">
        <f>VLOOKUP(Table27[[#This Row],[Location 
(drop-down)]],'List source'!D$2:E$71,2,FALSE)</f>
        <v>#N/A</v>
      </c>
      <c r="C458" s="154" t="s">
        <v>1797</v>
      </c>
      <c r="D458" s="20" t="e">
        <f t="shared" si="7"/>
        <v>#N/A</v>
      </c>
      <c r="E458" s="9"/>
      <c r="F458" s="10" t="e" cm="1">
        <f t="array" aca="1" ref="F4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8" s="130"/>
      <c r="I458" s="12"/>
      <c r="J458" s="12"/>
      <c r="K458" s="61"/>
      <c r="L458" s="233"/>
      <c r="M458" s="10">
        <f ca="1">IF(ISBLANK(K458), TODAY()-(I458), Table27[[#This Row],[Effectiveness Review &amp; date deemed effective]]-Table27[[#This Row],[PTO initialized date]])</f>
        <v>46067</v>
      </c>
    </row>
    <row r="459" spans="1:13" ht="18">
      <c r="A459" s="9"/>
      <c r="B459" s="18" t="e">
        <f>VLOOKUP(Table27[[#This Row],[Location 
(drop-down)]],'List source'!D$2:E$71,2,FALSE)</f>
        <v>#N/A</v>
      </c>
      <c r="C459" s="154" t="s">
        <v>1798</v>
      </c>
      <c r="D459" s="20" t="e">
        <f t="shared" si="7"/>
        <v>#N/A</v>
      </c>
      <c r="E459" s="9"/>
      <c r="F459" s="10" t="e" cm="1">
        <f t="array" aca="1" ref="F4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59" s="130"/>
      <c r="I459" s="12"/>
      <c r="J459" s="12"/>
      <c r="K459" s="61"/>
      <c r="L459" s="233"/>
      <c r="M459" s="10">
        <f ca="1">IF(ISBLANK(K459), TODAY()-(I459), Table27[[#This Row],[Effectiveness Review &amp; date deemed effective]]-Table27[[#This Row],[PTO initialized date]])</f>
        <v>46067</v>
      </c>
    </row>
    <row r="460" spans="1:13" ht="18">
      <c r="A460" s="9"/>
      <c r="B460" s="18" t="e">
        <f>VLOOKUP(Table27[[#This Row],[Location 
(drop-down)]],'List source'!D$2:E$71,2,FALSE)</f>
        <v>#N/A</v>
      </c>
      <c r="C460" s="154" t="s">
        <v>1799</v>
      </c>
      <c r="D460" s="20" t="e">
        <f t="shared" si="7"/>
        <v>#N/A</v>
      </c>
      <c r="E460" s="9"/>
      <c r="F460" s="10" t="e" cm="1">
        <f t="array" aca="1" ref="F4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0" s="130"/>
      <c r="I460" s="12"/>
      <c r="J460" s="12"/>
      <c r="K460" s="61"/>
      <c r="L460" s="233"/>
      <c r="M460" s="10">
        <f ca="1">IF(ISBLANK(K460), TODAY()-(I460), Table27[[#This Row],[Effectiveness Review &amp; date deemed effective]]-Table27[[#This Row],[PTO initialized date]])</f>
        <v>46067</v>
      </c>
    </row>
    <row r="461" spans="1:13" ht="18">
      <c r="A461" s="9"/>
      <c r="B461" s="18" t="e">
        <f>VLOOKUP(Table27[[#This Row],[Location 
(drop-down)]],'List source'!D$2:E$71,2,FALSE)</f>
        <v>#N/A</v>
      </c>
      <c r="C461" s="154" t="s">
        <v>1800</v>
      </c>
      <c r="D461" s="20" t="e">
        <f t="shared" si="7"/>
        <v>#N/A</v>
      </c>
      <c r="E461" s="9"/>
      <c r="F461" s="10" t="e" cm="1">
        <f t="array" aca="1" ref="F4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1" s="130"/>
      <c r="I461" s="12"/>
      <c r="J461" s="12"/>
      <c r="K461" s="61"/>
      <c r="L461" s="233"/>
      <c r="M461" s="10">
        <f ca="1">IF(ISBLANK(K461), TODAY()-(I461), Table27[[#This Row],[Effectiveness Review &amp; date deemed effective]]-Table27[[#This Row],[PTO initialized date]])</f>
        <v>46067</v>
      </c>
    </row>
    <row r="462" spans="1:13" ht="18">
      <c r="A462" s="9"/>
      <c r="B462" s="18" t="e">
        <f>VLOOKUP(Table27[[#This Row],[Location 
(drop-down)]],'List source'!D$2:E$71,2,FALSE)</f>
        <v>#N/A</v>
      </c>
      <c r="C462" s="154" t="s">
        <v>1801</v>
      </c>
      <c r="D462" s="20" t="e">
        <f t="shared" si="7"/>
        <v>#N/A</v>
      </c>
      <c r="E462" s="9"/>
      <c r="F462" s="10" t="e" cm="1">
        <f t="array" aca="1" ref="F4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2" s="130"/>
      <c r="I462" s="12"/>
      <c r="J462" s="12"/>
      <c r="K462" s="61"/>
      <c r="L462" s="233"/>
      <c r="M462" s="10">
        <f ca="1">IF(ISBLANK(K462), TODAY()-(I462), Table27[[#This Row],[Effectiveness Review &amp; date deemed effective]]-Table27[[#This Row],[PTO initialized date]])</f>
        <v>46067</v>
      </c>
    </row>
    <row r="463" spans="1:13" ht="18">
      <c r="A463" s="9"/>
      <c r="B463" s="18" t="e">
        <f>VLOOKUP(Table27[[#This Row],[Location 
(drop-down)]],'List source'!D$2:E$71,2,FALSE)</f>
        <v>#N/A</v>
      </c>
      <c r="C463" s="154" t="s">
        <v>1802</v>
      </c>
      <c r="D463" s="20" t="e">
        <f t="shared" si="7"/>
        <v>#N/A</v>
      </c>
      <c r="E463" s="9"/>
      <c r="F463" s="10" t="e" cm="1">
        <f t="array" aca="1" ref="F4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3" s="130"/>
      <c r="I463" s="12"/>
      <c r="J463" s="12"/>
      <c r="K463" s="61"/>
      <c r="L463" s="233"/>
      <c r="M463" s="10">
        <f ca="1">IF(ISBLANK(K463), TODAY()-(I463), Table27[[#This Row],[Effectiveness Review &amp; date deemed effective]]-Table27[[#This Row],[PTO initialized date]])</f>
        <v>46067</v>
      </c>
    </row>
    <row r="464" spans="1:13" ht="18">
      <c r="A464" s="9"/>
      <c r="B464" s="18" t="e">
        <f>VLOOKUP(Table27[[#This Row],[Location 
(drop-down)]],'List source'!D$2:E$71,2,FALSE)</f>
        <v>#N/A</v>
      </c>
      <c r="C464" s="154" t="s">
        <v>1803</v>
      </c>
      <c r="D464" s="20" t="e">
        <f t="shared" si="7"/>
        <v>#N/A</v>
      </c>
      <c r="E464" s="9"/>
      <c r="F464" s="10" t="e" cm="1">
        <f t="array" aca="1" ref="F4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4" s="10"/>
      <c r="I464" s="12"/>
      <c r="J464" s="12"/>
      <c r="K464" s="61"/>
      <c r="L464" s="233"/>
      <c r="M464" s="10">
        <f ca="1">IF(ISBLANK(K464), TODAY()-(I464), Table27[[#This Row],[Effectiveness Review &amp; date deemed effective]]-Table27[[#This Row],[PTO initialized date]])</f>
        <v>46067</v>
      </c>
    </row>
    <row r="465" spans="1:13" ht="18">
      <c r="A465" s="9"/>
      <c r="B465" s="18" t="e">
        <f>VLOOKUP(Table27[[#This Row],[Location 
(drop-down)]],'List source'!D$2:E$71,2,FALSE)</f>
        <v>#N/A</v>
      </c>
      <c r="C465" s="154" t="s">
        <v>1804</v>
      </c>
      <c r="D465" s="20" t="e">
        <f t="shared" si="7"/>
        <v>#N/A</v>
      </c>
      <c r="E465" s="9"/>
      <c r="F465" s="10" t="e" cm="1">
        <f t="array" aca="1" ref="F4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5" s="130"/>
      <c r="I465" s="12"/>
      <c r="J465" s="12"/>
      <c r="K465" s="61"/>
      <c r="L465" s="233"/>
      <c r="M465" s="10">
        <f ca="1">IF(ISBLANK(K465), TODAY()-(I465), Table27[[#This Row],[Effectiveness Review &amp; date deemed effective]]-Table27[[#This Row],[PTO initialized date]])</f>
        <v>46067</v>
      </c>
    </row>
    <row r="466" spans="1:13" ht="18">
      <c r="A466" s="9"/>
      <c r="B466" s="18" t="e">
        <f>VLOOKUP(Table27[[#This Row],[Location 
(drop-down)]],'List source'!D$2:E$71,2,FALSE)</f>
        <v>#N/A</v>
      </c>
      <c r="C466" s="154" t="s">
        <v>1805</v>
      </c>
      <c r="D466" s="20" t="e">
        <f t="shared" si="7"/>
        <v>#N/A</v>
      </c>
      <c r="E466" s="9"/>
      <c r="F466" s="10" t="e" cm="1">
        <f t="array" aca="1" ref="F4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6" s="130"/>
      <c r="I466" s="12"/>
      <c r="J466" s="12"/>
      <c r="K466" s="61"/>
      <c r="L466" s="233"/>
      <c r="M466" s="10">
        <f ca="1">IF(ISBLANK(K466), TODAY()-(I466), Table27[[#This Row],[Effectiveness Review &amp; date deemed effective]]-Table27[[#This Row],[PTO initialized date]])</f>
        <v>46067</v>
      </c>
    </row>
    <row r="467" spans="1:13" ht="18">
      <c r="A467" s="9"/>
      <c r="B467" s="18" t="e">
        <f>VLOOKUP(Table27[[#This Row],[Location 
(drop-down)]],'List source'!D$2:E$71,2,FALSE)</f>
        <v>#N/A</v>
      </c>
      <c r="C467" s="154" t="s">
        <v>1806</v>
      </c>
      <c r="D467" s="20" t="e">
        <f t="shared" si="7"/>
        <v>#N/A</v>
      </c>
      <c r="E467" s="9"/>
      <c r="F467" s="10" t="e" cm="1">
        <f t="array" aca="1" ref="F4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7" s="130"/>
      <c r="I467" s="12"/>
      <c r="J467" s="12"/>
      <c r="K467" s="61"/>
      <c r="L467" s="233"/>
      <c r="M467" s="10">
        <f ca="1">IF(ISBLANK(K467), TODAY()-(I467), Table27[[#This Row],[Effectiveness Review &amp; date deemed effective]]-Table27[[#This Row],[PTO initialized date]])</f>
        <v>46067</v>
      </c>
    </row>
    <row r="468" spans="1:13" ht="18">
      <c r="A468" s="9"/>
      <c r="B468" s="18" t="e">
        <f>VLOOKUP(Table27[[#This Row],[Location 
(drop-down)]],'List source'!D$2:E$71,2,FALSE)</f>
        <v>#N/A</v>
      </c>
      <c r="C468" s="154" t="s">
        <v>1807</v>
      </c>
      <c r="D468" s="20" t="e">
        <f t="shared" si="7"/>
        <v>#N/A</v>
      </c>
      <c r="E468" s="9"/>
      <c r="F468" s="10" t="e" cm="1">
        <f t="array" aca="1" ref="F4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8" s="130"/>
      <c r="I468" s="12"/>
      <c r="J468" s="12"/>
      <c r="K468" s="61"/>
      <c r="L468" s="233"/>
      <c r="M468" s="10">
        <f ca="1">IF(ISBLANK(K468), TODAY()-(I468), Table27[[#This Row],[Effectiveness Review &amp; date deemed effective]]-Table27[[#This Row],[PTO initialized date]])</f>
        <v>46067</v>
      </c>
    </row>
    <row r="469" spans="1:13" ht="18">
      <c r="A469" s="9"/>
      <c r="B469" s="18" t="e">
        <f>VLOOKUP(Table27[[#This Row],[Location 
(drop-down)]],'List source'!D$2:E$71,2,FALSE)</f>
        <v>#N/A</v>
      </c>
      <c r="C469" s="154" t="s">
        <v>1808</v>
      </c>
      <c r="D469" s="20" t="e">
        <f t="shared" si="7"/>
        <v>#N/A</v>
      </c>
      <c r="E469" s="9"/>
      <c r="F469" s="10" t="e" cm="1">
        <f t="array" aca="1" ref="F4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69" s="130"/>
      <c r="I469" s="12"/>
      <c r="J469" s="12"/>
      <c r="K469" s="61"/>
      <c r="L469" s="233"/>
      <c r="M469" s="10">
        <f ca="1">IF(ISBLANK(K469), TODAY()-(I469), Table27[[#This Row],[Effectiveness Review &amp; date deemed effective]]-Table27[[#This Row],[PTO initialized date]])</f>
        <v>46067</v>
      </c>
    </row>
    <row r="470" spans="1:13" ht="18">
      <c r="A470" s="9"/>
      <c r="B470" s="18" t="e">
        <f>VLOOKUP(Table27[[#This Row],[Location 
(drop-down)]],'List source'!D$2:E$71,2,FALSE)</f>
        <v>#N/A</v>
      </c>
      <c r="C470" s="154" t="s">
        <v>1809</v>
      </c>
      <c r="D470" s="20" t="e">
        <f t="shared" si="7"/>
        <v>#N/A</v>
      </c>
      <c r="E470" s="9"/>
      <c r="F470" s="10" t="e" cm="1">
        <f t="array" aca="1" ref="F4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0" s="10"/>
      <c r="I470" s="12"/>
      <c r="J470" s="12"/>
      <c r="K470" s="61"/>
      <c r="L470" s="233"/>
      <c r="M470" s="10">
        <f ca="1">IF(ISBLANK(K470), TODAY()-(I470), Table27[[#This Row],[Effectiveness Review &amp; date deemed effective]]-Table27[[#This Row],[PTO initialized date]])</f>
        <v>46067</v>
      </c>
    </row>
    <row r="471" spans="1:13" ht="18">
      <c r="A471" s="9"/>
      <c r="B471" s="18" t="e">
        <f>VLOOKUP(Table27[[#This Row],[Location 
(drop-down)]],'List source'!D$2:E$71,2,FALSE)</f>
        <v>#N/A</v>
      </c>
      <c r="C471" s="154" t="s">
        <v>1810</v>
      </c>
      <c r="D471" s="20" t="e">
        <f t="shared" si="7"/>
        <v>#N/A</v>
      </c>
      <c r="E471" s="9"/>
      <c r="F471" s="10" t="e" cm="1">
        <f t="array" aca="1" ref="F4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1" s="10"/>
      <c r="I471" s="12"/>
      <c r="J471" s="12"/>
      <c r="K471" s="61"/>
      <c r="L471" s="233"/>
      <c r="M471" s="10">
        <f ca="1">IF(ISBLANK(K471), TODAY()-(I471), Table27[[#This Row],[Effectiveness Review &amp; date deemed effective]]-Table27[[#This Row],[PTO initialized date]])</f>
        <v>46067</v>
      </c>
    </row>
    <row r="472" spans="1:13" ht="18">
      <c r="A472" s="9"/>
      <c r="B472" s="18" t="e">
        <f>VLOOKUP(Table27[[#This Row],[Location 
(drop-down)]],'List source'!D$2:E$71,2,FALSE)</f>
        <v>#N/A</v>
      </c>
      <c r="C472" s="154" t="s">
        <v>1811</v>
      </c>
      <c r="D472" s="20" t="e">
        <f t="shared" si="7"/>
        <v>#N/A</v>
      </c>
      <c r="E472" s="9"/>
      <c r="F472" s="10" t="e" cm="1">
        <f t="array" aca="1" ref="F4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2" s="10"/>
      <c r="I472" s="12"/>
      <c r="J472" s="12"/>
      <c r="K472" s="61"/>
      <c r="L472" s="233"/>
      <c r="M472" s="10">
        <f ca="1">IF(ISBLANK(K472), TODAY()-(I472), Table27[[#This Row],[Effectiveness Review &amp; date deemed effective]]-Table27[[#This Row],[PTO initialized date]])</f>
        <v>46067</v>
      </c>
    </row>
    <row r="473" spans="1:13" ht="18">
      <c r="A473" s="9"/>
      <c r="B473" s="18" t="e">
        <f>VLOOKUP(Table27[[#This Row],[Location 
(drop-down)]],'List source'!D$2:E$71,2,FALSE)</f>
        <v>#N/A</v>
      </c>
      <c r="C473" s="154" t="s">
        <v>1812</v>
      </c>
      <c r="D473" s="20" t="e">
        <f t="shared" si="7"/>
        <v>#N/A</v>
      </c>
      <c r="E473" s="9"/>
      <c r="F473" s="10" t="e" cm="1">
        <f t="array" aca="1" ref="F4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3" s="130"/>
      <c r="I473" s="12"/>
      <c r="J473" s="12"/>
      <c r="K473" s="61"/>
      <c r="L473" s="233"/>
      <c r="M473" s="10">
        <f ca="1">IF(ISBLANK(K473), TODAY()-(I473), Table27[[#This Row],[Effectiveness Review &amp; date deemed effective]]-Table27[[#This Row],[PTO initialized date]])</f>
        <v>46067</v>
      </c>
    </row>
    <row r="474" spans="1:13" ht="18">
      <c r="A474" s="9"/>
      <c r="B474" s="18" t="e">
        <f>VLOOKUP(Table27[[#This Row],[Location 
(drop-down)]],'List source'!D$2:E$71,2,FALSE)</f>
        <v>#N/A</v>
      </c>
      <c r="C474" s="154" t="s">
        <v>1813</v>
      </c>
      <c r="D474" s="20" t="e">
        <f t="shared" si="7"/>
        <v>#N/A</v>
      </c>
      <c r="E474" s="9"/>
      <c r="F474" s="10" t="e" cm="1">
        <f t="array" aca="1" ref="F4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4" s="130"/>
      <c r="I474" s="12"/>
      <c r="J474" s="12"/>
      <c r="K474" s="61"/>
      <c r="L474" s="233"/>
      <c r="M474" s="10">
        <f ca="1">IF(ISBLANK(K474), TODAY()-(I474), Table27[[#This Row],[Effectiveness Review &amp; date deemed effective]]-Table27[[#This Row],[PTO initialized date]])</f>
        <v>46067</v>
      </c>
    </row>
    <row r="475" spans="1:13" ht="18">
      <c r="A475" s="9"/>
      <c r="B475" s="18" t="e">
        <f>VLOOKUP(Table27[[#This Row],[Location 
(drop-down)]],'List source'!D$2:E$71,2,FALSE)</f>
        <v>#N/A</v>
      </c>
      <c r="C475" s="154" t="s">
        <v>1814</v>
      </c>
      <c r="D475" s="20" t="e">
        <f t="shared" si="7"/>
        <v>#N/A</v>
      </c>
      <c r="E475" s="9"/>
      <c r="F475" s="10" t="e" cm="1">
        <f t="array" aca="1" ref="F4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5" s="10"/>
      <c r="I475" s="12"/>
      <c r="J475" s="12"/>
      <c r="K475" s="61"/>
      <c r="L475" s="233"/>
      <c r="M475" s="10">
        <f ca="1">IF(ISBLANK(K475), TODAY()-(I475), Table27[[#This Row],[Effectiveness Review &amp; date deemed effective]]-Table27[[#This Row],[PTO initialized date]])</f>
        <v>46067</v>
      </c>
    </row>
    <row r="476" spans="1:13" ht="18">
      <c r="A476" s="9"/>
      <c r="B476" s="18" t="e">
        <f>VLOOKUP(Table27[[#This Row],[Location 
(drop-down)]],'List source'!D$2:E$71,2,FALSE)</f>
        <v>#N/A</v>
      </c>
      <c r="C476" s="154" t="s">
        <v>1815</v>
      </c>
      <c r="D476" s="20" t="e">
        <f t="shared" si="7"/>
        <v>#N/A</v>
      </c>
      <c r="E476" s="9"/>
      <c r="F476" s="10" t="e" cm="1">
        <f t="array" aca="1" ref="F4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6" s="10"/>
      <c r="I476" s="12"/>
      <c r="J476" s="12"/>
      <c r="K476" s="61"/>
      <c r="L476" s="233"/>
      <c r="M476" s="10">
        <f ca="1">IF(ISBLANK(K476), TODAY()-(I476), Table27[[#This Row],[Effectiveness Review &amp; date deemed effective]]-Table27[[#This Row],[PTO initialized date]])</f>
        <v>46067</v>
      </c>
    </row>
    <row r="477" spans="1:13" ht="18">
      <c r="A477" s="9"/>
      <c r="B477" s="18" t="e">
        <f>VLOOKUP(Table27[[#This Row],[Location 
(drop-down)]],'List source'!D$2:E$71,2,FALSE)</f>
        <v>#N/A</v>
      </c>
      <c r="C477" s="154" t="s">
        <v>1816</v>
      </c>
      <c r="D477" s="20" t="e">
        <f t="shared" si="7"/>
        <v>#N/A</v>
      </c>
      <c r="E477" s="9"/>
      <c r="F477" s="10" t="e" cm="1">
        <f t="array" aca="1" ref="F4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7" s="130"/>
      <c r="I477" s="12"/>
      <c r="J477" s="12"/>
      <c r="K477" s="61"/>
      <c r="L477" s="233"/>
      <c r="M477" s="10">
        <f ca="1">IF(ISBLANK(K477), TODAY()-(I477), Table27[[#This Row],[Effectiveness Review &amp; date deemed effective]]-Table27[[#This Row],[PTO initialized date]])</f>
        <v>46067</v>
      </c>
    </row>
    <row r="478" spans="1:13" ht="18">
      <c r="A478" s="9"/>
      <c r="B478" s="18" t="e">
        <f>VLOOKUP(Table27[[#This Row],[Location 
(drop-down)]],'List source'!D$2:E$71,2,FALSE)</f>
        <v>#N/A</v>
      </c>
      <c r="C478" s="154" t="s">
        <v>1817</v>
      </c>
      <c r="D478" s="20" t="e">
        <f t="shared" si="7"/>
        <v>#N/A</v>
      </c>
      <c r="E478" s="9"/>
      <c r="F478" s="10" t="e" cm="1">
        <f t="array" aca="1" ref="F4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8" s="130"/>
      <c r="I478" s="12"/>
      <c r="J478" s="12"/>
      <c r="K478" s="61"/>
      <c r="L478" s="233"/>
      <c r="M478" s="10">
        <f ca="1">IF(ISBLANK(K478), TODAY()-(I478), Table27[[#This Row],[Effectiveness Review &amp; date deemed effective]]-Table27[[#This Row],[PTO initialized date]])</f>
        <v>46067</v>
      </c>
    </row>
    <row r="479" spans="1:13" ht="18">
      <c r="A479" s="9"/>
      <c r="B479" s="18" t="e">
        <f>VLOOKUP(Table27[[#This Row],[Location 
(drop-down)]],'List source'!D$2:E$71,2,FALSE)</f>
        <v>#N/A</v>
      </c>
      <c r="C479" s="154" t="s">
        <v>1818</v>
      </c>
      <c r="D479" s="20" t="e">
        <f t="shared" si="7"/>
        <v>#N/A</v>
      </c>
      <c r="E479" s="9"/>
      <c r="F479" s="10" t="e" cm="1">
        <f t="array" aca="1" ref="F4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79" s="130"/>
      <c r="I479" s="12"/>
      <c r="J479" s="12"/>
      <c r="K479" s="61"/>
      <c r="L479" s="233"/>
      <c r="M479" s="10">
        <f ca="1">IF(ISBLANK(K479), TODAY()-(I479), Table27[[#This Row],[Effectiveness Review &amp; date deemed effective]]-Table27[[#This Row],[PTO initialized date]])</f>
        <v>46067</v>
      </c>
    </row>
    <row r="480" spans="1:13" ht="18">
      <c r="A480" s="9"/>
      <c r="B480" s="18" t="e">
        <f>VLOOKUP(Table27[[#This Row],[Location 
(drop-down)]],'List source'!D$2:E$71,2,FALSE)</f>
        <v>#N/A</v>
      </c>
      <c r="C480" s="154" t="s">
        <v>1819</v>
      </c>
      <c r="D480" s="20" t="e">
        <f t="shared" si="7"/>
        <v>#N/A</v>
      </c>
      <c r="E480" s="9"/>
      <c r="F480" s="10" t="e" cm="1">
        <f t="array" aca="1" ref="F4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0" s="130"/>
      <c r="I480" s="12"/>
      <c r="J480" s="12"/>
      <c r="K480" s="61"/>
      <c r="L480" s="233"/>
      <c r="M480" s="10">
        <f ca="1">IF(ISBLANK(K480), TODAY()-(I480), Table27[[#This Row],[Effectiveness Review &amp; date deemed effective]]-Table27[[#This Row],[PTO initialized date]])</f>
        <v>46067</v>
      </c>
    </row>
    <row r="481" spans="1:13" ht="18">
      <c r="A481" s="9"/>
      <c r="B481" s="18" t="e">
        <f>VLOOKUP(Table27[[#This Row],[Location 
(drop-down)]],'List source'!D$2:E$71,2,FALSE)</f>
        <v>#N/A</v>
      </c>
      <c r="C481" s="154" t="s">
        <v>1820</v>
      </c>
      <c r="D481" s="20" t="e">
        <f t="shared" si="7"/>
        <v>#N/A</v>
      </c>
      <c r="E481" s="9"/>
      <c r="F481" s="10" t="e" cm="1">
        <f t="array" aca="1" ref="F4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1" s="130"/>
      <c r="I481" s="12"/>
      <c r="J481" s="12"/>
      <c r="K481" s="61"/>
      <c r="L481" s="233"/>
      <c r="M481" s="10">
        <f ca="1">IF(ISBLANK(K481), TODAY()-(I481), Table27[[#This Row],[Effectiveness Review &amp; date deemed effective]]-Table27[[#This Row],[PTO initialized date]])</f>
        <v>46067</v>
      </c>
    </row>
    <row r="482" spans="1:13" ht="18">
      <c r="A482" s="9"/>
      <c r="B482" s="18" t="e">
        <f>VLOOKUP(Table27[[#This Row],[Location 
(drop-down)]],'List source'!D$2:E$71,2,FALSE)</f>
        <v>#N/A</v>
      </c>
      <c r="C482" s="154" t="s">
        <v>1821</v>
      </c>
      <c r="D482" s="20" t="e">
        <f t="shared" si="7"/>
        <v>#N/A</v>
      </c>
      <c r="E482" s="9"/>
      <c r="F482" s="10" t="e" cm="1">
        <f t="array" aca="1" ref="F4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2" s="130"/>
      <c r="I482" s="12"/>
      <c r="J482" s="12"/>
      <c r="K482" s="61"/>
      <c r="L482" s="233"/>
      <c r="M482" s="10">
        <f ca="1">IF(ISBLANK(K482), TODAY()-(I482), Table27[[#This Row],[Effectiveness Review &amp; date deemed effective]]-Table27[[#This Row],[PTO initialized date]])</f>
        <v>46067</v>
      </c>
    </row>
    <row r="483" spans="1:13" ht="18">
      <c r="A483" s="9"/>
      <c r="B483" s="18" t="e">
        <f>VLOOKUP(Table27[[#This Row],[Location 
(drop-down)]],'List source'!D$2:E$71,2,FALSE)</f>
        <v>#N/A</v>
      </c>
      <c r="C483" s="154" t="s">
        <v>1822</v>
      </c>
      <c r="D483" s="20" t="e">
        <f t="shared" si="7"/>
        <v>#N/A</v>
      </c>
      <c r="E483" s="9"/>
      <c r="F483" s="10" t="e" cm="1">
        <f t="array" aca="1" ref="F4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3" s="10"/>
      <c r="I483" s="12"/>
      <c r="J483" s="12"/>
      <c r="K483" s="61"/>
      <c r="L483" s="233"/>
      <c r="M483" s="10">
        <f ca="1">IF(ISBLANK(K483), TODAY()-(I483), Table27[[#This Row],[Effectiveness Review &amp; date deemed effective]]-Table27[[#This Row],[PTO initialized date]])</f>
        <v>46067</v>
      </c>
    </row>
    <row r="484" spans="1:13" ht="18">
      <c r="A484" s="9"/>
      <c r="B484" s="18" t="e">
        <f>VLOOKUP(Table27[[#This Row],[Location 
(drop-down)]],'List source'!D$2:E$71,2,FALSE)</f>
        <v>#N/A</v>
      </c>
      <c r="C484" s="154" t="s">
        <v>1823</v>
      </c>
      <c r="D484" s="20" t="e">
        <f t="shared" si="7"/>
        <v>#N/A</v>
      </c>
      <c r="E484" s="9"/>
      <c r="F484" s="10" t="e" cm="1">
        <f t="array" aca="1" ref="F4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4" s="10"/>
      <c r="I484" s="12"/>
      <c r="J484" s="12"/>
      <c r="K484" s="61"/>
      <c r="L484" s="233"/>
      <c r="M484" s="10">
        <f ca="1">IF(ISBLANK(K484), TODAY()-(I484), Table27[[#This Row],[Effectiveness Review &amp; date deemed effective]]-Table27[[#This Row],[PTO initialized date]])</f>
        <v>46067</v>
      </c>
    </row>
    <row r="485" spans="1:13" ht="18">
      <c r="A485" s="9"/>
      <c r="B485" s="18" t="e">
        <f>VLOOKUP(Table27[[#This Row],[Location 
(drop-down)]],'List source'!D$2:E$71,2,FALSE)</f>
        <v>#N/A</v>
      </c>
      <c r="C485" s="154" t="s">
        <v>1824</v>
      </c>
      <c r="D485" s="20" t="e">
        <f t="shared" si="7"/>
        <v>#N/A</v>
      </c>
      <c r="E485" s="9"/>
      <c r="F485" s="10" t="e" cm="1">
        <f t="array" aca="1" ref="F4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5" s="10"/>
      <c r="I485" s="12"/>
      <c r="J485" s="12"/>
      <c r="K485" s="61"/>
      <c r="L485" s="233"/>
      <c r="M485" s="10">
        <f ca="1">IF(ISBLANK(K485), TODAY()-(I485), Table27[[#This Row],[Effectiveness Review &amp; date deemed effective]]-Table27[[#This Row],[PTO initialized date]])</f>
        <v>46067</v>
      </c>
    </row>
    <row r="486" spans="1:13" ht="18">
      <c r="A486" s="9"/>
      <c r="B486" s="18" t="e">
        <f>VLOOKUP(Table27[[#This Row],[Location 
(drop-down)]],'List source'!D$2:E$71,2,FALSE)</f>
        <v>#N/A</v>
      </c>
      <c r="C486" s="154" t="s">
        <v>1825</v>
      </c>
      <c r="D486" s="20" t="e">
        <f t="shared" si="7"/>
        <v>#N/A</v>
      </c>
      <c r="E486" s="9"/>
      <c r="F486" s="10" t="e" cm="1">
        <f t="array" aca="1" ref="F4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6" s="130"/>
      <c r="I486" s="12"/>
      <c r="J486" s="12"/>
      <c r="K486" s="61"/>
      <c r="L486" s="233"/>
      <c r="M486" s="10">
        <f ca="1">IF(ISBLANK(K486), TODAY()-(I486), Table27[[#This Row],[Effectiveness Review &amp; date deemed effective]]-Table27[[#This Row],[PTO initialized date]])</f>
        <v>46067</v>
      </c>
    </row>
    <row r="487" spans="1:13" ht="18">
      <c r="A487" s="9"/>
      <c r="B487" s="18" t="e">
        <f>VLOOKUP(Table27[[#This Row],[Location 
(drop-down)]],'List source'!D$2:E$71,2,FALSE)</f>
        <v>#N/A</v>
      </c>
      <c r="C487" s="154" t="s">
        <v>1826</v>
      </c>
      <c r="D487" s="20" t="e">
        <f t="shared" si="7"/>
        <v>#N/A</v>
      </c>
      <c r="E487" s="9"/>
      <c r="F487" s="10" t="e" cm="1">
        <f t="array" aca="1" ref="F4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7" s="130"/>
      <c r="I487" s="12"/>
      <c r="J487" s="12"/>
      <c r="K487" s="61"/>
      <c r="L487" s="233"/>
      <c r="M487" s="10">
        <f ca="1">IF(ISBLANK(K487), TODAY()-(I487), Table27[[#This Row],[Effectiveness Review &amp; date deemed effective]]-Table27[[#This Row],[PTO initialized date]])</f>
        <v>46067</v>
      </c>
    </row>
    <row r="488" spans="1:13" ht="18">
      <c r="A488" s="9"/>
      <c r="B488" s="18" t="e">
        <f>VLOOKUP(Table27[[#This Row],[Location 
(drop-down)]],'List source'!D$2:E$71,2,FALSE)</f>
        <v>#N/A</v>
      </c>
      <c r="C488" s="154" t="s">
        <v>1827</v>
      </c>
      <c r="D488" s="20" t="e">
        <f t="shared" si="7"/>
        <v>#N/A</v>
      </c>
      <c r="E488" s="9"/>
      <c r="F488" s="10" t="e" cm="1">
        <f t="array" aca="1" ref="F4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8" s="10"/>
      <c r="I488" s="12"/>
      <c r="J488" s="12"/>
      <c r="K488" s="61"/>
      <c r="L488" s="233"/>
      <c r="M488" s="10">
        <f ca="1">IF(ISBLANK(K488), TODAY()-(I488), Table27[[#This Row],[Effectiveness Review &amp; date deemed effective]]-Table27[[#This Row],[PTO initialized date]])</f>
        <v>46067</v>
      </c>
    </row>
    <row r="489" spans="1:13" ht="18">
      <c r="A489" s="9"/>
      <c r="B489" s="18" t="e">
        <f>VLOOKUP(Table27[[#This Row],[Location 
(drop-down)]],'List source'!D$2:E$71,2,FALSE)</f>
        <v>#N/A</v>
      </c>
      <c r="C489" s="154" t="s">
        <v>1828</v>
      </c>
      <c r="D489" s="20" t="e">
        <f t="shared" si="7"/>
        <v>#N/A</v>
      </c>
      <c r="E489" s="9"/>
      <c r="F489" s="10" t="e" cm="1">
        <f t="array" aca="1" ref="F4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89" s="130"/>
      <c r="I489" s="12"/>
      <c r="J489" s="12"/>
      <c r="K489" s="61"/>
      <c r="L489" s="233"/>
      <c r="M489" s="10">
        <f ca="1">IF(ISBLANK(K489), TODAY()-(I489), Table27[[#This Row],[Effectiveness Review &amp; date deemed effective]]-Table27[[#This Row],[PTO initialized date]])</f>
        <v>46067</v>
      </c>
    </row>
    <row r="490" spans="1:13" ht="18">
      <c r="A490" s="9"/>
      <c r="B490" s="18" t="e">
        <f>VLOOKUP(Table27[[#This Row],[Location 
(drop-down)]],'List source'!D$2:E$71,2,FALSE)</f>
        <v>#N/A</v>
      </c>
      <c r="C490" s="154" t="s">
        <v>1829</v>
      </c>
      <c r="D490" s="20" t="e">
        <f t="shared" si="7"/>
        <v>#N/A</v>
      </c>
      <c r="E490" s="68"/>
      <c r="F490" s="10" t="e" cm="1">
        <f t="array" aca="1" ref="F4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0" s="10"/>
      <c r="I490" s="12"/>
      <c r="J490" s="12"/>
      <c r="K490" s="61"/>
      <c r="L490" s="233"/>
      <c r="M490" s="10">
        <f ca="1">IF(ISBLANK(K490), TODAY()-(I490), Table27[[#This Row],[Effectiveness Review &amp; date deemed effective]]-Table27[[#This Row],[PTO initialized date]])</f>
        <v>46067</v>
      </c>
    </row>
    <row r="491" spans="1:13" ht="18">
      <c r="A491" s="9"/>
      <c r="B491" s="18" t="e">
        <f>VLOOKUP(Table27[[#This Row],[Location 
(drop-down)]],'List source'!D$2:E$71,2,FALSE)</f>
        <v>#N/A</v>
      </c>
      <c r="C491" s="154" t="s">
        <v>1830</v>
      </c>
      <c r="D491" s="20" t="e">
        <f t="shared" si="7"/>
        <v>#N/A</v>
      </c>
      <c r="E491" s="68"/>
      <c r="F491" s="10" t="e" cm="1">
        <f t="array" aca="1" ref="F4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1" s="72"/>
      <c r="I491" s="12"/>
      <c r="J491" s="12"/>
      <c r="K491" s="61"/>
      <c r="L491" s="233"/>
      <c r="M491" s="10">
        <f ca="1">IF(ISBLANK(K491), TODAY()-(I491), Table27[[#This Row],[Effectiveness Review &amp; date deemed effective]]-Table27[[#This Row],[PTO initialized date]])</f>
        <v>46067</v>
      </c>
    </row>
    <row r="492" spans="1:13" ht="18">
      <c r="A492" s="9"/>
      <c r="B492" s="18" t="e">
        <f>VLOOKUP(Table27[[#This Row],[Location 
(drop-down)]],'List source'!D$2:E$71,2,FALSE)</f>
        <v>#N/A</v>
      </c>
      <c r="C492" s="154" t="s">
        <v>1831</v>
      </c>
      <c r="D492" s="20" t="e">
        <f t="shared" si="7"/>
        <v>#N/A</v>
      </c>
      <c r="E492" s="312"/>
      <c r="F492" s="10" t="e" cm="1">
        <f t="array" aca="1" ref="F4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2" s="333"/>
      <c r="I492" s="12"/>
      <c r="J492" s="12"/>
      <c r="K492" s="61"/>
      <c r="L492" s="233"/>
      <c r="M492" s="10">
        <f ca="1">IF(ISBLANK(K492), TODAY()-(I492), Table27[[#This Row],[Effectiveness Review &amp; date deemed effective]]-Table27[[#This Row],[PTO initialized date]])</f>
        <v>46067</v>
      </c>
    </row>
    <row r="493" spans="1:13" ht="18">
      <c r="A493" s="9"/>
      <c r="B493" s="18" t="e">
        <f>VLOOKUP(Table27[[#This Row],[Location 
(drop-down)]],'List source'!D$2:E$71,2,FALSE)</f>
        <v>#N/A</v>
      </c>
      <c r="C493" s="154" t="s">
        <v>1832</v>
      </c>
      <c r="D493" s="20" t="e">
        <f t="shared" si="7"/>
        <v>#N/A</v>
      </c>
      <c r="E493" s="129"/>
      <c r="F493" s="10" t="e" cm="1">
        <f t="array" aca="1" ref="F4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3" s="124"/>
      <c r="I493" s="12"/>
      <c r="J493" s="12"/>
      <c r="K493" s="61"/>
      <c r="L493" s="233"/>
      <c r="M493" s="10">
        <f ca="1">IF(ISBLANK(K493), TODAY()-(I493), Table27[[#This Row],[Effectiveness Review &amp; date deemed effective]]-Table27[[#This Row],[PTO initialized date]])</f>
        <v>46067</v>
      </c>
    </row>
    <row r="494" spans="1:13" ht="18">
      <c r="A494" s="9"/>
      <c r="B494" s="18" t="e">
        <f>VLOOKUP(Table27[[#This Row],[Location 
(drop-down)]],'List source'!D$2:E$71,2,FALSE)</f>
        <v>#N/A</v>
      </c>
      <c r="C494" s="154" t="s">
        <v>1833</v>
      </c>
      <c r="D494" s="20" t="e">
        <f t="shared" si="7"/>
        <v>#N/A</v>
      </c>
      <c r="E494" s="9"/>
      <c r="F494" s="10" t="e" cm="1">
        <f t="array" aca="1" ref="F4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4" s="130"/>
      <c r="I494" s="12"/>
      <c r="J494" s="12"/>
      <c r="K494" s="61"/>
      <c r="L494" s="233"/>
      <c r="M494" s="10">
        <f ca="1">IF(ISBLANK(K494), TODAY()-(I494), Table27[[#This Row],[Effectiveness Review &amp; date deemed effective]]-Table27[[#This Row],[PTO initialized date]])</f>
        <v>46067</v>
      </c>
    </row>
    <row r="495" spans="1:13" ht="18">
      <c r="A495" s="9"/>
      <c r="B495" s="18" t="e">
        <f>VLOOKUP(Table27[[#This Row],[Location 
(drop-down)]],'List source'!D$2:E$71,2,FALSE)</f>
        <v>#N/A</v>
      </c>
      <c r="C495" s="154" t="s">
        <v>1834</v>
      </c>
      <c r="D495" s="20" t="e">
        <f t="shared" si="7"/>
        <v>#N/A</v>
      </c>
      <c r="E495" s="9"/>
      <c r="F495" s="10" t="e" cm="1">
        <f t="array" aca="1" ref="F4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5" s="130"/>
      <c r="I495" s="12"/>
      <c r="J495" s="12"/>
      <c r="K495" s="61"/>
      <c r="L495" s="233"/>
      <c r="M495" s="10">
        <f ca="1">IF(ISBLANK(K495), TODAY()-(I495), Table27[[#This Row],[Effectiveness Review &amp; date deemed effective]]-Table27[[#This Row],[PTO initialized date]])</f>
        <v>46067</v>
      </c>
    </row>
    <row r="496" spans="1:13" ht="18">
      <c r="A496" s="9"/>
      <c r="B496" s="18" t="e">
        <f>VLOOKUP(Table27[[#This Row],[Location 
(drop-down)]],'List source'!D$2:E$71,2,FALSE)</f>
        <v>#N/A</v>
      </c>
      <c r="C496" s="154" t="s">
        <v>1835</v>
      </c>
      <c r="D496" s="20" t="e">
        <f t="shared" si="7"/>
        <v>#N/A</v>
      </c>
      <c r="E496" s="9"/>
      <c r="F496" s="10" t="e" cm="1">
        <f t="array" aca="1" ref="F4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6" s="130"/>
      <c r="I496" s="142"/>
      <c r="J496" s="12"/>
      <c r="K496" s="61"/>
      <c r="L496" s="233"/>
      <c r="M496" s="10">
        <f ca="1">IF(ISBLANK(K496), TODAY()-(I496), Table27[[#This Row],[Effectiveness Review &amp; date deemed effective]]-Table27[[#This Row],[PTO initialized date]])</f>
        <v>46067</v>
      </c>
    </row>
    <row r="497" spans="1:13" ht="18">
      <c r="A497" s="9"/>
      <c r="B497" s="18" t="e">
        <f>VLOOKUP(Table27[[#This Row],[Location 
(drop-down)]],'List source'!D$2:E$71,2,FALSE)</f>
        <v>#N/A</v>
      </c>
      <c r="C497" s="154" t="s">
        <v>1836</v>
      </c>
      <c r="D497" s="194" t="e">
        <f t="shared" si="7"/>
        <v>#N/A</v>
      </c>
      <c r="E497" s="9"/>
      <c r="F497" s="10" t="e" cm="1">
        <f t="array" aca="1" ref="F4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7" s="130"/>
      <c r="I497" s="142"/>
      <c r="J497" s="12"/>
      <c r="K497" s="61"/>
      <c r="L497" s="295"/>
      <c r="M497" s="10">
        <f ca="1">IF(ISBLANK(K497), TODAY()-(I497), Table27[[#This Row],[Effectiveness Review &amp; date deemed effective]]-Table27[[#This Row],[PTO initialized date]])</f>
        <v>46067</v>
      </c>
    </row>
    <row r="498" spans="1:13" ht="18">
      <c r="A498" s="9"/>
      <c r="B498" s="18" t="e">
        <f>VLOOKUP(Table27[[#This Row],[Location 
(drop-down)]],'List source'!D$2:E$71,2,FALSE)</f>
        <v>#N/A</v>
      </c>
      <c r="C498" s="154" t="s">
        <v>1837</v>
      </c>
      <c r="D498" s="20" t="e">
        <f t="shared" si="7"/>
        <v>#N/A</v>
      </c>
      <c r="E498" s="9"/>
      <c r="F498" s="10" t="e" cm="1">
        <f t="array" aca="1" ref="F4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8" s="130"/>
      <c r="I498" s="142"/>
      <c r="J498" s="12"/>
      <c r="K498" s="61"/>
      <c r="L498" s="233"/>
      <c r="M498" s="10">
        <f ca="1">IF(ISBLANK(K498), TODAY()-(I498), Table27[[#This Row],[Effectiveness Review &amp; date deemed effective]]-Table27[[#This Row],[PTO initialized date]])</f>
        <v>46067</v>
      </c>
    </row>
    <row r="499" spans="1:13" ht="18">
      <c r="A499" s="9"/>
      <c r="B499" s="18" t="e">
        <f>VLOOKUP(Table27[[#This Row],[Location 
(drop-down)]],'List source'!D$2:E$71,2,FALSE)</f>
        <v>#N/A</v>
      </c>
      <c r="C499" s="154" t="s">
        <v>1838</v>
      </c>
      <c r="D499" s="20" t="e">
        <f t="shared" si="7"/>
        <v>#N/A</v>
      </c>
      <c r="E499" s="9"/>
      <c r="F499" s="10" t="e" cm="1">
        <f t="array" aca="1" ref="F4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4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499" s="130"/>
      <c r="I499" s="142"/>
      <c r="J499" s="12"/>
      <c r="K499" s="61"/>
      <c r="L499" s="233"/>
      <c r="M499" s="10">
        <f ca="1">IF(ISBLANK(K499), TODAY()-(I499), Table27[[#This Row],[Effectiveness Review &amp; date deemed effective]]-Table27[[#This Row],[PTO initialized date]])</f>
        <v>46067</v>
      </c>
    </row>
    <row r="500" spans="1:13" ht="18">
      <c r="A500" s="9"/>
      <c r="B500" s="18" t="e">
        <f>VLOOKUP(Table27[[#This Row],[Location 
(drop-down)]],'List source'!D$2:E$71,2,FALSE)</f>
        <v>#N/A</v>
      </c>
      <c r="C500" s="154" t="s">
        <v>1839</v>
      </c>
      <c r="D500" s="20" t="e">
        <f t="shared" si="7"/>
        <v>#N/A</v>
      </c>
      <c r="E500" s="9"/>
      <c r="F500" s="10" t="e" cm="1">
        <f t="array" aca="1" ref="F5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0" s="130"/>
      <c r="I500" s="142"/>
      <c r="J500" s="12"/>
      <c r="K500" s="61"/>
      <c r="L500" s="233"/>
      <c r="M500" s="10">
        <f ca="1">IF(ISBLANK(K500), TODAY()-(I500), Table27[[#This Row],[Effectiveness Review &amp; date deemed effective]]-Table27[[#This Row],[PTO initialized date]])</f>
        <v>46067</v>
      </c>
    </row>
    <row r="501" spans="1:13" ht="18">
      <c r="A501" s="9"/>
      <c r="B501" s="18" t="e">
        <f>VLOOKUP(Table27[[#This Row],[Location 
(drop-down)]],'List source'!D$2:E$71,2,FALSE)</f>
        <v>#N/A</v>
      </c>
      <c r="C501" s="154" t="s">
        <v>1840</v>
      </c>
      <c r="D501" s="20" t="e">
        <f t="shared" si="7"/>
        <v>#N/A</v>
      </c>
      <c r="E501" s="129"/>
      <c r="F501" s="10" t="e" cm="1">
        <f t="array" aca="1" ref="F5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1" s="155"/>
      <c r="I501" s="142"/>
      <c r="J501" s="12"/>
      <c r="K501" s="61"/>
      <c r="L501" s="233"/>
      <c r="M501" s="10">
        <f ca="1">IF(ISBLANK(K501), TODAY()-(I501), Table27[[#This Row],[Effectiveness Review &amp; date deemed effective]]-Table27[[#This Row],[PTO initialized date]])</f>
        <v>46067</v>
      </c>
    </row>
    <row r="502" spans="1:13" ht="18">
      <c r="A502" s="9"/>
      <c r="B502" s="18" t="e">
        <f>VLOOKUP(Table27[[#This Row],[Location 
(drop-down)]],'List source'!D$2:E$71,2,FALSE)</f>
        <v>#N/A</v>
      </c>
      <c r="C502" s="154" t="s">
        <v>1841</v>
      </c>
      <c r="D502" s="20" t="e">
        <f t="shared" si="7"/>
        <v>#N/A</v>
      </c>
      <c r="E502" s="9"/>
      <c r="F502" s="10" t="e" cm="1">
        <f t="array" aca="1" ref="F5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2" s="130"/>
      <c r="I502" s="142"/>
      <c r="J502" s="12"/>
      <c r="K502" s="61"/>
      <c r="L502" s="233"/>
      <c r="M502" s="10">
        <f ca="1">IF(ISBLANK(K502), TODAY()-(I502), Table27[[#This Row],[Effectiveness Review &amp; date deemed effective]]-Table27[[#This Row],[PTO initialized date]])</f>
        <v>46067</v>
      </c>
    </row>
    <row r="503" spans="1:13" ht="18">
      <c r="A503" s="9"/>
      <c r="B503" s="18" t="e">
        <f>VLOOKUP(Table27[[#This Row],[Location 
(drop-down)]],'List source'!D$2:E$71,2,FALSE)</f>
        <v>#N/A</v>
      </c>
      <c r="C503" s="154" t="s">
        <v>1842</v>
      </c>
      <c r="D503" s="20" t="e">
        <f t="shared" si="7"/>
        <v>#N/A</v>
      </c>
      <c r="E503" s="9"/>
      <c r="F503" s="10" t="e" cm="1">
        <f t="array" aca="1" ref="F5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3" s="10"/>
      <c r="I503" s="142"/>
      <c r="J503" s="12"/>
      <c r="K503" s="61"/>
      <c r="L503" s="233"/>
      <c r="M503" s="10">
        <f ca="1">IF(ISBLANK(K503), TODAY()-(I503), Table27[[#This Row],[Effectiveness Review &amp; date deemed effective]]-Table27[[#This Row],[PTO initialized date]])</f>
        <v>46067</v>
      </c>
    </row>
    <row r="504" spans="1:13" ht="18">
      <c r="A504" s="9"/>
      <c r="B504" s="18" t="e">
        <f>VLOOKUP(Table27[[#This Row],[Location 
(drop-down)]],'List source'!D$2:E$71,2,FALSE)</f>
        <v>#N/A</v>
      </c>
      <c r="C504" s="154" t="s">
        <v>1843</v>
      </c>
      <c r="D504" s="20" t="e">
        <f t="shared" si="7"/>
        <v>#N/A</v>
      </c>
      <c r="E504" s="9"/>
      <c r="F504" s="10" t="e" cm="1">
        <f t="array" aca="1" ref="F5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4" s="10"/>
      <c r="I504" s="142"/>
      <c r="J504" s="12"/>
      <c r="K504" s="61"/>
      <c r="L504" s="233"/>
      <c r="M504" s="10">
        <f ca="1">IF(ISBLANK(K504), TODAY()-(I504), Table27[[#This Row],[Effectiveness Review &amp; date deemed effective]]-Table27[[#This Row],[PTO initialized date]])</f>
        <v>46067</v>
      </c>
    </row>
    <row r="505" spans="1:13" ht="18">
      <c r="A505" s="9"/>
      <c r="B505" s="18" t="e">
        <f>VLOOKUP(Table27[[#This Row],[Location 
(drop-down)]],'List source'!D$2:E$71,2,FALSE)</f>
        <v>#N/A</v>
      </c>
      <c r="C505" s="154" t="s">
        <v>1844</v>
      </c>
      <c r="D505" s="20" t="e">
        <f t="shared" si="7"/>
        <v>#N/A</v>
      </c>
      <c r="E505" s="9"/>
      <c r="F505" s="10" t="e" cm="1">
        <f t="array" aca="1" ref="F5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5" s="10"/>
      <c r="I505" s="142"/>
      <c r="J505" s="12"/>
      <c r="K505" s="61"/>
      <c r="L505" s="233"/>
      <c r="M505" s="10">
        <f ca="1">IF(ISBLANK(K505), TODAY()-(I505), Table27[[#This Row],[Effectiveness Review &amp; date deemed effective]]-Table27[[#This Row],[PTO initialized date]])</f>
        <v>46067</v>
      </c>
    </row>
    <row r="506" spans="1:13" ht="18">
      <c r="A506" s="9"/>
      <c r="B506" s="18" t="e">
        <f>VLOOKUP(Table27[[#This Row],[Location 
(drop-down)]],'List source'!D$2:E$71,2,FALSE)</f>
        <v>#N/A</v>
      </c>
      <c r="C506" s="154" t="s">
        <v>1845</v>
      </c>
      <c r="D506" s="20" t="e">
        <f t="shared" si="7"/>
        <v>#N/A</v>
      </c>
      <c r="E506" s="9"/>
      <c r="F506" s="10" t="e" cm="1">
        <f t="array" aca="1" ref="F5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6" s="130"/>
      <c r="I506" s="142"/>
      <c r="J506" s="12"/>
      <c r="K506" s="61"/>
      <c r="L506" s="233"/>
      <c r="M506" s="10">
        <f ca="1">IF(ISBLANK(K506), TODAY()-(I506), Table27[[#This Row],[Effectiveness Review &amp; date deemed effective]]-Table27[[#This Row],[PTO initialized date]])</f>
        <v>46067</v>
      </c>
    </row>
    <row r="507" spans="1:13" ht="18">
      <c r="A507" s="9"/>
      <c r="B507" s="18" t="e">
        <f>VLOOKUP(Table27[[#This Row],[Location 
(drop-down)]],'List source'!D$2:E$71,2,FALSE)</f>
        <v>#N/A</v>
      </c>
      <c r="C507" s="154" t="s">
        <v>1846</v>
      </c>
      <c r="D507" s="20" t="e">
        <f t="shared" si="7"/>
        <v>#N/A</v>
      </c>
      <c r="E507" s="9"/>
      <c r="F507" s="10" t="e" cm="1">
        <f t="array" aca="1" ref="F5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7" s="10"/>
      <c r="I507" s="142"/>
      <c r="J507" s="12"/>
      <c r="K507" s="61"/>
      <c r="L507" s="233"/>
      <c r="M507" s="10">
        <f ca="1">IF(ISBLANK(K507), TODAY()-(I507), Table27[[#This Row],[Effectiveness Review &amp; date deemed effective]]-Table27[[#This Row],[PTO initialized date]])</f>
        <v>46067</v>
      </c>
    </row>
    <row r="508" spans="1:13" ht="18">
      <c r="A508" s="9"/>
      <c r="B508" s="18" t="e">
        <f>VLOOKUP(Table27[[#This Row],[Location 
(drop-down)]],'List source'!D$2:E$71,2,FALSE)</f>
        <v>#N/A</v>
      </c>
      <c r="C508" s="154" t="s">
        <v>1847</v>
      </c>
      <c r="D508" s="20" t="e">
        <f t="shared" si="7"/>
        <v>#N/A</v>
      </c>
      <c r="E508" s="9"/>
      <c r="F508" s="10" t="e" cm="1">
        <f t="array" aca="1" ref="F5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8" s="130"/>
      <c r="I508" s="142"/>
      <c r="J508" s="12"/>
      <c r="K508" s="61"/>
      <c r="L508" s="233"/>
      <c r="M508" s="10">
        <f ca="1">IF(ISBLANK(K508), TODAY()-(I508), Table27[[#This Row],[Effectiveness Review &amp; date deemed effective]]-Table27[[#This Row],[PTO initialized date]])</f>
        <v>46067</v>
      </c>
    </row>
    <row r="509" spans="1:13" ht="18">
      <c r="A509" s="9"/>
      <c r="B509" s="18" t="e">
        <f>VLOOKUP(Table27[[#This Row],[Location 
(drop-down)]],'List source'!D$2:E$71,2,FALSE)</f>
        <v>#N/A</v>
      </c>
      <c r="C509" s="154" t="s">
        <v>1848</v>
      </c>
      <c r="D509" s="194" t="e">
        <f t="shared" si="7"/>
        <v>#N/A</v>
      </c>
      <c r="E509" s="9"/>
      <c r="F509" s="10" t="e" cm="1">
        <f t="array" aca="1" ref="F5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09" s="130"/>
      <c r="I509" s="142"/>
      <c r="J509" s="12"/>
      <c r="K509" s="12"/>
      <c r="L509" s="295"/>
      <c r="M509" s="10">
        <f ca="1">IF(ISBLANK(K509), TODAY()-(I509), Table27[[#This Row],[Effectiveness Review &amp; date deemed effective]]-Table27[[#This Row],[PTO initialized date]])</f>
        <v>46067</v>
      </c>
    </row>
    <row r="510" spans="1:13" ht="18">
      <c r="A510" s="9"/>
      <c r="B510" s="18" t="e">
        <f>VLOOKUP(Table27[[#This Row],[Location 
(drop-down)]],'List source'!D$2:E$71,2,FALSE)</f>
        <v>#N/A</v>
      </c>
      <c r="C510" s="154" t="s">
        <v>1849</v>
      </c>
      <c r="D510" s="20" t="e">
        <f t="shared" si="7"/>
        <v>#N/A</v>
      </c>
      <c r="E510" s="9"/>
      <c r="F510" s="10" t="e" cm="1">
        <f t="array" aca="1" ref="F5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0" s="10"/>
      <c r="I510" s="142"/>
      <c r="J510" s="12"/>
      <c r="K510" s="61"/>
      <c r="L510" s="233"/>
      <c r="M510" s="10">
        <f ca="1">IF(ISBLANK(K510), TODAY()-(I510), Table27[[#This Row],[Effectiveness Review &amp; date deemed effective]]-Table27[[#This Row],[PTO initialized date]])</f>
        <v>46067</v>
      </c>
    </row>
    <row r="511" spans="1:13" ht="18">
      <c r="A511" s="9"/>
      <c r="B511" s="18" t="e">
        <f>VLOOKUP(Table27[[#This Row],[Location 
(drop-down)]],'List source'!D$2:E$71,2,FALSE)</f>
        <v>#N/A</v>
      </c>
      <c r="C511" s="154" t="s">
        <v>1850</v>
      </c>
      <c r="D511" s="20" t="e">
        <f t="shared" si="7"/>
        <v>#N/A</v>
      </c>
      <c r="E511" s="9"/>
      <c r="F511" s="10" t="e" cm="1">
        <f t="array" aca="1" ref="F5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1" s="130"/>
      <c r="I511" s="142"/>
      <c r="J511" s="12"/>
      <c r="K511" s="61"/>
      <c r="L511" s="233"/>
      <c r="M511" s="10">
        <f ca="1">IF(ISBLANK(K511), TODAY()-(I511), Table27[[#This Row],[Effectiveness Review &amp; date deemed effective]]-Table27[[#This Row],[PTO initialized date]])</f>
        <v>46067</v>
      </c>
    </row>
    <row r="512" spans="1:13" ht="18">
      <c r="A512" s="9"/>
      <c r="B512" s="18" t="e">
        <f>VLOOKUP(Table27[[#This Row],[Location 
(drop-down)]],'List source'!D$2:E$71,2,FALSE)</f>
        <v>#N/A</v>
      </c>
      <c r="C512" s="154" t="s">
        <v>1851</v>
      </c>
      <c r="D512" s="20" t="e">
        <f t="shared" si="7"/>
        <v>#N/A</v>
      </c>
      <c r="E512" s="9"/>
      <c r="F512" s="10" t="e" cm="1">
        <f t="array" aca="1" ref="F5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2" s="10"/>
      <c r="I512" s="142"/>
      <c r="J512" s="12"/>
      <c r="K512" s="61"/>
      <c r="L512" s="233"/>
      <c r="M512" s="10">
        <f ca="1">IF(ISBLANK(K512), TODAY()-(I512), Table27[[#This Row],[Effectiveness Review &amp; date deemed effective]]-Table27[[#This Row],[PTO initialized date]])</f>
        <v>46067</v>
      </c>
    </row>
    <row r="513" spans="1:13" ht="18">
      <c r="A513" s="9"/>
      <c r="B513" s="18" t="e">
        <f>VLOOKUP(Table27[[#This Row],[Location 
(drop-down)]],'List source'!D$2:E$71,2,FALSE)</f>
        <v>#N/A</v>
      </c>
      <c r="C513" s="154" t="s">
        <v>1852</v>
      </c>
      <c r="D513" s="20" t="e">
        <f t="shared" si="7"/>
        <v>#N/A</v>
      </c>
      <c r="E513" s="9"/>
      <c r="F513" s="10" t="e" cm="1">
        <f t="array" aca="1" ref="F5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3" s="10"/>
      <c r="I513" s="142"/>
      <c r="J513" s="12"/>
      <c r="K513" s="61"/>
      <c r="L513" s="233"/>
      <c r="M513" s="10">
        <f ca="1">IF(ISBLANK(K513), TODAY()-(I513), Table27[[#This Row],[Effectiveness Review &amp; date deemed effective]]-Table27[[#This Row],[PTO initialized date]])</f>
        <v>46067</v>
      </c>
    </row>
    <row r="514" spans="1:13" ht="18">
      <c r="A514" s="9"/>
      <c r="B514" s="18" t="e">
        <f>VLOOKUP(Table27[[#This Row],[Location 
(drop-down)]],'List source'!D$2:E$71,2,FALSE)</f>
        <v>#N/A</v>
      </c>
      <c r="C514" s="154" t="s">
        <v>1853</v>
      </c>
      <c r="D514" s="20" t="e">
        <f t="shared" ref="D514:D577" si="8">"PTO" &amp; C514 &amp; "-" &amp; B514 &amp; "-" &amp; "26"</f>
        <v>#N/A</v>
      </c>
      <c r="E514" s="9"/>
      <c r="F514" s="10" t="e" cm="1">
        <f t="array" aca="1" ref="F5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4" s="10"/>
      <c r="I514" s="142"/>
      <c r="J514" s="12"/>
      <c r="K514" s="61"/>
      <c r="L514" s="233"/>
      <c r="M514" s="10">
        <f ca="1">IF(ISBLANK(K514), TODAY()-(I514), Table27[[#This Row],[Effectiveness Review &amp; date deemed effective]]-Table27[[#This Row],[PTO initialized date]])</f>
        <v>46067</v>
      </c>
    </row>
    <row r="515" spans="1:13" ht="18">
      <c r="A515" s="9"/>
      <c r="B515" s="18" t="e">
        <f>VLOOKUP(Table27[[#This Row],[Location 
(drop-down)]],'List source'!D$2:E$71,2,FALSE)</f>
        <v>#N/A</v>
      </c>
      <c r="C515" s="154" t="s">
        <v>1854</v>
      </c>
      <c r="D515" s="20" t="e">
        <f t="shared" si="8"/>
        <v>#N/A</v>
      </c>
      <c r="E515" s="9"/>
      <c r="F515" s="10" t="e" cm="1">
        <f t="array" aca="1" ref="F5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5" s="10"/>
      <c r="I515" s="142"/>
      <c r="J515" s="12"/>
      <c r="K515" s="61"/>
      <c r="L515" s="233"/>
      <c r="M515" s="10">
        <f ca="1">IF(ISBLANK(K515), TODAY()-(I515), Table27[[#This Row],[Effectiveness Review &amp; date deemed effective]]-Table27[[#This Row],[PTO initialized date]])</f>
        <v>46067</v>
      </c>
    </row>
    <row r="516" spans="1:13" ht="18">
      <c r="A516" s="9"/>
      <c r="B516" s="18" t="e">
        <f>VLOOKUP(Table27[[#This Row],[Location 
(drop-down)]],'List source'!D$2:E$71,2,FALSE)</f>
        <v>#N/A</v>
      </c>
      <c r="C516" s="154" t="s">
        <v>1855</v>
      </c>
      <c r="D516" s="20" t="e">
        <f t="shared" si="8"/>
        <v>#N/A</v>
      </c>
      <c r="E516" s="9"/>
      <c r="F516" s="10" t="e" cm="1">
        <f t="array" aca="1" ref="F5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6" s="10"/>
      <c r="I516" s="142"/>
      <c r="J516" s="12"/>
      <c r="K516" s="61"/>
      <c r="L516" s="233"/>
      <c r="M516" s="10">
        <f ca="1">IF(ISBLANK(K516), TODAY()-(I516), Table27[[#This Row],[Effectiveness Review &amp; date deemed effective]]-Table27[[#This Row],[PTO initialized date]])</f>
        <v>46067</v>
      </c>
    </row>
    <row r="517" spans="1:13" ht="18">
      <c r="A517" s="9"/>
      <c r="B517" s="18" t="e">
        <f>VLOOKUP(Table27[[#This Row],[Location 
(drop-down)]],'List source'!D$2:E$71,2,FALSE)</f>
        <v>#N/A</v>
      </c>
      <c r="C517" s="154" t="s">
        <v>1856</v>
      </c>
      <c r="D517" s="20" t="e">
        <f t="shared" si="8"/>
        <v>#N/A</v>
      </c>
      <c r="E517" s="9"/>
      <c r="F517" s="10" t="e" cm="1">
        <f t="array" aca="1" ref="F5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7" s="130"/>
      <c r="I517" s="142"/>
      <c r="J517" s="12"/>
      <c r="K517" s="61"/>
      <c r="L517" s="233"/>
      <c r="M517" s="10">
        <f ca="1">IF(ISBLANK(K517), TODAY()-(I517), Table27[[#This Row],[Effectiveness Review &amp; date deemed effective]]-Table27[[#This Row],[PTO initialized date]])</f>
        <v>46067</v>
      </c>
    </row>
    <row r="518" spans="1:13" ht="18">
      <c r="A518" s="9"/>
      <c r="B518" s="18" t="e">
        <f>VLOOKUP(Table27[[#This Row],[Location 
(drop-down)]],'List source'!D$2:E$71,2,FALSE)</f>
        <v>#N/A</v>
      </c>
      <c r="C518" s="154" t="s">
        <v>1857</v>
      </c>
      <c r="D518" s="20" t="e">
        <f t="shared" si="8"/>
        <v>#N/A</v>
      </c>
      <c r="E518" s="9"/>
      <c r="F518" s="10" t="e" cm="1">
        <f t="array" aca="1" ref="F5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8" s="130"/>
      <c r="I518" s="142"/>
      <c r="J518" s="12"/>
      <c r="K518" s="61"/>
      <c r="L518" s="233"/>
      <c r="M518" s="10">
        <f ca="1">IF(ISBLANK(K518), TODAY()-(I518), Table27[[#This Row],[Effectiveness Review &amp; date deemed effective]]-Table27[[#This Row],[PTO initialized date]])</f>
        <v>46067</v>
      </c>
    </row>
    <row r="519" spans="1:13" ht="18">
      <c r="A519" s="9"/>
      <c r="B519" s="18" t="e">
        <f>VLOOKUP(Table27[[#This Row],[Location 
(drop-down)]],'List source'!D$2:E$71,2,FALSE)</f>
        <v>#N/A</v>
      </c>
      <c r="C519" s="154" t="s">
        <v>1858</v>
      </c>
      <c r="D519" s="20" t="e">
        <f t="shared" si="8"/>
        <v>#N/A</v>
      </c>
      <c r="E519" s="9"/>
      <c r="F519" s="10" t="e" cm="1">
        <f t="array" aca="1" ref="F5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19" s="130"/>
      <c r="I519" s="142"/>
      <c r="J519" s="12"/>
      <c r="K519" s="61"/>
      <c r="L519" s="233"/>
      <c r="M519" s="10">
        <f ca="1">IF(ISBLANK(K519), TODAY()-(I519), Table27[[#This Row],[Effectiveness Review &amp; date deemed effective]]-Table27[[#This Row],[PTO initialized date]])</f>
        <v>46067</v>
      </c>
    </row>
    <row r="520" spans="1:13" ht="18">
      <c r="A520" s="9"/>
      <c r="B520" s="18" t="e">
        <f>VLOOKUP(Table27[[#This Row],[Location 
(drop-down)]],'List source'!D$2:E$71,2,FALSE)</f>
        <v>#N/A</v>
      </c>
      <c r="C520" s="154" t="s">
        <v>1859</v>
      </c>
      <c r="D520" s="20" t="e">
        <f t="shared" si="8"/>
        <v>#N/A</v>
      </c>
      <c r="E520" s="9"/>
      <c r="F520" s="10" t="e" cm="1">
        <f t="array" aca="1" ref="F5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0" s="10"/>
      <c r="I520" s="142"/>
      <c r="J520" s="12"/>
      <c r="K520" s="61"/>
      <c r="L520" s="233"/>
      <c r="M520" s="10">
        <f ca="1">IF(ISBLANK(K520), TODAY()-(I520), Table27[[#This Row],[Effectiveness Review &amp; date deemed effective]]-Table27[[#This Row],[PTO initialized date]])</f>
        <v>46067</v>
      </c>
    </row>
    <row r="521" spans="1:13" ht="18">
      <c r="A521" s="9"/>
      <c r="B521" s="18" t="e">
        <f>VLOOKUP(Table27[[#This Row],[Location 
(drop-down)]],'List source'!D$2:E$71,2,FALSE)</f>
        <v>#N/A</v>
      </c>
      <c r="C521" s="154" t="s">
        <v>1860</v>
      </c>
      <c r="D521" s="194" t="e">
        <f t="shared" si="8"/>
        <v>#N/A</v>
      </c>
      <c r="E521" s="9"/>
      <c r="F521" s="10" t="e" cm="1">
        <f t="array" aca="1" ref="F5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1" s="130"/>
      <c r="I521" s="142"/>
      <c r="J521" s="12"/>
      <c r="K521" s="61"/>
      <c r="L521" s="295"/>
      <c r="M521" s="10">
        <f ca="1">IF(ISBLANK(K521), TODAY()-(I521), Table27[[#This Row],[Effectiveness Review &amp; date deemed effective]]-Table27[[#This Row],[PTO initialized date]])</f>
        <v>46067</v>
      </c>
    </row>
    <row r="522" spans="1:13" ht="18">
      <c r="A522" s="9"/>
      <c r="B522" s="18" t="e">
        <f>VLOOKUP(Table27[[#This Row],[Location 
(drop-down)]],'List source'!D$2:E$71,2,FALSE)</f>
        <v>#N/A</v>
      </c>
      <c r="C522" s="154" t="s">
        <v>1861</v>
      </c>
      <c r="D522" s="20" t="e">
        <f t="shared" si="8"/>
        <v>#N/A</v>
      </c>
      <c r="E522" s="9"/>
      <c r="F522" s="10" t="e" cm="1">
        <f t="array" aca="1" ref="F5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2" s="10"/>
      <c r="I522" s="142"/>
      <c r="J522" s="12"/>
      <c r="K522" s="61"/>
      <c r="L522" s="233"/>
      <c r="M522" s="10">
        <f ca="1">IF(ISBLANK(K522), TODAY()-(I522), Table27[[#This Row],[Effectiveness Review &amp; date deemed effective]]-Table27[[#This Row],[PTO initialized date]])</f>
        <v>46067</v>
      </c>
    </row>
    <row r="523" spans="1:13" ht="18">
      <c r="A523" s="9"/>
      <c r="B523" s="18" t="e">
        <f>VLOOKUP(Table27[[#This Row],[Location 
(drop-down)]],'List source'!D$2:E$71,2,FALSE)</f>
        <v>#N/A</v>
      </c>
      <c r="C523" s="154" t="s">
        <v>1862</v>
      </c>
      <c r="D523" s="194" t="e">
        <f t="shared" si="8"/>
        <v>#N/A</v>
      </c>
      <c r="E523" s="9"/>
      <c r="F523" s="10" t="e" cm="1">
        <f t="array" aca="1" ref="F5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3" s="130"/>
      <c r="I523" s="142"/>
      <c r="J523" s="12"/>
      <c r="K523" s="61"/>
      <c r="L523" s="295"/>
      <c r="M523" s="10">
        <f ca="1">IF(ISBLANK(K523), TODAY()-(I523), Table27[[#This Row],[Effectiveness Review &amp; date deemed effective]]-Table27[[#This Row],[PTO initialized date]])</f>
        <v>46067</v>
      </c>
    </row>
    <row r="524" spans="1:13" ht="18">
      <c r="A524" s="9"/>
      <c r="B524" s="18" t="e">
        <f>VLOOKUP(Table27[[#This Row],[Location 
(drop-down)]],'List source'!D$2:E$71,2,FALSE)</f>
        <v>#N/A</v>
      </c>
      <c r="C524" s="154" t="s">
        <v>1863</v>
      </c>
      <c r="D524" s="194" t="e">
        <f t="shared" si="8"/>
        <v>#N/A</v>
      </c>
      <c r="E524" s="9"/>
      <c r="F524" s="10" t="e" cm="1">
        <f t="array" aca="1" ref="F5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4" s="130"/>
      <c r="I524" s="142"/>
      <c r="J524" s="12"/>
      <c r="K524" s="61"/>
      <c r="L524" s="295"/>
      <c r="M524" s="10">
        <f ca="1">IF(ISBLANK(K524), TODAY()-(I524), Table27[[#This Row],[Effectiveness Review &amp; date deemed effective]]-Table27[[#This Row],[PTO initialized date]])</f>
        <v>46067</v>
      </c>
    </row>
    <row r="525" spans="1:13" ht="18">
      <c r="A525" s="9"/>
      <c r="B525" s="18" t="e">
        <f>VLOOKUP(Table27[[#This Row],[Location 
(drop-down)]],'List source'!D$2:E$71,2,FALSE)</f>
        <v>#N/A</v>
      </c>
      <c r="C525" s="154" t="s">
        <v>1864</v>
      </c>
      <c r="D525" s="194" t="e">
        <f t="shared" si="8"/>
        <v>#N/A</v>
      </c>
      <c r="E525" s="9"/>
      <c r="F525" s="10" t="e" cm="1">
        <f t="array" aca="1" ref="F5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5" s="130"/>
      <c r="I525" s="142"/>
      <c r="J525" s="12"/>
      <c r="K525" s="61"/>
      <c r="L525" s="295"/>
      <c r="M525" s="10">
        <f ca="1">IF(ISBLANK(K525), TODAY()-(I525), Table27[[#This Row],[Effectiveness Review &amp; date deemed effective]]-Table27[[#This Row],[PTO initialized date]])</f>
        <v>46067</v>
      </c>
    </row>
    <row r="526" spans="1:13" ht="18">
      <c r="A526" s="9"/>
      <c r="B526" s="18" t="e">
        <f>VLOOKUP(Table27[[#This Row],[Location 
(drop-down)]],'List source'!D$2:E$71,2,FALSE)</f>
        <v>#N/A</v>
      </c>
      <c r="C526" s="154" t="s">
        <v>1865</v>
      </c>
      <c r="D526" s="20" t="e">
        <f t="shared" si="8"/>
        <v>#N/A</v>
      </c>
      <c r="E526" s="9"/>
      <c r="F526" s="10" t="e" cm="1">
        <f t="array" aca="1" ref="F5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6" s="10"/>
      <c r="I526" s="142"/>
      <c r="J526" s="12"/>
      <c r="K526" s="61"/>
      <c r="L526" s="233"/>
      <c r="M526" s="10">
        <f ca="1">IF(ISBLANK(K526), TODAY()-(I526), Table27[[#This Row],[Effectiveness Review &amp; date deemed effective]]-Table27[[#This Row],[PTO initialized date]])</f>
        <v>46067</v>
      </c>
    </row>
    <row r="527" spans="1:13" ht="18">
      <c r="A527" s="9"/>
      <c r="B527" s="18" t="e">
        <f>VLOOKUP(Table27[[#This Row],[Location 
(drop-down)]],'List source'!D$2:E$71,2,FALSE)</f>
        <v>#N/A</v>
      </c>
      <c r="C527" s="154" t="s">
        <v>1866</v>
      </c>
      <c r="D527" s="20" t="e">
        <f t="shared" si="8"/>
        <v>#N/A</v>
      </c>
      <c r="E527" s="9"/>
      <c r="F527" s="10" t="e" cm="1">
        <f t="array" aca="1" ref="F5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7" s="10"/>
      <c r="I527" s="142"/>
      <c r="J527" s="12"/>
      <c r="K527" s="61"/>
      <c r="L527" s="233"/>
      <c r="M527" s="10">
        <f ca="1">IF(ISBLANK(K527), TODAY()-(I527), Table27[[#This Row],[Effectiveness Review &amp; date deemed effective]]-Table27[[#This Row],[PTO initialized date]])</f>
        <v>46067</v>
      </c>
    </row>
    <row r="528" spans="1:13" ht="18">
      <c r="A528" s="9"/>
      <c r="B528" s="18" t="e">
        <f>VLOOKUP(Table27[[#This Row],[Location 
(drop-down)]],'List source'!D$2:E$71,2,FALSE)</f>
        <v>#N/A</v>
      </c>
      <c r="C528" s="154" t="s">
        <v>1867</v>
      </c>
      <c r="D528" s="20" t="e">
        <f t="shared" si="8"/>
        <v>#N/A</v>
      </c>
      <c r="E528" s="9"/>
      <c r="F528" s="10" t="e" cm="1">
        <f t="array" aca="1" ref="F5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8" s="130"/>
      <c r="I528" s="142"/>
      <c r="J528" s="12"/>
      <c r="K528" s="61"/>
      <c r="L528" s="233"/>
      <c r="M528" s="10">
        <f ca="1">IF(ISBLANK(K528), TODAY()-(I528), Table27[[#This Row],[Effectiveness Review &amp; date deemed effective]]-Table27[[#This Row],[PTO initialized date]])</f>
        <v>46067</v>
      </c>
    </row>
    <row r="529" spans="1:13" ht="18">
      <c r="A529" s="9"/>
      <c r="B529" s="18" t="e">
        <f>VLOOKUP(Table27[[#This Row],[Location 
(drop-down)]],'List source'!D$2:E$71,2,FALSE)</f>
        <v>#N/A</v>
      </c>
      <c r="C529" s="154" t="s">
        <v>1868</v>
      </c>
      <c r="D529" s="20" t="e">
        <f t="shared" si="8"/>
        <v>#N/A</v>
      </c>
      <c r="E529" s="9"/>
      <c r="F529" s="10" t="e" cm="1">
        <f t="array" aca="1" ref="F5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29" s="10"/>
      <c r="I529" s="142"/>
      <c r="J529" s="12"/>
      <c r="K529" s="61"/>
      <c r="L529" s="233"/>
      <c r="M529" s="10">
        <f ca="1">IF(ISBLANK(K529), TODAY()-(I529), Table27[[#This Row],[Effectiveness Review &amp; date deemed effective]]-Table27[[#This Row],[PTO initialized date]])</f>
        <v>46067</v>
      </c>
    </row>
    <row r="530" spans="1:13" ht="18">
      <c r="A530" s="9"/>
      <c r="B530" s="18" t="e">
        <f>VLOOKUP(Table27[[#This Row],[Location 
(drop-down)]],'List source'!D$2:E$71,2,FALSE)</f>
        <v>#N/A</v>
      </c>
      <c r="C530" s="154" t="s">
        <v>1869</v>
      </c>
      <c r="D530" s="20" t="e">
        <f t="shared" si="8"/>
        <v>#N/A</v>
      </c>
      <c r="E530" s="9"/>
      <c r="F530" s="10" t="e" cm="1">
        <f t="array" aca="1" ref="F5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0" s="10"/>
      <c r="I530" s="142"/>
      <c r="J530" s="12"/>
      <c r="K530" s="61"/>
      <c r="L530" s="233"/>
      <c r="M530" s="10">
        <f ca="1">IF(ISBLANK(K530), TODAY()-(I530), Table27[[#This Row],[Effectiveness Review &amp; date deemed effective]]-Table27[[#This Row],[PTO initialized date]])</f>
        <v>46067</v>
      </c>
    </row>
    <row r="531" spans="1:13" ht="18">
      <c r="A531" s="9"/>
      <c r="B531" s="18" t="e">
        <f>VLOOKUP(Table27[[#This Row],[Location 
(drop-down)]],'List source'!D$2:E$71,2,FALSE)</f>
        <v>#N/A</v>
      </c>
      <c r="C531" s="154" t="s">
        <v>1870</v>
      </c>
      <c r="D531" s="20" t="e">
        <f t="shared" si="8"/>
        <v>#N/A</v>
      </c>
      <c r="E531" s="9"/>
      <c r="F531" s="10" t="e" cm="1">
        <f t="array" aca="1" ref="F5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1" s="130"/>
      <c r="I531" s="142"/>
      <c r="J531" s="12"/>
      <c r="K531" s="61"/>
      <c r="L531" s="233"/>
      <c r="M531" s="10">
        <f ca="1">IF(ISBLANK(K531), TODAY()-(I531), Table27[[#This Row],[Effectiveness Review &amp; date deemed effective]]-Table27[[#This Row],[PTO initialized date]])</f>
        <v>46067</v>
      </c>
    </row>
    <row r="532" spans="1:13" ht="18">
      <c r="A532" s="9"/>
      <c r="B532" s="18" t="e">
        <f>VLOOKUP(Table27[[#This Row],[Location 
(drop-down)]],'List source'!D$2:E$71,2,FALSE)</f>
        <v>#N/A</v>
      </c>
      <c r="C532" s="154" t="s">
        <v>1871</v>
      </c>
      <c r="D532" s="20" t="e">
        <f t="shared" si="8"/>
        <v>#N/A</v>
      </c>
      <c r="E532" s="9"/>
      <c r="F532" s="10" t="e" cm="1">
        <f t="array" aca="1" ref="F5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2" s="130"/>
      <c r="I532" s="12"/>
      <c r="J532" s="12"/>
      <c r="K532" s="61"/>
      <c r="L532" s="233"/>
      <c r="M532" s="10">
        <f ca="1">IF(ISBLANK(K532), TODAY()-(I532), Table27[[#This Row],[Effectiveness Review &amp; date deemed effective]]-Table27[[#This Row],[PTO initialized date]])</f>
        <v>46067</v>
      </c>
    </row>
    <row r="533" spans="1:13" ht="18">
      <c r="A533" s="9"/>
      <c r="B533" s="18" t="e">
        <f>VLOOKUP(Table27[[#This Row],[Location 
(drop-down)]],'List source'!D$2:E$71,2,FALSE)</f>
        <v>#N/A</v>
      </c>
      <c r="C533" s="154" t="s">
        <v>1872</v>
      </c>
      <c r="D533" s="20" t="e">
        <f t="shared" si="8"/>
        <v>#N/A</v>
      </c>
      <c r="E533" s="9"/>
      <c r="F533" s="10" t="e" cm="1">
        <f t="array" aca="1" ref="F5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3" s="10"/>
      <c r="I533" s="12"/>
      <c r="J533" s="12"/>
      <c r="K533" s="61"/>
      <c r="L533" s="233"/>
      <c r="M533" s="10">
        <f ca="1">IF(ISBLANK(K533), TODAY()-(I533), Table27[[#This Row],[Effectiveness Review &amp; date deemed effective]]-Table27[[#This Row],[PTO initialized date]])</f>
        <v>46067</v>
      </c>
    </row>
    <row r="534" spans="1:13" ht="18">
      <c r="A534" s="9"/>
      <c r="B534" s="18" t="e">
        <f>VLOOKUP(Table27[[#This Row],[Location 
(drop-down)]],'List source'!D$2:E$71,2,FALSE)</f>
        <v>#N/A</v>
      </c>
      <c r="C534" s="154" t="s">
        <v>1873</v>
      </c>
      <c r="D534" s="20" t="e">
        <f t="shared" si="8"/>
        <v>#N/A</v>
      </c>
      <c r="E534" s="9"/>
      <c r="F534" s="10" t="e" cm="1">
        <f t="array" aca="1" ref="F5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4" s="10"/>
      <c r="I534" s="12"/>
      <c r="J534" s="12"/>
      <c r="K534" s="61"/>
      <c r="L534" s="233"/>
      <c r="M534" s="10">
        <f ca="1">IF(ISBLANK(K534), TODAY()-(I534), Table27[[#This Row],[Effectiveness Review &amp; date deemed effective]]-Table27[[#This Row],[PTO initialized date]])</f>
        <v>46067</v>
      </c>
    </row>
    <row r="535" spans="1:13" ht="18">
      <c r="A535" s="9"/>
      <c r="B535" s="18" t="e">
        <f>VLOOKUP(Table27[[#This Row],[Location 
(drop-down)]],'List source'!D$2:E$71,2,FALSE)</f>
        <v>#N/A</v>
      </c>
      <c r="C535" s="154" t="s">
        <v>1874</v>
      </c>
      <c r="D535" s="20" t="e">
        <f t="shared" si="8"/>
        <v>#N/A</v>
      </c>
      <c r="E535" s="9"/>
      <c r="F535" s="10" t="e" cm="1">
        <f t="array" aca="1" ref="F5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5" s="10"/>
      <c r="I535" s="12"/>
      <c r="J535" s="12"/>
      <c r="K535" s="61"/>
      <c r="L535" s="233"/>
      <c r="M535" s="10">
        <f ca="1">IF(ISBLANK(K535), TODAY()-(I535), Table27[[#This Row],[Effectiveness Review &amp; date deemed effective]]-Table27[[#This Row],[PTO initialized date]])</f>
        <v>46067</v>
      </c>
    </row>
    <row r="536" spans="1:13" ht="18">
      <c r="A536" s="9"/>
      <c r="B536" s="18" t="e">
        <f>VLOOKUP(Table27[[#This Row],[Location 
(drop-down)]],'List source'!D$2:E$71,2,FALSE)</f>
        <v>#N/A</v>
      </c>
      <c r="C536" s="154" t="s">
        <v>1875</v>
      </c>
      <c r="D536" s="20" t="e">
        <f t="shared" si="8"/>
        <v>#N/A</v>
      </c>
      <c r="E536" s="9"/>
      <c r="F536" s="10" t="e" cm="1">
        <f t="array" aca="1" ref="F5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6" s="130"/>
      <c r="I536" s="12"/>
      <c r="J536" s="12"/>
      <c r="K536" s="61"/>
      <c r="L536" s="233"/>
      <c r="M536" s="10">
        <f ca="1">IF(ISBLANK(K536), TODAY()-(I536), Table27[[#This Row],[Effectiveness Review &amp; date deemed effective]]-Table27[[#This Row],[PTO initialized date]])</f>
        <v>46067</v>
      </c>
    </row>
    <row r="537" spans="1:13" ht="18">
      <c r="A537" s="9"/>
      <c r="B537" s="18" t="e">
        <f>VLOOKUP(Table27[[#This Row],[Location 
(drop-down)]],'List source'!D$2:E$71,2,FALSE)</f>
        <v>#N/A</v>
      </c>
      <c r="C537" s="154" t="s">
        <v>1876</v>
      </c>
      <c r="D537" s="20" t="e">
        <f t="shared" si="8"/>
        <v>#N/A</v>
      </c>
      <c r="E537" s="9"/>
      <c r="F537" s="10" t="e" cm="1">
        <f t="array" aca="1" ref="F5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7" s="130"/>
      <c r="I537" s="12"/>
      <c r="J537" s="12"/>
      <c r="K537" s="61"/>
      <c r="L537" s="233"/>
      <c r="M537" s="10">
        <f ca="1">IF(ISBLANK(K537), TODAY()-(I537), Table27[[#This Row],[Effectiveness Review &amp; date deemed effective]]-Table27[[#This Row],[PTO initialized date]])</f>
        <v>46067</v>
      </c>
    </row>
    <row r="538" spans="1:13" ht="18">
      <c r="A538" s="9"/>
      <c r="B538" s="18" t="e">
        <f>VLOOKUP(Table27[[#This Row],[Location 
(drop-down)]],'List source'!D$2:E$71,2,FALSE)</f>
        <v>#N/A</v>
      </c>
      <c r="C538" s="154" t="s">
        <v>1877</v>
      </c>
      <c r="D538" s="20" t="e">
        <f t="shared" si="8"/>
        <v>#N/A</v>
      </c>
      <c r="E538" s="9"/>
      <c r="F538" s="10" t="e" cm="1">
        <f t="array" aca="1" ref="F5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8" s="130"/>
      <c r="I538" s="12"/>
      <c r="J538" s="12"/>
      <c r="K538" s="61"/>
      <c r="L538" s="233"/>
      <c r="M538" s="10">
        <f ca="1">IF(ISBLANK(K538), TODAY()-(I538), Table27[[#This Row],[Effectiveness Review &amp; date deemed effective]]-Table27[[#This Row],[PTO initialized date]])</f>
        <v>46067</v>
      </c>
    </row>
    <row r="539" spans="1:13" ht="18">
      <c r="A539" s="9"/>
      <c r="B539" s="18" t="e">
        <f>VLOOKUP(Table27[[#This Row],[Location 
(drop-down)]],'List source'!D$2:E$71,2,FALSE)</f>
        <v>#N/A</v>
      </c>
      <c r="C539" s="154" t="s">
        <v>1878</v>
      </c>
      <c r="D539" s="20" t="e">
        <f t="shared" si="8"/>
        <v>#N/A</v>
      </c>
      <c r="E539" s="9"/>
      <c r="F539" s="10" t="e" cm="1">
        <f t="array" aca="1" ref="F5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39" s="130"/>
      <c r="I539" s="12"/>
      <c r="J539" s="12"/>
      <c r="K539" s="61"/>
      <c r="L539" s="233"/>
      <c r="M539" s="10">
        <f ca="1">IF(ISBLANK(K539), TODAY()-(I539), Table27[[#This Row],[Effectiveness Review &amp; date deemed effective]]-Table27[[#This Row],[PTO initialized date]])</f>
        <v>46067</v>
      </c>
    </row>
    <row r="540" spans="1:13" ht="18">
      <c r="A540" s="9"/>
      <c r="B540" s="18" t="e">
        <f>VLOOKUP(Table27[[#This Row],[Location 
(drop-down)]],'List source'!D$2:E$71,2,FALSE)</f>
        <v>#N/A</v>
      </c>
      <c r="C540" s="154" t="s">
        <v>1879</v>
      </c>
      <c r="D540" s="20" t="e">
        <f t="shared" si="8"/>
        <v>#N/A</v>
      </c>
      <c r="E540" s="9"/>
      <c r="F540" s="10" t="e" cm="1">
        <f t="array" aca="1" ref="F5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0" s="10"/>
      <c r="I540" s="12"/>
      <c r="J540" s="12"/>
      <c r="K540" s="61"/>
      <c r="L540" s="233"/>
      <c r="M540" s="10">
        <f ca="1">IF(ISBLANK(K540), TODAY()-(I540), Table27[[#This Row],[Effectiveness Review &amp; date deemed effective]]-Table27[[#This Row],[PTO initialized date]])</f>
        <v>46067</v>
      </c>
    </row>
    <row r="541" spans="1:13" ht="18">
      <c r="A541" s="9"/>
      <c r="B541" s="18" t="e">
        <f>VLOOKUP(Table27[[#This Row],[Location 
(drop-down)]],'List source'!D$2:E$71,2,FALSE)</f>
        <v>#N/A</v>
      </c>
      <c r="C541" s="154" t="s">
        <v>1880</v>
      </c>
      <c r="D541" s="20" t="e">
        <f t="shared" si="8"/>
        <v>#N/A</v>
      </c>
      <c r="E541" s="9"/>
      <c r="F541" s="10" t="e" cm="1">
        <f t="array" aca="1" ref="F5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1" s="130"/>
      <c r="I541" s="12"/>
      <c r="J541" s="12"/>
      <c r="K541" s="61"/>
      <c r="L541" s="233"/>
      <c r="M541" s="10">
        <f ca="1">IF(ISBLANK(K541), TODAY()-(I541), Table27[[#This Row],[Effectiveness Review &amp; date deemed effective]]-Table27[[#This Row],[PTO initialized date]])</f>
        <v>46067</v>
      </c>
    </row>
    <row r="542" spans="1:13" ht="18">
      <c r="A542" s="9"/>
      <c r="B542" s="18" t="e">
        <f>VLOOKUP(Table27[[#This Row],[Location 
(drop-down)]],'List source'!D$2:E$71,2,FALSE)</f>
        <v>#N/A</v>
      </c>
      <c r="C542" s="154" t="s">
        <v>1881</v>
      </c>
      <c r="D542" s="20" t="e">
        <f t="shared" si="8"/>
        <v>#N/A</v>
      </c>
      <c r="E542" s="9"/>
      <c r="F542" s="10" t="e" cm="1">
        <f t="array" aca="1" ref="F5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2" s="10"/>
      <c r="I542" s="12"/>
      <c r="J542" s="12"/>
      <c r="K542" s="61"/>
      <c r="L542" s="233"/>
      <c r="M542" s="10">
        <f ca="1">IF(ISBLANK(K542), TODAY()-(I542), Table27[[#This Row],[Effectiveness Review &amp; date deemed effective]]-Table27[[#This Row],[PTO initialized date]])</f>
        <v>46067</v>
      </c>
    </row>
    <row r="543" spans="1:13" ht="18">
      <c r="A543" s="9"/>
      <c r="B543" s="18" t="e">
        <f>VLOOKUP(Table27[[#This Row],[Location 
(drop-down)]],'List source'!D$2:E$71,2,FALSE)</f>
        <v>#N/A</v>
      </c>
      <c r="C543" s="154" t="s">
        <v>1882</v>
      </c>
      <c r="D543" s="20" t="e">
        <f t="shared" si="8"/>
        <v>#N/A</v>
      </c>
      <c r="E543" s="9"/>
      <c r="F543" s="10" t="e" cm="1">
        <f t="array" aca="1" ref="F5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3" s="10"/>
      <c r="I543" s="12"/>
      <c r="J543" s="12"/>
      <c r="K543" s="61"/>
      <c r="L543" s="233"/>
      <c r="M543" s="10">
        <f ca="1">IF(ISBLANK(K543), TODAY()-(I543), Table27[[#This Row],[Effectiveness Review &amp; date deemed effective]]-Table27[[#This Row],[PTO initialized date]])</f>
        <v>46067</v>
      </c>
    </row>
    <row r="544" spans="1:13" ht="18">
      <c r="A544" s="9"/>
      <c r="B544" s="18" t="e">
        <f>VLOOKUP(Table27[[#This Row],[Location 
(drop-down)]],'List source'!D$2:E$71,2,FALSE)</f>
        <v>#N/A</v>
      </c>
      <c r="C544" s="154" t="s">
        <v>1883</v>
      </c>
      <c r="D544" s="20" t="e">
        <f t="shared" si="8"/>
        <v>#N/A</v>
      </c>
      <c r="E544" s="9"/>
      <c r="F544" s="10" t="e" cm="1">
        <f t="array" aca="1" ref="F5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4" s="130"/>
      <c r="I544" s="12"/>
      <c r="J544" s="12"/>
      <c r="K544" s="61"/>
      <c r="L544" s="233"/>
      <c r="M544" s="10">
        <f ca="1">IF(ISBLANK(K544), TODAY()-(I544), Table27[[#This Row],[Effectiveness Review &amp; date deemed effective]]-Table27[[#This Row],[PTO initialized date]])</f>
        <v>46067</v>
      </c>
    </row>
    <row r="545" spans="1:13" ht="18">
      <c r="A545" s="9"/>
      <c r="B545" s="18" t="e">
        <f>VLOOKUP(Table27[[#This Row],[Location 
(drop-down)]],'List source'!D$2:E$71,2,FALSE)</f>
        <v>#N/A</v>
      </c>
      <c r="C545" s="154" t="s">
        <v>1884</v>
      </c>
      <c r="D545" s="20" t="e">
        <f t="shared" si="8"/>
        <v>#N/A</v>
      </c>
      <c r="E545" s="9"/>
      <c r="F545" s="10" t="e" cm="1">
        <f t="array" aca="1" ref="F5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5" s="10"/>
      <c r="I545" s="12"/>
      <c r="J545" s="12"/>
      <c r="K545" s="61"/>
      <c r="L545" s="233"/>
      <c r="M545" s="10">
        <f ca="1">IF(ISBLANK(K545), TODAY()-(I545), Table27[[#This Row],[Effectiveness Review &amp; date deemed effective]]-Table27[[#This Row],[PTO initialized date]])</f>
        <v>46067</v>
      </c>
    </row>
    <row r="546" spans="1:13" ht="18">
      <c r="A546" s="9"/>
      <c r="B546" s="18" t="e">
        <f>VLOOKUP(Table27[[#This Row],[Location 
(drop-down)]],'List source'!D$2:E$71,2,FALSE)</f>
        <v>#N/A</v>
      </c>
      <c r="C546" s="154" t="s">
        <v>1885</v>
      </c>
      <c r="D546" s="20" t="e">
        <f t="shared" si="8"/>
        <v>#N/A</v>
      </c>
      <c r="E546" s="9"/>
      <c r="F546" s="10" t="e" cm="1">
        <f t="array" aca="1" ref="F5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6" s="10"/>
      <c r="I546" s="12"/>
      <c r="J546" s="12"/>
      <c r="K546" s="61"/>
      <c r="L546" s="233"/>
      <c r="M546" s="10">
        <f ca="1">IF(ISBLANK(K546), TODAY()-(I546), Table27[[#This Row],[Effectiveness Review &amp; date deemed effective]]-Table27[[#This Row],[PTO initialized date]])</f>
        <v>46067</v>
      </c>
    </row>
    <row r="547" spans="1:13" ht="18">
      <c r="A547" s="9"/>
      <c r="B547" s="18" t="e">
        <f>VLOOKUP(Table27[[#This Row],[Location 
(drop-down)]],'List source'!D$2:E$71,2,FALSE)</f>
        <v>#N/A</v>
      </c>
      <c r="C547" s="154" t="s">
        <v>1886</v>
      </c>
      <c r="D547" s="20" t="e">
        <f t="shared" si="8"/>
        <v>#N/A</v>
      </c>
      <c r="E547" s="9"/>
      <c r="F547" s="10" t="e" cm="1">
        <f t="array" aca="1" ref="F5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7" s="10"/>
      <c r="I547" s="12"/>
      <c r="J547" s="12"/>
      <c r="K547" s="61"/>
      <c r="L547" s="233"/>
      <c r="M547" s="10">
        <f ca="1">IF(ISBLANK(K547), TODAY()-(I547), Table27[[#This Row],[Effectiveness Review &amp; date deemed effective]]-Table27[[#This Row],[PTO initialized date]])</f>
        <v>46067</v>
      </c>
    </row>
    <row r="548" spans="1:13" ht="18">
      <c r="A548" s="9"/>
      <c r="B548" s="18" t="e">
        <f>VLOOKUP(Table27[[#This Row],[Location 
(drop-down)]],'List source'!D$2:E$71,2,FALSE)</f>
        <v>#N/A</v>
      </c>
      <c r="C548" s="154" t="s">
        <v>1887</v>
      </c>
      <c r="D548" s="20" t="e">
        <f t="shared" si="8"/>
        <v>#N/A</v>
      </c>
      <c r="E548" s="9"/>
      <c r="F548" s="10" t="e" cm="1">
        <f t="array" aca="1" ref="F5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8" s="130"/>
      <c r="I548" s="12"/>
      <c r="J548" s="12"/>
      <c r="K548" s="61"/>
      <c r="L548" s="233"/>
      <c r="M548" s="10">
        <f ca="1">IF(ISBLANK(K548), TODAY()-(I548), Table27[[#This Row],[Effectiveness Review &amp; date deemed effective]]-Table27[[#This Row],[PTO initialized date]])</f>
        <v>46067</v>
      </c>
    </row>
    <row r="549" spans="1:13" ht="18">
      <c r="A549" s="9"/>
      <c r="B549" s="18" t="e">
        <f>VLOOKUP(Table27[[#This Row],[Location 
(drop-down)]],'List source'!D$2:E$71,2,FALSE)</f>
        <v>#N/A</v>
      </c>
      <c r="C549" s="154" t="s">
        <v>1888</v>
      </c>
      <c r="D549" s="20" t="e">
        <f t="shared" si="8"/>
        <v>#N/A</v>
      </c>
      <c r="E549" s="9"/>
      <c r="F549" s="10" t="e" cm="1">
        <f t="array" aca="1" ref="F5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49" s="10"/>
      <c r="I549" s="12"/>
      <c r="J549" s="12"/>
      <c r="K549" s="61"/>
      <c r="L549" s="233"/>
      <c r="M549" s="10">
        <f ca="1">IF(ISBLANK(K549), TODAY()-(I549), Table27[[#This Row],[Effectiveness Review &amp; date deemed effective]]-Table27[[#This Row],[PTO initialized date]])</f>
        <v>46067</v>
      </c>
    </row>
    <row r="550" spans="1:13" ht="18">
      <c r="A550" s="9"/>
      <c r="B550" s="18" t="e">
        <f>VLOOKUP(Table27[[#This Row],[Location 
(drop-down)]],'List source'!D$2:E$71,2,FALSE)</f>
        <v>#N/A</v>
      </c>
      <c r="C550" s="154" t="s">
        <v>1889</v>
      </c>
      <c r="D550" s="20" t="e">
        <f t="shared" si="8"/>
        <v>#N/A</v>
      </c>
      <c r="E550" s="9"/>
      <c r="F550" s="10" t="e" cm="1">
        <f t="array" aca="1" ref="F5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0" s="130"/>
      <c r="I550" s="12"/>
      <c r="J550" s="12"/>
      <c r="K550" s="61"/>
      <c r="L550" s="233"/>
      <c r="M550" s="10">
        <f ca="1">IF(ISBLANK(K550), TODAY()-(I550), Table27[[#This Row],[Effectiveness Review &amp; date deemed effective]]-Table27[[#This Row],[PTO initialized date]])</f>
        <v>46067</v>
      </c>
    </row>
    <row r="551" spans="1:13" ht="18">
      <c r="A551" s="9"/>
      <c r="B551" s="18" t="e">
        <f>VLOOKUP(Table27[[#This Row],[Location 
(drop-down)]],'List source'!D$2:E$71,2,FALSE)</f>
        <v>#N/A</v>
      </c>
      <c r="C551" s="154" t="s">
        <v>1890</v>
      </c>
      <c r="D551" s="20" t="e">
        <f t="shared" si="8"/>
        <v>#N/A</v>
      </c>
      <c r="E551" s="9"/>
      <c r="F551" s="10" t="e" cm="1">
        <f t="array" aca="1" ref="F5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1" s="130"/>
      <c r="I551" s="12"/>
      <c r="J551" s="12"/>
      <c r="K551" s="61"/>
      <c r="L551" s="233"/>
      <c r="M551" s="10">
        <f ca="1">IF(ISBLANK(K551), TODAY()-(I551), Table27[[#This Row],[Effectiveness Review &amp; date deemed effective]]-Table27[[#This Row],[PTO initialized date]])</f>
        <v>46067</v>
      </c>
    </row>
    <row r="552" spans="1:13" ht="18">
      <c r="A552" s="9"/>
      <c r="B552" s="18" t="e">
        <f>VLOOKUP(Table27[[#This Row],[Location 
(drop-down)]],'List source'!D$2:E$71,2,FALSE)</f>
        <v>#N/A</v>
      </c>
      <c r="C552" s="154" t="s">
        <v>1891</v>
      </c>
      <c r="D552" s="20" t="e">
        <f t="shared" si="8"/>
        <v>#N/A</v>
      </c>
      <c r="E552" s="9"/>
      <c r="F552" s="10" t="e" cm="1">
        <f t="array" aca="1" ref="F5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2" s="130"/>
      <c r="I552" s="12"/>
      <c r="J552" s="12"/>
      <c r="K552" s="61"/>
      <c r="L552" s="233"/>
      <c r="M552" s="10">
        <f ca="1">IF(ISBLANK(K552), TODAY()-(I552), Table27[[#This Row],[Effectiveness Review &amp; date deemed effective]]-Table27[[#This Row],[PTO initialized date]])</f>
        <v>46067</v>
      </c>
    </row>
    <row r="553" spans="1:13" ht="18">
      <c r="A553" s="9"/>
      <c r="B553" s="18" t="e">
        <f>VLOOKUP(Table27[[#This Row],[Location 
(drop-down)]],'List source'!D$2:E$71,2,FALSE)</f>
        <v>#N/A</v>
      </c>
      <c r="C553" s="154" t="s">
        <v>1892</v>
      </c>
      <c r="D553" s="20" t="e">
        <f t="shared" si="8"/>
        <v>#N/A</v>
      </c>
      <c r="E553" s="9"/>
      <c r="F553" s="10" t="e" cm="1">
        <f t="array" aca="1" ref="F5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3" s="130"/>
      <c r="I553" s="12"/>
      <c r="J553" s="12"/>
      <c r="K553" s="61"/>
      <c r="L553" s="233"/>
      <c r="M553" s="10">
        <f ca="1">IF(ISBLANK(K553), TODAY()-(I553), Table27[[#This Row],[Effectiveness Review &amp; date deemed effective]]-Table27[[#This Row],[PTO initialized date]])</f>
        <v>46067</v>
      </c>
    </row>
    <row r="554" spans="1:13" ht="18">
      <c r="A554" s="9"/>
      <c r="B554" s="18" t="e">
        <f>VLOOKUP(Table27[[#This Row],[Location 
(drop-down)]],'List source'!D$2:E$71,2,FALSE)</f>
        <v>#N/A</v>
      </c>
      <c r="C554" s="154" t="s">
        <v>1893</v>
      </c>
      <c r="D554" s="20" t="e">
        <f t="shared" si="8"/>
        <v>#N/A</v>
      </c>
      <c r="E554" s="9"/>
      <c r="F554" s="10" t="e" cm="1">
        <f t="array" aca="1" ref="F5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4" s="130"/>
      <c r="I554" s="12"/>
      <c r="J554" s="12"/>
      <c r="K554" s="61"/>
      <c r="L554" s="233"/>
      <c r="M554" s="10">
        <f ca="1">IF(ISBLANK(K554), TODAY()-(I554), Table27[[#This Row],[Effectiveness Review &amp; date deemed effective]]-Table27[[#This Row],[PTO initialized date]])</f>
        <v>46067</v>
      </c>
    </row>
    <row r="555" spans="1:13" ht="18">
      <c r="A555" s="9"/>
      <c r="B555" s="18" t="e">
        <f>VLOOKUP(Table27[[#This Row],[Location 
(drop-down)]],'List source'!D$2:E$71,2,FALSE)</f>
        <v>#N/A</v>
      </c>
      <c r="C555" s="154" t="s">
        <v>1894</v>
      </c>
      <c r="D555" s="20" t="e">
        <f t="shared" si="8"/>
        <v>#N/A</v>
      </c>
      <c r="E555" s="9"/>
      <c r="F555" s="10" t="e" cm="1">
        <f t="array" aca="1" ref="F5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5" s="10"/>
      <c r="I555" s="12"/>
      <c r="J555" s="12"/>
      <c r="K555" s="61"/>
      <c r="L555" s="233"/>
      <c r="M555" s="10">
        <f ca="1">IF(ISBLANK(K555), TODAY()-(I555), Table27[[#This Row],[Effectiveness Review &amp; date deemed effective]]-Table27[[#This Row],[PTO initialized date]])</f>
        <v>46067</v>
      </c>
    </row>
    <row r="556" spans="1:13" ht="18">
      <c r="A556" s="9"/>
      <c r="B556" s="18" t="e">
        <f>VLOOKUP(Table27[[#This Row],[Location 
(drop-down)]],'List source'!D$2:E$71,2,FALSE)</f>
        <v>#N/A</v>
      </c>
      <c r="C556" s="154" t="s">
        <v>1895</v>
      </c>
      <c r="D556" s="20" t="e">
        <f t="shared" si="8"/>
        <v>#N/A</v>
      </c>
      <c r="E556" s="9"/>
      <c r="F556" s="10" t="e" cm="1">
        <f t="array" aca="1" ref="F5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6" s="10"/>
      <c r="I556" s="12"/>
      <c r="J556" s="12"/>
      <c r="K556" s="61"/>
      <c r="L556" s="233"/>
      <c r="M556" s="10">
        <f ca="1">IF(ISBLANK(K556), TODAY()-(I556), Table27[[#This Row],[Effectiveness Review &amp; date deemed effective]]-Table27[[#This Row],[PTO initialized date]])</f>
        <v>46067</v>
      </c>
    </row>
    <row r="557" spans="1:13" ht="18">
      <c r="A557" s="9"/>
      <c r="B557" s="18" t="e">
        <f>VLOOKUP(Table27[[#This Row],[Location 
(drop-down)]],'List source'!D$2:E$71,2,FALSE)</f>
        <v>#N/A</v>
      </c>
      <c r="C557" s="154" t="s">
        <v>1896</v>
      </c>
      <c r="D557" s="20" t="e">
        <f t="shared" si="8"/>
        <v>#N/A</v>
      </c>
      <c r="E557" s="9"/>
      <c r="F557" s="10" t="e" cm="1">
        <f t="array" aca="1" ref="F5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7" s="10"/>
      <c r="I557" s="12"/>
      <c r="J557" s="12"/>
      <c r="K557" s="61"/>
      <c r="L557" s="233"/>
      <c r="M557" s="10">
        <f ca="1">IF(ISBLANK(K557), TODAY()-(I557), Table27[[#This Row],[Effectiveness Review &amp; date deemed effective]]-Table27[[#This Row],[PTO initialized date]])</f>
        <v>46067</v>
      </c>
    </row>
    <row r="558" spans="1:13" ht="18">
      <c r="A558" s="9"/>
      <c r="B558" s="18" t="e">
        <f>VLOOKUP(Table27[[#This Row],[Location 
(drop-down)]],'List source'!D$2:E$71,2,FALSE)</f>
        <v>#N/A</v>
      </c>
      <c r="C558" s="154" t="s">
        <v>1897</v>
      </c>
      <c r="D558" s="20" t="e">
        <f t="shared" si="8"/>
        <v>#N/A</v>
      </c>
      <c r="E558" s="9"/>
      <c r="F558" s="10" t="e" cm="1">
        <f t="array" aca="1" ref="F5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8" s="10"/>
      <c r="I558" s="12"/>
      <c r="J558" s="12"/>
      <c r="K558" s="61"/>
      <c r="L558" s="233"/>
      <c r="M558" s="10">
        <f ca="1">IF(ISBLANK(K558), TODAY()-(I558), Table27[[#This Row],[Effectiveness Review &amp; date deemed effective]]-Table27[[#This Row],[PTO initialized date]])</f>
        <v>46067</v>
      </c>
    </row>
    <row r="559" spans="1:13" ht="18">
      <c r="A559" s="9"/>
      <c r="B559" s="18" t="e">
        <f>VLOOKUP(Table27[[#This Row],[Location 
(drop-down)]],'List source'!D$2:E$71,2,FALSE)</f>
        <v>#N/A</v>
      </c>
      <c r="C559" s="154" t="s">
        <v>1898</v>
      </c>
      <c r="D559" s="20" t="e">
        <f t="shared" si="8"/>
        <v>#N/A</v>
      </c>
      <c r="E559" s="9"/>
      <c r="F559" s="10" t="e" cm="1">
        <f t="array" aca="1" ref="F5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59" s="10"/>
      <c r="I559" s="12"/>
      <c r="J559" s="12"/>
      <c r="K559" s="61"/>
      <c r="L559" s="233"/>
      <c r="M559" s="10">
        <f ca="1">IF(ISBLANK(K559), TODAY()-(I559), Table27[[#This Row],[Effectiveness Review &amp; date deemed effective]]-Table27[[#This Row],[PTO initialized date]])</f>
        <v>46067</v>
      </c>
    </row>
    <row r="560" spans="1:13" ht="18">
      <c r="A560" s="9"/>
      <c r="B560" s="18" t="e">
        <f>VLOOKUP(Table27[[#This Row],[Location 
(drop-down)]],'List source'!D$2:E$71,2,FALSE)</f>
        <v>#N/A</v>
      </c>
      <c r="C560" s="154" t="s">
        <v>1899</v>
      </c>
      <c r="D560" s="20" t="e">
        <f t="shared" si="8"/>
        <v>#N/A</v>
      </c>
      <c r="E560" s="9"/>
      <c r="F560" s="10" t="e" cm="1">
        <f t="array" aca="1" ref="F5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0" s="10"/>
      <c r="I560" s="12"/>
      <c r="J560" s="12"/>
      <c r="K560" s="61"/>
      <c r="L560" s="233"/>
      <c r="M560" s="10">
        <f ca="1">IF(ISBLANK(K560), TODAY()-(I560), Table27[[#This Row],[Effectiveness Review &amp; date deemed effective]]-Table27[[#This Row],[PTO initialized date]])</f>
        <v>46067</v>
      </c>
    </row>
    <row r="561" spans="1:13" ht="18">
      <c r="A561" s="9"/>
      <c r="B561" s="18" t="e">
        <f>VLOOKUP(Table27[[#This Row],[Location 
(drop-down)]],'List source'!D$2:E$71,2,FALSE)</f>
        <v>#N/A</v>
      </c>
      <c r="C561" s="154" t="s">
        <v>1900</v>
      </c>
      <c r="D561" s="20" t="e">
        <f t="shared" si="8"/>
        <v>#N/A</v>
      </c>
      <c r="E561" s="9"/>
      <c r="F561" s="10" t="e" cm="1">
        <f t="array" aca="1" ref="F5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1" s="130"/>
      <c r="I561" s="12"/>
      <c r="J561" s="12"/>
      <c r="K561" s="61"/>
      <c r="L561" s="233"/>
      <c r="M561" s="10">
        <f ca="1">IF(ISBLANK(K561), TODAY()-(I561), Table27[[#This Row],[Effectiveness Review &amp; date deemed effective]]-Table27[[#This Row],[PTO initialized date]])</f>
        <v>46067</v>
      </c>
    </row>
    <row r="562" spans="1:13" ht="18">
      <c r="A562" s="9"/>
      <c r="B562" s="18" t="e">
        <f>VLOOKUP(Table27[[#This Row],[Location 
(drop-down)]],'List source'!D$2:E$71,2,FALSE)</f>
        <v>#N/A</v>
      </c>
      <c r="C562" s="154" t="s">
        <v>1901</v>
      </c>
      <c r="D562" s="20" t="e">
        <f t="shared" si="8"/>
        <v>#N/A</v>
      </c>
      <c r="E562" s="68"/>
      <c r="F562" s="10" t="e" cm="1">
        <f t="array" aca="1" ref="F5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2" s="173"/>
      <c r="I562" s="12"/>
      <c r="J562" s="12"/>
      <c r="K562" s="61"/>
      <c r="L562" s="233"/>
      <c r="M562" s="10">
        <f ca="1">IF(ISBLANK(K562), TODAY()-(I562), Table27[[#This Row],[Effectiveness Review &amp; date deemed effective]]-Table27[[#This Row],[PTO initialized date]])</f>
        <v>46067</v>
      </c>
    </row>
    <row r="563" spans="1:13" ht="18">
      <c r="A563" s="9"/>
      <c r="B563" s="18" t="e">
        <f>VLOOKUP(Table27[[#This Row],[Location 
(drop-down)]],'List source'!D$2:E$71,2,FALSE)</f>
        <v>#N/A</v>
      </c>
      <c r="C563" s="154" t="s">
        <v>1902</v>
      </c>
      <c r="D563" s="20" t="e">
        <f t="shared" si="8"/>
        <v>#N/A</v>
      </c>
      <c r="E563" s="307"/>
      <c r="F563" s="10" t="e" cm="1">
        <f t="array" aca="1" ref="F5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3" s="329"/>
      <c r="I563" s="12"/>
      <c r="J563" s="12"/>
      <c r="K563" s="61"/>
      <c r="L563" s="233"/>
      <c r="M563" s="10">
        <f ca="1">IF(ISBLANK(K563), TODAY()-(I563), Table27[[#This Row],[Effectiveness Review &amp; date deemed effective]]-Table27[[#This Row],[PTO initialized date]])</f>
        <v>46067</v>
      </c>
    </row>
    <row r="564" spans="1:13" ht="18">
      <c r="A564" s="9"/>
      <c r="B564" s="18" t="e">
        <f>VLOOKUP(Table27[[#This Row],[Location 
(drop-down)]],'List source'!D$2:E$71,2,FALSE)</f>
        <v>#N/A</v>
      </c>
      <c r="C564" s="154" t="s">
        <v>1903</v>
      </c>
      <c r="D564" s="20" t="e">
        <f t="shared" si="8"/>
        <v>#N/A</v>
      </c>
      <c r="E564" s="129"/>
      <c r="F564" s="10" t="e" cm="1">
        <f t="array" aca="1" ref="F5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4" s="155"/>
      <c r="I564" s="12"/>
      <c r="J564" s="12"/>
      <c r="K564" s="61"/>
      <c r="L564" s="233"/>
      <c r="M564" s="10">
        <f ca="1">IF(ISBLANK(K564), TODAY()-(I564), Table27[[#This Row],[Effectiveness Review &amp; date deemed effective]]-Table27[[#This Row],[PTO initialized date]])</f>
        <v>46067</v>
      </c>
    </row>
    <row r="565" spans="1:13" ht="18">
      <c r="A565" s="62"/>
      <c r="B565" s="18" t="e">
        <f>VLOOKUP(Table27[[#This Row],[Location 
(drop-down)]],'List source'!D$2:E$71,2,FALSE)</f>
        <v>#N/A</v>
      </c>
      <c r="C565" s="154" t="s">
        <v>1904</v>
      </c>
      <c r="D565" s="20" t="e">
        <f t="shared" si="8"/>
        <v>#N/A</v>
      </c>
      <c r="E565" s="9"/>
      <c r="F565" s="10" t="e" cm="1">
        <f t="array" aca="1" ref="F5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5" s="130"/>
      <c r="I565" s="12"/>
      <c r="J565" s="12"/>
      <c r="K565" s="61"/>
      <c r="L565" s="233"/>
      <c r="M565" s="10">
        <f ca="1">IF(ISBLANK(K565), TODAY()-(I565), Table27[[#This Row],[Effectiveness Review &amp; date deemed effective]]-Table27[[#This Row],[PTO initialized date]])</f>
        <v>46067</v>
      </c>
    </row>
    <row r="566" spans="1:13" ht="18">
      <c r="A566" s="62"/>
      <c r="B566" s="18" t="e">
        <f>VLOOKUP(Table27[[#This Row],[Location 
(drop-down)]],'List source'!D$2:E$71,2,FALSE)</f>
        <v>#N/A</v>
      </c>
      <c r="C566" s="154" t="s">
        <v>1905</v>
      </c>
      <c r="D566" s="20" t="e">
        <f t="shared" si="8"/>
        <v>#N/A</v>
      </c>
      <c r="E566" s="9"/>
      <c r="F566" s="10" t="e" cm="1">
        <f t="array" aca="1" ref="F5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6" s="10"/>
      <c r="I566" s="12"/>
      <c r="J566" s="12"/>
      <c r="K566" s="61"/>
      <c r="L566" s="233"/>
      <c r="M566" s="10">
        <f ca="1">IF(ISBLANK(K566), TODAY()-(I566), Table27[[#This Row],[Effectiveness Review &amp; date deemed effective]]-Table27[[#This Row],[PTO initialized date]])</f>
        <v>46067</v>
      </c>
    </row>
    <row r="567" spans="1:13" ht="18">
      <c r="A567" s="9"/>
      <c r="B567" s="18" t="e">
        <f>VLOOKUP(Table27[[#This Row],[Location 
(drop-down)]],'List source'!D$2:E$71,2,FALSE)</f>
        <v>#N/A</v>
      </c>
      <c r="C567" s="154" t="s">
        <v>1906</v>
      </c>
      <c r="D567" s="20" t="e">
        <f t="shared" si="8"/>
        <v>#N/A</v>
      </c>
      <c r="E567" s="9"/>
      <c r="F567" s="10" t="e" cm="1">
        <f t="array" aca="1" ref="F5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7" s="10"/>
      <c r="I567" s="12"/>
      <c r="J567" s="12"/>
      <c r="K567" s="61"/>
      <c r="L567" s="233"/>
      <c r="M567" s="10">
        <f ca="1">IF(ISBLANK(K567), TODAY()-(I567), Table27[[#This Row],[Effectiveness Review &amp; date deemed effective]]-Table27[[#This Row],[PTO initialized date]])</f>
        <v>46067</v>
      </c>
    </row>
    <row r="568" spans="1:13" ht="18">
      <c r="A568" s="9"/>
      <c r="B568" s="18" t="e">
        <f>VLOOKUP(Table27[[#This Row],[Location 
(drop-down)]],'List source'!D$2:E$71,2,FALSE)</f>
        <v>#N/A</v>
      </c>
      <c r="C568" s="154" t="s">
        <v>1907</v>
      </c>
      <c r="D568" s="20" t="e">
        <f t="shared" si="8"/>
        <v>#N/A</v>
      </c>
      <c r="E568" s="9"/>
      <c r="F568" s="10" t="e" cm="1">
        <f t="array" aca="1" ref="F5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8" s="130"/>
      <c r="I568" s="12"/>
      <c r="J568" s="12"/>
      <c r="K568" s="61"/>
      <c r="L568" s="233"/>
      <c r="M568" s="10">
        <f ca="1">IF(ISBLANK(K568), TODAY()-(I568), Table27[[#This Row],[Effectiveness Review &amp; date deemed effective]]-Table27[[#This Row],[PTO initialized date]])</f>
        <v>46067</v>
      </c>
    </row>
    <row r="569" spans="1:13" ht="18">
      <c r="A569" s="9"/>
      <c r="B569" s="18" t="e">
        <f>VLOOKUP(Table27[[#This Row],[Location 
(drop-down)]],'List source'!D$2:E$71,2,FALSE)</f>
        <v>#N/A</v>
      </c>
      <c r="C569" s="154" t="s">
        <v>1908</v>
      </c>
      <c r="D569" s="20" t="e">
        <f t="shared" si="8"/>
        <v>#N/A</v>
      </c>
      <c r="E569" s="9"/>
      <c r="F569" s="10" t="e" cm="1">
        <f t="array" aca="1" ref="F5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69" s="10"/>
      <c r="I569" s="12"/>
      <c r="J569" s="12"/>
      <c r="K569" s="61"/>
      <c r="L569" s="233"/>
      <c r="M569" s="10">
        <f ca="1">IF(ISBLANK(K569), TODAY()-(I569), Table27[[#This Row],[Effectiveness Review &amp; date deemed effective]]-Table27[[#This Row],[PTO initialized date]])</f>
        <v>46067</v>
      </c>
    </row>
    <row r="570" spans="1:13" ht="18">
      <c r="A570" s="9"/>
      <c r="B570" s="18" t="e">
        <f>VLOOKUP(Table27[[#This Row],[Location 
(drop-down)]],'List source'!D$2:E$71,2,FALSE)</f>
        <v>#N/A</v>
      </c>
      <c r="C570" s="154" t="s">
        <v>1909</v>
      </c>
      <c r="D570" s="20" t="e">
        <f t="shared" si="8"/>
        <v>#N/A</v>
      </c>
      <c r="E570" s="9"/>
      <c r="F570" s="10" t="e" cm="1">
        <f t="array" aca="1" ref="F5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0" s="10"/>
      <c r="I570" s="12"/>
      <c r="J570" s="12"/>
      <c r="K570" s="61"/>
      <c r="L570" s="233"/>
      <c r="M570" s="10">
        <f ca="1">IF(ISBLANK(K570), TODAY()-(I570), Table27[[#This Row],[Effectiveness Review &amp; date deemed effective]]-Table27[[#This Row],[PTO initialized date]])</f>
        <v>46067</v>
      </c>
    </row>
    <row r="571" spans="1:13" ht="18">
      <c r="A571" s="9"/>
      <c r="B571" s="18" t="e">
        <f>VLOOKUP(Table27[[#This Row],[Location 
(drop-down)]],'List source'!D$2:E$71,2,FALSE)</f>
        <v>#N/A</v>
      </c>
      <c r="C571" s="154" t="s">
        <v>1910</v>
      </c>
      <c r="D571" s="20" t="e">
        <f t="shared" si="8"/>
        <v>#N/A</v>
      </c>
      <c r="E571" s="9"/>
      <c r="F571" s="10" t="e" cm="1">
        <f t="array" aca="1" ref="F5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1" s="130"/>
      <c r="I571" s="12"/>
      <c r="J571" s="12"/>
      <c r="K571" s="61"/>
      <c r="L571" s="233"/>
      <c r="M571" s="10">
        <f ca="1">IF(ISBLANK(K571), TODAY()-(I571), Table27[[#This Row],[Effectiveness Review &amp; date deemed effective]]-Table27[[#This Row],[PTO initialized date]])</f>
        <v>46067</v>
      </c>
    </row>
    <row r="572" spans="1:13" ht="18">
      <c r="A572" s="9"/>
      <c r="B572" s="18" t="e">
        <f>VLOOKUP(Table27[[#This Row],[Location 
(drop-down)]],'List source'!D$2:E$71,2,FALSE)</f>
        <v>#N/A</v>
      </c>
      <c r="C572" s="154" t="s">
        <v>1911</v>
      </c>
      <c r="D572" s="20" t="e">
        <f t="shared" si="8"/>
        <v>#N/A</v>
      </c>
      <c r="E572" s="9"/>
      <c r="F572" s="10" t="e" cm="1">
        <f t="array" aca="1" ref="F5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2" s="130"/>
      <c r="I572" s="12"/>
      <c r="J572" s="12"/>
      <c r="K572" s="61"/>
      <c r="L572" s="233"/>
      <c r="M572" s="10">
        <f ca="1">IF(ISBLANK(K572), TODAY()-(I572), Table27[[#This Row],[Effectiveness Review &amp; date deemed effective]]-Table27[[#This Row],[PTO initialized date]])</f>
        <v>46067</v>
      </c>
    </row>
    <row r="573" spans="1:13" ht="18">
      <c r="A573" s="9"/>
      <c r="B573" s="18" t="e">
        <f>VLOOKUP(Table27[[#This Row],[Location 
(drop-down)]],'List source'!D$2:E$71,2,FALSE)</f>
        <v>#N/A</v>
      </c>
      <c r="C573" s="154" t="s">
        <v>1912</v>
      </c>
      <c r="D573" s="20" t="e">
        <f t="shared" si="8"/>
        <v>#N/A</v>
      </c>
      <c r="E573" s="9"/>
      <c r="F573" s="10" t="e" cm="1">
        <f t="array" aca="1" ref="F5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3" s="130"/>
      <c r="I573" s="12"/>
      <c r="J573" s="12"/>
      <c r="K573" s="61"/>
      <c r="L573" s="233"/>
      <c r="M573" s="10">
        <f ca="1">IF(ISBLANK(K573), TODAY()-(I573), Table27[[#This Row],[Effectiveness Review &amp; date deemed effective]]-Table27[[#This Row],[PTO initialized date]])</f>
        <v>46067</v>
      </c>
    </row>
    <row r="574" spans="1:13" ht="18">
      <c r="A574" s="9"/>
      <c r="B574" s="18" t="e">
        <f>VLOOKUP(Table27[[#This Row],[Location 
(drop-down)]],'List source'!D$2:E$71,2,FALSE)</f>
        <v>#N/A</v>
      </c>
      <c r="C574" s="154" t="s">
        <v>1913</v>
      </c>
      <c r="D574" s="20" t="e">
        <f t="shared" si="8"/>
        <v>#N/A</v>
      </c>
      <c r="E574" s="9"/>
      <c r="F574" s="10" t="e" cm="1">
        <f t="array" aca="1" ref="F5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4" s="10"/>
      <c r="I574" s="12"/>
      <c r="J574" s="12"/>
      <c r="K574" s="61"/>
      <c r="L574" s="233"/>
      <c r="M574" s="10">
        <f ca="1">IF(ISBLANK(K574), TODAY()-(I574), Table27[[#This Row],[Effectiveness Review &amp; date deemed effective]]-Table27[[#This Row],[PTO initialized date]])</f>
        <v>46067</v>
      </c>
    </row>
    <row r="575" spans="1:13" ht="18">
      <c r="A575" s="9"/>
      <c r="B575" s="18" t="e">
        <f>VLOOKUP(Table27[[#This Row],[Location 
(drop-down)]],'List source'!D$2:E$71,2,FALSE)</f>
        <v>#N/A</v>
      </c>
      <c r="C575" s="154" t="s">
        <v>1914</v>
      </c>
      <c r="D575" s="20" t="e">
        <f t="shared" si="8"/>
        <v>#N/A</v>
      </c>
      <c r="E575" s="9"/>
      <c r="F575" s="10" t="e" cm="1">
        <f t="array" aca="1" ref="F5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5" s="130"/>
      <c r="I575" s="12"/>
      <c r="J575" s="12"/>
      <c r="K575" s="61"/>
      <c r="L575" s="233"/>
      <c r="M575" s="10">
        <f ca="1">IF(ISBLANK(K575), TODAY()-(I575), Table27[[#This Row],[Effectiveness Review &amp; date deemed effective]]-Table27[[#This Row],[PTO initialized date]])</f>
        <v>46067</v>
      </c>
    </row>
    <row r="576" spans="1:13" ht="18">
      <c r="A576" s="9"/>
      <c r="B576" s="18" t="e">
        <f>VLOOKUP(Table27[[#This Row],[Location 
(drop-down)]],'List source'!D$2:E$71,2,FALSE)</f>
        <v>#N/A</v>
      </c>
      <c r="C576" s="154" t="s">
        <v>1915</v>
      </c>
      <c r="D576" s="20" t="e">
        <f t="shared" si="8"/>
        <v>#N/A</v>
      </c>
      <c r="E576" s="9"/>
      <c r="F576" s="10" t="e" cm="1">
        <f t="array" aca="1" ref="F5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6" s="10"/>
      <c r="I576" s="12"/>
      <c r="J576" s="12"/>
      <c r="K576" s="61"/>
      <c r="L576" s="233"/>
      <c r="M576" s="10">
        <f ca="1">IF(ISBLANK(K576), TODAY()-(I576), Table27[[#This Row],[Effectiveness Review &amp; date deemed effective]]-Table27[[#This Row],[PTO initialized date]])</f>
        <v>46067</v>
      </c>
    </row>
    <row r="577" spans="1:13" ht="18">
      <c r="A577" s="9"/>
      <c r="B577" s="18" t="e">
        <f>VLOOKUP(Table27[[#This Row],[Location 
(drop-down)]],'List source'!D$2:E$71,2,FALSE)</f>
        <v>#N/A</v>
      </c>
      <c r="C577" s="154" t="s">
        <v>1916</v>
      </c>
      <c r="D577" s="20" t="e">
        <f t="shared" si="8"/>
        <v>#N/A</v>
      </c>
      <c r="E577" s="9"/>
      <c r="F577" s="10" t="e" cm="1">
        <f t="array" aca="1" ref="F5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7" s="130"/>
      <c r="I577" s="12"/>
      <c r="J577" s="12"/>
      <c r="K577" s="61"/>
      <c r="L577" s="233"/>
      <c r="M577" s="10">
        <f ca="1">IF(ISBLANK(K577), TODAY()-(I577), Table27[[#This Row],[Effectiveness Review &amp; date deemed effective]]-Table27[[#This Row],[PTO initialized date]])</f>
        <v>46067</v>
      </c>
    </row>
    <row r="578" spans="1:13" ht="18">
      <c r="A578" s="9"/>
      <c r="B578" s="18" t="e">
        <f>VLOOKUP(Table27[[#This Row],[Location 
(drop-down)]],'List source'!D$2:E$71,2,FALSE)</f>
        <v>#N/A</v>
      </c>
      <c r="C578" s="154" t="s">
        <v>1917</v>
      </c>
      <c r="D578" s="20" t="e">
        <f t="shared" ref="D578:D641" si="9">"PTO" &amp; C578 &amp; "-" &amp; B578 &amp; "-" &amp; "26"</f>
        <v>#N/A</v>
      </c>
      <c r="E578" s="9"/>
      <c r="F578" s="10" t="e" cm="1">
        <f t="array" aca="1" ref="F5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8" s="10"/>
      <c r="I578" s="12"/>
      <c r="J578" s="12"/>
      <c r="K578" s="61"/>
      <c r="L578" s="233"/>
      <c r="M578" s="10">
        <f ca="1">IF(ISBLANK(K578), TODAY()-(I578), Table27[[#This Row],[Effectiveness Review &amp; date deemed effective]]-Table27[[#This Row],[PTO initialized date]])</f>
        <v>46067</v>
      </c>
    </row>
    <row r="579" spans="1:13" ht="18">
      <c r="A579" s="9"/>
      <c r="B579" s="18" t="e">
        <f>VLOOKUP(Table27[[#This Row],[Location 
(drop-down)]],'List source'!D$2:E$71,2,FALSE)</f>
        <v>#N/A</v>
      </c>
      <c r="C579" s="154" t="s">
        <v>1918</v>
      </c>
      <c r="D579" s="20" t="e">
        <f t="shared" si="9"/>
        <v>#N/A</v>
      </c>
      <c r="E579" s="9"/>
      <c r="F579" s="10" t="e" cm="1">
        <f t="array" aca="1" ref="F5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79" s="10"/>
      <c r="I579" s="12"/>
      <c r="J579" s="12"/>
      <c r="K579" s="61"/>
      <c r="L579" s="233"/>
      <c r="M579" s="10">
        <f ca="1">IF(ISBLANK(K579), TODAY()-(I579), Table27[[#This Row],[Effectiveness Review &amp; date deemed effective]]-Table27[[#This Row],[PTO initialized date]])</f>
        <v>46067</v>
      </c>
    </row>
    <row r="580" spans="1:13" ht="18">
      <c r="A580" s="9"/>
      <c r="B580" s="18" t="e">
        <f>VLOOKUP(Table27[[#This Row],[Location 
(drop-down)]],'List source'!D$2:E$71,2,FALSE)</f>
        <v>#N/A</v>
      </c>
      <c r="C580" s="154" t="s">
        <v>1919</v>
      </c>
      <c r="D580" s="20" t="e">
        <f t="shared" si="9"/>
        <v>#N/A</v>
      </c>
      <c r="E580" s="9"/>
      <c r="F580" s="10" t="e" cm="1">
        <f t="array" aca="1" ref="F5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0" s="130"/>
      <c r="I580" s="12"/>
      <c r="J580" s="12"/>
      <c r="K580" s="61"/>
      <c r="L580" s="233"/>
      <c r="M580" s="10">
        <f ca="1">IF(ISBLANK(K580), TODAY()-(I580), Table27[[#This Row],[Effectiveness Review &amp; date deemed effective]]-Table27[[#This Row],[PTO initialized date]])</f>
        <v>46067</v>
      </c>
    </row>
    <row r="581" spans="1:13" ht="18">
      <c r="A581" s="9"/>
      <c r="B581" s="18" t="e">
        <f>VLOOKUP(Table27[[#This Row],[Location 
(drop-down)]],'List source'!D$2:E$71,2,FALSE)</f>
        <v>#N/A</v>
      </c>
      <c r="C581" s="154" t="s">
        <v>1920</v>
      </c>
      <c r="D581" s="20" t="e">
        <f t="shared" si="9"/>
        <v>#N/A</v>
      </c>
      <c r="E581" s="68"/>
      <c r="F581" s="10" t="e" cm="1">
        <f t="array" aca="1" ref="F5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1" s="173"/>
      <c r="I581" s="12"/>
      <c r="J581" s="12"/>
      <c r="K581" s="71"/>
      <c r="L581" s="296"/>
      <c r="M581" s="10">
        <f ca="1">IF(ISBLANK(K581), TODAY()-(I581), Table27[[#This Row],[Effectiveness Review &amp; date deemed effective]]-Table27[[#This Row],[PTO initialized date]])</f>
        <v>46067</v>
      </c>
    </row>
    <row r="582" spans="1:13" ht="18">
      <c r="A582" s="9"/>
      <c r="B582" s="18" t="e">
        <f>VLOOKUP(Table27[[#This Row],[Location 
(drop-down)]],'List source'!D$2:E$71,2,FALSE)</f>
        <v>#N/A</v>
      </c>
      <c r="C582" s="154" t="s">
        <v>1921</v>
      </c>
      <c r="D582" s="20" t="e">
        <f t="shared" si="9"/>
        <v>#N/A</v>
      </c>
      <c r="E582" s="9"/>
      <c r="F582" s="10" t="e" cm="1">
        <f t="array" aca="1" ref="F5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2" s="130"/>
      <c r="I582" s="12"/>
      <c r="J582" s="12"/>
      <c r="K582" s="61"/>
      <c r="L582" s="233"/>
      <c r="M582" s="10">
        <f ca="1">IF(ISBLANK(K582), TODAY()-(I582), Table27[[#This Row],[Effectiveness Review &amp; date deemed effective]]-Table27[[#This Row],[PTO initialized date]])</f>
        <v>46067</v>
      </c>
    </row>
    <row r="583" spans="1:13" ht="18">
      <c r="A583" s="9"/>
      <c r="B583" s="18" t="e">
        <f>VLOOKUP(Table27[[#This Row],[Location 
(drop-down)]],'List source'!D$2:E$71,2,FALSE)</f>
        <v>#N/A</v>
      </c>
      <c r="C583" s="154" t="s">
        <v>1922</v>
      </c>
      <c r="D583" s="20" t="e">
        <f t="shared" si="9"/>
        <v>#N/A</v>
      </c>
      <c r="E583" s="9"/>
      <c r="F583" s="10" t="e" cm="1">
        <f t="array" aca="1" ref="F5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3" s="130"/>
      <c r="I583" s="12"/>
      <c r="J583" s="12"/>
      <c r="K583" s="61"/>
      <c r="L583" s="233"/>
      <c r="M583" s="10">
        <f ca="1">IF(ISBLANK(K583), TODAY()-(I583), Table27[[#This Row],[Effectiveness Review &amp; date deemed effective]]-Table27[[#This Row],[PTO initialized date]])</f>
        <v>46067</v>
      </c>
    </row>
    <row r="584" spans="1:13" ht="18">
      <c r="A584" s="9"/>
      <c r="B584" s="18" t="e">
        <f>VLOOKUP(Table27[[#This Row],[Location 
(drop-down)]],'List source'!D$2:E$71,2,FALSE)</f>
        <v>#N/A</v>
      </c>
      <c r="C584" s="154" t="s">
        <v>1923</v>
      </c>
      <c r="D584" s="20" t="e">
        <f t="shared" si="9"/>
        <v>#N/A</v>
      </c>
      <c r="E584" s="9"/>
      <c r="F584" s="10" t="e" cm="1">
        <f t="array" aca="1" ref="F5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4" s="130"/>
      <c r="I584" s="12"/>
      <c r="J584" s="12"/>
      <c r="K584" s="61"/>
      <c r="L584" s="233"/>
      <c r="M584" s="10">
        <f ca="1">IF(ISBLANK(K584), TODAY()-(I584), Table27[[#This Row],[Effectiveness Review &amp; date deemed effective]]-Table27[[#This Row],[PTO initialized date]])</f>
        <v>46067</v>
      </c>
    </row>
    <row r="585" spans="1:13" ht="18">
      <c r="A585" s="9"/>
      <c r="B585" s="18" t="e">
        <f>VLOOKUP(Table27[[#This Row],[Location 
(drop-down)]],'List source'!D$2:E$71,2,FALSE)</f>
        <v>#N/A</v>
      </c>
      <c r="C585" s="154" t="s">
        <v>1924</v>
      </c>
      <c r="D585" s="20" t="e">
        <f t="shared" si="9"/>
        <v>#N/A</v>
      </c>
      <c r="E585" s="9"/>
      <c r="F585" s="10" t="e" cm="1">
        <f t="array" aca="1" ref="F5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5" s="130"/>
      <c r="I585" s="12"/>
      <c r="J585" s="12"/>
      <c r="K585" s="61"/>
      <c r="L585" s="233"/>
      <c r="M585" s="10">
        <f ca="1">IF(ISBLANK(K585), TODAY()-(I585), Table27[[#This Row],[Effectiveness Review &amp; date deemed effective]]-Table27[[#This Row],[PTO initialized date]])</f>
        <v>46067</v>
      </c>
    </row>
    <row r="586" spans="1:13" ht="18">
      <c r="A586" s="9"/>
      <c r="B586" s="18" t="e">
        <f>VLOOKUP(Table27[[#This Row],[Location 
(drop-down)]],'List source'!D$2:E$71,2,FALSE)</f>
        <v>#N/A</v>
      </c>
      <c r="C586" s="154" t="s">
        <v>1925</v>
      </c>
      <c r="D586" s="20" t="e">
        <f t="shared" si="9"/>
        <v>#N/A</v>
      </c>
      <c r="E586" s="9"/>
      <c r="F586" s="10" t="e" cm="1">
        <f t="array" aca="1" ref="F5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6" s="10"/>
      <c r="I586" s="12"/>
      <c r="J586" s="12"/>
      <c r="K586" s="61"/>
      <c r="L586" s="233"/>
      <c r="M586" s="10">
        <f ca="1">IF(ISBLANK(K586), TODAY()-(I586), Table27[[#This Row],[Effectiveness Review &amp; date deemed effective]]-Table27[[#This Row],[PTO initialized date]])</f>
        <v>46067</v>
      </c>
    </row>
    <row r="587" spans="1:13" ht="18">
      <c r="A587" s="9"/>
      <c r="B587" s="18" t="e">
        <f>VLOOKUP(Table27[[#This Row],[Location 
(drop-down)]],'List source'!D$2:E$71,2,FALSE)</f>
        <v>#N/A</v>
      </c>
      <c r="C587" s="154" t="s">
        <v>1926</v>
      </c>
      <c r="D587" s="20" t="e">
        <f t="shared" si="9"/>
        <v>#N/A</v>
      </c>
      <c r="E587" s="9"/>
      <c r="F587" s="10" t="e" cm="1">
        <f t="array" aca="1" ref="F5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7" s="130"/>
      <c r="I587" s="12"/>
      <c r="J587" s="12"/>
      <c r="K587" s="61"/>
      <c r="L587" s="233"/>
      <c r="M587" s="10">
        <f ca="1">IF(ISBLANK(K587), TODAY()-(I587), Table27[[#This Row],[Effectiveness Review &amp; date deemed effective]]-Table27[[#This Row],[PTO initialized date]])</f>
        <v>46067</v>
      </c>
    </row>
    <row r="588" spans="1:13" ht="18">
      <c r="A588" s="9"/>
      <c r="B588" s="18" t="e">
        <f>VLOOKUP(Table27[[#This Row],[Location 
(drop-down)]],'List source'!D$2:E$71,2,FALSE)</f>
        <v>#N/A</v>
      </c>
      <c r="C588" s="154" t="s">
        <v>1927</v>
      </c>
      <c r="D588" s="20" t="e">
        <f t="shared" si="9"/>
        <v>#N/A</v>
      </c>
      <c r="E588" s="9"/>
      <c r="F588" s="10" t="e" cm="1">
        <f t="array" aca="1" ref="F5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8" s="10"/>
      <c r="I588" s="12"/>
      <c r="J588" s="12"/>
      <c r="K588" s="61"/>
      <c r="L588" s="233"/>
      <c r="M588" s="10">
        <f ca="1">IF(ISBLANK(K588), TODAY()-(I588), Table27[[#This Row],[Effectiveness Review &amp; date deemed effective]]-Table27[[#This Row],[PTO initialized date]])</f>
        <v>46067</v>
      </c>
    </row>
    <row r="589" spans="1:13" ht="18">
      <c r="A589" s="9"/>
      <c r="B589" s="18" t="e">
        <f>VLOOKUP(Table27[[#This Row],[Location 
(drop-down)]],'List source'!D$2:E$71,2,FALSE)</f>
        <v>#N/A</v>
      </c>
      <c r="C589" s="154" t="s">
        <v>1928</v>
      </c>
      <c r="D589" s="20" t="e">
        <f t="shared" si="9"/>
        <v>#N/A</v>
      </c>
      <c r="E589" s="9"/>
      <c r="F589" s="10" t="e" cm="1">
        <f t="array" aca="1" ref="F5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89" s="10"/>
      <c r="I589" s="12"/>
      <c r="J589" s="12"/>
      <c r="K589" s="61"/>
      <c r="L589" s="233"/>
      <c r="M589" s="10">
        <f ca="1">IF(ISBLANK(K589), TODAY()-(I589), Table27[[#This Row],[Effectiveness Review &amp; date deemed effective]]-Table27[[#This Row],[PTO initialized date]])</f>
        <v>46067</v>
      </c>
    </row>
    <row r="590" spans="1:13" ht="18">
      <c r="A590" s="9"/>
      <c r="B590" s="18" t="e">
        <f>VLOOKUP(Table27[[#This Row],[Location 
(drop-down)]],'List source'!D$2:E$71,2,FALSE)</f>
        <v>#N/A</v>
      </c>
      <c r="C590" s="154" t="s">
        <v>1929</v>
      </c>
      <c r="D590" s="20" t="e">
        <f t="shared" si="9"/>
        <v>#N/A</v>
      </c>
      <c r="E590" s="68"/>
      <c r="F590" s="10" t="e" cm="1">
        <f t="array" aca="1" ref="F5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0" s="72"/>
      <c r="I590" s="12"/>
      <c r="J590" s="12"/>
      <c r="K590" s="61"/>
      <c r="L590" s="233"/>
      <c r="M590" s="10">
        <f ca="1">IF(ISBLANK(K590), TODAY()-(I590), Table27[[#This Row],[Effectiveness Review &amp; date deemed effective]]-Table27[[#This Row],[PTO initialized date]])</f>
        <v>46067</v>
      </c>
    </row>
    <row r="591" spans="1:13" ht="18">
      <c r="A591" s="9"/>
      <c r="B591" s="18" t="e">
        <f>VLOOKUP(Table27[[#This Row],[Location 
(drop-down)]],'List source'!D$2:E$71,2,FALSE)</f>
        <v>#N/A</v>
      </c>
      <c r="C591" s="154" t="s">
        <v>1930</v>
      </c>
      <c r="D591" s="20" t="e">
        <f t="shared" si="9"/>
        <v>#N/A</v>
      </c>
      <c r="E591" s="309"/>
      <c r="F591" s="10" t="e" cm="1">
        <f t="array" aca="1" ref="F5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1" s="325"/>
      <c r="I591" s="12"/>
      <c r="J591" s="12"/>
      <c r="K591" s="61"/>
      <c r="L591" s="233"/>
      <c r="M591" s="10">
        <f ca="1">IF(ISBLANK(K591), TODAY()-(I591), Table27[[#This Row],[Effectiveness Review &amp; date deemed effective]]-Table27[[#This Row],[PTO initialized date]])</f>
        <v>46067</v>
      </c>
    </row>
    <row r="592" spans="1:13" ht="18">
      <c r="A592" s="9"/>
      <c r="B592" s="18" t="e">
        <f>VLOOKUP(Table27[[#This Row],[Location 
(drop-down)]],'List source'!D$2:E$71,2,FALSE)</f>
        <v>#N/A</v>
      </c>
      <c r="C592" s="154" t="s">
        <v>1931</v>
      </c>
      <c r="D592" s="20" t="e">
        <f t="shared" si="9"/>
        <v>#N/A</v>
      </c>
      <c r="E592" s="129"/>
      <c r="F592" s="10" t="e" cm="1">
        <f t="array" aca="1" ref="F5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2" s="155"/>
      <c r="I592" s="12"/>
      <c r="J592" s="12"/>
      <c r="K592" s="61"/>
      <c r="L592" s="233"/>
      <c r="M592" s="10">
        <f ca="1">IF(ISBLANK(K592), TODAY()-(I592), Table27[[#This Row],[Effectiveness Review &amp; date deemed effective]]-Table27[[#This Row],[PTO initialized date]])</f>
        <v>46067</v>
      </c>
    </row>
    <row r="593" spans="1:13" ht="18">
      <c r="A593" s="9"/>
      <c r="B593" s="18" t="e">
        <f>VLOOKUP(Table27[[#This Row],[Location 
(drop-down)]],'List source'!D$2:E$71,2,FALSE)</f>
        <v>#N/A</v>
      </c>
      <c r="C593" s="154" t="s">
        <v>1932</v>
      </c>
      <c r="D593" s="20" t="e">
        <f t="shared" si="9"/>
        <v>#N/A</v>
      </c>
      <c r="E593" s="9"/>
      <c r="F593" s="10" t="e" cm="1">
        <f t="array" aca="1" ref="F5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3" s="130"/>
      <c r="I593" s="12"/>
      <c r="J593" s="12"/>
      <c r="K593" s="61"/>
      <c r="L593" s="233"/>
      <c r="M593" s="10">
        <f ca="1">IF(ISBLANK(K593), TODAY()-(I593), Table27[[#This Row],[Effectiveness Review &amp; date deemed effective]]-Table27[[#This Row],[PTO initialized date]])</f>
        <v>46067</v>
      </c>
    </row>
    <row r="594" spans="1:13" ht="18">
      <c r="A594" s="9"/>
      <c r="B594" s="18" t="e">
        <f>VLOOKUP(Table27[[#This Row],[Location 
(drop-down)]],'List source'!D$2:E$71,2,FALSE)</f>
        <v>#N/A</v>
      </c>
      <c r="C594" s="154" t="s">
        <v>1933</v>
      </c>
      <c r="D594" s="20" t="e">
        <f t="shared" si="9"/>
        <v>#N/A</v>
      </c>
      <c r="E594" s="9"/>
      <c r="F594" s="10" t="e" cm="1">
        <f t="array" aca="1" ref="F5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4" s="130"/>
      <c r="I594" s="12"/>
      <c r="J594" s="12"/>
      <c r="K594" s="61"/>
      <c r="L594" s="233"/>
      <c r="M594" s="10">
        <f ca="1">IF(ISBLANK(K594), TODAY()-(I594), Table27[[#This Row],[Effectiveness Review &amp; date deemed effective]]-Table27[[#This Row],[PTO initialized date]])</f>
        <v>46067</v>
      </c>
    </row>
    <row r="595" spans="1:13" ht="18">
      <c r="A595" s="9"/>
      <c r="B595" s="18" t="e">
        <f>VLOOKUP(Table27[[#This Row],[Location 
(drop-down)]],'List source'!D$2:E$71,2,FALSE)</f>
        <v>#N/A</v>
      </c>
      <c r="C595" s="154" t="s">
        <v>1934</v>
      </c>
      <c r="D595" s="20" t="e">
        <f t="shared" si="9"/>
        <v>#N/A</v>
      </c>
      <c r="E595" s="9"/>
      <c r="F595" s="10" t="e" cm="1">
        <f t="array" aca="1" ref="F5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5" s="10"/>
      <c r="I595" s="12"/>
      <c r="J595" s="12"/>
      <c r="K595" s="61"/>
      <c r="L595" s="233"/>
      <c r="M595" s="10">
        <f ca="1">IF(ISBLANK(K595), TODAY()-(I595), Table27[[#This Row],[Effectiveness Review &amp; date deemed effective]]-Table27[[#This Row],[PTO initialized date]])</f>
        <v>46067</v>
      </c>
    </row>
    <row r="596" spans="1:13" ht="18">
      <c r="A596" s="9"/>
      <c r="B596" s="18" t="e">
        <f>VLOOKUP(Table27[[#This Row],[Location 
(drop-down)]],'List source'!D$2:E$71,2,FALSE)</f>
        <v>#N/A</v>
      </c>
      <c r="C596" s="154" t="s">
        <v>1935</v>
      </c>
      <c r="D596" s="20" t="e">
        <f t="shared" si="9"/>
        <v>#N/A</v>
      </c>
      <c r="E596" s="9"/>
      <c r="F596" s="10" t="e" cm="1">
        <f t="array" aca="1" ref="F5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6" s="130"/>
      <c r="I596" s="12"/>
      <c r="J596" s="12"/>
      <c r="K596" s="61"/>
      <c r="L596" s="233"/>
      <c r="M596" s="10">
        <f ca="1">IF(ISBLANK(K596), TODAY()-(I596), Table27[[#This Row],[Effectiveness Review &amp; date deemed effective]]-Table27[[#This Row],[PTO initialized date]])</f>
        <v>46067</v>
      </c>
    </row>
    <row r="597" spans="1:13" ht="18">
      <c r="A597" s="9"/>
      <c r="B597" s="18" t="e">
        <f>VLOOKUP(Table27[[#This Row],[Location 
(drop-down)]],'List source'!D$2:E$71,2,FALSE)</f>
        <v>#N/A</v>
      </c>
      <c r="C597" s="154" t="s">
        <v>1936</v>
      </c>
      <c r="D597" s="20" t="e">
        <f t="shared" si="9"/>
        <v>#N/A</v>
      </c>
      <c r="E597" s="9"/>
      <c r="F597" s="10" t="e" cm="1">
        <f t="array" aca="1" ref="F5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7" s="10"/>
      <c r="I597" s="12"/>
      <c r="J597" s="12"/>
      <c r="K597" s="61"/>
      <c r="L597" s="233"/>
      <c r="M597" s="10">
        <f ca="1">IF(ISBLANK(K597), TODAY()-(I597), Table27[[#This Row],[Effectiveness Review &amp; date deemed effective]]-Table27[[#This Row],[PTO initialized date]])</f>
        <v>46067</v>
      </c>
    </row>
    <row r="598" spans="1:13" ht="18">
      <c r="A598" s="9"/>
      <c r="B598" s="18" t="e">
        <f>VLOOKUP(Table27[[#This Row],[Location 
(drop-down)]],'List source'!D$2:E$71,2,FALSE)</f>
        <v>#N/A</v>
      </c>
      <c r="C598" s="154" t="s">
        <v>1937</v>
      </c>
      <c r="D598" s="20" t="e">
        <f t="shared" si="9"/>
        <v>#N/A</v>
      </c>
      <c r="E598" s="9"/>
      <c r="F598" s="10" t="e" cm="1">
        <f t="array" aca="1" ref="F5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8" s="130"/>
      <c r="I598" s="12"/>
      <c r="J598" s="12"/>
      <c r="K598" s="61"/>
      <c r="L598" s="233"/>
      <c r="M598" s="10">
        <f ca="1">IF(ISBLANK(K598), TODAY()-(I598), Table27[[#This Row],[Effectiveness Review &amp; date deemed effective]]-Table27[[#This Row],[PTO initialized date]])</f>
        <v>46067</v>
      </c>
    </row>
    <row r="599" spans="1:13" ht="18">
      <c r="A599" s="9"/>
      <c r="B599" s="18" t="e">
        <f>VLOOKUP(Table27[[#This Row],[Location 
(drop-down)]],'List source'!D$2:E$71,2,FALSE)</f>
        <v>#N/A</v>
      </c>
      <c r="C599" s="154" t="s">
        <v>1938</v>
      </c>
      <c r="D599" s="20" t="e">
        <f t="shared" si="9"/>
        <v>#N/A</v>
      </c>
      <c r="E599" s="9"/>
      <c r="F599" s="10" t="e" cm="1">
        <f t="array" aca="1" ref="F5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5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599" s="130"/>
      <c r="I599" s="12"/>
      <c r="J599" s="12"/>
      <c r="K599" s="61"/>
      <c r="L599" s="233"/>
      <c r="M599" s="10">
        <f ca="1">IF(ISBLANK(K599), TODAY()-(I599), Table27[[#This Row],[Effectiveness Review &amp; date deemed effective]]-Table27[[#This Row],[PTO initialized date]])</f>
        <v>46067</v>
      </c>
    </row>
    <row r="600" spans="1:13" ht="18">
      <c r="A600" s="9"/>
      <c r="B600" s="18" t="e">
        <f>VLOOKUP(Table27[[#This Row],[Location 
(drop-down)]],'List source'!D$2:E$71,2,FALSE)</f>
        <v>#N/A</v>
      </c>
      <c r="C600" s="154" t="s">
        <v>1939</v>
      </c>
      <c r="D600" s="20" t="e">
        <f t="shared" si="9"/>
        <v>#N/A</v>
      </c>
      <c r="E600" s="9"/>
      <c r="F600" s="10" t="e" cm="1">
        <f t="array" aca="1" ref="F6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0" s="10"/>
      <c r="I600" s="12"/>
      <c r="J600" s="12"/>
      <c r="K600" s="61"/>
      <c r="L600" s="233"/>
      <c r="M600" s="10">
        <f ca="1">IF(ISBLANK(K600), TODAY()-(I600), Table27[[#This Row],[Effectiveness Review &amp; date deemed effective]]-Table27[[#This Row],[PTO initialized date]])</f>
        <v>46067</v>
      </c>
    </row>
    <row r="601" spans="1:13" ht="18">
      <c r="A601" s="9"/>
      <c r="B601" s="18" t="e">
        <f>VLOOKUP(Table27[[#This Row],[Location 
(drop-down)]],'List source'!D$2:E$71,2,FALSE)</f>
        <v>#N/A</v>
      </c>
      <c r="C601" s="154" t="s">
        <v>1940</v>
      </c>
      <c r="D601" s="20" t="e">
        <f t="shared" si="9"/>
        <v>#N/A</v>
      </c>
      <c r="E601" s="9"/>
      <c r="F601" s="10" t="e" cm="1">
        <f t="array" aca="1" ref="F6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1" s="130"/>
      <c r="I601" s="12"/>
      <c r="J601" s="12"/>
      <c r="K601" s="61"/>
      <c r="L601" s="233"/>
      <c r="M601" s="10">
        <f ca="1">IF(ISBLANK(K601), TODAY()-(I601), Table27[[#This Row],[Effectiveness Review &amp; date deemed effective]]-Table27[[#This Row],[PTO initialized date]])</f>
        <v>46067</v>
      </c>
    </row>
    <row r="602" spans="1:13" ht="18">
      <c r="A602" s="9"/>
      <c r="B602" s="18" t="e">
        <f>VLOOKUP(Table27[[#This Row],[Location 
(drop-down)]],'List source'!D$2:E$71,2,FALSE)</f>
        <v>#N/A</v>
      </c>
      <c r="C602" s="154" t="s">
        <v>1941</v>
      </c>
      <c r="D602" s="20" t="e">
        <f t="shared" si="9"/>
        <v>#N/A</v>
      </c>
      <c r="E602" s="9"/>
      <c r="F602" s="10" t="e" cm="1">
        <f t="array" aca="1" ref="F6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2" s="10"/>
      <c r="I602" s="12"/>
      <c r="J602" s="12"/>
      <c r="K602" s="61"/>
      <c r="L602" s="233"/>
      <c r="M602" s="10">
        <f ca="1">IF(ISBLANK(K602), TODAY()-(I602), Table27[[#This Row],[Effectiveness Review &amp; date deemed effective]]-Table27[[#This Row],[PTO initialized date]])</f>
        <v>46067</v>
      </c>
    </row>
    <row r="603" spans="1:13" ht="18">
      <c r="A603" s="9"/>
      <c r="B603" s="18" t="e">
        <f>VLOOKUP(Table27[[#This Row],[Location 
(drop-down)]],'List source'!D$2:E$71,2,FALSE)</f>
        <v>#N/A</v>
      </c>
      <c r="C603" s="154" t="s">
        <v>1942</v>
      </c>
      <c r="D603" s="20" t="e">
        <f t="shared" si="9"/>
        <v>#N/A</v>
      </c>
      <c r="E603" s="9"/>
      <c r="F603" s="10" t="e" cm="1">
        <f t="array" aca="1" ref="F6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3" s="130"/>
      <c r="I603" s="12"/>
      <c r="J603" s="12"/>
      <c r="K603" s="61"/>
      <c r="L603" s="233"/>
      <c r="M603" s="10">
        <f ca="1">IF(ISBLANK(K603), TODAY()-(I603), Table27[[#This Row],[Effectiveness Review &amp; date deemed effective]]-Table27[[#This Row],[PTO initialized date]])</f>
        <v>46067</v>
      </c>
    </row>
    <row r="604" spans="1:13" ht="18">
      <c r="A604" s="9"/>
      <c r="B604" s="18" t="e">
        <f>VLOOKUP(Table27[[#This Row],[Location 
(drop-down)]],'List source'!D$2:E$71,2,FALSE)</f>
        <v>#N/A</v>
      </c>
      <c r="C604" s="154" t="s">
        <v>1943</v>
      </c>
      <c r="D604" s="20" t="e">
        <f t="shared" si="9"/>
        <v>#N/A</v>
      </c>
      <c r="E604" s="9"/>
      <c r="F604" s="10" t="e" cm="1">
        <f t="array" aca="1" ref="F6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4" s="130"/>
      <c r="I604" s="12"/>
      <c r="J604" s="12"/>
      <c r="K604" s="61"/>
      <c r="L604" s="233"/>
      <c r="M604" s="10">
        <f ca="1">IF(ISBLANK(K604), TODAY()-(I604), Table27[[#This Row],[Effectiveness Review &amp; date deemed effective]]-Table27[[#This Row],[PTO initialized date]])</f>
        <v>46067</v>
      </c>
    </row>
    <row r="605" spans="1:13" ht="18">
      <c r="A605" s="9"/>
      <c r="B605" s="18" t="e">
        <f>VLOOKUP(Table27[[#This Row],[Location 
(drop-down)]],'List source'!D$2:E$71,2,FALSE)</f>
        <v>#N/A</v>
      </c>
      <c r="C605" s="154" t="s">
        <v>1944</v>
      </c>
      <c r="D605" s="20" t="e">
        <f t="shared" si="9"/>
        <v>#N/A</v>
      </c>
      <c r="E605" s="9"/>
      <c r="F605" s="10" t="e" cm="1">
        <f t="array" aca="1" ref="F6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5" s="10"/>
      <c r="I605" s="12"/>
      <c r="J605" s="12"/>
      <c r="K605" s="61"/>
      <c r="L605" s="233"/>
      <c r="M605" s="10">
        <f ca="1">IF(ISBLANK(K605), TODAY()-(I605), Table27[[#This Row],[Effectiveness Review &amp; date deemed effective]]-Table27[[#This Row],[PTO initialized date]])</f>
        <v>46067</v>
      </c>
    </row>
    <row r="606" spans="1:13" ht="18">
      <c r="A606" s="9"/>
      <c r="B606" s="18" t="e">
        <f>VLOOKUP(Table27[[#This Row],[Location 
(drop-down)]],'List source'!D$2:E$71,2,FALSE)</f>
        <v>#N/A</v>
      </c>
      <c r="C606" s="154" t="s">
        <v>1945</v>
      </c>
      <c r="D606" s="20" t="e">
        <f t="shared" si="9"/>
        <v>#N/A</v>
      </c>
      <c r="E606" s="9"/>
      <c r="F606" s="10" t="e" cm="1">
        <f t="array" aca="1" ref="F6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6" s="130"/>
      <c r="I606" s="12"/>
      <c r="J606" s="12"/>
      <c r="K606" s="61"/>
      <c r="L606" s="233"/>
      <c r="M606" s="10">
        <f ca="1">IF(ISBLANK(K606), TODAY()-(I606), Table27[[#This Row],[Effectiveness Review &amp; date deemed effective]]-Table27[[#This Row],[PTO initialized date]])</f>
        <v>46067</v>
      </c>
    </row>
    <row r="607" spans="1:13" ht="18">
      <c r="A607" s="9"/>
      <c r="B607" s="18" t="e">
        <f>VLOOKUP(Table27[[#This Row],[Location 
(drop-down)]],'List source'!D$2:E$71,2,FALSE)</f>
        <v>#N/A</v>
      </c>
      <c r="C607" s="154" t="s">
        <v>1946</v>
      </c>
      <c r="D607" s="20" t="e">
        <f t="shared" si="9"/>
        <v>#N/A</v>
      </c>
      <c r="E607" s="9"/>
      <c r="F607" s="10" t="e" cm="1">
        <f t="array" aca="1" ref="F6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7" s="130"/>
      <c r="I607" s="12"/>
      <c r="J607" s="12"/>
      <c r="K607" s="61"/>
      <c r="L607" s="233"/>
      <c r="M607" s="10">
        <f ca="1">IF(ISBLANK(K607), TODAY()-(I607), Table27[[#This Row],[Effectiveness Review &amp; date deemed effective]]-Table27[[#This Row],[PTO initialized date]])</f>
        <v>46067</v>
      </c>
    </row>
    <row r="608" spans="1:13" ht="18">
      <c r="A608" s="9"/>
      <c r="B608" s="18" t="e">
        <f>VLOOKUP(Table27[[#This Row],[Location 
(drop-down)]],'List source'!D$2:E$71,2,FALSE)</f>
        <v>#N/A</v>
      </c>
      <c r="C608" s="154" t="s">
        <v>1947</v>
      </c>
      <c r="D608" s="20" t="e">
        <f t="shared" si="9"/>
        <v>#N/A</v>
      </c>
      <c r="E608" s="9"/>
      <c r="F608" s="10" t="e" cm="1">
        <f t="array" aca="1" ref="F6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8" s="10"/>
      <c r="I608" s="12"/>
      <c r="J608" s="12"/>
      <c r="K608" s="61"/>
      <c r="L608" s="233"/>
      <c r="M608" s="10">
        <f ca="1">IF(ISBLANK(K608), TODAY()-(I608), Table27[[#This Row],[Effectiveness Review &amp; date deemed effective]]-Table27[[#This Row],[PTO initialized date]])</f>
        <v>46067</v>
      </c>
    </row>
    <row r="609" spans="1:13" ht="18">
      <c r="A609" s="9"/>
      <c r="B609" s="18" t="e">
        <f>VLOOKUP(Table27[[#This Row],[Location 
(drop-down)]],'List source'!D$2:E$71,2,FALSE)</f>
        <v>#N/A</v>
      </c>
      <c r="C609" s="154" t="s">
        <v>1948</v>
      </c>
      <c r="D609" s="20" t="e">
        <f t="shared" si="9"/>
        <v>#N/A</v>
      </c>
      <c r="E609" s="9"/>
      <c r="F609" s="10" t="e" cm="1">
        <f t="array" aca="1" ref="F6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09" s="130"/>
      <c r="I609" s="12"/>
      <c r="J609" s="12"/>
      <c r="K609" s="61"/>
      <c r="L609" s="233"/>
      <c r="M609" s="10">
        <f ca="1">IF(ISBLANK(K609), TODAY()-(I609), Table27[[#This Row],[Effectiveness Review &amp; date deemed effective]]-Table27[[#This Row],[PTO initialized date]])</f>
        <v>46067</v>
      </c>
    </row>
    <row r="610" spans="1:13" ht="18">
      <c r="A610" s="9"/>
      <c r="B610" s="18" t="e">
        <f>VLOOKUP(Table27[[#This Row],[Location 
(drop-down)]],'List source'!D$2:E$71,2,FALSE)</f>
        <v>#N/A</v>
      </c>
      <c r="C610" s="154" t="s">
        <v>1949</v>
      </c>
      <c r="D610" s="20" t="e">
        <f t="shared" si="9"/>
        <v>#N/A</v>
      </c>
      <c r="E610" s="9"/>
      <c r="F610" s="10" t="e" cm="1">
        <f t="array" aca="1" ref="F6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0" s="10"/>
      <c r="I610" s="12"/>
      <c r="J610" s="12"/>
      <c r="K610" s="61"/>
      <c r="L610" s="233"/>
      <c r="M610" s="10">
        <f ca="1">IF(ISBLANK(K610), TODAY()-(I610), Table27[[#This Row],[Effectiveness Review &amp; date deemed effective]]-Table27[[#This Row],[PTO initialized date]])</f>
        <v>46067</v>
      </c>
    </row>
    <row r="611" spans="1:13" ht="18">
      <c r="A611" s="9"/>
      <c r="B611" s="18" t="e">
        <f>VLOOKUP(Table27[[#This Row],[Location 
(drop-down)]],'List source'!D$2:E$71,2,FALSE)</f>
        <v>#N/A</v>
      </c>
      <c r="C611" s="154" t="s">
        <v>1950</v>
      </c>
      <c r="D611" s="20" t="e">
        <f t="shared" si="9"/>
        <v>#N/A</v>
      </c>
      <c r="E611" s="9"/>
      <c r="F611" s="10" t="e" cm="1">
        <f t="array" aca="1" ref="F6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1" s="130"/>
      <c r="I611" s="12"/>
      <c r="J611" s="12"/>
      <c r="K611" s="61"/>
      <c r="L611" s="233"/>
      <c r="M611" s="10">
        <f ca="1">IF(ISBLANK(K611), TODAY()-(I611), Table27[[#This Row],[Effectiveness Review &amp; date deemed effective]]-Table27[[#This Row],[PTO initialized date]])</f>
        <v>46067</v>
      </c>
    </row>
    <row r="612" spans="1:13" ht="18">
      <c r="A612" s="9"/>
      <c r="B612" s="18" t="e">
        <f>VLOOKUP(Table27[[#This Row],[Location 
(drop-down)]],'List source'!D$2:E$71,2,FALSE)</f>
        <v>#N/A</v>
      </c>
      <c r="C612" s="154" t="s">
        <v>1951</v>
      </c>
      <c r="D612" s="20" t="e">
        <f t="shared" si="9"/>
        <v>#N/A</v>
      </c>
      <c r="E612" s="9"/>
      <c r="F612" s="10" t="e" cm="1">
        <f t="array" aca="1" ref="F6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2" s="130"/>
      <c r="I612" s="12"/>
      <c r="J612" s="12"/>
      <c r="K612" s="61"/>
      <c r="L612" s="233"/>
      <c r="M612" s="10">
        <f ca="1">IF(ISBLANK(K612), TODAY()-(I612), Table27[[#This Row],[Effectiveness Review &amp; date deemed effective]]-Table27[[#This Row],[PTO initialized date]])</f>
        <v>46067</v>
      </c>
    </row>
    <row r="613" spans="1:13" ht="18">
      <c r="A613" s="9"/>
      <c r="B613" s="18" t="e">
        <f>VLOOKUP(Table27[[#This Row],[Location 
(drop-down)]],'List source'!D$2:E$71,2,FALSE)</f>
        <v>#N/A</v>
      </c>
      <c r="C613" s="154" t="s">
        <v>1952</v>
      </c>
      <c r="D613" s="20" t="e">
        <f t="shared" si="9"/>
        <v>#N/A</v>
      </c>
      <c r="E613" s="9"/>
      <c r="F613" s="10" t="e" cm="1">
        <f t="array" aca="1" ref="F6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3" s="130"/>
      <c r="I613" s="12"/>
      <c r="J613" s="12"/>
      <c r="K613" s="61"/>
      <c r="L613" s="233"/>
      <c r="M613" s="10">
        <f ca="1">IF(ISBLANK(K613), TODAY()-(I613), Table27[[#This Row],[Effectiveness Review &amp; date deemed effective]]-Table27[[#This Row],[PTO initialized date]])</f>
        <v>46067</v>
      </c>
    </row>
    <row r="614" spans="1:13" ht="18">
      <c r="A614" s="9"/>
      <c r="B614" s="18" t="e">
        <f>VLOOKUP(Table27[[#This Row],[Location 
(drop-down)]],'List source'!D$2:E$71,2,FALSE)</f>
        <v>#N/A</v>
      </c>
      <c r="C614" s="154" t="s">
        <v>1953</v>
      </c>
      <c r="D614" s="20" t="e">
        <f t="shared" si="9"/>
        <v>#N/A</v>
      </c>
      <c r="E614" s="9"/>
      <c r="F614" s="10" t="e" cm="1">
        <f t="array" aca="1" ref="F6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4" s="130"/>
      <c r="I614" s="12"/>
      <c r="J614" s="12"/>
      <c r="K614" s="61"/>
      <c r="L614" s="233"/>
      <c r="M614" s="10">
        <f ca="1">IF(ISBLANK(K614), TODAY()-(I614), Table27[[#This Row],[Effectiveness Review &amp; date deemed effective]]-Table27[[#This Row],[PTO initialized date]])</f>
        <v>46067</v>
      </c>
    </row>
    <row r="615" spans="1:13" ht="18">
      <c r="A615" s="9"/>
      <c r="B615" s="18" t="e">
        <f>VLOOKUP(Table27[[#This Row],[Location 
(drop-down)]],'List source'!D$2:E$71,2,FALSE)</f>
        <v>#N/A</v>
      </c>
      <c r="C615" s="154" t="s">
        <v>1954</v>
      </c>
      <c r="D615" s="20" t="e">
        <f t="shared" si="9"/>
        <v>#N/A</v>
      </c>
      <c r="E615" s="9"/>
      <c r="F615" s="10" t="e" cm="1">
        <f t="array" aca="1" ref="F6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5" s="10"/>
      <c r="I615" s="12"/>
      <c r="J615" s="12"/>
      <c r="K615" s="61"/>
      <c r="L615" s="233"/>
      <c r="M615" s="10">
        <f ca="1">IF(ISBLANK(K615), TODAY()-(I615), Table27[[#This Row],[Effectiveness Review &amp; date deemed effective]]-Table27[[#This Row],[PTO initialized date]])</f>
        <v>46067</v>
      </c>
    </row>
    <row r="616" spans="1:13" ht="18">
      <c r="A616" s="9"/>
      <c r="B616" s="18" t="e">
        <f>VLOOKUP(Table27[[#This Row],[Location 
(drop-down)]],'List source'!D$2:E$71,2,FALSE)</f>
        <v>#N/A</v>
      </c>
      <c r="C616" s="154" t="s">
        <v>1955</v>
      </c>
      <c r="D616" s="20" t="e">
        <f t="shared" si="9"/>
        <v>#N/A</v>
      </c>
      <c r="E616" s="9"/>
      <c r="F616" s="10" t="e" cm="1">
        <f t="array" aca="1" ref="F6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6" s="130"/>
      <c r="I616" s="12"/>
      <c r="J616" s="12"/>
      <c r="K616" s="61"/>
      <c r="L616" s="233"/>
      <c r="M616" s="10">
        <f ca="1">IF(ISBLANK(K616), TODAY()-(I616), Table27[[#This Row],[Effectiveness Review &amp; date deemed effective]]-Table27[[#This Row],[PTO initialized date]])</f>
        <v>46067</v>
      </c>
    </row>
    <row r="617" spans="1:13" ht="18">
      <c r="A617" s="9"/>
      <c r="B617" s="18" t="e">
        <f>VLOOKUP(Table27[[#This Row],[Location 
(drop-down)]],'List source'!D$2:E$71,2,FALSE)</f>
        <v>#N/A</v>
      </c>
      <c r="C617" s="154" t="s">
        <v>1956</v>
      </c>
      <c r="D617" s="20" t="e">
        <f t="shared" si="9"/>
        <v>#N/A</v>
      </c>
      <c r="E617" s="9"/>
      <c r="F617" s="10" t="e" cm="1">
        <f t="array" aca="1" ref="F6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7" s="10"/>
      <c r="I617" s="12"/>
      <c r="J617" s="12"/>
      <c r="K617" s="61"/>
      <c r="L617" s="233"/>
      <c r="M617" s="10">
        <f ca="1">IF(ISBLANK(K617), TODAY()-(I617), Table27[[#This Row],[Effectiveness Review &amp; date deemed effective]]-Table27[[#This Row],[PTO initialized date]])</f>
        <v>46067</v>
      </c>
    </row>
    <row r="618" spans="1:13" ht="18">
      <c r="A618" s="9"/>
      <c r="B618" s="18" t="e">
        <f>VLOOKUP(Table27[[#This Row],[Location 
(drop-down)]],'List source'!D$2:E$71,2,FALSE)</f>
        <v>#N/A</v>
      </c>
      <c r="C618" s="154" t="s">
        <v>1957</v>
      </c>
      <c r="D618" s="20" t="e">
        <f t="shared" si="9"/>
        <v>#N/A</v>
      </c>
      <c r="E618" s="9"/>
      <c r="F618" s="10" t="e" cm="1">
        <f t="array" aca="1" ref="F6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8" s="10"/>
      <c r="I618" s="12"/>
      <c r="J618" s="12"/>
      <c r="K618" s="61"/>
      <c r="L618" s="233"/>
      <c r="M618" s="10">
        <f ca="1">IF(ISBLANK(K618), TODAY()-(I618), Table27[[#This Row],[Effectiveness Review &amp; date deemed effective]]-Table27[[#This Row],[PTO initialized date]])</f>
        <v>46067</v>
      </c>
    </row>
    <row r="619" spans="1:13" ht="18">
      <c r="A619" s="9"/>
      <c r="B619" s="18" t="e">
        <f>VLOOKUP(Table27[[#This Row],[Location 
(drop-down)]],'List source'!D$2:E$71,2,FALSE)</f>
        <v>#N/A</v>
      </c>
      <c r="C619" s="154" t="s">
        <v>1958</v>
      </c>
      <c r="D619" s="20" t="e">
        <f t="shared" si="9"/>
        <v>#N/A</v>
      </c>
      <c r="E619" s="9"/>
      <c r="F619" s="10" t="e" cm="1">
        <f t="array" aca="1" ref="F6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19" s="130"/>
      <c r="I619" s="12"/>
      <c r="J619" s="12"/>
      <c r="K619" s="61"/>
      <c r="L619" s="233"/>
      <c r="M619" s="10">
        <f ca="1">IF(ISBLANK(K619), TODAY()-(I619), Table27[[#This Row],[Effectiveness Review &amp; date deemed effective]]-Table27[[#This Row],[PTO initialized date]])</f>
        <v>46067</v>
      </c>
    </row>
    <row r="620" spans="1:13" ht="18">
      <c r="A620" s="9"/>
      <c r="B620" s="18" t="e">
        <f>VLOOKUP(Table27[[#This Row],[Location 
(drop-down)]],'List source'!D$2:E$71,2,FALSE)</f>
        <v>#N/A</v>
      </c>
      <c r="C620" s="154" t="s">
        <v>1959</v>
      </c>
      <c r="D620" s="20" t="e">
        <f t="shared" si="9"/>
        <v>#N/A</v>
      </c>
      <c r="E620" s="9"/>
      <c r="F620" s="10" t="e" cm="1">
        <f t="array" aca="1" ref="F6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0" s="130"/>
      <c r="I620" s="12"/>
      <c r="J620" s="12"/>
      <c r="K620" s="61"/>
      <c r="L620" s="233"/>
      <c r="M620" s="10">
        <f ca="1">IF(ISBLANK(K620), TODAY()-(I620), Table27[[#This Row],[Effectiveness Review &amp; date deemed effective]]-Table27[[#This Row],[PTO initialized date]])</f>
        <v>46067</v>
      </c>
    </row>
    <row r="621" spans="1:13" ht="18">
      <c r="A621" s="9"/>
      <c r="B621" s="18" t="e">
        <f>VLOOKUP(Table27[[#This Row],[Location 
(drop-down)]],'List source'!D$2:E$71,2,FALSE)</f>
        <v>#N/A</v>
      </c>
      <c r="C621" s="154" t="s">
        <v>1960</v>
      </c>
      <c r="D621" s="20" t="e">
        <f t="shared" si="9"/>
        <v>#N/A</v>
      </c>
      <c r="E621" s="9"/>
      <c r="F621" s="10" t="e" cm="1">
        <f t="array" aca="1" ref="F6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1" s="130"/>
      <c r="I621" s="12"/>
      <c r="J621" s="12"/>
      <c r="K621" s="61"/>
      <c r="L621" s="233"/>
      <c r="M621" s="10">
        <f ca="1">IF(ISBLANK(K621), TODAY()-(I621), Table27[[#This Row],[Effectiveness Review &amp; date deemed effective]]-Table27[[#This Row],[PTO initialized date]])</f>
        <v>46067</v>
      </c>
    </row>
    <row r="622" spans="1:13" ht="18">
      <c r="A622" s="9"/>
      <c r="B622" s="18" t="e">
        <f>VLOOKUP(Table27[[#This Row],[Location 
(drop-down)]],'List source'!D$2:E$71,2,FALSE)</f>
        <v>#N/A</v>
      </c>
      <c r="C622" s="154" t="s">
        <v>1961</v>
      </c>
      <c r="D622" s="20" t="e">
        <f t="shared" si="9"/>
        <v>#N/A</v>
      </c>
      <c r="E622" s="9"/>
      <c r="F622" s="10" t="e" cm="1">
        <f t="array" aca="1" ref="F6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2" s="10"/>
      <c r="I622" s="12"/>
      <c r="J622" s="12"/>
      <c r="K622" s="61"/>
      <c r="L622" s="233"/>
      <c r="M622" s="10">
        <f ca="1">IF(ISBLANK(K622), TODAY()-(I622), Table27[[#This Row],[Effectiveness Review &amp; date deemed effective]]-Table27[[#This Row],[PTO initialized date]])</f>
        <v>46067</v>
      </c>
    </row>
    <row r="623" spans="1:13" ht="18">
      <c r="A623" s="9"/>
      <c r="B623" s="18" t="e">
        <f>VLOOKUP(Table27[[#This Row],[Location 
(drop-down)]],'List source'!D$2:E$71,2,FALSE)</f>
        <v>#N/A</v>
      </c>
      <c r="C623" s="154" t="s">
        <v>1962</v>
      </c>
      <c r="D623" s="20" t="e">
        <f t="shared" si="9"/>
        <v>#N/A</v>
      </c>
      <c r="E623" s="9"/>
      <c r="F623" s="10" t="e" cm="1">
        <f t="array" aca="1" ref="F6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3" s="10"/>
      <c r="I623" s="12"/>
      <c r="J623" s="12"/>
      <c r="K623" s="61"/>
      <c r="L623" s="233"/>
      <c r="M623" s="10">
        <f ca="1">IF(ISBLANK(K623), TODAY()-(I623), Table27[[#This Row],[Effectiveness Review &amp; date deemed effective]]-Table27[[#This Row],[PTO initialized date]])</f>
        <v>46067</v>
      </c>
    </row>
    <row r="624" spans="1:13" ht="18">
      <c r="A624" s="9"/>
      <c r="B624" s="18" t="e">
        <f>VLOOKUP(Table27[[#This Row],[Location 
(drop-down)]],'List source'!D$2:E$71,2,FALSE)</f>
        <v>#N/A</v>
      </c>
      <c r="C624" s="154" t="s">
        <v>1963</v>
      </c>
      <c r="D624" s="20" t="e">
        <f t="shared" si="9"/>
        <v>#N/A</v>
      </c>
      <c r="E624" s="9"/>
      <c r="F624" s="10" t="e" cm="1">
        <f t="array" aca="1" ref="F6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4" s="10"/>
      <c r="I624" s="12"/>
      <c r="J624" s="12"/>
      <c r="K624" s="61"/>
      <c r="L624" s="233"/>
      <c r="M624" s="10">
        <f ca="1">IF(ISBLANK(K624), TODAY()-(I624), Table27[[#This Row],[Effectiveness Review &amp; date deemed effective]]-Table27[[#This Row],[PTO initialized date]])</f>
        <v>46067</v>
      </c>
    </row>
    <row r="625" spans="1:13" ht="18">
      <c r="A625" s="9"/>
      <c r="B625" s="18" t="e">
        <f>VLOOKUP(Table27[[#This Row],[Location 
(drop-down)]],'List source'!D$2:E$71,2,FALSE)</f>
        <v>#N/A</v>
      </c>
      <c r="C625" s="154" t="s">
        <v>1964</v>
      </c>
      <c r="D625" s="20" t="e">
        <f t="shared" si="9"/>
        <v>#N/A</v>
      </c>
      <c r="E625" s="9"/>
      <c r="F625" s="10" t="e" cm="1">
        <f t="array" aca="1" ref="F6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5" s="10"/>
      <c r="I625" s="12"/>
      <c r="J625" s="12"/>
      <c r="K625" s="61"/>
      <c r="L625" s="233"/>
      <c r="M625" s="10">
        <f ca="1">IF(ISBLANK(K625), TODAY()-(I625), Table27[[#This Row],[Effectiveness Review &amp; date deemed effective]]-Table27[[#This Row],[PTO initialized date]])</f>
        <v>46067</v>
      </c>
    </row>
    <row r="626" spans="1:13" ht="18">
      <c r="A626" s="9"/>
      <c r="B626" s="18" t="e">
        <f>VLOOKUP(Table27[[#This Row],[Location 
(drop-down)]],'List source'!D$2:E$71,2,FALSE)</f>
        <v>#N/A</v>
      </c>
      <c r="C626" s="154" t="s">
        <v>1965</v>
      </c>
      <c r="D626" s="20" t="e">
        <f t="shared" si="9"/>
        <v>#N/A</v>
      </c>
      <c r="E626" s="9"/>
      <c r="F626" s="10" t="e" cm="1">
        <f t="array" aca="1" ref="F6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6" s="130"/>
      <c r="I626" s="12"/>
      <c r="J626" s="12"/>
      <c r="K626" s="61"/>
      <c r="L626" s="233"/>
      <c r="M626" s="10">
        <f ca="1">IF(ISBLANK(K626), TODAY()-(I626), Table27[[#This Row],[Effectiveness Review &amp; date deemed effective]]-Table27[[#This Row],[PTO initialized date]])</f>
        <v>46067</v>
      </c>
    </row>
    <row r="627" spans="1:13" ht="18">
      <c r="A627" s="9"/>
      <c r="B627" s="18" t="e">
        <f>VLOOKUP(Table27[[#This Row],[Location 
(drop-down)]],'List source'!D$2:E$71,2,FALSE)</f>
        <v>#N/A</v>
      </c>
      <c r="C627" s="154" t="s">
        <v>1966</v>
      </c>
      <c r="D627" s="20" t="e">
        <f t="shared" si="9"/>
        <v>#N/A</v>
      </c>
      <c r="E627" s="9"/>
      <c r="F627" s="10" t="e" cm="1">
        <f t="array" aca="1" ref="F6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7" s="130"/>
      <c r="I627" s="12"/>
      <c r="J627" s="12"/>
      <c r="K627" s="61"/>
      <c r="L627" s="233"/>
      <c r="M627" s="10">
        <f ca="1">IF(ISBLANK(K627), TODAY()-(I627), Table27[[#This Row],[Effectiveness Review &amp; date deemed effective]]-Table27[[#This Row],[PTO initialized date]])</f>
        <v>46067</v>
      </c>
    </row>
    <row r="628" spans="1:13" ht="18">
      <c r="A628" s="9"/>
      <c r="B628" s="18" t="e">
        <f>VLOOKUP(Table27[[#This Row],[Location 
(drop-down)]],'List source'!D$2:E$71,2,FALSE)</f>
        <v>#N/A</v>
      </c>
      <c r="C628" s="154" t="s">
        <v>1967</v>
      </c>
      <c r="D628" s="20" t="e">
        <f t="shared" si="9"/>
        <v>#N/A</v>
      </c>
      <c r="E628" s="9"/>
      <c r="F628" s="10" t="e" cm="1">
        <f t="array" aca="1" ref="F6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8" s="10"/>
      <c r="I628" s="12"/>
      <c r="J628" s="12"/>
      <c r="K628" s="61"/>
      <c r="L628" s="233"/>
      <c r="M628" s="10">
        <f ca="1">IF(ISBLANK(K628), TODAY()-(I628), Table27[[#This Row],[Effectiveness Review &amp; date deemed effective]]-Table27[[#This Row],[PTO initialized date]])</f>
        <v>46067</v>
      </c>
    </row>
    <row r="629" spans="1:13" ht="18">
      <c r="A629" s="9"/>
      <c r="B629" s="18" t="e">
        <f>VLOOKUP(Table27[[#This Row],[Location 
(drop-down)]],'List source'!D$2:E$71,2,FALSE)</f>
        <v>#N/A</v>
      </c>
      <c r="C629" s="154" t="s">
        <v>1968</v>
      </c>
      <c r="D629" s="20" t="e">
        <f t="shared" si="9"/>
        <v>#N/A</v>
      </c>
      <c r="E629" s="9"/>
      <c r="F629" s="10" t="e" cm="1">
        <f t="array" aca="1" ref="F6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29" s="130"/>
      <c r="I629" s="12"/>
      <c r="J629" s="12"/>
      <c r="K629" s="61"/>
      <c r="L629" s="233"/>
      <c r="M629" s="10">
        <f ca="1">IF(ISBLANK(K629), TODAY()-(I629), Table27[[#This Row],[Effectiveness Review &amp; date deemed effective]]-Table27[[#This Row],[PTO initialized date]])</f>
        <v>46067</v>
      </c>
    </row>
    <row r="630" spans="1:13" ht="18">
      <c r="A630" s="9"/>
      <c r="B630" s="18" t="e">
        <f>VLOOKUP(Table27[[#This Row],[Location 
(drop-down)]],'List source'!D$2:E$71,2,FALSE)</f>
        <v>#N/A</v>
      </c>
      <c r="C630" s="154" t="s">
        <v>1969</v>
      </c>
      <c r="D630" s="20" t="e">
        <f t="shared" si="9"/>
        <v>#N/A</v>
      </c>
      <c r="E630" s="9"/>
      <c r="F630" s="10" t="e" cm="1">
        <f t="array" aca="1" ref="F6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0" s="10"/>
      <c r="I630" s="12"/>
      <c r="J630" s="12"/>
      <c r="K630" s="61"/>
      <c r="L630" s="233"/>
      <c r="M630" s="10">
        <f ca="1">IF(ISBLANK(K630), TODAY()-(I630), Table27[[#This Row],[Effectiveness Review &amp; date deemed effective]]-Table27[[#This Row],[PTO initialized date]])</f>
        <v>46067</v>
      </c>
    </row>
    <row r="631" spans="1:13" ht="18">
      <c r="A631" s="9"/>
      <c r="B631" s="18" t="e">
        <f>VLOOKUP(Table27[[#This Row],[Location 
(drop-down)]],'List source'!D$2:E$71,2,FALSE)</f>
        <v>#N/A</v>
      </c>
      <c r="C631" s="154" t="s">
        <v>1970</v>
      </c>
      <c r="D631" s="20" t="e">
        <f t="shared" si="9"/>
        <v>#N/A</v>
      </c>
      <c r="E631" s="9"/>
      <c r="F631" s="10" t="e" cm="1">
        <f t="array" aca="1" ref="F6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1" s="130"/>
      <c r="I631" s="12"/>
      <c r="J631" s="12"/>
      <c r="K631" s="61"/>
      <c r="L631" s="233"/>
      <c r="M631" s="10">
        <f ca="1">IF(ISBLANK(K631), TODAY()-(I631), Table27[[#This Row],[Effectiveness Review &amp; date deemed effective]]-Table27[[#This Row],[PTO initialized date]])</f>
        <v>46067</v>
      </c>
    </row>
    <row r="632" spans="1:13" ht="18">
      <c r="A632" s="9"/>
      <c r="B632" s="18" t="e">
        <f>VLOOKUP(Table27[[#This Row],[Location 
(drop-down)]],'List source'!D$2:E$71,2,FALSE)</f>
        <v>#N/A</v>
      </c>
      <c r="C632" s="154" t="s">
        <v>1971</v>
      </c>
      <c r="D632" s="20" t="e">
        <f t="shared" si="9"/>
        <v>#N/A</v>
      </c>
      <c r="E632" s="9"/>
      <c r="F632" s="10" t="e" cm="1">
        <f t="array" aca="1" ref="F6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2" s="130"/>
      <c r="I632" s="12"/>
      <c r="J632" s="12"/>
      <c r="K632" s="61"/>
      <c r="L632" s="233"/>
      <c r="M632" s="10">
        <f ca="1">IF(ISBLANK(K632), TODAY()-(I632), Table27[[#This Row],[Effectiveness Review &amp; date deemed effective]]-Table27[[#This Row],[PTO initialized date]])</f>
        <v>46067</v>
      </c>
    </row>
    <row r="633" spans="1:13" ht="18">
      <c r="A633" s="9"/>
      <c r="B633" s="18" t="e">
        <f>VLOOKUP(Table27[[#This Row],[Location 
(drop-down)]],'List source'!D$2:E$71,2,FALSE)</f>
        <v>#N/A</v>
      </c>
      <c r="C633" s="154" t="s">
        <v>1972</v>
      </c>
      <c r="D633" s="20" t="e">
        <f t="shared" si="9"/>
        <v>#N/A</v>
      </c>
      <c r="E633" s="9"/>
      <c r="F633" s="10" t="e" cm="1">
        <f t="array" aca="1" ref="F6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3" s="10"/>
      <c r="I633" s="12"/>
      <c r="J633" s="12"/>
      <c r="K633" s="61"/>
      <c r="L633" s="233"/>
      <c r="M633" s="10">
        <f ca="1">IF(ISBLANK(K633), TODAY()-(I633), Table27[[#This Row],[Effectiveness Review &amp; date deemed effective]]-Table27[[#This Row],[PTO initialized date]])</f>
        <v>46067</v>
      </c>
    </row>
    <row r="634" spans="1:13" ht="18">
      <c r="A634" s="9"/>
      <c r="B634" s="18" t="e">
        <f>VLOOKUP(Table27[[#This Row],[Location 
(drop-down)]],'List source'!D$2:E$71,2,FALSE)</f>
        <v>#N/A</v>
      </c>
      <c r="C634" s="154" t="s">
        <v>1973</v>
      </c>
      <c r="D634" s="20" t="e">
        <f t="shared" si="9"/>
        <v>#N/A</v>
      </c>
      <c r="E634" s="9"/>
      <c r="F634" s="10" t="e" cm="1">
        <f t="array" aca="1" ref="F6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4" s="10"/>
      <c r="I634" s="12"/>
      <c r="J634" s="12"/>
      <c r="K634" s="61"/>
      <c r="L634" s="233"/>
      <c r="M634" s="10">
        <f ca="1">IF(ISBLANK(K634), TODAY()-(I634), Table27[[#This Row],[Effectiveness Review &amp; date deemed effective]]-Table27[[#This Row],[PTO initialized date]])</f>
        <v>46067</v>
      </c>
    </row>
    <row r="635" spans="1:13" ht="18">
      <c r="A635" s="9"/>
      <c r="B635" s="18" t="e">
        <f>VLOOKUP(Table27[[#This Row],[Location 
(drop-down)]],'List source'!D$2:E$71,2,FALSE)</f>
        <v>#N/A</v>
      </c>
      <c r="C635" s="154" t="s">
        <v>1974</v>
      </c>
      <c r="D635" s="20" t="e">
        <f t="shared" si="9"/>
        <v>#N/A</v>
      </c>
      <c r="E635" s="9"/>
      <c r="F635" s="10" t="e" cm="1">
        <f t="array" aca="1" ref="F6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5" s="10"/>
      <c r="I635" s="12"/>
      <c r="J635" s="12"/>
      <c r="K635" s="61"/>
      <c r="L635" s="233"/>
      <c r="M635" s="10">
        <f ca="1">IF(ISBLANK(K635), TODAY()-(I635), Table27[[#This Row],[Effectiveness Review &amp; date deemed effective]]-Table27[[#This Row],[PTO initialized date]])</f>
        <v>46067</v>
      </c>
    </row>
    <row r="636" spans="1:13" ht="18">
      <c r="A636" s="9"/>
      <c r="B636" s="18" t="e">
        <f>VLOOKUP(Table27[[#This Row],[Location 
(drop-down)]],'List source'!D$2:E$71,2,FALSE)</f>
        <v>#N/A</v>
      </c>
      <c r="C636" s="154" t="s">
        <v>1975</v>
      </c>
      <c r="D636" s="20" t="e">
        <f t="shared" si="9"/>
        <v>#N/A</v>
      </c>
      <c r="E636" s="9"/>
      <c r="F636" s="10" t="e" cm="1">
        <f t="array" aca="1" ref="F6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6" s="130"/>
      <c r="I636" s="12"/>
      <c r="J636" s="12"/>
      <c r="K636" s="61"/>
      <c r="L636" s="233"/>
      <c r="M636" s="10">
        <f ca="1">IF(ISBLANK(K636), TODAY()-(I636), Table27[[#This Row],[Effectiveness Review &amp; date deemed effective]]-Table27[[#This Row],[PTO initialized date]])</f>
        <v>46067</v>
      </c>
    </row>
    <row r="637" spans="1:13" ht="18">
      <c r="A637" s="9"/>
      <c r="B637" s="18" t="e">
        <f>VLOOKUP(Table27[[#This Row],[Location 
(drop-down)]],'List source'!D$2:E$71,2,FALSE)</f>
        <v>#N/A</v>
      </c>
      <c r="C637" s="154" t="s">
        <v>1976</v>
      </c>
      <c r="D637" s="20" t="e">
        <f t="shared" si="9"/>
        <v>#N/A</v>
      </c>
      <c r="E637" s="9"/>
      <c r="F637" s="10" t="e" cm="1">
        <f t="array" aca="1" ref="F6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7" s="10"/>
      <c r="I637" s="12"/>
      <c r="J637" s="12"/>
      <c r="K637" s="61"/>
      <c r="L637" s="233"/>
      <c r="M637" s="10">
        <f ca="1">IF(ISBLANK(K637), TODAY()-(I637), Table27[[#This Row],[Effectiveness Review &amp; date deemed effective]]-Table27[[#This Row],[PTO initialized date]])</f>
        <v>46067</v>
      </c>
    </row>
    <row r="638" spans="1:13" ht="18">
      <c r="A638" s="9"/>
      <c r="B638" s="18" t="e">
        <f>VLOOKUP(Table27[[#This Row],[Location 
(drop-down)]],'List source'!D$2:E$71,2,FALSE)</f>
        <v>#N/A</v>
      </c>
      <c r="C638" s="154" t="s">
        <v>1977</v>
      </c>
      <c r="D638" s="20" t="e">
        <f t="shared" si="9"/>
        <v>#N/A</v>
      </c>
      <c r="E638" s="9"/>
      <c r="F638" s="10" t="e" cm="1">
        <f t="array" aca="1" ref="F6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8" s="130"/>
      <c r="I638" s="12"/>
      <c r="J638" s="12"/>
      <c r="K638" s="61"/>
      <c r="L638" s="233"/>
      <c r="M638" s="10">
        <f ca="1">IF(ISBLANK(K638), TODAY()-(I638), Table27[[#This Row],[Effectiveness Review &amp; date deemed effective]]-Table27[[#This Row],[PTO initialized date]])</f>
        <v>46067</v>
      </c>
    </row>
    <row r="639" spans="1:13" ht="18">
      <c r="A639" s="9"/>
      <c r="B639" s="18" t="e">
        <f>VLOOKUP(Table27[[#This Row],[Location 
(drop-down)]],'List source'!D$2:E$71,2,FALSE)</f>
        <v>#N/A</v>
      </c>
      <c r="C639" s="154" t="s">
        <v>1978</v>
      </c>
      <c r="D639" s="20" t="e">
        <f t="shared" si="9"/>
        <v>#N/A</v>
      </c>
      <c r="E639" s="9"/>
      <c r="F639" s="10" t="e" cm="1">
        <f t="array" aca="1" ref="F6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39" s="130"/>
      <c r="I639" s="12"/>
      <c r="J639" s="12"/>
      <c r="K639" s="61"/>
      <c r="L639" s="233"/>
      <c r="M639" s="10">
        <f ca="1">IF(ISBLANK(K639), TODAY()-(I639), Table27[[#This Row],[Effectiveness Review &amp; date deemed effective]]-Table27[[#This Row],[PTO initialized date]])</f>
        <v>46067</v>
      </c>
    </row>
    <row r="640" spans="1:13" ht="18">
      <c r="A640" s="9"/>
      <c r="B640" s="18" t="e">
        <f>VLOOKUP(Table27[[#This Row],[Location 
(drop-down)]],'List source'!D$2:E$71,2,FALSE)</f>
        <v>#N/A</v>
      </c>
      <c r="C640" s="154" t="s">
        <v>1979</v>
      </c>
      <c r="D640" s="20" t="e">
        <f t="shared" si="9"/>
        <v>#N/A</v>
      </c>
      <c r="E640" s="9"/>
      <c r="F640" s="10" t="e" cm="1">
        <f t="array" aca="1" ref="F6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0" s="10"/>
      <c r="I640" s="12"/>
      <c r="J640" s="12"/>
      <c r="K640" s="61"/>
      <c r="L640" s="233"/>
      <c r="M640" s="10">
        <f ca="1">IF(ISBLANK(K640), TODAY()-(I640), Table27[[#This Row],[Effectiveness Review &amp; date deemed effective]]-Table27[[#This Row],[PTO initialized date]])</f>
        <v>46067</v>
      </c>
    </row>
    <row r="641" spans="1:13" ht="18">
      <c r="A641" s="9"/>
      <c r="B641" s="18" t="e">
        <f>VLOOKUP(Table27[[#This Row],[Location 
(drop-down)]],'List source'!D$2:E$71,2,FALSE)</f>
        <v>#N/A</v>
      </c>
      <c r="C641" s="154" t="s">
        <v>1980</v>
      </c>
      <c r="D641" s="20" t="e">
        <f t="shared" si="9"/>
        <v>#N/A</v>
      </c>
      <c r="E641" s="9"/>
      <c r="F641" s="10" t="e" cm="1">
        <f t="array" aca="1" ref="F6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1" s="130"/>
      <c r="I641" s="12"/>
      <c r="J641" s="12"/>
      <c r="K641" s="61"/>
      <c r="L641" s="233"/>
      <c r="M641" s="10">
        <f ca="1">IF(ISBLANK(K641), TODAY()-(I641), Table27[[#This Row],[Effectiveness Review &amp; date deemed effective]]-Table27[[#This Row],[PTO initialized date]])</f>
        <v>46067</v>
      </c>
    </row>
    <row r="642" spans="1:13" ht="18">
      <c r="A642" s="9"/>
      <c r="B642" s="18" t="e">
        <f>VLOOKUP(Table27[[#This Row],[Location 
(drop-down)]],'List source'!D$2:E$71,2,FALSE)</f>
        <v>#N/A</v>
      </c>
      <c r="C642" s="154" t="s">
        <v>1981</v>
      </c>
      <c r="D642" s="20" t="e">
        <f t="shared" ref="D642:D705" si="10">"PTO" &amp; C642 &amp; "-" &amp; B642 &amp; "-" &amp; "26"</f>
        <v>#N/A</v>
      </c>
      <c r="E642" s="9"/>
      <c r="F642" s="10" t="e" cm="1">
        <f t="array" aca="1" ref="F6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2" s="130"/>
      <c r="I642" s="12"/>
      <c r="J642" s="12"/>
      <c r="K642" s="61"/>
      <c r="L642" s="233"/>
      <c r="M642" s="10">
        <f ca="1">IF(ISBLANK(K642), TODAY()-(I642), Table27[[#This Row],[Effectiveness Review &amp; date deemed effective]]-Table27[[#This Row],[PTO initialized date]])</f>
        <v>46067</v>
      </c>
    </row>
    <row r="643" spans="1:13" ht="18">
      <c r="A643" s="9"/>
      <c r="B643" s="18" t="e">
        <f>VLOOKUP(Table27[[#This Row],[Location 
(drop-down)]],'List source'!D$2:E$71,2,FALSE)</f>
        <v>#N/A</v>
      </c>
      <c r="C643" s="154" t="s">
        <v>1982</v>
      </c>
      <c r="D643" s="20" t="e">
        <f t="shared" si="10"/>
        <v>#N/A</v>
      </c>
      <c r="E643" s="9"/>
      <c r="F643" s="10" t="e" cm="1">
        <f t="array" aca="1" ref="F6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3" s="10"/>
      <c r="I643" s="12"/>
      <c r="J643" s="12"/>
      <c r="K643" s="61"/>
      <c r="L643" s="233"/>
      <c r="M643" s="10">
        <f ca="1">IF(ISBLANK(K643), TODAY()-(I643), Table27[[#This Row],[Effectiveness Review &amp; date deemed effective]]-Table27[[#This Row],[PTO initialized date]])</f>
        <v>46067</v>
      </c>
    </row>
    <row r="644" spans="1:13" ht="18">
      <c r="A644" s="9"/>
      <c r="B644" s="18" t="e">
        <f>VLOOKUP(Table27[[#This Row],[Location 
(drop-down)]],'List source'!D$2:E$71,2,FALSE)</f>
        <v>#N/A</v>
      </c>
      <c r="C644" s="154" t="s">
        <v>1983</v>
      </c>
      <c r="D644" s="20" t="e">
        <f t="shared" si="10"/>
        <v>#N/A</v>
      </c>
      <c r="E644" s="9"/>
      <c r="F644" s="10" t="e" cm="1">
        <f t="array" aca="1" ref="F6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4" s="130"/>
      <c r="I644" s="12"/>
      <c r="J644" s="12"/>
      <c r="K644" s="61"/>
      <c r="L644" s="233"/>
      <c r="M644" s="10">
        <f ca="1">IF(ISBLANK(K644), TODAY()-(I644), Table27[[#This Row],[Effectiveness Review &amp; date deemed effective]]-Table27[[#This Row],[PTO initialized date]])</f>
        <v>46067</v>
      </c>
    </row>
    <row r="645" spans="1:13" ht="18">
      <c r="A645" s="9"/>
      <c r="B645" s="18" t="e">
        <f>VLOOKUP(Table27[[#This Row],[Location 
(drop-down)]],'List source'!D$2:E$71,2,FALSE)</f>
        <v>#N/A</v>
      </c>
      <c r="C645" s="154" t="s">
        <v>1984</v>
      </c>
      <c r="D645" s="20" t="e">
        <f t="shared" si="10"/>
        <v>#N/A</v>
      </c>
      <c r="E645" s="9"/>
      <c r="F645" s="10" t="e" cm="1">
        <f t="array" aca="1" ref="F6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5" s="130"/>
      <c r="I645" s="12"/>
      <c r="J645" s="12"/>
      <c r="K645" s="61"/>
      <c r="L645" s="233"/>
      <c r="M645" s="10">
        <f ca="1">IF(ISBLANK(K645), TODAY()-(I645), Table27[[#This Row],[Effectiveness Review &amp; date deemed effective]]-Table27[[#This Row],[PTO initialized date]])</f>
        <v>46067</v>
      </c>
    </row>
    <row r="646" spans="1:13" ht="18">
      <c r="A646" s="9"/>
      <c r="B646" s="18" t="e">
        <f>VLOOKUP(Table27[[#This Row],[Location 
(drop-down)]],'List source'!D$2:E$71,2,FALSE)</f>
        <v>#N/A</v>
      </c>
      <c r="C646" s="154" t="s">
        <v>1985</v>
      </c>
      <c r="D646" s="20" t="e">
        <f t="shared" si="10"/>
        <v>#N/A</v>
      </c>
      <c r="E646" s="9"/>
      <c r="F646" s="10" t="e" cm="1">
        <f t="array" aca="1" ref="F6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6" s="130"/>
      <c r="I646" s="12"/>
      <c r="J646" s="12"/>
      <c r="K646" s="61"/>
      <c r="L646" s="233"/>
      <c r="M646" s="10">
        <f ca="1">IF(ISBLANK(K646), TODAY()-(I646), Table27[[#This Row],[Effectiveness Review &amp; date deemed effective]]-Table27[[#This Row],[PTO initialized date]])</f>
        <v>46067</v>
      </c>
    </row>
    <row r="647" spans="1:13" ht="18">
      <c r="A647" s="9"/>
      <c r="B647" s="18" t="e">
        <f>VLOOKUP(Table27[[#This Row],[Location 
(drop-down)]],'List source'!D$2:E$71,2,FALSE)</f>
        <v>#N/A</v>
      </c>
      <c r="C647" s="154" t="s">
        <v>1986</v>
      </c>
      <c r="D647" s="20" t="e">
        <f t="shared" si="10"/>
        <v>#N/A</v>
      </c>
      <c r="E647" s="9"/>
      <c r="F647" s="10" t="e" cm="1">
        <f t="array" aca="1" ref="F6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7" s="10"/>
      <c r="I647" s="12"/>
      <c r="J647" s="12"/>
      <c r="K647" s="61"/>
      <c r="L647" s="233"/>
      <c r="M647" s="10">
        <f ca="1">IF(ISBLANK(K647), TODAY()-(I647), Table27[[#This Row],[Effectiveness Review &amp; date deemed effective]]-Table27[[#This Row],[PTO initialized date]])</f>
        <v>46067</v>
      </c>
    </row>
    <row r="648" spans="1:13" ht="18">
      <c r="A648" s="9"/>
      <c r="B648" s="18" t="e">
        <f>VLOOKUP(Table27[[#This Row],[Location 
(drop-down)]],'List source'!D$2:E$71,2,FALSE)</f>
        <v>#N/A</v>
      </c>
      <c r="C648" s="154" t="s">
        <v>1987</v>
      </c>
      <c r="D648" s="20" t="e">
        <f t="shared" si="10"/>
        <v>#N/A</v>
      </c>
      <c r="E648" s="9"/>
      <c r="F648" s="10" t="e" cm="1">
        <f t="array" aca="1" ref="F6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8" s="130"/>
      <c r="I648" s="12"/>
      <c r="J648" s="12"/>
      <c r="K648" s="61"/>
      <c r="L648" s="233"/>
      <c r="M648" s="10">
        <f ca="1">IF(ISBLANK(K648), TODAY()-(I648), Table27[[#This Row],[Effectiveness Review &amp; date deemed effective]]-Table27[[#This Row],[PTO initialized date]])</f>
        <v>46067</v>
      </c>
    </row>
    <row r="649" spans="1:13" ht="18">
      <c r="A649" s="9"/>
      <c r="B649" s="18" t="e">
        <f>VLOOKUP(Table27[[#This Row],[Location 
(drop-down)]],'List source'!D$2:E$71,2,FALSE)</f>
        <v>#N/A</v>
      </c>
      <c r="C649" s="154" t="s">
        <v>1988</v>
      </c>
      <c r="D649" s="20" t="e">
        <f t="shared" si="10"/>
        <v>#N/A</v>
      </c>
      <c r="E649" s="9"/>
      <c r="F649" s="10" t="e" cm="1">
        <f t="array" aca="1" ref="F6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49" s="130"/>
      <c r="I649" s="12"/>
      <c r="J649" s="12"/>
      <c r="K649" s="61"/>
      <c r="L649" s="233"/>
      <c r="M649" s="10">
        <f ca="1">IF(ISBLANK(K649), TODAY()-(I649), Table27[[#This Row],[Effectiveness Review &amp; date deemed effective]]-Table27[[#This Row],[PTO initialized date]])</f>
        <v>46067</v>
      </c>
    </row>
    <row r="650" spans="1:13" ht="18">
      <c r="A650" s="9"/>
      <c r="B650" s="18" t="e">
        <f>VLOOKUP(Table27[[#This Row],[Location 
(drop-down)]],'List source'!D$2:E$71,2,FALSE)</f>
        <v>#N/A</v>
      </c>
      <c r="C650" s="154" t="s">
        <v>1989</v>
      </c>
      <c r="D650" s="20" t="e">
        <f t="shared" si="10"/>
        <v>#N/A</v>
      </c>
      <c r="E650" s="9"/>
      <c r="F650" s="10" t="e" cm="1">
        <f t="array" aca="1" ref="F6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0" s="130"/>
      <c r="I650" s="12"/>
      <c r="J650" s="12"/>
      <c r="K650" s="61"/>
      <c r="L650" s="233"/>
      <c r="M650" s="10">
        <f ca="1">IF(ISBLANK(K650), TODAY()-(I650), Table27[[#This Row],[Effectiveness Review &amp; date deemed effective]]-Table27[[#This Row],[PTO initialized date]])</f>
        <v>46067</v>
      </c>
    </row>
    <row r="651" spans="1:13" ht="18">
      <c r="A651" s="9"/>
      <c r="B651" s="18" t="e">
        <f>VLOOKUP(Table27[[#This Row],[Location 
(drop-down)]],'List source'!D$2:E$71,2,FALSE)</f>
        <v>#N/A</v>
      </c>
      <c r="C651" s="154" t="s">
        <v>1990</v>
      </c>
      <c r="D651" s="20" t="e">
        <f t="shared" si="10"/>
        <v>#N/A</v>
      </c>
      <c r="E651" s="9"/>
      <c r="F651" s="10" t="e" cm="1">
        <f t="array" aca="1" ref="F6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1" s="130"/>
      <c r="I651" s="12"/>
      <c r="J651" s="12"/>
      <c r="K651" s="61"/>
      <c r="L651" s="233"/>
      <c r="M651" s="10">
        <f ca="1">IF(ISBLANK(K651), TODAY()-(I651), Table27[[#This Row],[Effectiveness Review &amp; date deemed effective]]-Table27[[#This Row],[PTO initialized date]])</f>
        <v>46067</v>
      </c>
    </row>
    <row r="652" spans="1:13" ht="18">
      <c r="A652" s="9"/>
      <c r="B652" s="18" t="e">
        <f>VLOOKUP(Table27[[#This Row],[Location 
(drop-down)]],'List source'!D$2:E$71,2,FALSE)</f>
        <v>#N/A</v>
      </c>
      <c r="C652" s="154" t="s">
        <v>1991</v>
      </c>
      <c r="D652" s="20" t="e">
        <f t="shared" si="10"/>
        <v>#N/A</v>
      </c>
      <c r="E652" s="9"/>
      <c r="F652" s="10" t="e" cm="1">
        <f t="array" aca="1" ref="F6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2" s="130"/>
      <c r="I652" s="12"/>
      <c r="J652" s="12"/>
      <c r="K652" s="61"/>
      <c r="L652" s="233"/>
      <c r="M652" s="10">
        <f ca="1">IF(ISBLANK(K652), TODAY()-(I652), Table27[[#This Row],[Effectiveness Review &amp; date deemed effective]]-Table27[[#This Row],[PTO initialized date]])</f>
        <v>46067</v>
      </c>
    </row>
    <row r="653" spans="1:13" ht="18">
      <c r="A653" s="9"/>
      <c r="B653" s="18" t="e">
        <f>VLOOKUP(Table27[[#This Row],[Location 
(drop-down)]],'List source'!D$2:E$71,2,FALSE)</f>
        <v>#N/A</v>
      </c>
      <c r="C653" s="154" t="s">
        <v>1992</v>
      </c>
      <c r="D653" s="20" t="e">
        <f t="shared" si="10"/>
        <v>#N/A</v>
      </c>
      <c r="E653" s="9"/>
      <c r="F653" s="10" t="e" cm="1">
        <f t="array" aca="1" ref="F6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3" s="130"/>
      <c r="I653" s="12"/>
      <c r="J653" s="12"/>
      <c r="K653" s="61"/>
      <c r="L653" s="233"/>
      <c r="M653" s="10">
        <f ca="1">IF(ISBLANK(K653), TODAY()-(I653), Table27[[#This Row],[Effectiveness Review &amp; date deemed effective]]-Table27[[#This Row],[PTO initialized date]])</f>
        <v>46067</v>
      </c>
    </row>
    <row r="654" spans="1:13" ht="18">
      <c r="A654" s="9"/>
      <c r="B654" s="18" t="e">
        <f>VLOOKUP(Table27[[#This Row],[Location 
(drop-down)]],'List source'!D$2:E$71,2,FALSE)</f>
        <v>#N/A</v>
      </c>
      <c r="C654" s="154" t="s">
        <v>1993</v>
      </c>
      <c r="D654" s="20" t="e">
        <f t="shared" si="10"/>
        <v>#N/A</v>
      </c>
      <c r="E654" s="9"/>
      <c r="F654" s="10" t="e" cm="1">
        <f t="array" aca="1" ref="F6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4" s="130"/>
      <c r="I654" s="12"/>
      <c r="J654" s="12"/>
      <c r="K654" s="61"/>
      <c r="L654" s="233"/>
      <c r="M654" s="10">
        <f ca="1">IF(ISBLANK(K654), TODAY()-(I654), Table27[[#This Row],[Effectiveness Review &amp; date deemed effective]]-Table27[[#This Row],[PTO initialized date]])</f>
        <v>46067</v>
      </c>
    </row>
    <row r="655" spans="1:13" ht="18">
      <c r="A655" s="9"/>
      <c r="B655" s="18" t="e">
        <f>VLOOKUP(Table27[[#This Row],[Location 
(drop-down)]],'List source'!D$2:E$71,2,FALSE)</f>
        <v>#N/A</v>
      </c>
      <c r="C655" s="154" t="s">
        <v>1994</v>
      </c>
      <c r="D655" s="20" t="e">
        <f t="shared" si="10"/>
        <v>#N/A</v>
      </c>
      <c r="E655" s="9"/>
      <c r="F655" s="10" t="e" cm="1">
        <f t="array" aca="1" ref="F6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5" s="10"/>
      <c r="I655" s="12"/>
      <c r="J655" s="12"/>
      <c r="K655" s="61"/>
      <c r="L655" s="339"/>
      <c r="M655" s="10">
        <f ca="1">IF(ISBLANK(K655), TODAY()-(I655), Table27[[#This Row],[Effectiveness Review &amp; date deemed effective]]-Table27[[#This Row],[PTO initialized date]])</f>
        <v>46067</v>
      </c>
    </row>
    <row r="656" spans="1:13" ht="18">
      <c r="A656" s="9"/>
      <c r="B656" s="18" t="e">
        <f>VLOOKUP(Table27[[#This Row],[Location 
(drop-down)]],'List source'!D$2:E$71,2,FALSE)</f>
        <v>#N/A</v>
      </c>
      <c r="C656" s="154" t="s">
        <v>1995</v>
      </c>
      <c r="D656" s="20" t="e">
        <f t="shared" si="10"/>
        <v>#N/A</v>
      </c>
      <c r="E656" s="9"/>
      <c r="F656" s="10" t="e" cm="1">
        <f t="array" aca="1" ref="F6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6" s="10"/>
      <c r="I656" s="12"/>
      <c r="J656" s="12"/>
      <c r="K656" s="61"/>
      <c r="L656" s="339"/>
      <c r="M656" s="10">
        <f ca="1">IF(ISBLANK(K656), TODAY()-(I656), Table27[[#This Row],[Effectiveness Review &amp; date deemed effective]]-Table27[[#This Row],[PTO initialized date]])</f>
        <v>46067</v>
      </c>
    </row>
    <row r="657" spans="1:13" ht="18">
      <c r="A657" s="9"/>
      <c r="B657" s="18" t="e">
        <f>VLOOKUP(Table27[[#This Row],[Location 
(drop-down)]],'List source'!D$2:E$71,2,FALSE)</f>
        <v>#N/A</v>
      </c>
      <c r="C657" s="154" t="s">
        <v>1996</v>
      </c>
      <c r="D657" s="20" t="e">
        <f t="shared" si="10"/>
        <v>#N/A</v>
      </c>
      <c r="E657" s="9"/>
      <c r="F657" s="10" t="e" cm="1">
        <f t="array" aca="1" ref="F6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7" s="130"/>
      <c r="I657" s="12"/>
      <c r="J657" s="12"/>
      <c r="K657" s="61"/>
      <c r="L657" s="233"/>
      <c r="M657" s="10">
        <f ca="1">IF(ISBLANK(K657), TODAY()-(I657), Table27[[#This Row],[Effectiveness Review &amp; date deemed effective]]-Table27[[#This Row],[PTO initialized date]])</f>
        <v>46067</v>
      </c>
    </row>
    <row r="658" spans="1:13" ht="18">
      <c r="A658" s="9"/>
      <c r="B658" s="18" t="e">
        <f>VLOOKUP(Table27[[#This Row],[Location 
(drop-down)]],'List source'!D$2:E$71,2,FALSE)</f>
        <v>#N/A</v>
      </c>
      <c r="C658" s="154" t="s">
        <v>1997</v>
      </c>
      <c r="D658" s="20" t="e">
        <f t="shared" si="10"/>
        <v>#N/A</v>
      </c>
      <c r="E658" s="9"/>
      <c r="F658" s="10" t="e" cm="1">
        <f t="array" aca="1" ref="F6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8" s="10"/>
      <c r="I658" s="12"/>
      <c r="J658" s="12"/>
      <c r="K658" s="61"/>
      <c r="L658" s="233"/>
      <c r="M658" s="10">
        <f ca="1">IF(ISBLANK(K658), TODAY()-(I658), Table27[[#This Row],[Effectiveness Review &amp; date deemed effective]]-Table27[[#This Row],[PTO initialized date]])</f>
        <v>46067</v>
      </c>
    </row>
    <row r="659" spans="1:13" ht="18">
      <c r="A659" s="9"/>
      <c r="B659" s="18" t="e">
        <f>VLOOKUP(Table27[[#This Row],[Location 
(drop-down)]],'List source'!D$2:E$71,2,FALSE)</f>
        <v>#N/A</v>
      </c>
      <c r="C659" s="154" t="s">
        <v>1998</v>
      </c>
      <c r="D659" s="20" t="e">
        <f t="shared" si="10"/>
        <v>#N/A</v>
      </c>
      <c r="E659" s="9"/>
      <c r="F659" s="10" t="e" cm="1">
        <f t="array" aca="1" ref="F6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59" s="10"/>
      <c r="I659" s="12"/>
      <c r="J659" s="12"/>
      <c r="K659" s="61"/>
      <c r="L659" s="233"/>
      <c r="M659" s="10">
        <f ca="1">IF(ISBLANK(K659), TODAY()-(I659), Table27[[#This Row],[Effectiveness Review &amp; date deemed effective]]-Table27[[#This Row],[PTO initialized date]])</f>
        <v>46067</v>
      </c>
    </row>
    <row r="660" spans="1:13" ht="18">
      <c r="A660" s="9"/>
      <c r="B660" s="18" t="e">
        <f>VLOOKUP(Table27[[#This Row],[Location 
(drop-down)]],'List source'!D$2:E$71,2,FALSE)</f>
        <v>#N/A</v>
      </c>
      <c r="C660" s="154" t="s">
        <v>1999</v>
      </c>
      <c r="D660" s="20" t="e">
        <f t="shared" si="10"/>
        <v>#N/A</v>
      </c>
      <c r="E660" s="9"/>
      <c r="F660" s="10" t="e" cm="1">
        <f t="array" aca="1" ref="F6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0" s="10"/>
      <c r="I660" s="12"/>
      <c r="J660" s="12"/>
      <c r="K660" s="61"/>
      <c r="L660" s="339"/>
      <c r="M660" s="10">
        <f ca="1">IF(ISBLANK(K660), TODAY()-(I660), Table27[[#This Row],[Effectiveness Review &amp; date deemed effective]]-Table27[[#This Row],[PTO initialized date]])</f>
        <v>46067</v>
      </c>
    </row>
    <row r="661" spans="1:13" ht="18">
      <c r="A661" s="9"/>
      <c r="B661" s="18" t="e">
        <f>VLOOKUP(Table27[[#This Row],[Location 
(drop-down)]],'List source'!D$2:E$71,2,FALSE)</f>
        <v>#N/A</v>
      </c>
      <c r="C661" s="154" t="s">
        <v>2000</v>
      </c>
      <c r="D661" s="20" t="e">
        <f t="shared" si="10"/>
        <v>#N/A</v>
      </c>
      <c r="E661" s="9"/>
      <c r="F661" s="10" t="e" cm="1">
        <f t="array" aca="1" ref="F6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1" s="10"/>
      <c r="I661" s="12"/>
      <c r="J661" s="12"/>
      <c r="K661" s="61"/>
      <c r="L661" s="233"/>
      <c r="M661" s="10">
        <f ca="1">IF(ISBLANK(K661), TODAY()-(I661), Table27[[#This Row],[Effectiveness Review &amp; date deemed effective]]-Table27[[#This Row],[PTO initialized date]])</f>
        <v>46067</v>
      </c>
    </row>
    <row r="662" spans="1:13" ht="18">
      <c r="A662" s="9"/>
      <c r="B662" s="18" t="e">
        <f>VLOOKUP(Table27[[#This Row],[Location 
(drop-down)]],'List source'!D$2:E$71,2,FALSE)</f>
        <v>#N/A</v>
      </c>
      <c r="C662" s="154" t="s">
        <v>2001</v>
      </c>
      <c r="D662" s="20" t="e">
        <f t="shared" si="10"/>
        <v>#N/A</v>
      </c>
      <c r="E662" s="9"/>
      <c r="F662" s="10" t="e" cm="1">
        <f t="array" aca="1" ref="F6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2" s="10"/>
      <c r="I662" s="12"/>
      <c r="J662" s="12"/>
      <c r="K662" s="61"/>
      <c r="L662" s="233"/>
      <c r="M662" s="10">
        <f ca="1">IF(ISBLANK(K662), TODAY()-(I662), Table27[[#This Row],[Effectiveness Review &amp; date deemed effective]]-Table27[[#This Row],[PTO initialized date]])</f>
        <v>46067</v>
      </c>
    </row>
    <row r="663" spans="1:13" ht="18">
      <c r="A663" s="9"/>
      <c r="B663" s="18" t="e">
        <f>VLOOKUP(Table27[[#This Row],[Location 
(drop-down)]],'List source'!D$2:E$71,2,FALSE)</f>
        <v>#N/A</v>
      </c>
      <c r="C663" s="154" t="s">
        <v>2002</v>
      </c>
      <c r="D663" s="20" t="e">
        <f t="shared" si="10"/>
        <v>#N/A</v>
      </c>
      <c r="E663" s="9"/>
      <c r="F663" s="10" t="e" cm="1">
        <f t="array" aca="1" ref="F6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3" s="130"/>
      <c r="I663" s="12"/>
      <c r="J663" s="12"/>
      <c r="K663" s="61"/>
      <c r="L663" s="233"/>
      <c r="M663" s="10">
        <f ca="1">IF(ISBLANK(K663), TODAY()-(I663), Table27[[#This Row],[Effectiveness Review &amp; date deemed effective]]-Table27[[#This Row],[PTO initialized date]])</f>
        <v>46067</v>
      </c>
    </row>
    <row r="664" spans="1:13" ht="18">
      <c r="A664" s="9"/>
      <c r="B664" s="18" t="e">
        <f>VLOOKUP(Table27[[#This Row],[Location 
(drop-down)]],'List source'!D$2:E$71,2,FALSE)</f>
        <v>#N/A</v>
      </c>
      <c r="C664" s="154" t="s">
        <v>2003</v>
      </c>
      <c r="D664" s="20" t="e">
        <f t="shared" si="10"/>
        <v>#N/A</v>
      </c>
      <c r="E664" s="9"/>
      <c r="F664" s="10" t="e" cm="1">
        <f t="array" aca="1" ref="F6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4" s="10"/>
      <c r="I664" s="12"/>
      <c r="J664" s="12"/>
      <c r="K664" s="61"/>
      <c r="L664" s="233"/>
      <c r="M664" s="10">
        <f ca="1">IF(ISBLANK(K664), TODAY()-(I664), Table27[[#This Row],[Effectiveness Review &amp; date deemed effective]]-Table27[[#This Row],[PTO initialized date]])</f>
        <v>46067</v>
      </c>
    </row>
    <row r="665" spans="1:13" ht="18">
      <c r="A665" s="9"/>
      <c r="B665" s="18" t="e">
        <f>VLOOKUP(Table27[[#This Row],[Location 
(drop-down)]],'List source'!D$2:E$71,2,FALSE)</f>
        <v>#N/A</v>
      </c>
      <c r="C665" s="154" t="s">
        <v>2004</v>
      </c>
      <c r="D665" s="20" t="e">
        <f t="shared" si="10"/>
        <v>#N/A</v>
      </c>
      <c r="E665" s="9"/>
      <c r="F665" s="10" t="e" cm="1">
        <f t="array" aca="1" ref="F6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5" s="10"/>
      <c r="I665" s="12"/>
      <c r="J665" s="12"/>
      <c r="K665" s="61"/>
      <c r="L665" s="233"/>
      <c r="M665" s="10">
        <f ca="1">IF(ISBLANK(K665), TODAY()-(I665), Table27[[#This Row],[Effectiveness Review &amp; date deemed effective]]-Table27[[#This Row],[PTO initialized date]])</f>
        <v>46067</v>
      </c>
    </row>
    <row r="666" spans="1:13" ht="18">
      <c r="A666" s="9"/>
      <c r="B666" s="18" t="e">
        <f>VLOOKUP(Table27[[#This Row],[Location 
(drop-down)]],'List source'!D$2:E$71,2,FALSE)</f>
        <v>#N/A</v>
      </c>
      <c r="C666" s="154" t="s">
        <v>2005</v>
      </c>
      <c r="D666" s="20" t="e">
        <f t="shared" si="10"/>
        <v>#N/A</v>
      </c>
      <c r="E666" s="9"/>
      <c r="F666" s="10" t="e" cm="1">
        <f t="array" aca="1" ref="F6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6" s="130"/>
      <c r="I666" s="12"/>
      <c r="J666" s="12"/>
      <c r="K666" s="61"/>
      <c r="L666" s="233"/>
      <c r="M666" s="10">
        <f ca="1">IF(ISBLANK(K666), TODAY()-(I666), Table27[[#This Row],[Effectiveness Review &amp; date deemed effective]]-Table27[[#This Row],[PTO initialized date]])</f>
        <v>46067</v>
      </c>
    </row>
    <row r="667" spans="1:13" ht="18">
      <c r="A667" s="9"/>
      <c r="B667" s="18" t="e">
        <f>VLOOKUP(Table27[[#This Row],[Location 
(drop-down)]],'List source'!D$2:E$71,2,FALSE)</f>
        <v>#N/A</v>
      </c>
      <c r="C667" s="154" t="s">
        <v>2006</v>
      </c>
      <c r="D667" s="20" t="e">
        <f t="shared" si="10"/>
        <v>#N/A</v>
      </c>
      <c r="E667" s="9"/>
      <c r="F667" s="10" t="e" cm="1">
        <f t="array" aca="1" ref="F6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7" s="10"/>
      <c r="I667" s="12"/>
      <c r="J667" s="12"/>
      <c r="K667" s="61"/>
      <c r="L667" s="233"/>
      <c r="M667" s="10">
        <f ca="1">IF(ISBLANK(K667), TODAY()-(I667), Table27[[#This Row],[Effectiveness Review &amp; date deemed effective]]-Table27[[#This Row],[PTO initialized date]])</f>
        <v>46067</v>
      </c>
    </row>
    <row r="668" spans="1:13" ht="18">
      <c r="A668" s="9"/>
      <c r="B668" s="18" t="e">
        <f>VLOOKUP(Table27[[#This Row],[Location 
(drop-down)]],'List source'!D$2:E$71,2,FALSE)</f>
        <v>#N/A</v>
      </c>
      <c r="C668" s="154" t="s">
        <v>2007</v>
      </c>
      <c r="D668" s="20" t="e">
        <f t="shared" si="10"/>
        <v>#N/A</v>
      </c>
      <c r="E668" s="9"/>
      <c r="F668" s="10" t="e" cm="1">
        <f t="array" aca="1" ref="F6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8" s="130"/>
      <c r="I668" s="12"/>
      <c r="J668" s="12"/>
      <c r="K668" s="61"/>
      <c r="L668" s="233"/>
      <c r="M668" s="10">
        <f ca="1">IF(ISBLANK(K668), TODAY()-(I668), Table27[[#This Row],[Effectiveness Review &amp; date deemed effective]]-Table27[[#This Row],[PTO initialized date]])</f>
        <v>46067</v>
      </c>
    </row>
    <row r="669" spans="1:13" ht="18">
      <c r="A669" s="9"/>
      <c r="B669" s="18" t="e">
        <f>VLOOKUP(Table27[[#This Row],[Location 
(drop-down)]],'List source'!D$2:E$71,2,FALSE)</f>
        <v>#N/A</v>
      </c>
      <c r="C669" s="154" t="s">
        <v>2008</v>
      </c>
      <c r="D669" s="20" t="e">
        <f t="shared" si="10"/>
        <v>#N/A</v>
      </c>
      <c r="E669" s="9"/>
      <c r="F669" s="10" t="e" cm="1">
        <f t="array" aca="1" ref="F6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69" s="10"/>
      <c r="I669" s="12"/>
      <c r="J669" s="12"/>
      <c r="K669" s="61"/>
      <c r="L669" s="233"/>
      <c r="M669" s="10">
        <f ca="1">IF(ISBLANK(K669), TODAY()-(I669), Table27[[#This Row],[Effectiveness Review &amp; date deemed effective]]-Table27[[#This Row],[PTO initialized date]])</f>
        <v>46067</v>
      </c>
    </row>
    <row r="670" spans="1:13" ht="18">
      <c r="A670" s="9"/>
      <c r="B670" s="18" t="e">
        <f>VLOOKUP(Table27[[#This Row],[Location 
(drop-down)]],'List source'!D$2:E$71,2,FALSE)</f>
        <v>#N/A</v>
      </c>
      <c r="C670" s="154" t="s">
        <v>2009</v>
      </c>
      <c r="D670" s="20" t="e">
        <f t="shared" si="10"/>
        <v>#N/A</v>
      </c>
      <c r="E670" s="9"/>
      <c r="F670" s="10" t="e" cm="1">
        <f t="array" aca="1" ref="F6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0" s="130"/>
      <c r="I670" s="12"/>
      <c r="J670" s="12"/>
      <c r="K670" s="61"/>
      <c r="L670" s="233"/>
      <c r="M670" s="10">
        <f ca="1">IF(ISBLANK(K670), TODAY()-(I670), Table27[[#This Row],[Effectiveness Review &amp; date deemed effective]]-Table27[[#This Row],[PTO initialized date]])</f>
        <v>46067</v>
      </c>
    </row>
    <row r="671" spans="1:13" ht="18">
      <c r="A671" s="9"/>
      <c r="B671" s="18" t="e">
        <f>VLOOKUP(Table27[[#This Row],[Location 
(drop-down)]],'List source'!D$2:E$71,2,FALSE)</f>
        <v>#N/A</v>
      </c>
      <c r="C671" s="154" t="s">
        <v>2010</v>
      </c>
      <c r="D671" s="20" t="e">
        <f t="shared" si="10"/>
        <v>#N/A</v>
      </c>
      <c r="E671" s="9"/>
      <c r="F671" s="10" t="e" cm="1">
        <f t="array" aca="1" ref="F6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1" s="130"/>
      <c r="I671" s="12"/>
      <c r="J671" s="12"/>
      <c r="K671" s="61"/>
      <c r="L671" s="233"/>
      <c r="M671" s="10">
        <f ca="1">IF(ISBLANK(K671), TODAY()-(I671), Table27[[#This Row],[Effectiveness Review &amp; date deemed effective]]-Table27[[#This Row],[PTO initialized date]])</f>
        <v>46067</v>
      </c>
    </row>
    <row r="672" spans="1:13" ht="18">
      <c r="A672" s="9"/>
      <c r="B672" s="18" t="e">
        <f>VLOOKUP(Table27[[#This Row],[Location 
(drop-down)]],'List source'!D$2:E$71,2,FALSE)</f>
        <v>#N/A</v>
      </c>
      <c r="C672" s="154" t="s">
        <v>2011</v>
      </c>
      <c r="D672" s="20" t="e">
        <f t="shared" si="10"/>
        <v>#N/A</v>
      </c>
      <c r="E672" s="9"/>
      <c r="F672" s="10" t="e" cm="1">
        <f t="array" aca="1" ref="F6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2" s="130"/>
      <c r="I672" s="12"/>
      <c r="J672" s="12"/>
      <c r="K672" s="61"/>
      <c r="L672" s="233"/>
      <c r="M672" s="10">
        <f ca="1">IF(ISBLANK(K672), TODAY()-(I672), Table27[[#This Row],[Effectiveness Review &amp; date deemed effective]]-Table27[[#This Row],[PTO initialized date]])</f>
        <v>46067</v>
      </c>
    </row>
    <row r="673" spans="1:13" ht="18">
      <c r="A673" s="9"/>
      <c r="B673" s="18" t="e">
        <f>VLOOKUP(Table27[[#This Row],[Location 
(drop-down)]],'List source'!D$2:E$71,2,FALSE)</f>
        <v>#N/A</v>
      </c>
      <c r="C673" s="154" t="s">
        <v>2012</v>
      </c>
      <c r="D673" s="20" t="e">
        <f t="shared" si="10"/>
        <v>#N/A</v>
      </c>
      <c r="E673" s="9"/>
      <c r="F673" s="10" t="e" cm="1">
        <f t="array" aca="1" ref="F6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3" s="130"/>
      <c r="I673" s="12"/>
      <c r="J673" s="12"/>
      <c r="K673" s="61"/>
      <c r="L673" s="233"/>
      <c r="M673" s="10">
        <f ca="1">IF(ISBLANK(K673), TODAY()-(I673), Table27[[#This Row],[Effectiveness Review &amp; date deemed effective]]-Table27[[#This Row],[PTO initialized date]])</f>
        <v>46067</v>
      </c>
    </row>
    <row r="674" spans="1:13" ht="18">
      <c r="A674" s="9"/>
      <c r="B674" s="18" t="e">
        <f>VLOOKUP(Table27[[#This Row],[Location 
(drop-down)]],'List source'!D$2:E$71,2,FALSE)</f>
        <v>#N/A</v>
      </c>
      <c r="C674" s="154" t="s">
        <v>2013</v>
      </c>
      <c r="D674" s="20" t="e">
        <f t="shared" si="10"/>
        <v>#N/A</v>
      </c>
      <c r="E674" s="9"/>
      <c r="F674" s="10" t="e" cm="1">
        <f t="array" aca="1" ref="F6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4" s="130"/>
      <c r="I674" s="12"/>
      <c r="J674" s="12"/>
      <c r="K674" s="61"/>
      <c r="L674" s="233"/>
      <c r="M674" s="10">
        <f ca="1">IF(ISBLANK(K674), TODAY()-(I674), Table27[[#This Row],[Effectiveness Review &amp; date deemed effective]]-Table27[[#This Row],[PTO initialized date]])</f>
        <v>46067</v>
      </c>
    </row>
    <row r="675" spans="1:13" ht="18">
      <c r="A675" s="9"/>
      <c r="B675" s="18" t="e">
        <f>VLOOKUP(Table27[[#This Row],[Location 
(drop-down)]],'List source'!D$2:E$71,2,FALSE)</f>
        <v>#N/A</v>
      </c>
      <c r="C675" s="154" t="s">
        <v>2014</v>
      </c>
      <c r="D675" s="20" t="e">
        <f t="shared" si="10"/>
        <v>#N/A</v>
      </c>
      <c r="E675" s="9"/>
      <c r="F675" s="10" t="e" cm="1">
        <f t="array" aca="1" ref="F6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5" s="10"/>
      <c r="I675" s="12"/>
      <c r="J675" s="12"/>
      <c r="K675" s="61"/>
      <c r="L675" s="233"/>
      <c r="M675" s="10">
        <f ca="1">IF(ISBLANK(K675), TODAY()-(I675), Table27[[#This Row],[Effectiveness Review &amp; date deemed effective]]-Table27[[#This Row],[PTO initialized date]])</f>
        <v>46067</v>
      </c>
    </row>
    <row r="676" spans="1:13" ht="18">
      <c r="A676" s="9"/>
      <c r="B676" s="18" t="e">
        <f>VLOOKUP(Table27[[#This Row],[Location 
(drop-down)]],'List source'!D$2:E$71,2,FALSE)</f>
        <v>#N/A</v>
      </c>
      <c r="C676" s="154" t="s">
        <v>2015</v>
      </c>
      <c r="D676" s="20" t="e">
        <f t="shared" si="10"/>
        <v>#N/A</v>
      </c>
      <c r="E676" s="9"/>
      <c r="F676" s="10" t="e" cm="1">
        <f t="array" aca="1" ref="F6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6" s="10"/>
      <c r="I676" s="12"/>
      <c r="J676" s="12"/>
      <c r="K676" s="61"/>
      <c r="L676" s="233"/>
      <c r="M676" s="10">
        <f ca="1">IF(ISBLANK(K676), TODAY()-(I676), Table27[[#This Row],[Effectiveness Review &amp; date deemed effective]]-Table27[[#This Row],[PTO initialized date]])</f>
        <v>46067</v>
      </c>
    </row>
    <row r="677" spans="1:13" ht="18">
      <c r="A677" s="9"/>
      <c r="B677" s="18" t="e">
        <f>VLOOKUP(Table27[[#This Row],[Location 
(drop-down)]],'List source'!D$2:E$71,2,FALSE)</f>
        <v>#N/A</v>
      </c>
      <c r="C677" s="154" t="s">
        <v>2016</v>
      </c>
      <c r="D677" s="20" t="e">
        <f t="shared" si="10"/>
        <v>#N/A</v>
      </c>
      <c r="E677" s="9"/>
      <c r="F677" s="10" t="e" cm="1">
        <f t="array" aca="1" ref="F6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7" s="130"/>
      <c r="I677" s="12"/>
      <c r="J677" s="12"/>
      <c r="K677" s="61"/>
      <c r="L677" s="233"/>
      <c r="M677" s="10">
        <f ca="1">IF(ISBLANK(K677), TODAY()-(I677), Table27[[#This Row],[Effectiveness Review &amp; date deemed effective]]-Table27[[#This Row],[PTO initialized date]])</f>
        <v>46067</v>
      </c>
    </row>
    <row r="678" spans="1:13" ht="18">
      <c r="A678" s="9"/>
      <c r="B678" s="18" t="e">
        <f>VLOOKUP(Table27[[#This Row],[Location 
(drop-down)]],'List source'!D$2:E$71,2,FALSE)</f>
        <v>#N/A</v>
      </c>
      <c r="C678" s="154" t="s">
        <v>2017</v>
      </c>
      <c r="D678" s="20" t="e">
        <f t="shared" si="10"/>
        <v>#N/A</v>
      </c>
      <c r="E678" s="9"/>
      <c r="F678" s="10" t="e" cm="1">
        <f t="array" aca="1" ref="F6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8" s="130"/>
      <c r="I678" s="12"/>
      <c r="J678" s="12"/>
      <c r="K678" s="61"/>
      <c r="L678" s="233"/>
      <c r="M678" s="10">
        <f ca="1">IF(ISBLANK(K678), TODAY()-(I678), Table27[[#This Row],[Effectiveness Review &amp; date deemed effective]]-Table27[[#This Row],[PTO initialized date]])</f>
        <v>46067</v>
      </c>
    </row>
    <row r="679" spans="1:13" ht="18">
      <c r="A679" s="9"/>
      <c r="B679" s="18" t="e">
        <f>VLOOKUP(Table27[[#This Row],[Location 
(drop-down)]],'List source'!D$2:E$71,2,FALSE)</f>
        <v>#N/A</v>
      </c>
      <c r="C679" s="154" t="s">
        <v>2018</v>
      </c>
      <c r="D679" s="20" t="e">
        <f t="shared" si="10"/>
        <v>#N/A</v>
      </c>
      <c r="E679" s="9"/>
      <c r="F679" s="10" t="e" cm="1">
        <f t="array" aca="1" ref="F6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79" s="130"/>
      <c r="I679" s="12"/>
      <c r="J679" s="12"/>
      <c r="K679" s="61"/>
      <c r="L679" s="233"/>
      <c r="M679" s="10">
        <f ca="1">IF(ISBLANK(K679), TODAY()-(I679), Table27[[#This Row],[Effectiveness Review &amp; date deemed effective]]-Table27[[#This Row],[PTO initialized date]])</f>
        <v>46067</v>
      </c>
    </row>
    <row r="680" spans="1:13" ht="18">
      <c r="A680" s="9"/>
      <c r="B680" s="18" t="e">
        <f>VLOOKUP(Table27[[#This Row],[Location 
(drop-down)]],'List source'!D$2:E$71,2,FALSE)</f>
        <v>#N/A</v>
      </c>
      <c r="C680" s="154" t="s">
        <v>2019</v>
      </c>
      <c r="D680" s="20" t="e">
        <f t="shared" si="10"/>
        <v>#N/A</v>
      </c>
      <c r="E680" s="9"/>
      <c r="F680" s="10" t="e" cm="1">
        <f t="array" aca="1" ref="F6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0" s="130"/>
      <c r="I680" s="12"/>
      <c r="J680" s="12"/>
      <c r="K680" s="61"/>
      <c r="L680" s="233"/>
      <c r="M680" s="10">
        <f ca="1">IF(ISBLANK(K680), TODAY()-(I680), Table27[[#This Row],[Effectiveness Review &amp; date deemed effective]]-Table27[[#This Row],[PTO initialized date]])</f>
        <v>46067</v>
      </c>
    </row>
    <row r="681" spans="1:13" ht="18">
      <c r="A681" s="9"/>
      <c r="B681" s="18" t="e">
        <f>VLOOKUP(Table27[[#This Row],[Location 
(drop-down)]],'List source'!D$2:E$71,2,FALSE)</f>
        <v>#N/A</v>
      </c>
      <c r="C681" s="154" t="s">
        <v>2020</v>
      </c>
      <c r="D681" s="20" t="e">
        <f t="shared" si="10"/>
        <v>#N/A</v>
      </c>
      <c r="E681" s="9"/>
      <c r="F681" s="10" t="e" cm="1">
        <f t="array" aca="1" ref="F6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1" s="130"/>
      <c r="I681" s="12"/>
      <c r="J681" s="12"/>
      <c r="K681" s="61"/>
      <c r="L681" s="233"/>
      <c r="M681" s="10">
        <f ca="1">IF(ISBLANK(K681), TODAY()-(I681), Table27[[#This Row],[Effectiveness Review &amp; date deemed effective]]-Table27[[#This Row],[PTO initialized date]])</f>
        <v>46067</v>
      </c>
    </row>
    <row r="682" spans="1:13" ht="18">
      <c r="A682" s="9"/>
      <c r="B682" s="18" t="e">
        <f>VLOOKUP(Table27[[#This Row],[Location 
(drop-down)]],'List source'!D$2:E$71,2,FALSE)</f>
        <v>#N/A</v>
      </c>
      <c r="C682" s="154" t="s">
        <v>2021</v>
      </c>
      <c r="D682" s="20" t="e">
        <f t="shared" si="10"/>
        <v>#N/A</v>
      </c>
      <c r="E682" s="9"/>
      <c r="F682" s="10" t="e" cm="1">
        <f t="array" aca="1" ref="F6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2" s="10"/>
      <c r="I682" s="12"/>
      <c r="J682" s="12"/>
      <c r="K682" s="61"/>
      <c r="L682" s="233"/>
      <c r="M682" s="10">
        <f ca="1">IF(ISBLANK(K682), TODAY()-(I682), Table27[[#This Row],[Effectiveness Review &amp; date deemed effective]]-Table27[[#This Row],[PTO initialized date]])</f>
        <v>46067</v>
      </c>
    </row>
    <row r="683" spans="1:13" ht="18">
      <c r="A683" s="9"/>
      <c r="B683" s="18" t="e">
        <f>VLOOKUP(Table27[[#This Row],[Location 
(drop-down)]],'List source'!D$2:E$71,2,FALSE)</f>
        <v>#N/A</v>
      </c>
      <c r="C683" s="154" t="s">
        <v>2022</v>
      </c>
      <c r="D683" s="20" t="e">
        <f t="shared" si="10"/>
        <v>#N/A</v>
      </c>
      <c r="E683" s="9"/>
      <c r="F683" s="10" t="e" cm="1">
        <f t="array" aca="1" ref="F6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3" s="130"/>
      <c r="I683" s="12"/>
      <c r="J683" s="12"/>
      <c r="K683" s="61"/>
      <c r="L683" s="233"/>
      <c r="M683" s="10">
        <f ca="1">IF(ISBLANK(K683), TODAY()-(I683), Table27[[#This Row],[Effectiveness Review &amp; date deemed effective]]-Table27[[#This Row],[PTO initialized date]])</f>
        <v>46067</v>
      </c>
    </row>
    <row r="684" spans="1:13" ht="18">
      <c r="A684" s="9"/>
      <c r="B684" s="18" t="e">
        <f>VLOOKUP(Table27[[#This Row],[Location 
(drop-down)]],'List source'!D$2:E$71,2,FALSE)</f>
        <v>#N/A</v>
      </c>
      <c r="C684" s="154" t="s">
        <v>2023</v>
      </c>
      <c r="D684" s="20" t="e">
        <f t="shared" si="10"/>
        <v>#N/A</v>
      </c>
      <c r="E684" s="9"/>
      <c r="F684" s="10" t="e" cm="1">
        <f t="array" aca="1" ref="F6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4" s="130"/>
      <c r="I684" s="12"/>
      <c r="J684" s="12"/>
      <c r="K684" s="61"/>
      <c r="L684" s="233"/>
      <c r="M684" s="10">
        <f ca="1">IF(ISBLANK(K684), TODAY()-(I684), Table27[[#This Row],[Effectiveness Review &amp; date deemed effective]]-Table27[[#This Row],[PTO initialized date]])</f>
        <v>46067</v>
      </c>
    </row>
    <row r="685" spans="1:13" ht="18">
      <c r="A685" s="9"/>
      <c r="B685" s="18" t="e">
        <f>VLOOKUP(Table27[[#This Row],[Location 
(drop-down)]],'List source'!D$2:E$71,2,FALSE)</f>
        <v>#N/A</v>
      </c>
      <c r="C685" s="154" t="s">
        <v>2024</v>
      </c>
      <c r="D685" s="20" t="e">
        <f t="shared" si="10"/>
        <v>#N/A</v>
      </c>
      <c r="E685" s="9"/>
      <c r="F685" s="10" t="e" cm="1">
        <f t="array" aca="1" ref="F6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5" s="130"/>
      <c r="I685" s="12"/>
      <c r="J685" s="12"/>
      <c r="K685" s="61"/>
      <c r="L685" s="233"/>
      <c r="M685" s="10">
        <f ca="1">IF(ISBLANK(K685), TODAY()-(I685), Table27[[#This Row],[Effectiveness Review &amp; date deemed effective]]-Table27[[#This Row],[PTO initialized date]])</f>
        <v>46067</v>
      </c>
    </row>
    <row r="686" spans="1:13" ht="18">
      <c r="A686" s="9"/>
      <c r="B686" s="18" t="e">
        <f>VLOOKUP(Table27[[#This Row],[Location 
(drop-down)]],'List source'!D$2:E$71,2,FALSE)</f>
        <v>#N/A</v>
      </c>
      <c r="C686" s="154" t="s">
        <v>2025</v>
      </c>
      <c r="D686" s="20" t="e">
        <f t="shared" si="10"/>
        <v>#N/A</v>
      </c>
      <c r="E686" s="9"/>
      <c r="F686" s="10" t="e" cm="1">
        <f t="array" aca="1" ref="F6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6" s="10"/>
      <c r="I686" s="12"/>
      <c r="J686" s="12"/>
      <c r="K686" s="61"/>
      <c r="L686" s="233"/>
      <c r="M686" s="10">
        <f ca="1">IF(ISBLANK(K686), TODAY()-(I686), Table27[[#This Row],[Effectiveness Review &amp; date deemed effective]]-Table27[[#This Row],[PTO initialized date]])</f>
        <v>46067</v>
      </c>
    </row>
    <row r="687" spans="1:13" ht="18">
      <c r="A687" s="9"/>
      <c r="B687" s="18" t="e">
        <f>VLOOKUP(Table27[[#This Row],[Location 
(drop-down)]],'List source'!D$2:E$71,2,FALSE)</f>
        <v>#N/A</v>
      </c>
      <c r="C687" s="154" t="s">
        <v>2026</v>
      </c>
      <c r="D687" s="20" t="e">
        <f t="shared" si="10"/>
        <v>#N/A</v>
      </c>
      <c r="E687" s="9"/>
      <c r="F687" s="10" t="e" cm="1">
        <f t="array" aca="1" ref="F6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7" s="130"/>
      <c r="I687" s="12"/>
      <c r="J687" s="12"/>
      <c r="K687" s="61"/>
      <c r="L687" s="233"/>
      <c r="M687" s="10">
        <f ca="1">IF(ISBLANK(K687), TODAY()-(I687), Table27[[#This Row],[Effectiveness Review &amp; date deemed effective]]-Table27[[#This Row],[PTO initialized date]])</f>
        <v>46067</v>
      </c>
    </row>
    <row r="688" spans="1:13" ht="18">
      <c r="A688" s="9"/>
      <c r="B688" s="18" t="e">
        <f>VLOOKUP(Table27[[#This Row],[Location 
(drop-down)]],'List source'!D$2:E$71,2,FALSE)</f>
        <v>#N/A</v>
      </c>
      <c r="C688" s="154" t="s">
        <v>2027</v>
      </c>
      <c r="D688" s="20" t="e">
        <f t="shared" si="10"/>
        <v>#N/A</v>
      </c>
      <c r="E688" s="9"/>
      <c r="F688" s="10" t="e" cm="1">
        <f t="array" aca="1" ref="F6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8" s="10"/>
      <c r="I688" s="12"/>
      <c r="J688" s="12"/>
      <c r="K688" s="61"/>
      <c r="L688" s="233"/>
      <c r="M688" s="10">
        <f ca="1">IF(ISBLANK(K688), TODAY()-(I688), Table27[[#This Row],[Effectiveness Review &amp; date deemed effective]]-Table27[[#This Row],[PTO initialized date]])</f>
        <v>46067</v>
      </c>
    </row>
    <row r="689" spans="1:13" ht="18">
      <c r="A689" s="9"/>
      <c r="B689" s="18" t="e">
        <f>VLOOKUP(Table27[[#This Row],[Location 
(drop-down)]],'List source'!D$2:E$71,2,FALSE)</f>
        <v>#N/A</v>
      </c>
      <c r="C689" s="154" t="s">
        <v>2028</v>
      </c>
      <c r="D689" s="20" t="e">
        <f t="shared" si="10"/>
        <v>#N/A</v>
      </c>
      <c r="E689" s="9"/>
      <c r="F689" s="10" t="e" cm="1">
        <f t="array" aca="1" ref="F6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89" s="130"/>
      <c r="I689" s="12"/>
      <c r="J689" s="12"/>
      <c r="K689" s="61"/>
      <c r="L689" s="233"/>
      <c r="M689" s="10">
        <f ca="1">IF(ISBLANK(K689), TODAY()-(I689), Table27[[#This Row],[Effectiveness Review &amp; date deemed effective]]-Table27[[#This Row],[PTO initialized date]])</f>
        <v>46067</v>
      </c>
    </row>
    <row r="690" spans="1:13" ht="18">
      <c r="A690" s="9"/>
      <c r="B690" s="18" t="e">
        <f>VLOOKUP(Table27[[#This Row],[Location 
(drop-down)]],'List source'!D$2:E$71,2,FALSE)</f>
        <v>#N/A</v>
      </c>
      <c r="C690" s="154" t="s">
        <v>2029</v>
      </c>
      <c r="D690" s="20" t="e">
        <f t="shared" si="10"/>
        <v>#N/A</v>
      </c>
      <c r="E690" s="9"/>
      <c r="F690" s="10" t="e" cm="1">
        <f t="array" aca="1" ref="F6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0" s="130"/>
      <c r="I690" s="12"/>
      <c r="J690" s="12"/>
      <c r="K690" s="61"/>
      <c r="L690" s="233"/>
      <c r="M690" s="10">
        <f ca="1">IF(ISBLANK(K690), TODAY()-(I690), Table27[[#This Row],[Effectiveness Review &amp; date deemed effective]]-Table27[[#This Row],[PTO initialized date]])</f>
        <v>46067</v>
      </c>
    </row>
    <row r="691" spans="1:13" ht="18">
      <c r="A691" s="9"/>
      <c r="B691" s="18" t="e">
        <f>VLOOKUP(Table27[[#This Row],[Location 
(drop-down)]],'List source'!D$2:E$71,2,FALSE)</f>
        <v>#N/A</v>
      </c>
      <c r="C691" s="154" t="s">
        <v>2030</v>
      </c>
      <c r="D691" s="20" t="e">
        <f t="shared" si="10"/>
        <v>#N/A</v>
      </c>
      <c r="E691" s="9"/>
      <c r="F691" s="10" t="e" cm="1">
        <f t="array" aca="1" ref="F6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1" s="130"/>
      <c r="I691" s="12"/>
      <c r="J691" s="12"/>
      <c r="K691" s="61"/>
      <c r="L691" s="233"/>
      <c r="M691" s="10">
        <f ca="1">IF(ISBLANK(K691), TODAY()-(I691), Table27[[#This Row],[Effectiveness Review &amp; date deemed effective]]-Table27[[#This Row],[PTO initialized date]])</f>
        <v>46067</v>
      </c>
    </row>
    <row r="692" spans="1:13" ht="18">
      <c r="A692" s="9"/>
      <c r="B692" s="18" t="e">
        <f>VLOOKUP(Table27[[#This Row],[Location 
(drop-down)]],'List source'!D$2:E$71,2,FALSE)</f>
        <v>#N/A</v>
      </c>
      <c r="C692" s="154" t="s">
        <v>2031</v>
      </c>
      <c r="D692" s="20" t="e">
        <f t="shared" si="10"/>
        <v>#N/A</v>
      </c>
      <c r="E692" s="9"/>
      <c r="F692" s="10" t="e" cm="1">
        <f t="array" aca="1" ref="F6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2" s="10"/>
      <c r="I692" s="12"/>
      <c r="J692" s="12"/>
      <c r="K692" s="61"/>
      <c r="L692" s="233"/>
      <c r="M692" s="10">
        <f ca="1">IF(ISBLANK(K692), TODAY()-(I692), Table27[[#This Row],[Effectiveness Review &amp; date deemed effective]]-Table27[[#This Row],[PTO initialized date]])</f>
        <v>46067</v>
      </c>
    </row>
    <row r="693" spans="1:13" ht="18">
      <c r="A693" s="9"/>
      <c r="B693" s="18" t="e">
        <f>VLOOKUP(Table27[[#This Row],[Location 
(drop-down)]],'List source'!D$2:E$71,2,FALSE)</f>
        <v>#N/A</v>
      </c>
      <c r="C693" s="154" t="s">
        <v>2032</v>
      </c>
      <c r="D693" s="20" t="e">
        <f t="shared" si="10"/>
        <v>#N/A</v>
      </c>
      <c r="E693" s="9"/>
      <c r="F693" s="10" t="e" cm="1">
        <f t="array" aca="1" ref="F6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3" s="130"/>
      <c r="I693" s="12"/>
      <c r="J693" s="12"/>
      <c r="K693" s="61"/>
      <c r="L693" s="233"/>
      <c r="M693" s="10">
        <f ca="1">IF(ISBLANK(K693), TODAY()-(I693), Table27[[#This Row],[Effectiveness Review &amp; date deemed effective]]-Table27[[#This Row],[PTO initialized date]])</f>
        <v>46067</v>
      </c>
    </row>
    <row r="694" spans="1:13" ht="18">
      <c r="A694" s="9"/>
      <c r="B694" s="18" t="e">
        <f>VLOOKUP(Table27[[#This Row],[Location 
(drop-down)]],'List source'!D$2:E$71,2,FALSE)</f>
        <v>#N/A</v>
      </c>
      <c r="C694" s="154" t="s">
        <v>2033</v>
      </c>
      <c r="D694" s="20" t="e">
        <f t="shared" si="10"/>
        <v>#N/A</v>
      </c>
      <c r="E694" s="9"/>
      <c r="F694" s="10" t="e" cm="1">
        <f t="array" aca="1" ref="F6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4" s="130"/>
      <c r="I694" s="12"/>
      <c r="J694" s="12"/>
      <c r="K694" s="61"/>
      <c r="L694" s="233"/>
      <c r="M694" s="10">
        <f ca="1">IF(ISBLANK(K694), TODAY()-(I694), Table27[[#This Row],[Effectiveness Review &amp; date deemed effective]]-Table27[[#This Row],[PTO initialized date]])</f>
        <v>46067</v>
      </c>
    </row>
    <row r="695" spans="1:13" ht="18">
      <c r="A695" s="9"/>
      <c r="B695" s="18" t="e">
        <f>VLOOKUP(Table27[[#This Row],[Location 
(drop-down)]],'List source'!D$2:E$71,2,FALSE)</f>
        <v>#N/A</v>
      </c>
      <c r="C695" s="154" t="s">
        <v>2034</v>
      </c>
      <c r="D695" s="20" t="e">
        <f t="shared" si="10"/>
        <v>#N/A</v>
      </c>
      <c r="E695" s="9"/>
      <c r="F695" s="10" t="e" cm="1">
        <f t="array" aca="1" ref="F6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5" s="130"/>
      <c r="I695" s="12"/>
      <c r="J695" s="12"/>
      <c r="K695" s="61"/>
      <c r="L695" s="233"/>
      <c r="M695" s="10">
        <f ca="1">IF(ISBLANK(K695), TODAY()-(I695), Table27[[#This Row],[Effectiveness Review &amp; date deemed effective]]-Table27[[#This Row],[PTO initialized date]])</f>
        <v>46067</v>
      </c>
    </row>
    <row r="696" spans="1:13" ht="18">
      <c r="A696" s="9"/>
      <c r="B696" s="18" t="e">
        <f>VLOOKUP(Table27[[#This Row],[Location 
(drop-down)]],'List source'!D$2:E$71,2,FALSE)</f>
        <v>#N/A</v>
      </c>
      <c r="C696" s="154" t="s">
        <v>2035</v>
      </c>
      <c r="D696" s="20" t="e">
        <f t="shared" si="10"/>
        <v>#N/A</v>
      </c>
      <c r="E696" s="9"/>
      <c r="F696" s="10" t="e" cm="1">
        <f t="array" aca="1" ref="F6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6" s="130"/>
      <c r="I696" s="12"/>
      <c r="J696" s="12"/>
      <c r="K696" s="61"/>
      <c r="L696" s="233"/>
      <c r="M696" s="10">
        <f ca="1">IF(ISBLANK(K696), TODAY()-(I696), Table27[[#This Row],[Effectiveness Review &amp; date deemed effective]]-Table27[[#This Row],[PTO initialized date]])</f>
        <v>46067</v>
      </c>
    </row>
    <row r="697" spans="1:13" ht="18">
      <c r="A697" s="9"/>
      <c r="B697" s="18" t="e">
        <f>VLOOKUP(Table27[[#This Row],[Location 
(drop-down)]],'List source'!D$2:E$71,2,FALSE)</f>
        <v>#N/A</v>
      </c>
      <c r="C697" s="154" t="s">
        <v>2036</v>
      </c>
      <c r="D697" s="20" t="e">
        <f t="shared" si="10"/>
        <v>#N/A</v>
      </c>
      <c r="E697" s="9"/>
      <c r="F697" s="10" t="e" cm="1">
        <f t="array" aca="1" ref="F6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7" s="130"/>
      <c r="I697" s="12"/>
      <c r="J697" s="12"/>
      <c r="K697" s="61"/>
      <c r="L697" s="233"/>
      <c r="M697" s="10">
        <f ca="1">IF(ISBLANK(K697), TODAY()-(I697), Table27[[#This Row],[Effectiveness Review &amp; date deemed effective]]-Table27[[#This Row],[PTO initialized date]])</f>
        <v>46067</v>
      </c>
    </row>
    <row r="698" spans="1:13" ht="18">
      <c r="A698" s="9"/>
      <c r="B698" s="18" t="e">
        <f>VLOOKUP(Table27[[#This Row],[Location 
(drop-down)]],'List source'!D$2:E$71,2,FALSE)</f>
        <v>#N/A</v>
      </c>
      <c r="C698" s="154" t="s">
        <v>2037</v>
      </c>
      <c r="D698" s="20" t="e">
        <f t="shared" si="10"/>
        <v>#N/A</v>
      </c>
      <c r="E698" s="9"/>
      <c r="F698" s="10" t="e" cm="1">
        <f t="array" aca="1" ref="F6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8" s="130"/>
      <c r="I698" s="12"/>
      <c r="J698" s="12"/>
      <c r="K698" s="61"/>
      <c r="L698" s="233"/>
      <c r="M698" s="10">
        <f ca="1">IF(ISBLANK(K698), TODAY()-(I698), Table27[[#This Row],[Effectiveness Review &amp; date deemed effective]]-Table27[[#This Row],[PTO initialized date]])</f>
        <v>46067</v>
      </c>
    </row>
    <row r="699" spans="1:13" ht="18">
      <c r="A699" s="9"/>
      <c r="B699" s="18" t="e">
        <f>VLOOKUP(Table27[[#This Row],[Location 
(drop-down)]],'List source'!D$2:E$71,2,FALSE)</f>
        <v>#N/A</v>
      </c>
      <c r="C699" s="154" t="s">
        <v>2038</v>
      </c>
      <c r="D699" s="20" t="e">
        <f t="shared" si="10"/>
        <v>#N/A</v>
      </c>
      <c r="E699" s="9"/>
      <c r="F699" s="10" t="e" cm="1">
        <f t="array" aca="1" ref="F6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6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699" s="130"/>
      <c r="I699" s="12"/>
      <c r="J699" s="12"/>
      <c r="K699" s="61"/>
      <c r="L699" s="233"/>
      <c r="M699" s="10">
        <f ca="1">IF(ISBLANK(K699), TODAY()-(I699), Table27[[#This Row],[Effectiveness Review &amp; date deemed effective]]-Table27[[#This Row],[PTO initialized date]])</f>
        <v>46067</v>
      </c>
    </row>
    <row r="700" spans="1:13" ht="18">
      <c r="A700" s="9"/>
      <c r="B700" s="18" t="e">
        <f>VLOOKUP(Table27[[#This Row],[Location 
(drop-down)]],'List source'!D$2:E$71,2,FALSE)</f>
        <v>#N/A</v>
      </c>
      <c r="C700" s="154" t="s">
        <v>2039</v>
      </c>
      <c r="D700" s="20" t="e">
        <f t="shared" si="10"/>
        <v>#N/A</v>
      </c>
      <c r="E700" s="9"/>
      <c r="F700" s="10" t="e" cm="1">
        <f t="array" aca="1" ref="F7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0" s="10"/>
      <c r="I700" s="12"/>
      <c r="J700" s="12"/>
      <c r="K700" s="61"/>
      <c r="L700" s="233"/>
      <c r="M700" s="10">
        <f ca="1">IF(ISBLANK(K700), TODAY()-(I700), Table27[[#This Row],[Effectiveness Review &amp; date deemed effective]]-Table27[[#This Row],[PTO initialized date]])</f>
        <v>46067</v>
      </c>
    </row>
    <row r="701" spans="1:13" ht="18">
      <c r="A701" s="68"/>
      <c r="B701" s="18" t="e">
        <f>VLOOKUP(Table27[[#This Row],[Location 
(drop-down)]],'List source'!D$2:E$71,2,FALSE)</f>
        <v>#N/A</v>
      </c>
      <c r="C701" s="154" t="s">
        <v>2040</v>
      </c>
      <c r="D701" s="20" t="e">
        <f t="shared" si="10"/>
        <v>#N/A</v>
      </c>
      <c r="E701" s="9"/>
      <c r="F701" s="10" t="e" cm="1">
        <f t="array" aca="1" ref="F7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1" s="321"/>
      <c r="I701" s="12"/>
      <c r="J701" s="12"/>
      <c r="K701" s="71"/>
      <c r="L701" s="296"/>
      <c r="M701" s="10">
        <f ca="1">IF(ISBLANK(K701), TODAY()-(I701), Table27[[#This Row],[Effectiveness Review &amp; date deemed effective]]-Table27[[#This Row],[PTO initialized date]])</f>
        <v>46067</v>
      </c>
    </row>
    <row r="702" spans="1:13" ht="18">
      <c r="A702" s="9"/>
      <c r="B702" s="18" t="e">
        <f>VLOOKUP(Table27[[#This Row],[Location 
(drop-down)]],'List source'!D$2:E$71,2,FALSE)</f>
        <v>#N/A</v>
      </c>
      <c r="C702" s="154" t="s">
        <v>2041</v>
      </c>
      <c r="D702" s="20" t="e">
        <f t="shared" si="10"/>
        <v>#N/A</v>
      </c>
      <c r="E702" s="9"/>
      <c r="F702" s="10" t="e" cm="1">
        <f t="array" aca="1" ref="F7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2" s="10"/>
      <c r="I702" s="12"/>
      <c r="J702" s="12"/>
      <c r="K702" s="61"/>
      <c r="L702" s="233"/>
      <c r="M702" s="10">
        <f ca="1">IF(ISBLANK(K702), TODAY()-(I702), Table27[[#This Row],[Effectiveness Review &amp; date deemed effective]]-Table27[[#This Row],[PTO initialized date]])</f>
        <v>46067</v>
      </c>
    </row>
    <row r="703" spans="1:13" ht="18">
      <c r="A703" s="9"/>
      <c r="B703" s="18" t="e">
        <f>VLOOKUP(Table27[[#This Row],[Location 
(drop-down)]],'List source'!D$2:E$71,2,FALSE)</f>
        <v>#N/A</v>
      </c>
      <c r="C703" s="154" t="s">
        <v>2042</v>
      </c>
      <c r="D703" s="20" t="e">
        <f t="shared" si="10"/>
        <v>#N/A</v>
      </c>
      <c r="E703" s="9"/>
      <c r="F703" s="10" t="e" cm="1">
        <f t="array" aca="1" ref="F7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3" s="317"/>
      <c r="I703" s="12"/>
      <c r="J703" s="12"/>
      <c r="K703" s="61"/>
      <c r="L703" s="233"/>
      <c r="M703" s="10">
        <f ca="1">IF(ISBLANK(K703), TODAY()-(I703), Table27[[#This Row],[Effectiveness Review &amp; date deemed effective]]-Table27[[#This Row],[PTO initialized date]])</f>
        <v>46067</v>
      </c>
    </row>
    <row r="704" spans="1:13" ht="18">
      <c r="A704" s="9"/>
      <c r="B704" s="18" t="e">
        <f>VLOOKUP(Table27[[#This Row],[Location 
(drop-down)]],'List source'!D$2:E$71,2,FALSE)</f>
        <v>#N/A</v>
      </c>
      <c r="C704" s="154" t="s">
        <v>2043</v>
      </c>
      <c r="D704" s="20" t="e">
        <f t="shared" si="10"/>
        <v>#N/A</v>
      </c>
      <c r="E704" s="149"/>
      <c r="F704" s="10" t="e" cm="1">
        <f t="array" aca="1" ref="F7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4" s="318"/>
      <c r="I704" s="12"/>
      <c r="J704" s="12"/>
      <c r="K704" s="61"/>
      <c r="L704" s="233"/>
      <c r="M704" s="10">
        <f ca="1">IF(ISBLANK(K704), TODAY()-(I704), Table27[[#This Row],[Effectiveness Review &amp; date deemed effective]]-Table27[[#This Row],[PTO initialized date]])</f>
        <v>46067</v>
      </c>
    </row>
    <row r="705" spans="1:13" ht="18">
      <c r="A705" s="9"/>
      <c r="B705" s="18" t="e">
        <f>VLOOKUP(Table27[[#This Row],[Location 
(drop-down)]],'List source'!D$2:E$71,2,FALSE)</f>
        <v>#N/A</v>
      </c>
      <c r="C705" s="154" t="s">
        <v>2044</v>
      </c>
      <c r="D705" s="20" t="e">
        <f t="shared" si="10"/>
        <v>#N/A</v>
      </c>
      <c r="E705" s="9"/>
      <c r="F705" s="10" t="e" cm="1">
        <f t="array" aca="1" ref="F7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5" s="130"/>
      <c r="I705" s="12"/>
      <c r="J705" s="12"/>
      <c r="K705" s="61"/>
      <c r="L705" s="233"/>
      <c r="M705" s="10">
        <f ca="1">IF(ISBLANK(K705), TODAY()-(I705), Table27[[#This Row],[Effectiveness Review &amp; date deemed effective]]-Table27[[#This Row],[PTO initialized date]])</f>
        <v>46067</v>
      </c>
    </row>
    <row r="706" spans="1:13" ht="18">
      <c r="A706" s="9"/>
      <c r="B706" s="18" t="e">
        <f>VLOOKUP(Table27[[#This Row],[Location 
(drop-down)]],'List source'!D$2:E$71,2,FALSE)</f>
        <v>#N/A</v>
      </c>
      <c r="C706" s="154" t="s">
        <v>2045</v>
      </c>
      <c r="D706" s="20" t="e">
        <f t="shared" ref="D706:D769" si="11">"PTO" &amp; C706 &amp; "-" &amp; B706 &amp; "-" &amp; "26"</f>
        <v>#N/A</v>
      </c>
      <c r="E706" s="9"/>
      <c r="F706" s="10" t="e" cm="1">
        <f t="array" aca="1" ref="F7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6" s="10"/>
      <c r="I706" s="12"/>
      <c r="J706" s="12"/>
      <c r="K706" s="61"/>
      <c r="L706" s="233"/>
      <c r="M706" s="10">
        <f ca="1">IF(ISBLANK(K706), TODAY()-(I706), Table27[[#This Row],[Effectiveness Review &amp; date deemed effective]]-Table27[[#This Row],[PTO initialized date]])</f>
        <v>46067</v>
      </c>
    </row>
    <row r="707" spans="1:13" ht="18">
      <c r="A707" s="9"/>
      <c r="B707" s="18" t="e">
        <f>VLOOKUP(Table27[[#This Row],[Location 
(drop-down)]],'List source'!D$2:E$71,2,FALSE)</f>
        <v>#N/A</v>
      </c>
      <c r="C707" s="154" t="s">
        <v>2046</v>
      </c>
      <c r="D707" s="20" t="e">
        <f t="shared" si="11"/>
        <v>#N/A</v>
      </c>
      <c r="E707" s="9"/>
      <c r="F707" s="10" t="e" cm="1">
        <f t="array" aca="1" ref="F7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7" s="130"/>
      <c r="I707" s="12"/>
      <c r="J707" s="12"/>
      <c r="K707" s="61"/>
      <c r="L707" s="233"/>
      <c r="M707" s="10">
        <f ca="1">IF(ISBLANK(K707), TODAY()-(I707), Table27[[#This Row],[Effectiveness Review &amp; date deemed effective]]-Table27[[#This Row],[PTO initialized date]])</f>
        <v>46067</v>
      </c>
    </row>
    <row r="708" spans="1:13" ht="18">
      <c r="A708" s="9"/>
      <c r="B708" s="18" t="e">
        <f>VLOOKUP(Table27[[#This Row],[Location 
(drop-down)]],'List source'!D$2:E$71,2,FALSE)</f>
        <v>#N/A</v>
      </c>
      <c r="C708" s="154" t="s">
        <v>2047</v>
      </c>
      <c r="D708" s="20" t="e">
        <f t="shared" si="11"/>
        <v>#N/A</v>
      </c>
      <c r="E708" s="62"/>
      <c r="F708" s="10" t="e" cm="1">
        <f t="array" aca="1" ref="F7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8" s="130"/>
      <c r="I708" s="12"/>
      <c r="J708" s="12"/>
      <c r="K708" s="61"/>
      <c r="L708" s="233"/>
      <c r="M708" s="10">
        <f ca="1">IF(ISBLANK(K708), TODAY()-(I708), Table27[[#This Row],[Effectiveness Review &amp; date deemed effective]]-Table27[[#This Row],[PTO initialized date]])</f>
        <v>46067</v>
      </c>
    </row>
    <row r="709" spans="1:13" ht="18">
      <c r="A709" s="9"/>
      <c r="B709" s="18" t="e">
        <f>VLOOKUP(Table27[[#This Row],[Location 
(drop-down)]],'List source'!D$2:E$71,2,FALSE)</f>
        <v>#N/A</v>
      </c>
      <c r="C709" s="154" t="s">
        <v>2048</v>
      </c>
      <c r="D709" s="20" t="e">
        <f t="shared" si="11"/>
        <v>#N/A</v>
      </c>
      <c r="E709" s="9"/>
      <c r="F709" s="10" t="e" cm="1">
        <f t="array" aca="1" ref="F7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09" s="130"/>
      <c r="I709" s="12"/>
      <c r="J709" s="12"/>
      <c r="K709" s="61"/>
      <c r="L709" s="233"/>
      <c r="M709" s="10">
        <f ca="1">IF(ISBLANK(K709), TODAY()-(I709), Table27[[#This Row],[Effectiveness Review &amp; date deemed effective]]-Table27[[#This Row],[PTO initialized date]])</f>
        <v>46067</v>
      </c>
    </row>
    <row r="710" spans="1:13" ht="18">
      <c r="A710" s="9"/>
      <c r="B710" s="18" t="e">
        <f>VLOOKUP(Table27[[#This Row],[Location 
(drop-down)]],'List source'!D$2:E$71,2,FALSE)</f>
        <v>#N/A</v>
      </c>
      <c r="C710" s="154" t="s">
        <v>2049</v>
      </c>
      <c r="D710" s="20" t="e">
        <f t="shared" si="11"/>
        <v>#N/A</v>
      </c>
      <c r="E710" s="9"/>
      <c r="F710" s="10" t="e" cm="1">
        <f t="array" aca="1" ref="F7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0" s="130"/>
      <c r="I710" s="12"/>
      <c r="J710" s="12"/>
      <c r="K710" s="61"/>
      <c r="L710" s="233"/>
      <c r="M710" s="10">
        <f ca="1">IF(ISBLANK(K710), TODAY()-(I710), Table27[[#This Row],[Effectiveness Review &amp; date deemed effective]]-Table27[[#This Row],[PTO initialized date]])</f>
        <v>46067</v>
      </c>
    </row>
    <row r="711" spans="1:13" ht="18">
      <c r="A711" s="9"/>
      <c r="B711" s="18" t="e">
        <f>VLOOKUP(Table27[[#This Row],[Location 
(drop-down)]],'List source'!D$2:E$71,2,FALSE)</f>
        <v>#N/A</v>
      </c>
      <c r="C711" s="154" t="s">
        <v>2050</v>
      </c>
      <c r="D711" s="20" t="e">
        <f t="shared" si="11"/>
        <v>#N/A</v>
      </c>
      <c r="E711" s="9"/>
      <c r="F711" s="10" t="e" cm="1">
        <f t="array" aca="1" ref="F7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1" s="130"/>
      <c r="I711" s="12"/>
      <c r="J711" s="12"/>
      <c r="K711" s="61"/>
      <c r="L711" s="233"/>
      <c r="M711" s="10">
        <f ca="1">IF(ISBLANK(K711), TODAY()-(I711), Table27[[#This Row],[Effectiveness Review &amp; date deemed effective]]-Table27[[#This Row],[PTO initialized date]])</f>
        <v>46067</v>
      </c>
    </row>
    <row r="712" spans="1:13" ht="18">
      <c r="A712" s="9"/>
      <c r="B712" s="18" t="e">
        <f>VLOOKUP(Table27[[#This Row],[Location 
(drop-down)]],'List source'!D$2:E$71,2,FALSE)</f>
        <v>#N/A</v>
      </c>
      <c r="C712" s="154" t="s">
        <v>2051</v>
      </c>
      <c r="D712" s="20" t="e">
        <f t="shared" si="11"/>
        <v>#N/A</v>
      </c>
      <c r="E712" s="9"/>
      <c r="F712" s="10" t="e" cm="1">
        <f t="array" aca="1" ref="F7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2" s="130"/>
      <c r="I712" s="12"/>
      <c r="J712" s="12"/>
      <c r="K712" s="61"/>
      <c r="L712" s="233"/>
      <c r="M712" s="10">
        <f ca="1">IF(ISBLANK(K712), TODAY()-(I712), Table27[[#This Row],[Effectiveness Review &amp; date deemed effective]]-Table27[[#This Row],[PTO initialized date]])</f>
        <v>46067</v>
      </c>
    </row>
    <row r="713" spans="1:13" ht="18">
      <c r="A713" s="9"/>
      <c r="B713" s="18" t="e">
        <f>VLOOKUP(Table27[[#This Row],[Location 
(drop-down)]],'List source'!D$2:E$71,2,FALSE)</f>
        <v>#N/A</v>
      </c>
      <c r="C713" s="154" t="s">
        <v>2052</v>
      </c>
      <c r="D713" s="20" t="e">
        <f t="shared" si="11"/>
        <v>#N/A</v>
      </c>
      <c r="E713" s="9"/>
      <c r="F713" s="10" t="e" cm="1">
        <f t="array" aca="1" ref="F7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3" s="130"/>
      <c r="I713" s="12"/>
      <c r="J713" s="12"/>
      <c r="K713" s="61"/>
      <c r="L713" s="233"/>
      <c r="M713" s="10">
        <f ca="1">IF(ISBLANK(K713), TODAY()-(I713), Table27[[#This Row],[Effectiveness Review &amp; date deemed effective]]-Table27[[#This Row],[PTO initialized date]])</f>
        <v>46067</v>
      </c>
    </row>
    <row r="714" spans="1:13" ht="18">
      <c r="A714" s="9"/>
      <c r="B714" s="18" t="e">
        <f>VLOOKUP(Table27[[#This Row],[Location 
(drop-down)]],'List source'!D$2:E$71,2,FALSE)</f>
        <v>#N/A</v>
      </c>
      <c r="C714" s="154" t="s">
        <v>2053</v>
      </c>
      <c r="D714" s="20" t="e">
        <f t="shared" si="11"/>
        <v>#N/A</v>
      </c>
      <c r="E714" s="9"/>
      <c r="F714" s="10" t="e" cm="1">
        <f t="array" aca="1" ref="F7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4" s="130"/>
      <c r="I714" s="12"/>
      <c r="J714" s="12"/>
      <c r="K714" s="61"/>
      <c r="L714" s="233"/>
      <c r="M714" s="10">
        <f ca="1">IF(ISBLANK(K714), TODAY()-(I714), Table27[[#This Row],[Effectiveness Review &amp; date deemed effective]]-Table27[[#This Row],[PTO initialized date]])</f>
        <v>46067</v>
      </c>
    </row>
    <row r="715" spans="1:13" ht="18">
      <c r="A715" s="9"/>
      <c r="B715" s="18" t="e">
        <f>VLOOKUP(Table27[[#This Row],[Location 
(drop-down)]],'List source'!D$2:E$71,2,FALSE)</f>
        <v>#N/A</v>
      </c>
      <c r="C715" s="154" t="s">
        <v>2054</v>
      </c>
      <c r="D715" s="20" t="e">
        <f t="shared" si="11"/>
        <v>#N/A</v>
      </c>
      <c r="E715" s="9"/>
      <c r="F715" s="10" t="e" cm="1">
        <f t="array" aca="1" ref="F7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5" s="10"/>
      <c r="I715" s="12"/>
      <c r="J715" s="12"/>
      <c r="K715" s="61"/>
      <c r="L715" s="233"/>
      <c r="M715" s="10">
        <f ca="1">IF(ISBLANK(K715), TODAY()-(I715), Table27[[#This Row],[Effectiveness Review &amp; date deemed effective]]-Table27[[#This Row],[PTO initialized date]])</f>
        <v>46067</v>
      </c>
    </row>
    <row r="716" spans="1:13" ht="18">
      <c r="A716" s="9"/>
      <c r="B716" s="18" t="e">
        <f>VLOOKUP(Table27[[#This Row],[Location 
(drop-down)]],'List source'!D$2:E$71,2,FALSE)</f>
        <v>#N/A</v>
      </c>
      <c r="C716" s="154" t="s">
        <v>2055</v>
      </c>
      <c r="D716" s="20" t="e">
        <f t="shared" si="11"/>
        <v>#N/A</v>
      </c>
      <c r="E716" s="9"/>
      <c r="F716" s="10" t="e" cm="1">
        <f t="array" aca="1" ref="F7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6" s="130"/>
      <c r="I716" s="12"/>
      <c r="J716" s="12"/>
      <c r="K716" s="61"/>
      <c r="L716" s="233"/>
      <c r="M716" s="10">
        <f ca="1">IF(ISBLANK(K716), TODAY()-(I716), Table27[[#This Row],[Effectiveness Review &amp; date deemed effective]]-Table27[[#This Row],[PTO initialized date]])</f>
        <v>46067</v>
      </c>
    </row>
    <row r="717" spans="1:13" ht="18">
      <c r="A717" s="9"/>
      <c r="B717" s="18" t="e">
        <f>VLOOKUP(Table27[[#This Row],[Location 
(drop-down)]],'List source'!D$2:E$71,2,FALSE)</f>
        <v>#N/A</v>
      </c>
      <c r="C717" s="154" t="s">
        <v>2056</v>
      </c>
      <c r="D717" s="20" t="e">
        <f t="shared" si="11"/>
        <v>#N/A</v>
      </c>
      <c r="E717" s="9"/>
      <c r="F717" s="10" t="e" cm="1">
        <f t="array" aca="1" ref="F7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7" s="130"/>
      <c r="I717" s="12"/>
      <c r="J717" s="12"/>
      <c r="K717" s="61"/>
      <c r="L717" s="233"/>
      <c r="M717" s="10">
        <f ca="1">IF(ISBLANK(K717), TODAY()-(I717), Table27[[#This Row],[Effectiveness Review &amp; date deemed effective]]-Table27[[#This Row],[PTO initialized date]])</f>
        <v>46067</v>
      </c>
    </row>
    <row r="718" spans="1:13" ht="18">
      <c r="A718" s="9"/>
      <c r="B718" s="18" t="e">
        <f>VLOOKUP(Table27[[#This Row],[Location 
(drop-down)]],'List source'!D$2:E$71,2,FALSE)</f>
        <v>#N/A</v>
      </c>
      <c r="C718" s="154" t="s">
        <v>2057</v>
      </c>
      <c r="D718" s="20" t="e">
        <f t="shared" si="11"/>
        <v>#N/A</v>
      </c>
      <c r="E718" s="9"/>
      <c r="F718" s="10" t="e" cm="1">
        <f t="array" aca="1" ref="F7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8" s="130"/>
      <c r="I718" s="12"/>
      <c r="J718" s="12"/>
      <c r="K718" s="61"/>
      <c r="L718" s="233"/>
      <c r="M718" s="10">
        <f ca="1">IF(ISBLANK(K718), TODAY()-(I718), Table27[[#This Row],[Effectiveness Review &amp; date deemed effective]]-Table27[[#This Row],[PTO initialized date]])</f>
        <v>46067</v>
      </c>
    </row>
    <row r="719" spans="1:13" ht="18">
      <c r="A719" s="9"/>
      <c r="B719" s="18" t="e">
        <f>VLOOKUP(Table27[[#This Row],[Location 
(drop-down)]],'List source'!D$2:E$71,2,FALSE)</f>
        <v>#N/A</v>
      </c>
      <c r="C719" s="154" t="s">
        <v>2058</v>
      </c>
      <c r="D719" s="20" t="e">
        <f t="shared" si="11"/>
        <v>#N/A</v>
      </c>
      <c r="E719" s="9"/>
      <c r="F719" s="10" t="e" cm="1">
        <f t="array" aca="1" ref="F7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19" s="10"/>
      <c r="I719" s="12"/>
      <c r="J719" s="12"/>
      <c r="K719" s="61"/>
      <c r="L719" s="233"/>
      <c r="M719" s="10">
        <f ca="1">IF(ISBLANK(K719), TODAY()-(I719), Table27[[#This Row],[Effectiveness Review &amp; date deemed effective]]-Table27[[#This Row],[PTO initialized date]])</f>
        <v>46067</v>
      </c>
    </row>
    <row r="720" spans="1:13" ht="18">
      <c r="A720" s="9"/>
      <c r="B720" s="18" t="e">
        <f>VLOOKUP(Table27[[#This Row],[Location 
(drop-down)]],'List source'!D$2:E$71,2,FALSE)</f>
        <v>#N/A</v>
      </c>
      <c r="C720" s="154" t="s">
        <v>2059</v>
      </c>
      <c r="D720" s="20" t="e">
        <f t="shared" si="11"/>
        <v>#N/A</v>
      </c>
      <c r="E720" s="9"/>
      <c r="F720" s="10" t="e" cm="1">
        <f t="array" aca="1" ref="F7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0" s="10"/>
      <c r="I720" s="12"/>
      <c r="J720" s="12"/>
      <c r="K720" s="61"/>
      <c r="L720" s="233"/>
      <c r="M720" s="10">
        <f ca="1">IF(ISBLANK(K720), TODAY()-(I720), Table27[[#This Row],[Effectiveness Review &amp; date deemed effective]]-Table27[[#This Row],[PTO initialized date]])</f>
        <v>46067</v>
      </c>
    </row>
    <row r="721" spans="1:13" ht="18">
      <c r="A721" s="9"/>
      <c r="B721" s="18" t="e">
        <f>VLOOKUP(Table27[[#This Row],[Location 
(drop-down)]],'List source'!D$2:E$71,2,FALSE)</f>
        <v>#N/A</v>
      </c>
      <c r="C721" s="154" t="s">
        <v>2060</v>
      </c>
      <c r="D721" s="20" t="e">
        <f t="shared" si="11"/>
        <v>#N/A</v>
      </c>
      <c r="E721" s="9"/>
      <c r="F721" s="10" t="e" cm="1">
        <f t="array" aca="1" ref="F7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1" s="130"/>
      <c r="I721" s="12"/>
      <c r="J721" s="12"/>
      <c r="K721" s="61"/>
      <c r="L721" s="233"/>
      <c r="M721" s="10">
        <f ca="1">IF(ISBLANK(K721), TODAY()-(I721), Table27[[#This Row],[Effectiveness Review &amp; date deemed effective]]-Table27[[#This Row],[PTO initialized date]])</f>
        <v>46067</v>
      </c>
    </row>
    <row r="722" spans="1:13" ht="18">
      <c r="A722" s="9"/>
      <c r="B722" s="18" t="e">
        <f>VLOOKUP(Table27[[#This Row],[Location 
(drop-down)]],'List source'!D$2:E$71,2,FALSE)</f>
        <v>#N/A</v>
      </c>
      <c r="C722" s="154" t="s">
        <v>2061</v>
      </c>
      <c r="D722" s="20" t="e">
        <f t="shared" si="11"/>
        <v>#N/A</v>
      </c>
      <c r="E722" s="9"/>
      <c r="F722" s="10" t="e" cm="1">
        <f t="array" aca="1" ref="F7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2" s="10"/>
      <c r="I722" s="12"/>
      <c r="J722" s="12"/>
      <c r="K722" s="61"/>
      <c r="L722" s="233"/>
      <c r="M722" s="10">
        <f ca="1">IF(ISBLANK(K722), TODAY()-(I722), Table27[[#This Row],[Effectiveness Review &amp; date deemed effective]]-Table27[[#This Row],[PTO initialized date]])</f>
        <v>46067</v>
      </c>
    </row>
    <row r="723" spans="1:13" ht="18">
      <c r="A723" s="9"/>
      <c r="B723" s="18" t="e">
        <f>VLOOKUP(Table27[[#This Row],[Location 
(drop-down)]],'List source'!D$2:E$71,2,FALSE)</f>
        <v>#N/A</v>
      </c>
      <c r="C723" s="154" t="s">
        <v>2062</v>
      </c>
      <c r="D723" s="20" t="e">
        <f t="shared" si="11"/>
        <v>#N/A</v>
      </c>
      <c r="E723" s="9"/>
      <c r="F723" s="10" t="e" cm="1">
        <f t="array" aca="1" ref="F7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3" s="130"/>
      <c r="I723" s="12"/>
      <c r="J723" s="12"/>
      <c r="K723" s="61"/>
      <c r="L723" s="233"/>
      <c r="M723" s="10">
        <f ca="1">IF(ISBLANK(K723), TODAY()-(I723), Table27[[#This Row],[Effectiveness Review &amp; date deemed effective]]-Table27[[#This Row],[PTO initialized date]])</f>
        <v>46067</v>
      </c>
    </row>
    <row r="724" spans="1:13" ht="18">
      <c r="A724" s="9"/>
      <c r="B724" s="18" t="e">
        <f>VLOOKUP(Table27[[#This Row],[Location 
(drop-down)]],'List source'!D$2:E$71,2,FALSE)</f>
        <v>#N/A</v>
      </c>
      <c r="C724" s="154" t="s">
        <v>2063</v>
      </c>
      <c r="D724" s="20" t="e">
        <f t="shared" si="11"/>
        <v>#N/A</v>
      </c>
      <c r="E724" s="9"/>
      <c r="F724" s="10" t="e" cm="1">
        <f t="array" aca="1" ref="F7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4" s="10"/>
      <c r="I724" s="12"/>
      <c r="J724" s="12"/>
      <c r="K724" s="61"/>
      <c r="L724" s="233"/>
      <c r="M724" s="10">
        <f ca="1">IF(ISBLANK(K724), TODAY()-(I724), Table27[[#This Row],[Effectiveness Review &amp; date deemed effective]]-Table27[[#This Row],[PTO initialized date]])</f>
        <v>46067</v>
      </c>
    </row>
    <row r="725" spans="1:13" ht="18">
      <c r="A725" s="9"/>
      <c r="B725" s="18" t="e">
        <f>VLOOKUP(Table27[[#This Row],[Location 
(drop-down)]],'List source'!D$2:E$71,2,FALSE)</f>
        <v>#N/A</v>
      </c>
      <c r="C725" s="154" t="s">
        <v>2064</v>
      </c>
      <c r="D725" s="20" t="e">
        <f t="shared" si="11"/>
        <v>#N/A</v>
      </c>
      <c r="E725" s="9"/>
      <c r="F725" s="10" t="e" cm="1">
        <f t="array" aca="1" ref="F7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5" s="130"/>
      <c r="I725" s="12"/>
      <c r="J725" s="12"/>
      <c r="K725" s="61"/>
      <c r="L725" s="233"/>
      <c r="M725" s="10">
        <f ca="1">IF(ISBLANK(K725), TODAY()-(I725), Table27[[#This Row],[Effectiveness Review &amp; date deemed effective]]-Table27[[#This Row],[PTO initialized date]])</f>
        <v>46067</v>
      </c>
    </row>
    <row r="726" spans="1:13" ht="18">
      <c r="A726" s="9"/>
      <c r="B726" s="18" t="e">
        <f>VLOOKUP(Table27[[#This Row],[Location 
(drop-down)]],'List source'!D$2:E$71,2,FALSE)</f>
        <v>#N/A</v>
      </c>
      <c r="C726" s="154" t="s">
        <v>2065</v>
      </c>
      <c r="D726" s="20" t="e">
        <f t="shared" si="11"/>
        <v>#N/A</v>
      </c>
      <c r="E726" s="9"/>
      <c r="F726" s="10" t="e" cm="1">
        <f t="array" aca="1" ref="F7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6" s="130"/>
      <c r="I726" s="12"/>
      <c r="J726" s="12"/>
      <c r="K726" s="61"/>
      <c r="L726" s="233"/>
      <c r="M726" s="10">
        <f ca="1">IF(ISBLANK(K726), TODAY()-(I726), Table27[[#This Row],[Effectiveness Review &amp; date deemed effective]]-Table27[[#This Row],[PTO initialized date]])</f>
        <v>46067</v>
      </c>
    </row>
    <row r="727" spans="1:13" ht="18">
      <c r="A727" s="9"/>
      <c r="B727" s="18" t="e">
        <f>VLOOKUP(Table27[[#This Row],[Location 
(drop-down)]],'List source'!D$2:E$71,2,FALSE)</f>
        <v>#N/A</v>
      </c>
      <c r="C727" s="154" t="s">
        <v>2066</v>
      </c>
      <c r="D727" s="20" t="e">
        <f t="shared" si="11"/>
        <v>#N/A</v>
      </c>
      <c r="E727" s="9"/>
      <c r="F727" s="10" t="e" cm="1">
        <f t="array" aca="1" ref="F7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7" s="130"/>
      <c r="I727" s="12"/>
      <c r="J727" s="12"/>
      <c r="K727" s="61"/>
      <c r="L727" s="233"/>
      <c r="M727" s="10">
        <f ca="1">IF(ISBLANK(K727), TODAY()-(I727), Table27[[#This Row],[Effectiveness Review &amp; date deemed effective]]-Table27[[#This Row],[PTO initialized date]])</f>
        <v>46067</v>
      </c>
    </row>
    <row r="728" spans="1:13" ht="18">
      <c r="A728" s="9"/>
      <c r="B728" s="18" t="e">
        <f>VLOOKUP(Table27[[#This Row],[Location 
(drop-down)]],'List source'!D$2:E$71,2,FALSE)</f>
        <v>#N/A</v>
      </c>
      <c r="C728" s="154" t="s">
        <v>2067</v>
      </c>
      <c r="D728" s="20" t="e">
        <f t="shared" si="11"/>
        <v>#N/A</v>
      </c>
      <c r="E728" s="9"/>
      <c r="F728" s="10" t="e" cm="1">
        <f t="array" aca="1" ref="F7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8" s="10"/>
      <c r="I728" s="12"/>
      <c r="J728" s="12"/>
      <c r="K728" s="61"/>
      <c r="L728" s="233"/>
      <c r="M728" s="10">
        <f ca="1">IF(ISBLANK(K728), TODAY()-(I728), Table27[[#This Row],[Effectiveness Review &amp; date deemed effective]]-Table27[[#This Row],[PTO initialized date]])</f>
        <v>46067</v>
      </c>
    </row>
    <row r="729" spans="1:13" ht="18">
      <c r="A729" s="9"/>
      <c r="B729" s="18" t="e">
        <f>VLOOKUP(Table27[[#This Row],[Location 
(drop-down)]],'List source'!D$2:E$71,2,FALSE)</f>
        <v>#N/A</v>
      </c>
      <c r="C729" s="154" t="s">
        <v>2068</v>
      </c>
      <c r="D729" s="20" t="e">
        <f t="shared" si="11"/>
        <v>#N/A</v>
      </c>
      <c r="E729" s="9"/>
      <c r="F729" s="10" t="e" cm="1">
        <f t="array" aca="1" ref="F7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29" s="10"/>
      <c r="I729" s="12"/>
      <c r="J729" s="12"/>
      <c r="K729" s="61"/>
      <c r="L729" s="233"/>
      <c r="M729" s="10">
        <f ca="1">IF(ISBLANK(K729), TODAY()-(I729), Table27[[#This Row],[Effectiveness Review &amp; date deemed effective]]-Table27[[#This Row],[PTO initialized date]])</f>
        <v>46067</v>
      </c>
    </row>
    <row r="730" spans="1:13" ht="18">
      <c r="A730" s="9"/>
      <c r="B730" s="18" t="e">
        <f>VLOOKUP(Table27[[#This Row],[Location 
(drop-down)]],'List source'!D$2:E$71,2,FALSE)</f>
        <v>#N/A</v>
      </c>
      <c r="C730" s="154" t="s">
        <v>2069</v>
      </c>
      <c r="D730" s="20" t="e">
        <f t="shared" si="11"/>
        <v>#N/A</v>
      </c>
      <c r="E730" s="9"/>
      <c r="F730" s="10" t="e" cm="1">
        <f t="array" aca="1" ref="F7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0" s="10"/>
      <c r="I730" s="12"/>
      <c r="J730" s="12"/>
      <c r="K730" s="61"/>
      <c r="L730" s="233"/>
      <c r="M730" s="10">
        <f ca="1">IF(ISBLANK(K730), TODAY()-(I730), Table27[[#This Row],[Effectiveness Review &amp; date deemed effective]]-Table27[[#This Row],[PTO initialized date]])</f>
        <v>46067</v>
      </c>
    </row>
    <row r="731" spans="1:13" ht="18">
      <c r="A731" s="9"/>
      <c r="B731" s="18" t="e">
        <f>VLOOKUP(Table27[[#This Row],[Location 
(drop-down)]],'List source'!D$2:E$71,2,FALSE)</f>
        <v>#N/A</v>
      </c>
      <c r="C731" s="154" t="s">
        <v>2070</v>
      </c>
      <c r="D731" s="20" t="e">
        <f t="shared" si="11"/>
        <v>#N/A</v>
      </c>
      <c r="E731" s="9"/>
      <c r="F731" s="10" t="e" cm="1">
        <f t="array" aca="1" ref="F7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1" s="130"/>
      <c r="I731" s="12"/>
      <c r="J731" s="12"/>
      <c r="K731" s="61"/>
      <c r="L731" s="233"/>
      <c r="M731" s="10">
        <f ca="1">IF(ISBLANK(K731), TODAY()-(I731), Table27[[#This Row],[Effectiveness Review &amp; date deemed effective]]-Table27[[#This Row],[PTO initialized date]])</f>
        <v>46067</v>
      </c>
    </row>
    <row r="732" spans="1:13" ht="18">
      <c r="A732" s="9"/>
      <c r="B732" s="18" t="e">
        <f>VLOOKUP(Table27[[#This Row],[Location 
(drop-down)]],'List source'!D$2:E$71,2,FALSE)</f>
        <v>#N/A</v>
      </c>
      <c r="C732" s="154" t="s">
        <v>2071</v>
      </c>
      <c r="D732" s="20" t="e">
        <f t="shared" si="11"/>
        <v>#N/A</v>
      </c>
      <c r="E732" s="9"/>
      <c r="F732" s="10" t="e" cm="1">
        <f t="array" aca="1" ref="F7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2" s="10"/>
      <c r="I732" s="12"/>
      <c r="J732" s="12"/>
      <c r="K732" s="61"/>
      <c r="L732" s="233"/>
      <c r="M732" s="10">
        <f ca="1">IF(ISBLANK(K732), TODAY()-(I732), Table27[[#This Row],[Effectiveness Review &amp; date deemed effective]]-Table27[[#This Row],[PTO initialized date]])</f>
        <v>46067</v>
      </c>
    </row>
    <row r="733" spans="1:13" ht="18">
      <c r="A733" s="9"/>
      <c r="B733" s="18" t="e">
        <f>VLOOKUP(Table27[[#This Row],[Location 
(drop-down)]],'List source'!D$2:E$71,2,FALSE)</f>
        <v>#N/A</v>
      </c>
      <c r="C733" s="154" t="s">
        <v>2072</v>
      </c>
      <c r="D733" s="20" t="e">
        <f t="shared" si="11"/>
        <v>#N/A</v>
      </c>
      <c r="E733" s="9"/>
      <c r="F733" s="10" t="e" cm="1">
        <f t="array" aca="1" ref="F7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3" s="130"/>
      <c r="I733" s="12"/>
      <c r="J733" s="12"/>
      <c r="K733" s="61"/>
      <c r="L733" s="233"/>
      <c r="M733" s="10">
        <f ca="1">IF(ISBLANK(K733), TODAY()-(I733), Table27[[#This Row],[Effectiveness Review &amp; date deemed effective]]-Table27[[#This Row],[PTO initialized date]])</f>
        <v>46067</v>
      </c>
    </row>
    <row r="734" spans="1:13" ht="18">
      <c r="A734" s="9"/>
      <c r="B734" s="18" t="e">
        <f>VLOOKUP(Table27[[#This Row],[Location 
(drop-down)]],'List source'!D$2:E$71,2,FALSE)</f>
        <v>#N/A</v>
      </c>
      <c r="C734" s="154" t="s">
        <v>2073</v>
      </c>
      <c r="D734" s="20" t="e">
        <f t="shared" si="11"/>
        <v>#N/A</v>
      </c>
      <c r="E734" s="9"/>
      <c r="F734" s="10" t="e" cm="1">
        <f t="array" aca="1" ref="F7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4" s="10"/>
      <c r="I734" s="12"/>
      <c r="J734" s="12"/>
      <c r="K734" s="61"/>
      <c r="L734" s="233"/>
      <c r="M734" s="10">
        <f ca="1">IF(ISBLANK(K734), TODAY()-(I734), Table27[[#This Row],[Effectiveness Review &amp; date deemed effective]]-Table27[[#This Row],[PTO initialized date]])</f>
        <v>46067</v>
      </c>
    </row>
    <row r="735" spans="1:13" ht="18">
      <c r="A735" s="9"/>
      <c r="B735" s="18" t="e">
        <f>VLOOKUP(Table27[[#This Row],[Location 
(drop-down)]],'List source'!D$2:E$71,2,FALSE)</f>
        <v>#N/A</v>
      </c>
      <c r="C735" s="154" t="s">
        <v>2074</v>
      </c>
      <c r="D735" s="20" t="e">
        <f t="shared" si="11"/>
        <v>#N/A</v>
      </c>
      <c r="E735" s="9"/>
      <c r="F735" s="10" t="e" cm="1">
        <f t="array" aca="1" ref="F7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5" s="10"/>
      <c r="I735" s="12"/>
      <c r="J735" s="12"/>
      <c r="K735" s="61"/>
      <c r="L735" s="233"/>
      <c r="M735" s="10">
        <f ca="1">IF(ISBLANK(K735), TODAY()-(I735), Table27[[#This Row],[Effectiveness Review &amp; date deemed effective]]-Table27[[#This Row],[PTO initialized date]])</f>
        <v>46067</v>
      </c>
    </row>
    <row r="736" spans="1:13" ht="18">
      <c r="A736" s="9"/>
      <c r="B736" s="18" t="e">
        <f>VLOOKUP(Table27[[#This Row],[Location 
(drop-down)]],'List source'!D$2:E$71,2,FALSE)</f>
        <v>#N/A</v>
      </c>
      <c r="C736" s="154" t="s">
        <v>2075</v>
      </c>
      <c r="D736" s="20" t="e">
        <f t="shared" si="11"/>
        <v>#N/A</v>
      </c>
      <c r="E736" s="9"/>
      <c r="F736" s="10" t="e" cm="1">
        <f t="array" aca="1" ref="F7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6" s="130"/>
      <c r="I736" s="12"/>
      <c r="J736" s="12"/>
      <c r="K736" s="61"/>
      <c r="L736" s="233"/>
      <c r="M736" s="10">
        <f ca="1">IF(ISBLANK(K736), TODAY()-(I736), Table27[[#This Row],[Effectiveness Review &amp; date deemed effective]]-Table27[[#This Row],[PTO initialized date]])</f>
        <v>46067</v>
      </c>
    </row>
    <row r="737" spans="1:13" ht="18">
      <c r="A737" s="9"/>
      <c r="B737" s="18" t="e">
        <f>VLOOKUP(Table27[[#This Row],[Location 
(drop-down)]],'List source'!D$2:E$71,2,FALSE)</f>
        <v>#N/A</v>
      </c>
      <c r="C737" s="154" t="s">
        <v>2076</v>
      </c>
      <c r="D737" s="20" t="e">
        <f t="shared" si="11"/>
        <v>#N/A</v>
      </c>
      <c r="E737" s="9"/>
      <c r="F737" s="10" t="e" cm="1">
        <f t="array" aca="1" ref="F7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7" s="10"/>
      <c r="I737" s="12"/>
      <c r="J737" s="12"/>
      <c r="K737" s="61"/>
      <c r="L737" s="233"/>
      <c r="M737" s="10">
        <f ca="1">IF(ISBLANK(K737), TODAY()-(I737), Table27[[#This Row],[Effectiveness Review &amp; date deemed effective]]-Table27[[#This Row],[PTO initialized date]])</f>
        <v>46067</v>
      </c>
    </row>
    <row r="738" spans="1:13" ht="18">
      <c r="A738" s="9"/>
      <c r="B738" s="18" t="e">
        <f>VLOOKUP(Table27[[#This Row],[Location 
(drop-down)]],'List source'!D$2:E$71,2,FALSE)</f>
        <v>#N/A</v>
      </c>
      <c r="C738" s="154" t="s">
        <v>2077</v>
      </c>
      <c r="D738" s="20" t="e">
        <f t="shared" si="11"/>
        <v>#N/A</v>
      </c>
      <c r="E738" s="9"/>
      <c r="F738" s="10" t="e" cm="1">
        <f t="array" aca="1" ref="F7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8" s="130"/>
      <c r="I738" s="12"/>
      <c r="J738" s="12"/>
      <c r="K738" s="61"/>
      <c r="L738" s="233"/>
      <c r="M738" s="10">
        <f ca="1">IF(ISBLANK(K738), TODAY()-(I738), Table27[[#This Row],[Effectiveness Review &amp; date deemed effective]]-Table27[[#This Row],[PTO initialized date]])</f>
        <v>46067</v>
      </c>
    </row>
    <row r="739" spans="1:13" ht="18">
      <c r="A739" s="9"/>
      <c r="B739" s="18" t="e">
        <f>VLOOKUP(Table27[[#This Row],[Location 
(drop-down)]],'List source'!D$2:E$71,2,FALSE)</f>
        <v>#N/A</v>
      </c>
      <c r="C739" s="154" t="s">
        <v>2078</v>
      </c>
      <c r="D739" s="20" t="e">
        <f t="shared" si="11"/>
        <v>#N/A</v>
      </c>
      <c r="E739" s="9"/>
      <c r="F739" s="10" t="e" cm="1">
        <f t="array" aca="1" ref="F7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39" s="130"/>
      <c r="I739" s="12"/>
      <c r="J739" s="12"/>
      <c r="K739" s="61"/>
      <c r="L739" s="233"/>
      <c r="M739" s="10">
        <f ca="1">IF(ISBLANK(K739), TODAY()-(I739), Table27[[#This Row],[Effectiveness Review &amp; date deemed effective]]-Table27[[#This Row],[PTO initialized date]])</f>
        <v>46067</v>
      </c>
    </row>
    <row r="740" spans="1:13" ht="18">
      <c r="A740" s="9"/>
      <c r="B740" s="18" t="e">
        <f>VLOOKUP(Table27[[#This Row],[Location 
(drop-down)]],'List source'!D$2:E$71,2,FALSE)</f>
        <v>#N/A</v>
      </c>
      <c r="C740" s="154" t="s">
        <v>2079</v>
      </c>
      <c r="D740" s="20" t="e">
        <f t="shared" si="11"/>
        <v>#N/A</v>
      </c>
      <c r="E740" s="9"/>
      <c r="F740" s="10" t="e" cm="1">
        <f t="array" aca="1" ref="F7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0" s="10"/>
      <c r="I740" s="12"/>
      <c r="J740" s="12"/>
      <c r="K740" s="61"/>
      <c r="L740" s="233"/>
      <c r="M740" s="10">
        <f ca="1">IF(ISBLANK(K740), TODAY()-(I740), Table27[[#This Row],[Effectiveness Review &amp; date deemed effective]]-Table27[[#This Row],[PTO initialized date]])</f>
        <v>46067</v>
      </c>
    </row>
    <row r="741" spans="1:13" ht="18">
      <c r="A741" s="9"/>
      <c r="B741" s="18" t="e">
        <f>VLOOKUP(Table27[[#This Row],[Location 
(drop-down)]],'List source'!D$2:E$71,2,FALSE)</f>
        <v>#N/A</v>
      </c>
      <c r="C741" s="154" t="s">
        <v>2080</v>
      </c>
      <c r="D741" s="20" t="e">
        <f t="shared" si="11"/>
        <v>#N/A</v>
      </c>
      <c r="E741" s="9"/>
      <c r="F741" s="10" t="e" cm="1">
        <f t="array" aca="1" ref="F7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1" s="130"/>
      <c r="I741" s="12"/>
      <c r="J741" s="12"/>
      <c r="K741" s="61"/>
      <c r="L741" s="233"/>
      <c r="M741" s="10">
        <f ca="1">IF(ISBLANK(K741), TODAY()-(I741), Table27[[#This Row],[Effectiveness Review &amp; date deemed effective]]-Table27[[#This Row],[PTO initialized date]])</f>
        <v>46067</v>
      </c>
    </row>
    <row r="742" spans="1:13" ht="18">
      <c r="A742" s="9"/>
      <c r="B742" s="18" t="e">
        <f>VLOOKUP(Table27[[#This Row],[Location 
(drop-down)]],'List source'!D$2:E$71,2,FALSE)</f>
        <v>#N/A</v>
      </c>
      <c r="C742" s="154" t="s">
        <v>2081</v>
      </c>
      <c r="D742" s="20" t="e">
        <f t="shared" si="11"/>
        <v>#N/A</v>
      </c>
      <c r="E742" s="9"/>
      <c r="F742" s="10" t="e" cm="1">
        <f t="array" aca="1" ref="F7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2" s="10"/>
      <c r="I742" s="12"/>
      <c r="J742" s="12"/>
      <c r="K742" s="61"/>
      <c r="L742" s="233"/>
      <c r="M742" s="10">
        <f ca="1">IF(ISBLANK(K742), TODAY()-(I742), Table27[[#This Row],[Effectiveness Review &amp; date deemed effective]]-Table27[[#This Row],[PTO initialized date]])</f>
        <v>46067</v>
      </c>
    </row>
    <row r="743" spans="1:13" ht="18">
      <c r="A743" s="9"/>
      <c r="B743" s="18" t="e">
        <f>VLOOKUP(Table27[[#This Row],[Location 
(drop-down)]],'List source'!D$2:E$71,2,FALSE)</f>
        <v>#N/A</v>
      </c>
      <c r="C743" s="154" t="s">
        <v>2082</v>
      </c>
      <c r="D743" s="20" t="e">
        <f t="shared" si="11"/>
        <v>#N/A</v>
      </c>
      <c r="E743" s="9"/>
      <c r="F743" s="10" t="e" cm="1">
        <f t="array" aca="1" ref="F7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3" s="10"/>
      <c r="I743" s="12"/>
      <c r="J743" s="12"/>
      <c r="K743" s="61"/>
      <c r="L743" s="233"/>
      <c r="M743" s="10">
        <f ca="1">IF(ISBLANK(K743), TODAY()-(I743), Table27[[#This Row],[Effectiveness Review &amp; date deemed effective]]-Table27[[#This Row],[PTO initialized date]])</f>
        <v>46067</v>
      </c>
    </row>
    <row r="744" spans="1:13" ht="18">
      <c r="A744" s="9"/>
      <c r="B744" s="18" t="e">
        <f>VLOOKUP(Table27[[#This Row],[Location 
(drop-down)]],'List source'!D$2:E$71,2,FALSE)</f>
        <v>#N/A</v>
      </c>
      <c r="C744" s="154" t="s">
        <v>2083</v>
      </c>
      <c r="D744" s="20" t="e">
        <f t="shared" si="11"/>
        <v>#N/A</v>
      </c>
      <c r="E744" s="9"/>
      <c r="F744" s="10" t="e" cm="1">
        <f t="array" aca="1" ref="F7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4" s="130"/>
      <c r="I744" s="12"/>
      <c r="J744" s="12"/>
      <c r="K744" s="61"/>
      <c r="L744" s="233"/>
      <c r="M744" s="10">
        <f ca="1">IF(ISBLANK(K744), TODAY()-(I744), Table27[[#This Row],[Effectiveness Review &amp; date deemed effective]]-Table27[[#This Row],[PTO initialized date]])</f>
        <v>46067</v>
      </c>
    </row>
    <row r="745" spans="1:13" ht="18">
      <c r="A745" s="9"/>
      <c r="B745" s="18" t="e">
        <f>VLOOKUP(Table27[[#This Row],[Location 
(drop-down)]],'List source'!D$2:E$71,2,FALSE)</f>
        <v>#N/A</v>
      </c>
      <c r="C745" s="154" t="s">
        <v>2084</v>
      </c>
      <c r="D745" s="20" t="e">
        <f t="shared" si="11"/>
        <v>#N/A</v>
      </c>
      <c r="E745" s="9"/>
      <c r="F745" s="10" t="e" cm="1">
        <f t="array" aca="1" ref="F7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5" s="10"/>
      <c r="I745" s="12"/>
      <c r="J745" s="12"/>
      <c r="K745" s="61"/>
      <c r="L745" s="233"/>
      <c r="M745" s="10">
        <f ca="1">IF(ISBLANK(K745), TODAY()-(I745), Table27[[#This Row],[Effectiveness Review &amp; date deemed effective]]-Table27[[#This Row],[PTO initialized date]])</f>
        <v>46067</v>
      </c>
    </row>
    <row r="746" spans="1:13" ht="18">
      <c r="A746" s="9"/>
      <c r="B746" s="18" t="e">
        <f>VLOOKUP(Table27[[#This Row],[Location 
(drop-down)]],'List source'!D$2:E$71,2,FALSE)</f>
        <v>#N/A</v>
      </c>
      <c r="C746" s="154" t="s">
        <v>2085</v>
      </c>
      <c r="D746" s="20" t="e">
        <f t="shared" si="11"/>
        <v>#N/A</v>
      </c>
      <c r="E746" s="9"/>
      <c r="F746" s="10" t="e" cm="1">
        <f t="array" aca="1" ref="F7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6" s="10"/>
      <c r="I746" s="12"/>
      <c r="J746" s="12"/>
      <c r="K746" s="61"/>
      <c r="L746" s="233"/>
      <c r="M746" s="10">
        <f ca="1">IF(ISBLANK(K746), TODAY()-(I746), Table27[[#This Row],[Effectiveness Review &amp; date deemed effective]]-Table27[[#This Row],[PTO initialized date]])</f>
        <v>46067</v>
      </c>
    </row>
    <row r="747" spans="1:13" ht="18">
      <c r="A747" s="9"/>
      <c r="B747" s="18" t="e">
        <f>VLOOKUP(Table27[[#This Row],[Location 
(drop-down)]],'List source'!D$2:E$71,2,FALSE)</f>
        <v>#N/A</v>
      </c>
      <c r="C747" s="154" t="s">
        <v>2086</v>
      </c>
      <c r="D747" s="20" t="e">
        <f t="shared" si="11"/>
        <v>#N/A</v>
      </c>
      <c r="E747" s="9"/>
      <c r="F747" s="10" t="e" cm="1">
        <f t="array" aca="1" ref="F7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7" s="130"/>
      <c r="I747" s="12"/>
      <c r="J747" s="12"/>
      <c r="K747" s="61"/>
      <c r="L747" s="233"/>
      <c r="M747" s="10">
        <f ca="1">IF(ISBLANK(K747), TODAY()-(I747), Table27[[#This Row],[Effectiveness Review &amp; date deemed effective]]-Table27[[#This Row],[PTO initialized date]])</f>
        <v>46067</v>
      </c>
    </row>
    <row r="748" spans="1:13" ht="18">
      <c r="A748" s="9"/>
      <c r="B748" s="18" t="e">
        <f>VLOOKUP(Table27[[#This Row],[Location 
(drop-down)]],'List source'!D$2:E$71,2,FALSE)</f>
        <v>#N/A</v>
      </c>
      <c r="C748" s="154" t="s">
        <v>2087</v>
      </c>
      <c r="D748" s="20" t="e">
        <f t="shared" si="11"/>
        <v>#N/A</v>
      </c>
      <c r="E748" s="9"/>
      <c r="F748" s="10" t="e" cm="1">
        <f t="array" aca="1" ref="F7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8" s="10"/>
      <c r="I748" s="12"/>
      <c r="J748" s="12"/>
      <c r="K748" s="61"/>
      <c r="L748" s="233"/>
      <c r="M748" s="10">
        <f ca="1">IF(ISBLANK(K748), TODAY()-(I748), Table27[[#This Row],[Effectiveness Review &amp; date deemed effective]]-Table27[[#This Row],[PTO initialized date]])</f>
        <v>46067</v>
      </c>
    </row>
    <row r="749" spans="1:13" ht="18">
      <c r="A749" s="9"/>
      <c r="B749" s="18" t="e">
        <f>VLOOKUP(Table27[[#This Row],[Location 
(drop-down)]],'List source'!D$2:E$71,2,FALSE)</f>
        <v>#N/A</v>
      </c>
      <c r="C749" s="154" t="s">
        <v>2088</v>
      </c>
      <c r="D749" s="20" t="e">
        <f t="shared" si="11"/>
        <v>#N/A</v>
      </c>
      <c r="E749" s="9"/>
      <c r="F749" s="10" t="e" cm="1">
        <f t="array" aca="1" ref="F7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49" s="130"/>
      <c r="I749" s="12"/>
      <c r="J749" s="12"/>
      <c r="K749" s="61"/>
      <c r="L749" s="233"/>
      <c r="M749" s="10">
        <f ca="1">IF(ISBLANK(K749), TODAY()-(I749), Table27[[#This Row],[Effectiveness Review &amp; date deemed effective]]-Table27[[#This Row],[PTO initialized date]])</f>
        <v>46067</v>
      </c>
    </row>
    <row r="750" spans="1:13" ht="18">
      <c r="A750" s="9"/>
      <c r="B750" s="18" t="e">
        <f>VLOOKUP(Table27[[#This Row],[Location 
(drop-down)]],'List source'!D$2:E$71,2,FALSE)</f>
        <v>#N/A</v>
      </c>
      <c r="C750" s="154" t="s">
        <v>2089</v>
      </c>
      <c r="D750" s="20" t="e">
        <f t="shared" si="11"/>
        <v>#N/A</v>
      </c>
      <c r="E750" s="9"/>
      <c r="F750" s="10" t="e" cm="1">
        <f t="array" aca="1" ref="F7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0" s="130"/>
      <c r="I750" s="12"/>
      <c r="J750" s="12"/>
      <c r="K750" s="61"/>
      <c r="L750" s="233"/>
      <c r="M750" s="10">
        <f ca="1">IF(ISBLANK(K750), TODAY()-(I750), Table27[[#This Row],[Effectiveness Review &amp; date deemed effective]]-Table27[[#This Row],[PTO initialized date]])</f>
        <v>46067</v>
      </c>
    </row>
    <row r="751" spans="1:13" ht="18">
      <c r="A751" s="9"/>
      <c r="B751" s="18" t="e">
        <f>VLOOKUP(Table27[[#This Row],[Location 
(drop-down)]],'List source'!D$2:E$71,2,FALSE)</f>
        <v>#N/A</v>
      </c>
      <c r="C751" s="154" t="s">
        <v>2090</v>
      </c>
      <c r="D751" s="20" t="e">
        <f t="shared" si="11"/>
        <v>#N/A</v>
      </c>
      <c r="E751" s="9"/>
      <c r="F751" s="10" t="e" cm="1">
        <f t="array" aca="1" ref="F7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1" s="10"/>
      <c r="I751" s="12"/>
      <c r="J751" s="12"/>
      <c r="K751" s="61"/>
      <c r="L751" s="233"/>
      <c r="M751" s="10">
        <f ca="1">IF(ISBLANK(K751), TODAY()-(I751), Table27[[#This Row],[Effectiveness Review &amp; date deemed effective]]-Table27[[#This Row],[PTO initialized date]])</f>
        <v>46067</v>
      </c>
    </row>
    <row r="752" spans="1:13" ht="18">
      <c r="A752" s="9"/>
      <c r="B752" s="18" t="e">
        <f>VLOOKUP(Table27[[#This Row],[Location 
(drop-down)]],'List source'!D$2:E$71,2,FALSE)</f>
        <v>#N/A</v>
      </c>
      <c r="C752" s="154" t="s">
        <v>2091</v>
      </c>
      <c r="D752" s="20" t="e">
        <f t="shared" si="11"/>
        <v>#N/A</v>
      </c>
      <c r="E752" s="9"/>
      <c r="F752" s="10" t="e" cm="1">
        <f t="array" aca="1" ref="F7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2" s="10"/>
      <c r="I752" s="12"/>
      <c r="J752" s="12"/>
      <c r="K752" s="61"/>
      <c r="L752" s="233"/>
      <c r="M752" s="10">
        <f ca="1">IF(ISBLANK(K752), TODAY()-(I752), Table27[[#This Row],[Effectiveness Review &amp; date deemed effective]]-Table27[[#This Row],[PTO initialized date]])</f>
        <v>46067</v>
      </c>
    </row>
    <row r="753" spans="1:13" ht="18">
      <c r="A753" s="9"/>
      <c r="B753" s="18" t="e">
        <f>VLOOKUP(Table27[[#This Row],[Location 
(drop-down)]],'List source'!D$2:E$71,2,FALSE)</f>
        <v>#N/A</v>
      </c>
      <c r="C753" s="154" t="s">
        <v>2092</v>
      </c>
      <c r="D753" s="20" t="e">
        <f t="shared" si="11"/>
        <v>#N/A</v>
      </c>
      <c r="E753" s="9"/>
      <c r="F753" s="10" t="e" cm="1">
        <f t="array" aca="1" ref="F7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3" s="10"/>
      <c r="I753" s="12"/>
      <c r="J753" s="12"/>
      <c r="K753" s="61"/>
      <c r="L753" s="233"/>
      <c r="M753" s="10">
        <f ca="1">IF(ISBLANK(K753), TODAY()-(I753), Table27[[#This Row],[Effectiveness Review &amp; date deemed effective]]-Table27[[#This Row],[PTO initialized date]])</f>
        <v>46067</v>
      </c>
    </row>
    <row r="754" spans="1:13" ht="18">
      <c r="A754" s="9"/>
      <c r="B754" s="18" t="e">
        <f>VLOOKUP(Table27[[#This Row],[Location 
(drop-down)]],'List source'!D$2:E$71,2,FALSE)</f>
        <v>#N/A</v>
      </c>
      <c r="C754" s="154" t="s">
        <v>2093</v>
      </c>
      <c r="D754" s="20" t="e">
        <f t="shared" si="11"/>
        <v>#N/A</v>
      </c>
      <c r="E754" s="9"/>
      <c r="F754" s="10" t="e" cm="1">
        <f t="array" aca="1" ref="F7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4" s="130"/>
      <c r="I754" s="12"/>
      <c r="J754" s="12"/>
      <c r="K754" s="61"/>
      <c r="L754" s="233"/>
      <c r="M754" s="10">
        <f ca="1">IF(ISBLANK(K754), TODAY()-(I754), Table27[[#This Row],[Effectiveness Review &amp; date deemed effective]]-Table27[[#This Row],[PTO initialized date]])</f>
        <v>46067</v>
      </c>
    </row>
    <row r="755" spans="1:13" ht="18">
      <c r="A755" s="9"/>
      <c r="B755" s="18" t="e">
        <f>VLOOKUP(Table27[[#This Row],[Location 
(drop-down)]],'List source'!D$2:E$71,2,FALSE)</f>
        <v>#N/A</v>
      </c>
      <c r="C755" s="154" t="s">
        <v>2094</v>
      </c>
      <c r="D755" s="20" t="e">
        <f t="shared" si="11"/>
        <v>#N/A</v>
      </c>
      <c r="E755" s="9"/>
      <c r="F755" s="10" t="e" cm="1">
        <f t="array" aca="1" ref="F7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5" s="10"/>
      <c r="I755" s="12"/>
      <c r="J755" s="12"/>
      <c r="K755" s="61"/>
      <c r="L755" s="233"/>
      <c r="M755" s="10">
        <f ca="1">IF(ISBLANK(K755), TODAY()-(I755), Table27[[#This Row],[Effectiveness Review &amp; date deemed effective]]-Table27[[#This Row],[PTO initialized date]])</f>
        <v>46067</v>
      </c>
    </row>
    <row r="756" spans="1:13" ht="18">
      <c r="A756" s="9"/>
      <c r="B756" s="18" t="e">
        <f>VLOOKUP(Table27[[#This Row],[Location 
(drop-down)]],'List source'!D$2:E$71,2,FALSE)</f>
        <v>#N/A</v>
      </c>
      <c r="C756" s="154" t="s">
        <v>2095</v>
      </c>
      <c r="D756" s="20" t="e">
        <f t="shared" si="11"/>
        <v>#N/A</v>
      </c>
      <c r="E756" s="9"/>
      <c r="F756" s="10" t="e" cm="1">
        <f t="array" aca="1" ref="F7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6" s="130"/>
      <c r="I756" s="12"/>
      <c r="J756" s="12"/>
      <c r="K756" s="61"/>
      <c r="L756" s="233"/>
      <c r="M756" s="10">
        <f ca="1">IF(ISBLANK(K756), TODAY()-(I756), Table27[[#This Row],[Effectiveness Review &amp; date deemed effective]]-Table27[[#This Row],[PTO initialized date]])</f>
        <v>46067</v>
      </c>
    </row>
    <row r="757" spans="1:13" ht="18">
      <c r="A757" s="9"/>
      <c r="B757" s="18" t="e">
        <f>VLOOKUP(Table27[[#This Row],[Location 
(drop-down)]],'List source'!D$2:E$71,2,FALSE)</f>
        <v>#N/A</v>
      </c>
      <c r="C757" s="154" t="s">
        <v>2096</v>
      </c>
      <c r="D757" s="20" t="e">
        <f t="shared" si="11"/>
        <v>#N/A</v>
      </c>
      <c r="E757" s="9"/>
      <c r="F757" s="10" t="e" cm="1">
        <f t="array" aca="1" ref="F7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7" s="10"/>
      <c r="I757" s="12"/>
      <c r="J757" s="12"/>
      <c r="K757" s="61"/>
      <c r="L757" s="233"/>
      <c r="M757" s="10">
        <f ca="1">IF(ISBLANK(K757), TODAY()-(I757), Table27[[#This Row],[Effectiveness Review &amp; date deemed effective]]-Table27[[#This Row],[PTO initialized date]])</f>
        <v>46067</v>
      </c>
    </row>
    <row r="758" spans="1:13" ht="27" customHeight="1">
      <c r="A758" s="9"/>
      <c r="B758" s="18" t="e">
        <f>VLOOKUP(Table27[[#This Row],[Location 
(drop-down)]],'List source'!D$2:E$71,2,FALSE)</f>
        <v>#N/A</v>
      </c>
      <c r="C758" s="154" t="s">
        <v>2097</v>
      </c>
      <c r="D758" s="20" t="e">
        <f t="shared" si="11"/>
        <v>#N/A</v>
      </c>
      <c r="E758" s="9"/>
      <c r="F758" s="10" t="e" cm="1">
        <f t="array" aca="1" ref="F7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8" s="10"/>
      <c r="I758" s="12"/>
      <c r="J758" s="12"/>
      <c r="K758" s="61"/>
      <c r="L758" s="233"/>
      <c r="M758" s="10">
        <f ca="1">IF(ISBLANK(K758), TODAY()-(I758), Table27[[#This Row],[Effectiveness Review &amp; date deemed effective]]-Table27[[#This Row],[PTO initialized date]])</f>
        <v>46067</v>
      </c>
    </row>
    <row r="759" spans="1:13" ht="18">
      <c r="A759" s="9"/>
      <c r="B759" s="18" t="e">
        <f>VLOOKUP(Table27[[#This Row],[Location 
(drop-down)]],'List source'!D$2:E$71,2,FALSE)</f>
        <v>#N/A</v>
      </c>
      <c r="C759" s="154" t="s">
        <v>2098</v>
      </c>
      <c r="D759" s="20" t="e">
        <f t="shared" si="11"/>
        <v>#N/A</v>
      </c>
      <c r="E759" s="9"/>
      <c r="F759" s="10" t="e" cm="1">
        <f t="array" aca="1" ref="F7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59" s="130"/>
      <c r="I759" s="12"/>
      <c r="J759" s="12"/>
      <c r="K759" s="61"/>
      <c r="L759" s="233"/>
      <c r="M759" s="10">
        <f ca="1">IF(ISBLANK(K759), TODAY()-(I759), Table27[[#This Row],[Effectiveness Review &amp; date deemed effective]]-Table27[[#This Row],[PTO initialized date]])</f>
        <v>46067</v>
      </c>
    </row>
    <row r="760" spans="1:13" ht="18">
      <c r="A760" s="9"/>
      <c r="B760" s="18" t="e">
        <f>VLOOKUP(Table27[[#This Row],[Location 
(drop-down)]],'List source'!D$2:E$71,2,FALSE)</f>
        <v>#N/A</v>
      </c>
      <c r="C760" s="154" t="s">
        <v>2099</v>
      </c>
      <c r="D760" s="20" t="e">
        <f t="shared" si="11"/>
        <v>#N/A</v>
      </c>
      <c r="E760" s="9"/>
      <c r="F760" s="10" t="e" cm="1">
        <f t="array" aca="1" ref="F7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0" s="10"/>
      <c r="I760" s="12"/>
      <c r="J760" s="12"/>
      <c r="K760" s="61"/>
      <c r="L760" s="233"/>
      <c r="M760" s="10">
        <f ca="1">IF(ISBLANK(K760), TODAY()-(I760), Table27[[#This Row],[Effectiveness Review &amp; date deemed effective]]-Table27[[#This Row],[PTO initialized date]])</f>
        <v>46067</v>
      </c>
    </row>
    <row r="761" spans="1:13" ht="18">
      <c r="A761" s="9"/>
      <c r="B761" s="18" t="e">
        <f>VLOOKUP(Table27[[#This Row],[Location 
(drop-down)]],'List source'!D$2:E$71,2,FALSE)</f>
        <v>#N/A</v>
      </c>
      <c r="C761" s="154" t="s">
        <v>2100</v>
      </c>
      <c r="D761" s="20" t="e">
        <f t="shared" si="11"/>
        <v>#N/A</v>
      </c>
      <c r="E761" s="9"/>
      <c r="F761" s="10" t="e" cm="1">
        <f t="array" aca="1" ref="F7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1" s="130"/>
      <c r="I761" s="12"/>
      <c r="J761" s="12"/>
      <c r="K761" s="61"/>
      <c r="L761" s="233"/>
      <c r="M761" s="10">
        <f ca="1">IF(ISBLANK(K761), TODAY()-(I761), Table27[[#This Row],[Effectiveness Review &amp; date deemed effective]]-Table27[[#This Row],[PTO initialized date]])</f>
        <v>46067</v>
      </c>
    </row>
    <row r="762" spans="1:13" ht="18">
      <c r="A762" s="9"/>
      <c r="B762" s="18" t="e">
        <f>VLOOKUP(Table27[[#This Row],[Location 
(drop-down)]],'List source'!D$2:E$71,2,FALSE)</f>
        <v>#N/A</v>
      </c>
      <c r="C762" s="154" t="s">
        <v>2101</v>
      </c>
      <c r="D762" s="20" t="e">
        <f t="shared" si="11"/>
        <v>#N/A</v>
      </c>
      <c r="E762" s="9"/>
      <c r="F762" s="10" t="e" cm="1">
        <f t="array" aca="1" ref="F7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2" s="130"/>
      <c r="I762" s="12"/>
      <c r="J762" s="12"/>
      <c r="K762" s="61"/>
      <c r="L762" s="233"/>
      <c r="M762" s="10">
        <f ca="1">IF(ISBLANK(K762), TODAY()-(I762), Table27[[#This Row],[Effectiveness Review &amp; date deemed effective]]-Table27[[#This Row],[PTO initialized date]])</f>
        <v>46067</v>
      </c>
    </row>
    <row r="763" spans="1:13" ht="18">
      <c r="A763" s="9"/>
      <c r="B763" s="18" t="e">
        <f>VLOOKUP(Table27[[#This Row],[Location 
(drop-down)]],'List source'!D$2:E$71,2,FALSE)</f>
        <v>#N/A</v>
      </c>
      <c r="C763" s="154" t="s">
        <v>2102</v>
      </c>
      <c r="D763" s="20" t="e">
        <f t="shared" si="11"/>
        <v>#N/A</v>
      </c>
      <c r="E763" s="9"/>
      <c r="F763" s="10" t="e" cm="1">
        <f t="array" aca="1" ref="F7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3" s="130"/>
      <c r="I763" s="12"/>
      <c r="J763" s="12"/>
      <c r="K763" s="61"/>
      <c r="L763" s="233"/>
      <c r="M763" s="10">
        <f ca="1">IF(ISBLANK(K763), TODAY()-(I763), Table27[[#This Row],[Effectiveness Review &amp; date deemed effective]]-Table27[[#This Row],[PTO initialized date]])</f>
        <v>46067</v>
      </c>
    </row>
    <row r="764" spans="1:13" ht="18">
      <c r="A764" s="9"/>
      <c r="B764" s="18" t="e">
        <f>VLOOKUP(Table27[[#This Row],[Location 
(drop-down)]],'List source'!D$2:E$71,2,FALSE)</f>
        <v>#N/A</v>
      </c>
      <c r="C764" s="154" t="s">
        <v>2103</v>
      </c>
      <c r="D764" s="20" t="e">
        <f t="shared" si="11"/>
        <v>#N/A</v>
      </c>
      <c r="E764" s="9"/>
      <c r="F764" s="10" t="e" cm="1">
        <f t="array" aca="1" ref="F7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4" s="130"/>
      <c r="I764" s="12"/>
      <c r="J764" s="12"/>
      <c r="K764" s="61"/>
      <c r="L764" s="233"/>
      <c r="M764" s="10">
        <f ca="1">IF(ISBLANK(K764), TODAY()-(I764), Table27[[#This Row],[Effectiveness Review &amp; date deemed effective]]-Table27[[#This Row],[PTO initialized date]])</f>
        <v>46067</v>
      </c>
    </row>
    <row r="765" spans="1:13" ht="18">
      <c r="A765" s="9"/>
      <c r="B765" s="18" t="e">
        <f>VLOOKUP(Table27[[#This Row],[Location 
(drop-down)]],'List source'!D$2:E$71,2,FALSE)</f>
        <v>#N/A</v>
      </c>
      <c r="C765" s="154" t="s">
        <v>2104</v>
      </c>
      <c r="D765" s="20" t="e">
        <f t="shared" si="11"/>
        <v>#N/A</v>
      </c>
      <c r="E765" s="9"/>
      <c r="F765" s="10" t="e" cm="1">
        <f t="array" aca="1" ref="F7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5" s="10"/>
      <c r="I765" s="12"/>
      <c r="J765" s="12"/>
      <c r="K765" s="61"/>
      <c r="L765" s="233"/>
      <c r="M765" s="10">
        <f ca="1">IF(ISBLANK(K765), TODAY()-(I765), Table27[[#This Row],[Effectiveness Review &amp; date deemed effective]]-Table27[[#This Row],[PTO initialized date]])</f>
        <v>46067</v>
      </c>
    </row>
    <row r="766" spans="1:13" ht="18">
      <c r="A766" s="9"/>
      <c r="B766" s="18" t="e">
        <f>VLOOKUP(Table27[[#This Row],[Location 
(drop-down)]],'List source'!D$2:E$71,2,FALSE)</f>
        <v>#N/A</v>
      </c>
      <c r="C766" s="154" t="s">
        <v>2105</v>
      </c>
      <c r="D766" s="20" t="e">
        <f t="shared" si="11"/>
        <v>#N/A</v>
      </c>
      <c r="E766" s="62"/>
      <c r="F766" s="10" t="e" cm="1">
        <f t="array" aca="1" ref="F7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6" s="130"/>
      <c r="I766" s="12"/>
      <c r="J766" s="12"/>
      <c r="K766" s="61"/>
      <c r="L766" s="233"/>
      <c r="M766" s="10">
        <f ca="1">IF(ISBLANK(K766), TODAY()-(I766), Table27[[#This Row],[Effectiveness Review &amp; date deemed effective]]-Table27[[#This Row],[PTO initialized date]])</f>
        <v>46067</v>
      </c>
    </row>
    <row r="767" spans="1:13" ht="18">
      <c r="A767" s="9"/>
      <c r="B767" s="18" t="e">
        <f>VLOOKUP(Table27[[#This Row],[Location 
(drop-down)]],'List source'!D$2:E$71,2,FALSE)</f>
        <v>#N/A</v>
      </c>
      <c r="C767" s="154" t="s">
        <v>2106</v>
      </c>
      <c r="D767" s="20" t="e">
        <f t="shared" si="11"/>
        <v>#N/A</v>
      </c>
      <c r="E767" s="9"/>
      <c r="F767" s="10" t="e" cm="1">
        <f t="array" aca="1" ref="F7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7" s="130"/>
      <c r="I767" s="12"/>
      <c r="J767" s="12"/>
      <c r="K767" s="61"/>
      <c r="L767" s="233"/>
      <c r="M767" s="10">
        <f ca="1">IF(ISBLANK(K767), TODAY()-(I767), Table27[[#This Row],[Effectiveness Review &amp; date deemed effective]]-Table27[[#This Row],[PTO initialized date]])</f>
        <v>46067</v>
      </c>
    </row>
    <row r="768" spans="1:13" ht="18">
      <c r="A768" s="9"/>
      <c r="B768" s="18" t="e">
        <f>VLOOKUP(Table27[[#This Row],[Location 
(drop-down)]],'List source'!D$2:E$71,2,FALSE)</f>
        <v>#N/A</v>
      </c>
      <c r="C768" s="154" t="s">
        <v>2107</v>
      </c>
      <c r="D768" s="20" t="e">
        <f t="shared" si="11"/>
        <v>#N/A</v>
      </c>
      <c r="E768" s="9"/>
      <c r="F768" s="10" t="e" cm="1">
        <f t="array" aca="1" ref="F7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8" s="130"/>
      <c r="I768" s="12"/>
      <c r="J768" s="12"/>
      <c r="K768" s="61"/>
      <c r="L768" s="233"/>
      <c r="M768" s="10">
        <f ca="1">IF(ISBLANK(K768), TODAY()-(I768), Table27[[#This Row],[Effectiveness Review &amp; date deemed effective]]-Table27[[#This Row],[PTO initialized date]])</f>
        <v>46067</v>
      </c>
    </row>
    <row r="769" spans="1:13" ht="18">
      <c r="A769" s="9"/>
      <c r="B769" s="18" t="e">
        <f>VLOOKUP(Table27[[#This Row],[Location 
(drop-down)]],'List source'!D$2:E$71,2,FALSE)</f>
        <v>#N/A</v>
      </c>
      <c r="C769" s="154" t="s">
        <v>2108</v>
      </c>
      <c r="D769" s="20" t="e">
        <f t="shared" si="11"/>
        <v>#N/A</v>
      </c>
      <c r="E769" s="9"/>
      <c r="F769" s="10" t="e" cm="1">
        <f t="array" aca="1" ref="F7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69" s="130"/>
      <c r="I769" s="12"/>
      <c r="J769" s="12"/>
      <c r="K769" s="61"/>
      <c r="L769" s="233"/>
      <c r="M769" s="10">
        <f ca="1">IF(ISBLANK(K769), TODAY()-(I769), Table27[[#This Row],[Effectiveness Review &amp; date deemed effective]]-Table27[[#This Row],[PTO initialized date]])</f>
        <v>46067</v>
      </c>
    </row>
    <row r="770" spans="1:13" ht="18">
      <c r="A770" s="9"/>
      <c r="B770" s="18" t="e">
        <f>VLOOKUP(Table27[[#This Row],[Location 
(drop-down)]],'List source'!D$2:E$71,2,FALSE)</f>
        <v>#N/A</v>
      </c>
      <c r="C770" s="154" t="s">
        <v>2109</v>
      </c>
      <c r="D770" s="20" t="e">
        <f t="shared" ref="D770:D833" si="12">"PTO" &amp; C770 &amp; "-" &amp; B770 &amp; "-" &amp; "26"</f>
        <v>#N/A</v>
      </c>
      <c r="E770" s="9"/>
      <c r="F770" s="10" t="e" cm="1">
        <f t="array" aca="1" ref="F7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0" s="10"/>
      <c r="I770" s="12"/>
      <c r="J770" s="12"/>
      <c r="K770" s="61"/>
      <c r="L770" s="233"/>
      <c r="M770" s="10">
        <f ca="1">IF(ISBLANK(K770), TODAY()-(I770), Table27[[#This Row],[Effectiveness Review &amp; date deemed effective]]-Table27[[#This Row],[PTO initialized date]])</f>
        <v>46067</v>
      </c>
    </row>
    <row r="771" spans="1:13" ht="18">
      <c r="A771" s="9"/>
      <c r="B771" s="18" t="e">
        <f>VLOOKUP(Table27[[#This Row],[Location 
(drop-down)]],'List source'!D$2:E$71,2,FALSE)</f>
        <v>#N/A</v>
      </c>
      <c r="C771" s="154" t="s">
        <v>2110</v>
      </c>
      <c r="D771" s="194" t="e">
        <f t="shared" si="12"/>
        <v>#N/A</v>
      </c>
      <c r="E771" s="9"/>
      <c r="F771" s="10" t="e" cm="1">
        <f t="array" aca="1" ref="F7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1" s="10"/>
      <c r="I771" s="12"/>
      <c r="J771" s="12"/>
      <c r="K771" s="61"/>
      <c r="L771" s="233"/>
      <c r="M771" s="10">
        <f ca="1">IF(ISBLANK(K771), TODAY()-(I771), Table27[[#This Row],[Effectiveness Review &amp; date deemed effective]]-Table27[[#This Row],[PTO initialized date]])</f>
        <v>46067</v>
      </c>
    </row>
    <row r="772" spans="1:13" ht="18">
      <c r="A772" s="9"/>
      <c r="B772" s="18" t="e">
        <f>VLOOKUP(Table27[[#This Row],[Location 
(drop-down)]],'List source'!D$2:E$71,2,FALSE)</f>
        <v>#N/A</v>
      </c>
      <c r="C772" s="154" t="s">
        <v>2111</v>
      </c>
      <c r="D772" s="20" t="e">
        <f t="shared" si="12"/>
        <v>#N/A</v>
      </c>
      <c r="E772" s="62"/>
      <c r="F772" s="10" t="e" cm="1">
        <f t="array" aca="1" ref="F7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2" s="130"/>
      <c r="I772" s="12"/>
      <c r="J772" s="12"/>
      <c r="K772" s="61"/>
      <c r="L772" s="233"/>
      <c r="M772" s="10">
        <f ca="1">IF(ISBLANK(K772), TODAY()-(I772), Table27[[#This Row],[Effectiveness Review &amp; date deemed effective]]-Table27[[#This Row],[PTO initialized date]])</f>
        <v>46067</v>
      </c>
    </row>
    <row r="773" spans="1:13" ht="18">
      <c r="A773" s="9"/>
      <c r="B773" s="18" t="e">
        <f>VLOOKUP(Table27[[#This Row],[Location 
(drop-down)]],'List source'!D$2:E$71,2,FALSE)</f>
        <v>#N/A</v>
      </c>
      <c r="C773" s="154" t="s">
        <v>2112</v>
      </c>
      <c r="D773" s="20" t="e">
        <f t="shared" si="12"/>
        <v>#N/A</v>
      </c>
      <c r="E773" s="9"/>
      <c r="F773" s="10" t="e" cm="1">
        <f t="array" aca="1" ref="F7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3" s="10"/>
      <c r="I773" s="12"/>
      <c r="J773" s="12"/>
      <c r="K773" s="61"/>
      <c r="L773" s="233"/>
      <c r="M773" s="10">
        <f ca="1">IF(ISBLANK(K773), TODAY()-(I773), Table27[[#This Row],[Effectiveness Review &amp; date deemed effective]]-Table27[[#This Row],[PTO initialized date]])</f>
        <v>46067</v>
      </c>
    </row>
    <row r="774" spans="1:13" ht="18">
      <c r="A774" s="9"/>
      <c r="B774" s="18" t="e">
        <f>VLOOKUP(Table27[[#This Row],[Location 
(drop-down)]],'List source'!D$2:E$71,2,FALSE)</f>
        <v>#N/A</v>
      </c>
      <c r="C774" s="154" t="s">
        <v>2113</v>
      </c>
      <c r="D774" s="20" t="e">
        <f t="shared" si="12"/>
        <v>#N/A</v>
      </c>
      <c r="E774" s="9"/>
      <c r="F774" s="10" t="e" cm="1">
        <f t="array" aca="1" ref="F7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4" s="10"/>
      <c r="I774" s="12"/>
      <c r="J774" s="12"/>
      <c r="K774" s="61"/>
      <c r="L774" s="233"/>
      <c r="M774" s="10">
        <f ca="1">IF(ISBLANK(K774), TODAY()-(I774), Table27[[#This Row],[Effectiveness Review &amp; date deemed effective]]-Table27[[#This Row],[PTO initialized date]])</f>
        <v>46067</v>
      </c>
    </row>
    <row r="775" spans="1:13" ht="18">
      <c r="A775" s="9"/>
      <c r="B775" s="18" t="e">
        <f>VLOOKUP(Table27[[#This Row],[Location 
(drop-down)]],'List source'!D$2:E$71,2,FALSE)</f>
        <v>#N/A</v>
      </c>
      <c r="C775" s="154" t="s">
        <v>2114</v>
      </c>
      <c r="D775" s="194" t="e">
        <f t="shared" si="12"/>
        <v>#N/A</v>
      </c>
      <c r="E775" s="9"/>
      <c r="F775" s="10" t="e" cm="1">
        <f t="array" aca="1" ref="F7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5" s="10"/>
      <c r="I775" s="12"/>
      <c r="J775" s="12"/>
      <c r="K775" s="61"/>
      <c r="L775" s="295"/>
      <c r="M775" s="10">
        <f ca="1">IF(ISBLANK(K775), TODAY()-(I775), Table27[[#This Row],[Effectiveness Review &amp; date deemed effective]]-Table27[[#This Row],[PTO initialized date]])</f>
        <v>46067</v>
      </c>
    </row>
    <row r="776" spans="1:13" ht="18">
      <c r="A776" s="9"/>
      <c r="B776" s="18" t="e">
        <f>VLOOKUP(Table27[[#This Row],[Location 
(drop-down)]],'List source'!D$2:E$71,2,FALSE)</f>
        <v>#N/A</v>
      </c>
      <c r="C776" s="154" t="s">
        <v>2115</v>
      </c>
      <c r="D776" s="20" t="e">
        <f t="shared" si="12"/>
        <v>#N/A</v>
      </c>
      <c r="E776" s="9"/>
      <c r="F776" s="10" t="e" cm="1">
        <f t="array" aca="1" ref="F7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6" s="130"/>
      <c r="I776" s="12"/>
      <c r="J776" s="12"/>
      <c r="K776" s="61"/>
      <c r="L776" s="233"/>
      <c r="M776" s="10">
        <f ca="1">IF(ISBLANK(K776), TODAY()-(I776), Table27[[#This Row],[Effectiveness Review &amp; date deemed effective]]-Table27[[#This Row],[PTO initialized date]])</f>
        <v>46067</v>
      </c>
    </row>
    <row r="777" spans="1:13" ht="18">
      <c r="A777" s="9"/>
      <c r="B777" s="18" t="e">
        <f>VLOOKUP(Table27[[#This Row],[Location 
(drop-down)]],'List source'!D$2:E$71,2,FALSE)</f>
        <v>#N/A</v>
      </c>
      <c r="C777" s="154" t="s">
        <v>2116</v>
      </c>
      <c r="D777" s="194" t="e">
        <f t="shared" si="12"/>
        <v>#N/A</v>
      </c>
      <c r="E777" s="9"/>
      <c r="F777" s="10" t="e" cm="1">
        <f t="array" aca="1" ref="F7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7" s="130"/>
      <c r="I777" s="12"/>
      <c r="J777" s="12"/>
      <c r="K777" s="61"/>
      <c r="L777" s="295"/>
      <c r="M777" s="10">
        <f ca="1">IF(ISBLANK(K777), TODAY()-(I777), Table27[[#This Row],[Effectiveness Review &amp; date deemed effective]]-Table27[[#This Row],[PTO initialized date]])</f>
        <v>46067</v>
      </c>
    </row>
    <row r="778" spans="1:13" ht="18">
      <c r="A778" s="9"/>
      <c r="B778" s="18" t="e">
        <f>VLOOKUP(Table27[[#This Row],[Location 
(drop-down)]],'List source'!D$2:E$71,2,FALSE)</f>
        <v>#N/A</v>
      </c>
      <c r="C778" s="154" t="s">
        <v>2117</v>
      </c>
      <c r="D778" s="20" t="e">
        <f t="shared" si="12"/>
        <v>#N/A</v>
      </c>
      <c r="E778" s="9"/>
      <c r="F778" s="10" t="e" cm="1">
        <f t="array" aca="1" ref="F7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8" s="10"/>
      <c r="I778" s="12"/>
      <c r="J778" s="12"/>
      <c r="K778" s="61"/>
      <c r="L778" s="233"/>
      <c r="M778" s="10">
        <f ca="1">IF(ISBLANK(K778), TODAY()-(I778), Table27[[#This Row],[Effectiveness Review &amp; date deemed effective]]-Table27[[#This Row],[PTO initialized date]])</f>
        <v>46067</v>
      </c>
    </row>
    <row r="779" spans="1:13" ht="18">
      <c r="A779" s="9"/>
      <c r="B779" s="18" t="e">
        <f>VLOOKUP(Table27[[#This Row],[Location 
(drop-down)]],'List source'!D$2:E$71,2,FALSE)</f>
        <v>#N/A</v>
      </c>
      <c r="C779" s="154" t="s">
        <v>2118</v>
      </c>
      <c r="D779" s="20" t="e">
        <f t="shared" si="12"/>
        <v>#N/A</v>
      </c>
      <c r="E779" s="9"/>
      <c r="F779" s="10" t="e" cm="1">
        <f t="array" aca="1" ref="F7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79" s="10"/>
      <c r="I779" s="12"/>
      <c r="J779" s="12"/>
      <c r="K779" s="61"/>
      <c r="L779" s="233"/>
      <c r="M779" s="10">
        <f ca="1">IF(ISBLANK(K779), TODAY()-(I779), Table27[[#This Row],[Effectiveness Review &amp; date deemed effective]]-Table27[[#This Row],[PTO initialized date]])</f>
        <v>46067</v>
      </c>
    </row>
    <row r="780" spans="1:13" ht="18">
      <c r="A780" s="9"/>
      <c r="B780" s="18" t="e">
        <f>VLOOKUP(Table27[[#This Row],[Location 
(drop-down)]],'List source'!D$2:E$71,2,FALSE)</f>
        <v>#N/A</v>
      </c>
      <c r="C780" s="154" t="s">
        <v>2119</v>
      </c>
      <c r="D780" s="20" t="e">
        <f t="shared" si="12"/>
        <v>#N/A</v>
      </c>
      <c r="E780" s="9"/>
      <c r="F780" s="10" t="e" cm="1">
        <f t="array" aca="1" ref="F7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0" s="10"/>
      <c r="I780" s="12"/>
      <c r="J780" s="12"/>
      <c r="K780" s="61"/>
      <c r="L780" s="233"/>
      <c r="M780" s="10">
        <f ca="1">IF(ISBLANK(K780), TODAY()-(I780), Table27[[#This Row],[Effectiveness Review &amp; date deemed effective]]-Table27[[#This Row],[PTO initialized date]])</f>
        <v>46067</v>
      </c>
    </row>
    <row r="781" spans="1:13" ht="18">
      <c r="A781" s="9"/>
      <c r="B781" s="18" t="e">
        <f>VLOOKUP(Table27[[#This Row],[Location 
(drop-down)]],'List source'!D$2:E$71,2,FALSE)</f>
        <v>#N/A</v>
      </c>
      <c r="C781" s="154" t="s">
        <v>2120</v>
      </c>
      <c r="D781" s="20" t="e">
        <f t="shared" si="12"/>
        <v>#N/A</v>
      </c>
      <c r="E781" s="9"/>
      <c r="F781" s="10" t="e" cm="1">
        <f t="array" aca="1" ref="F7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1" s="10"/>
      <c r="I781" s="12"/>
      <c r="J781" s="12"/>
      <c r="K781" s="61"/>
      <c r="L781" s="233"/>
      <c r="M781" s="10">
        <f ca="1">IF(ISBLANK(K781), TODAY()-(I781), Table27[[#This Row],[Effectiveness Review &amp; date deemed effective]]-Table27[[#This Row],[PTO initialized date]])</f>
        <v>46067</v>
      </c>
    </row>
    <row r="782" spans="1:13" ht="18">
      <c r="A782" s="9"/>
      <c r="B782" s="18" t="e">
        <f>VLOOKUP(Table27[[#This Row],[Location 
(drop-down)]],'List source'!D$2:E$71,2,FALSE)</f>
        <v>#N/A</v>
      </c>
      <c r="C782" s="154" t="s">
        <v>2121</v>
      </c>
      <c r="D782" s="20" t="e">
        <f t="shared" si="12"/>
        <v>#N/A</v>
      </c>
      <c r="E782" s="9"/>
      <c r="F782" s="10" t="e" cm="1">
        <f t="array" aca="1" ref="F7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2" s="130"/>
      <c r="I782" s="12"/>
      <c r="J782" s="12"/>
      <c r="K782" s="61"/>
      <c r="L782" s="233"/>
      <c r="M782" s="10">
        <f ca="1">IF(ISBLANK(K782), TODAY()-(I782), Table27[[#This Row],[Effectiveness Review &amp; date deemed effective]]-Table27[[#This Row],[PTO initialized date]])</f>
        <v>46067</v>
      </c>
    </row>
    <row r="783" spans="1:13" ht="18">
      <c r="A783" s="9"/>
      <c r="B783" s="18" t="e">
        <f>VLOOKUP(Table27[[#This Row],[Location 
(drop-down)]],'List source'!D$2:E$71,2,FALSE)</f>
        <v>#N/A</v>
      </c>
      <c r="C783" s="154" t="s">
        <v>2122</v>
      </c>
      <c r="D783" s="20" t="e">
        <f t="shared" si="12"/>
        <v>#N/A</v>
      </c>
      <c r="E783" s="9"/>
      <c r="F783" s="10" t="e" cm="1">
        <f t="array" aca="1" ref="F7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3" s="10"/>
      <c r="I783" s="12"/>
      <c r="J783" s="12"/>
      <c r="K783" s="61"/>
      <c r="L783" s="233"/>
      <c r="M783" s="10">
        <f ca="1">IF(ISBLANK(K783), TODAY()-(I783), Table27[[#This Row],[Effectiveness Review &amp; date deemed effective]]-Table27[[#This Row],[PTO initialized date]])</f>
        <v>46067</v>
      </c>
    </row>
    <row r="784" spans="1:13" ht="18">
      <c r="A784" s="9"/>
      <c r="B784" s="18" t="e">
        <f>VLOOKUP(Table27[[#This Row],[Location 
(drop-down)]],'List source'!D$2:E$71,2,FALSE)</f>
        <v>#N/A</v>
      </c>
      <c r="C784" s="154" t="s">
        <v>2123</v>
      </c>
      <c r="D784" s="20" t="e">
        <f t="shared" si="12"/>
        <v>#N/A</v>
      </c>
      <c r="E784" s="9"/>
      <c r="F784" s="10" t="e" cm="1">
        <f t="array" aca="1" ref="F7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4" s="130"/>
      <c r="I784" s="12"/>
      <c r="J784" s="12"/>
      <c r="K784" s="61"/>
      <c r="L784" s="233"/>
      <c r="M784" s="10">
        <f ca="1">IF(ISBLANK(K784), TODAY()-(I784), Table27[[#This Row],[Effectiveness Review &amp; date deemed effective]]-Table27[[#This Row],[PTO initialized date]])</f>
        <v>46067</v>
      </c>
    </row>
    <row r="785" spans="1:13" ht="18">
      <c r="A785" s="9"/>
      <c r="B785" s="18" t="e">
        <f>VLOOKUP(Table27[[#This Row],[Location 
(drop-down)]],'List source'!D$2:E$71,2,FALSE)</f>
        <v>#N/A</v>
      </c>
      <c r="C785" s="154" t="s">
        <v>2124</v>
      </c>
      <c r="D785" s="20" t="e">
        <f t="shared" si="12"/>
        <v>#N/A</v>
      </c>
      <c r="E785" s="9"/>
      <c r="F785" s="10" t="e" cm="1">
        <f t="array" aca="1" ref="F7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5" s="130"/>
      <c r="I785" s="12"/>
      <c r="J785" s="12"/>
      <c r="K785" s="61"/>
      <c r="L785" s="233"/>
      <c r="M785" s="10">
        <f ca="1">IF(ISBLANK(K785), TODAY()-(I785), Table27[[#This Row],[Effectiveness Review &amp; date deemed effective]]-Table27[[#This Row],[PTO initialized date]])</f>
        <v>46067</v>
      </c>
    </row>
    <row r="786" spans="1:13" ht="18">
      <c r="A786" s="9"/>
      <c r="B786" s="18" t="e">
        <f>VLOOKUP(Table27[[#This Row],[Location 
(drop-down)]],'List source'!D$2:E$71,2,FALSE)</f>
        <v>#N/A</v>
      </c>
      <c r="C786" s="154" t="s">
        <v>2125</v>
      </c>
      <c r="D786" s="20" t="e">
        <f t="shared" si="12"/>
        <v>#N/A</v>
      </c>
      <c r="E786" s="9"/>
      <c r="F786" s="10" t="e" cm="1">
        <f t="array" aca="1" ref="F7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6" s="130"/>
      <c r="I786" s="12"/>
      <c r="J786" s="12"/>
      <c r="K786" s="61"/>
      <c r="L786" s="233"/>
      <c r="M786" s="10">
        <f ca="1">IF(ISBLANK(K786), TODAY()-(I786), Table27[[#This Row],[Effectiveness Review &amp; date deemed effective]]-Table27[[#This Row],[PTO initialized date]])</f>
        <v>46067</v>
      </c>
    </row>
    <row r="787" spans="1:13" ht="18">
      <c r="A787" s="9"/>
      <c r="B787" s="18" t="e">
        <f>VLOOKUP(Table27[[#This Row],[Location 
(drop-down)]],'List source'!D$2:E$71,2,FALSE)</f>
        <v>#N/A</v>
      </c>
      <c r="C787" s="154" t="s">
        <v>2126</v>
      </c>
      <c r="D787" s="20" t="e">
        <f t="shared" si="12"/>
        <v>#N/A</v>
      </c>
      <c r="E787" s="9"/>
      <c r="F787" s="10" t="e" cm="1">
        <f t="array" aca="1" ref="F7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7" s="130"/>
      <c r="I787" s="12"/>
      <c r="J787" s="12"/>
      <c r="K787" s="61"/>
      <c r="L787" s="233"/>
      <c r="M787" s="10">
        <f ca="1">IF(ISBLANK(K787), TODAY()-(I787), Table27[[#This Row],[Effectiveness Review &amp; date deemed effective]]-Table27[[#This Row],[PTO initialized date]])</f>
        <v>46067</v>
      </c>
    </row>
    <row r="788" spans="1:13" ht="18">
      <c r="A788" s="9"/>
      <c r="B788" s="18" t="e">
        <f>VLOOKUP(Table27[[#This Row],[Location 
(drop-down)]],'List source'!D$2:E$71,2,FALSE)</f>
        <v>#N/A</v>
      </c>
      <c r="C788" s="154" t="s">
        <v>2127</v>
      </c>
      <c r="D788" s="20" t="e">
        <f t="shared" si="12"/>
        <v>#N/A</v>
      </c>
      <c r="E788" s="9"/>
      <c r="F788" s="10" t="e" cm="1">
        <f t="array" aca="1" ref="F7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8" s="130"/>
      <c r="I788" s="12"/>
      <c r="J788" s="12"/>
      <c r="K788" s="61"/>
      <c r="L788" s="233"/>
      <c r="M788" s="10">
        <f ca="1">IF(ISBLANK(K788), TODAY()-(I788), Table27[[#This Row],[Effectiveness Review &amp; date deemed effective]]-Table27[[#This Row],[PTO initialized date]])</f>
        <v>46067</v>
      </c>
    </row>
    <row r="789" spans="1:13" ht="18">
      <c r="A789" s="9"/>
      <c r="B789" s="18" t="e">
        <f>VLOOKUP(Table27[[#This Row],[Location 
(drop-down)]],'List source'!D$2:E$71,2,FALSE)</f>
        <v>#N/A</v>
      </c>
      <c r="C789" s="154" t="s">
        <v>2128</v>
      </c>
      <c r="D789" s="20" t="e">
        <f t="shared" si="12"/>
        <v>#N/A</v>
      </c>
      <c r="E789" s="9"/>
      <c r="F789" s="10" t="e" cm="1">
        <f t="array" aca="1" ref="F7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89" s="10"/>
      <c r="I789" s="12"/>
      <c r="J789" s="12"/>
      <c r="K789" s="61"/>
      <c r="L789" s="233"/>
      <c r="M789" s="10">
        <f ca="1">IF(ISBLANK(K789), TODAY()-(I789), Table27[[#This Row],[Effectiveness Review &amp; date deemed effective]]-Table27[[#This Row],[PTO initialized date]])</f>
        <v>46067</v>
      </c>
    </row>
    <row r="790" spans="1:13" ht="18">
      <c r="A790" s="9"/>
      <c r="B790" s="18" t="e">
        <f>VLOOKUP(Table27[[#This Row],[Location 
(drop-down)]],'List source'!D$2:E$71,2,FALSE)</f>
        <v>#N/A</v>
      </c>
      <c r="C790" s="154" t="s">
        <v>2129</v>
      </c>
      <c r="D790" s="20" t="e">
        <f t="shared" si="12"/>
        <v>#N/A</v>
      </c>
      <c r="E790" s="9"/>
      <c r="F790" s="10" t="e" cm="1">
        <f t="array" aca="1" ref="F7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0" s="10"/>
      <c r="I790" s="12"/>
      <c r="J790" s="12"/>
      <c r="K790" s="61"/>
      <c r="L790" s="233"/>
      <c r="M790" s="10">
        <f ca="1">IF(ISBLANK(K790), TODAY()-(I790), Table27[[#This Row],[Effectiveness Review &amp; date deemed effective]]-Table27[[#This Row],[PTO initialized date]])</f>
        <v>46067</v>
      </c>
    </row>
    <row r="791" spans="1:13" ht="18">
      <c r="A791" s="9"/>
      <c r="B791" s="18" t="e">
        <f>VLOOKUP(Table27[[#This Row],[Location 
(drop-down)]],'List source'!D$2:E$71,2,FALSE)</f>
        <v>#N/A</v>
      </c>
      <c r="C791" s="154" t="s">
        <v>2130</v>
      </c>
      <c r="D791" s="20" t="e">
        <f t="shared" si="12"/>
        <v>#N/A</v>
      </c>
      <c r="E791" s="62"/>
      <c r="F791" s="10" t="e" cm="1">
        <f t="array" aca="1" ref="F7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1" s="10"/>
      <c r="I791" s="12"/>
      <c r="J791" s="12"/>
      <c r="K791" s="61"/>
      <c r="L791" s="233"/>
      <c r="M791" s="10">
        <f ca="1">IF(ISBLANK(K791), TODAY()-(I791), Table27[[#This Row],[Effectiveness Review &amp; date deemed effective]]-Table27[[#This Row],[PTO initialized date]])</f>
        <v>46067</v>
      </c>
    </row>
    <row r="792" spans="1:13" ht="18">
      <c r="A792" s="9"/>
      <c r="B792" s="18" t="e">
        <f>VLOOKUP(Table27[[#This Row],[Location 
(drop-down)]],'List source'!D$2:E$71,2,FALSE)</f>
        <v>#N/A</v>
      </c>
      <c r="C792" s="154" t="s">
        <v>2131</v>
      </c>
      <c r="D792" s="20" t="e">
        <f t="shared" si="12"/>
        <v>#N/A</v>
      </c>
      <c r="E792" s="9"/>
      <c r="F792" s="10" t="e" cm="1">
        <f t="array" aca="1" ref="F7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2" s="130"/>
      <c r="I792" s="12"/>
      <c r="J792" s="12"/>
      <c r="K792" s="61"/>
      <c r="L792" s="233"/>
      <c r="M792" s="10">
        <f ca="1">IF(ISBLANK(K792), TODAY()-(I792), Table27[[#This Row],[Effectiveness Review &amp; date deemed effective]]-Table27[[#This Row],[PTO initialized date]])</f>
        <v>46067</v>
      </c>
    </row>
    <row r="793" spans="1:13" ht="18">
      <c r="A793" s="9"/>
      <c r="B793" s="18" t="e">
        <f>VLOOKUP(Table27[[#This Row],[Location 
(drop-down)]],'List source'!D$2:E$71,2,FALSE)</f>
        <v>#N/A</v>
      </c>
      <c r="C793" s="154" t="s">
        <v>2132</v>
      </c>
      <c r="D793" s="20" t="e">
        <f t="shared" si="12"/>
        <v>#N/A</v>
      </c>
      <c r="E793" s="9"/>
      <c r="F793" s="10" t="e" cm="1">
        <f t="array" aca="1" ref="F7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3" s="10"/>
      <c r="I793" s="12"/>
      <c r="J793" s="12"/>
      <c r="K793" s="61"/>
      <c r="L793" s="233"/>
      <c r="M793" s="10">
        <f ca="1">IF(ISBLANK(K793), TODAY()-(I793), Table27[[#This Row],[Effectiveness Review &amp; date deemed effective]]-Table27[[#This Row],[PTO initialized date]])</f>
        <v>46067</v>
      </c>
    </row>
    <row r="794" spans="1:13" ht="18">
      <c r="A794" s="9"/>
      <c r="B794" s="18" t="e">
        <f>VLOOKUP(Table27[[#This Row],[Location 
(drop-down)]],'List source'!D$2:E$71,2,FALSE)</f>
        <v>#N/A</v>
      </c>
      <c r="C794" s="154" t="s">
        <v>2133</v>
      </c>
      <c r="D794" s="20" t="e">
        <f t="shared" si="12"/>
        <v>#N/A</v>
      </c>
      <c r="E794" s="9"/>
      <c r="F794" s="10" t="e" cm="1">
        <f t="array" aca="1" ref="F7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4" s="130"/>
      <c r="I794" s="12"/>
      <c r="J794" s="12"/>
      <c r="K794" s="61"/>
      <c r="L794" s="233"/>
      <c r="M794" s="10">
        <f ca="1">IF(ISBLANK(K794), TODAY()-(I794), Table27[[#This Row],[Effectiveness Review &amp; date deemed effective]]-Table27[[#This Row],[PTO initialized date]])</f>
        <v>46067</v>
      </c>
    </row>
    <row r="795" spans="1:13" ht="18">
      <c r="A795" s="9"/>
      <c r="B795" s="18" t="e">
        <f>VLOOKUP(Table27[[#This Row],[Location 
(drop-down)]],'List source'!D$2:E$71,2,FALSE)</f>
        <v>#N/A</v>
      </c>
      <c r="C795" s="154" t="s">
        <v>2134</v>
      </c>
      <c r="D795" s="20" t="e">
        <f t="shared" si="12"/>
        <v>#N/A</v>
      </c>
      <c r="E795" s="9"/>
      <c r="F795" s="10" t="e" cm="1">
        <f t="array" aca="1" ref="F7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5" s="130"/>
      <c r="I795" s="12"/>
      <c r="J795" s="12"/>
      <c r="K795" s="61"/>
      <c r="L795" s="233"/>
      <c r="M795" s="10">
        <f ca="1">IF(ISBLANK(K795), TODAY()-(I795), Table27[[#This Row],[Effectiveness Review &amp; date deemed effective]]-Table27[[#This Row],[PTO initialized date]])</f>
        <v>46067</v>
      </c>
    </row>
    <row r="796" spans="1:13" ht="18">
      <c r="A796" s="9"/>
      <c r="B796" s="18" t="e">
        <f>VLOOKUP(Table27[[#This Row],[Location 
(drop-down)]],'List source'!D$2:E$71,2,FALSE)</f>
        <v>#N/A</v>
      </c>
      <c r="C796" s="154" t="s">
        <v>2135</v>
      </c>
      <c r="D796" s="20" t="e">
        <f t="shared" si="12"/>
        <v>#N/A</v>
      </c>
      <c r="E796" s="9"/>
      <c r="F796" s="10" t="e" cm="1">
        <f t="array" aca="1" ref="F7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6" s="10"/>
      <c r="I796" s="12"/>
      <c r="J796" s="12"/>
      <c r="K796" s="61"/>
      <c r="L796" s="233"/>
      <c r="M796" s="10">
        <f ca="1">IF(ISBLANK(K796), TODAY()-(I796), Table27[[#This Row],[Effectiveness Review &amp; date deemed effective]]-Table27[[#This Row],[PTO initialized date]])</f>
        <v>46067</v>
      </c>
    </row>
    <row r="797" spans="1:13" ht="18">
      <c r="A797" s="9"/>
      <c r="B797" s="18" t="e">
        <f>VLOOKUP(Table27[[#This Row],[Location 
(drop-down)]],'List source'!D$2:E$71,2,FALSE)</f>
        <v>#N/A</v>
      </c>
      <c r="C797" s="154" t="s">
        <v>2136</v>
      </c>
      <c r="D797" s="20" t="e">
        <f t="shared" si="12"/>
        <v>#N/A</v>
      </c>
      <c r="E797" s="9"/>
      <c r="F797" s="10" t="e" cm="1">
        <f t="array" aca="1" ref="F7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7" s="130"/>
      <c r="I797" s="12"/>
      <c r="J797" s="12"/>
      <c r="K797" s="61"/>
      <c r="L797" s="233"/>
      <c r="M797" s="10">
        <f ca="1">IF(ISBLANK(K797), TODAY()-(I797), Table27[[#This Row],[Effectiveness Review &amp; date deemed effective]]-Table27[[#This Row],[PTO initialized date]])</f>
        <v>46067</v>
      </c>
    </row>
    <row r="798" spans="1:13" ht="18">
      <c r="A798" s="9"/>
      <c r="B798" s="18" t="e">
        <f>VLOOKUP(Table27[[#This Row],[Location 
(drop-down)]],'List source'!D$2:E$71,2,FALSE)</f>
        <v>#N/A</v>
      </c>
      <c r="C798" s="154" t="s">
        <v>2137</v>
      </c>
      <c r="D798" s="20" t="e">
        <f t="shared" si="12"/>
        <v>#N/A</v>
      </c>
      <c r="E798" s="9"/>
      <c r="F798" s="10" t="e" cm="1">
        <f t="array" aca="1" ref="F7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8" s="10"/>
      <c r="I798" s="12"/>
      <c r="J798" s="12"/>
      <c r="K798" s="61"/>
      <c r="L798" s="233"/>
      <c r="M798" s="10">
        <f ca="1">IF(ISBLANK(K798), TODAY()-(I798), Table27[[#This Row],[Effectiveness Review &amp; date deemed effective]]-Table27[[#This Row],[PTO initialized date]])</f>
        <v>46067</v>
      </c>
    </row>
    <row r="799" spans="1:13" ht="18">
      <c r="A799" s="9"/>
      <c r="B799" s="18" t="e">
        <f>VLOOKUP(Table27[[#This Row],[Location 
(drop-down)]],'List source'!D$2:E$71,2,FALSE)</f>
        <v>#N/A</v>
      </c>
      <c r="C799" s="154" t="s">
        <v>2138</v>
      </c>
      <c r="D799" s="20" t="e">
        <f t="shared" si="12"/>
        <v>#N/A</v>
      </c>
      <c r="E799" s="9"/>
      <c r="F799" s="10" t="e" cm="1">
        <f t="array" aca="1" ref="F7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7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799" s="130"/>
      <c r="I799" s="12"/>
      <c r="J799" s="12"/>
      <c r="K799" s="61"/>
      <c r="L799" s="233"/>
      <c r="M799" s="10">
        <f ca="1">IF(ISBLANK(K799), TODAY()-(I799), Table27[[#This Row],[Effectiveness Review &amp; date deemed effective]]-Table27[[#This Row],[PTO initialized date]])</f>
        <v>46067</v>
      </c>
    </row>
    <row r="800" spans="1:13" ht="18">
      <c r="A800" s="9"/>
      <c r="B800" s="18" t="e">
        <f>VLOOKUP(Table27[[#This Row],[Location 
(drop-down)]],'List source'!D$2:E$71,2,FALSE)</f>
        <v>#N/A</v>
      </c>
      <c r="C800" s="154" t="s">
        <v>2139</v>
      </c>
      <c r="D800" s="20" t="e">
        <f t="shared" si="12"/>
        <v>#N/A</v>
      </c>
      <c r="E800" s="9"/>
      <c r="F800" s="10" t="e" cm="1">
        <f t="array" aca="1" ref="F8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0" s="10"/>
      <c r="I800" s="12"/>
      <c r="J800" s="12"/>
      <c r="K800" s="61"/>
      <c r="L800" s="233"/>
      <c r="M800" s="10">
        <f ca="1">IF(ISBLANK(K800), TODAY()-(I800), Table27[[#This Row],[Effectiveness Review &amp; date deemed effective]]-Table27[[#This Row],[PTO initialized date]])</f>
        <v>46067</v>
      </c>
    </row>
    <row r="801" spans="1:13" ht="18">
      <c r="A801" s="68"/>
      <c r="B801" s="18" t="e">
        <f>VLOOKUP(Table27[[#This Row],[Location 
(drop-down)]],'List source'!D$2:E$71,2,FALSE)</f>
        <v>#N/A</v>
      </c>
      <c r="C801" s="154" t="s">
        <v>2140</v>
      </c>
      <c r="D801" s="20" t="e">
        <f t="shared" si="12"/>
        <v>#N/A</v>
      </c>
      <c r="E801" s="68"/>
      <c r="F801" s="10" t="e" cm="1">
        <f t="array" aca="1" ref="F8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1" s="173"/>
      <c r="I801" s="12"/>
      <c r="J801" s="12"/>
      <c r="K801" s="61"/>
      <c r="L801" s="233"/>
      <c r="M801" s="10">
        <f ca="1">IF(ISBLANK(K801), TODAY()-(I801), Table27[[#This Row],[Effectiveness Review &amp; date deemed effective]]-Table27[[#This Row],[PTO initialized date]])</f>
        <v>46067</v>
      </c>
    </row>
    <row r="802" spans="1:13" ht="18">
      <c r="A802" s="68"/>
      <c r="B802" s="18" t="e">
        <f>VLOOKUP(Table27[[#This Row],[Location 
(drop-down)]],'List source'!D$2:E$71,2,FALSE)</f>
        <v>#N/A</v>
      </c>
      <c r="C802" s="154" t="s">
        <v>2141</v>
      </c>
      <c r="D802" s="20" t="e">
        <f t="shared" si="12"/>
        <v>#N/A</v>
      </c>
      <c r="E802" s="68"/>
      <c r="F802" s="10" t="e" cm="1">
        <f t="array" aca="1" ref="F8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2" s="72"/>
      <c r="I802" s="70"/>
      <c r="J802" s="70"/>
      <c r="K802" s="71"/>
      <c r="L802" s="233"/>
      <c r="M802" s="10">
        <f ca="1">IF(ISBLANK(K802), TODAY()-(I802), Table27[[#This Row],[Effectiveness Review &amp; date deemed effective]]-Table27[[#This Row],[PTO initialized date]])</f>
        <v>46067</v>
      </c>
    </row>
    <row r="803" spans="1:13" ht="18">
      <c r="A803" s="68"/>
      <c r="B803" s="18" t="e">
        <f>VLOOKUP(Table27[[#This Row],[Location 
(drop-down)]],'List source'!D$2:E$71,2,FALSE)</f>
        <v>#N/A</v>
      </c>
      <c r="C803" s="154" t="s">
        <v>2142</v>
      </c>
      <c r="D803" s="20" t="e">
        <f t="shared" si="12"/>
        <v>#N/A</v>
      </c>
      <c r="E803" s="68"/>
      <c r="F803" s="10" t="e" cm="1">
        <f t="array" aca="1" ref="F8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3" s="72"/>
      <c r="I803" s="70"/>
      <c r="J803" s="70"/>
      <c r="K803" s="71"/>
      <c r="L803" s="296"/>
      <c r="M803" s="10">
        <f ca="1">IF(ISBLANK(K803), TODAY()-(I803), Table27[[#This Row],[Effectiveness Review &amp; date deemed effective]]-Table27[[#This Row],[PTO initialized date]])</f>
        <v>46067</v>
      </c>
    </row>
    <row r="804" spans="1:13" ht="18">
      <c r="A804" s="68"/>
      <c r="B804" s="18" t="e">
        <f>VLOOKUP(Table27[[#This Row],[Location 
(drop-down)]],'List source'!D$2:E$71,2,FALSE)</f>
        <v>#N/A</v>
      </c>
      <c r="C804" s="154" t="s">
        <v>2143</v>
      </c>
      <c r="D804" s="20" t="e">
        <f t="shared" si="12"/>
        <v>#N/A</v>
      </c>
      <c r="E804" s="68"/>
      <c r="F804" s="10" t="e" cm="1">
        <f t="array" aca="1" ref="F8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4" s="72"/>
      <c r="I804" s="70"/>
      <c r="J804" s="70"/>
      <c r="K804" s="71"/>
      <c r="L804" s="296"/>
      <c r="M804" s="10">
        <f ca="1">IF(ISBLANK(K804), TODAY()-(I804), Table27[[#This Row],[Effectiveness Review &amp; date deemed effective]]-Table27[[#This Row],[PTO initialized date]])</f>
        <v>46067</v>
      </c>
    </row>
    <row r="805" spans="1:13" ht="18">
      <c r="A805" s="68"/>
      <c r="B805" s="18" t="e">
        <f>VLOOKUP(Table27[[#This Row],[Location 
(drop-down)]],'List source'!D$2:E$71,2,FALSE)</f>
        <v>#N/A</v>
      </c>
      <c r="C805" s="154" t="s">
        <v>2144</v>
      </c>
      <c r="D805" s="194" t="e">
        <f t="shared" si="12"/>
        <v>#N/A</v>
      </c>
      <c r="E805" s="68"/>
      <c r="F805" s="10" t="e" cm="1">
        <f t="array" aca="1" ref="F8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5" s="72"/>
      <c r="I805" s="70"/>
      <c r="J805" s="70"/>
      <c r="K805" s="71"/>
      <c r="L805" s="295"/>
      <c r="M805" s="10">
        <f ca="1">IF(ISBLANK(K805), TODAY()-(I805), Table27[[#This Row],[Effectiveness Review &amp; date deemed effective]]-Table27[[#This Row],[PTO initialized date]])</f>
        <v>46067</v>
      </c>
    </row>
    <row r="806" spans="1:13" ht="18">
      <c r="A806" s="68"/>
      <c r="B806" s="18" t="e">
        <f>VLOOKUP(Table27[[#This Row],[Location 
(drop-down)]],'List source'!D$2:E$71,2,FALSE)</f>
        <v>#N/A</v>
      </c>
      <c r="C806" s="154" t="s">
        <v>2145</v>
      </c>
      <c r="D806" s="20" t="e">
        <f t="shared" si="12"/>
        <v>#N/A</v>
      </c>
      <c r="E806" s="68"/>
      <c r="F806" s="10" t="e" cm="1">
        <f t="array" aca="1" ref="F8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6" s="72"/>
      <c r="I806" s="70"/>
      <c r="J806" s="70"/>
      <c r="K806" s="71"/>
      <c r="L806" s="296"/>
      <c r="M806" s="10">
        <f ca="1">IF(ISBLANK(K806), TODAY()-(I806), Table27[[#This Row],[Effectiveness Review &amp; date deemed effective]]-Table27[[#This Row],[PTO initialized date]])</f>
        <v>46067</v>
      </c>
    </row>
    <row r="807" spans="1:13" ht="18">
      <c r="A807" s="68"/>
      <c r="B807" s="18" t="e">
        <f>VLOOKUP(Table27[[#This Row],[Location 
(drop-down)]],'List source'!D$2:E$71,2,FALSE)</f>
        <v>#N/A</v>
      </c>
      <c r="C807" s="154" t="s">
        <v>2146</v>
      </c>
      <c r="D807" s="20" t="e">
        <f t="shared" si="12"/>
        <v>#N/A</v>
      </c>
      <c r="E807" s="68"/>
      <c r="F807" s="10" t="e" cm="1">
        <f t="array" aca="1" ref="F8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7" s="173"/>
      <c r="I807" s="70"/>
      <c r="J807" s="70"/>
      <c r="K807" s="71"/>
      <c r="L807" s="296"/>
      <c r="M807" s="10">
        <f ca="1">IF(ISBLANK(K807), TODAY()-(I807), Table27[[#This Row],[Effectiveness Review &amp; date deemed effective]]-Table27[[#This Row],[PTO initialized date]])</f>
        <v>46067</v>
      </c>
    </row>
    <row r="808" spans="1:13" ht="18">
      <c r="A808" s="68"/>
      <c r="B808" s="18" t="e">
        <f>VLOOKUP(Table27[[#This Row],[Location 
(drop-down)]],'List source'!D$2:E$71,2,FALSE)</f>
        <v>#N/A</v>
      </c>
      <c r="C808" s="154" t="s">
        <v>2147</v>
      </c>
      <c r="D808" s="20" t="e">
        <f t="shared" si="12"/>
        <v>#N/A</v>
      </c>
      <c r="E808" s="68"/>
      <c r="F808" s="10" t="e" cm="1">
        <f t="array" aca="1" ref="F8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8" s="72"/>
      <c r="I808" s="70"/>
      <c r="J808" s="70"/>
      <c r="K808" s="71"/>
      <c r="L808" s="296"/>
      <c r="M808" s="10">
        <f ca="1">IF(ISBLANK(K808), TODAY()-(I808), Table27[[#This Row],[Effectiveness Review &amp; date deemed effective]]-Table27[[#This Row],[PTO initialized date]])</f>
        <v>46067</v>
      </c>
    </row>
    <row r="809" spans="1:13" ht="18">
      <c r="A809" s="68"/>
      <c r="B809" s="18" t="e">
        <f>VLOOKUP(Table27[[#This Row],[Location 
(drop-down)]],'List source'!D$2:E$71,2,FALSE)</f>
        <v>#N/A</v>
      </c>
      <c r="C809" s="154" t="s">
        <v>2148</v>
      </c>
      <c r="D809" s="20" t="e">
        <f t="shared" si="12"/>
        <v>#N/A</v>
      </c>
      <c r="E809" s="68"/>
      <c r="F809" s="10" t="e" cm="1">
        <f t="array" aca="1" ref="F8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09" s="173"/>
      <c r="I809" s="70"/>
      <c r="J809" s="70"/>
      <c r="K809" s="71"/>
      <c r="L809" s="296"/>
      <c r="M809" s="10">
        <f ca="1">IF(ISBLANK(K809), TODAY()-(I809), Table27[[#This Row],[Effectiveness Review &amp; date deemed effective]]-Table27[[#This Row],[PTO initialized date]])</f>
        <v>46067</v>
      </c>
    </row>
    <row r="810" spans="1:13" ht="18">
      <c r="A810" s="68"/>
      <c r="B810" s="18" t="e">
        <f>VLOOKUP(Table27[[#This Row],[Location 
(drop-down)]],'List source'!D$2:E$71,2,FALSE)</f>
        <v>#N/A</v>
      </c>
      <c r="C810" s="154" t="s">
        <v>2149</v>
      </c>
      <c r="D810" s="20" t="e">
        <f t="shared" si="12"/>
        <v>#N/A</v>
      </c>
      <c r="E810" s="68"/>
      <c r="F810" s="10" t="e" cm="1">
        <f t="array" aca="1" ref="F8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0" s="72"/>
      <c r="I810" s="70"/>
      <c r="J810" s="70"/>
      <c r="K810" s="71"/>
      <c r="L810" s="296"/>
      <c r="M810" s="10">
        <f ca="1">IF(ISBLANK(K810), TODAY()-(I810), Table27[[#This Row],[Effectiveness Review &amp; date deemed effective]]-Table27[[#This Row],[PTO initialized date]])</f>
        <v>46067</v>
      </c>
    </row>
    <row r="811" spans="1:13" ht="18">
      <c r="A811" s="68"/>
      <c r="B811" s="18" t="e">
        <f>VLOOKUP(Table27[[#This Row],[Location 
(drop-down)]],'List source'!D$2:E$71,2,FALSE)</f>
        <v>#N/A</v>
      </c>
      <c r="C811" s="154" t="s">
        <v>2150</v>
      </c>
      <c r="D811" s="20" t="e">
        <f t="shared" si="12"/>
        <v>#N/A</v>
      </c>
      <c r="E811" s="68"/>
      <c r="F811" s="10" t="e" cm="1">
        <f t="array" aca="1" ref="F8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1" s="173"/>
      <c r="I811" s="70"/>
      <c r="J811" s="70"/>
      <c r="K811" s="71"/>
      <c r="L811" s="296"/>
      <c r="M811" s="10">
        <f ca="1">IF(ISBLANK(K811), TODAY()-(I811), Table27[[#This Row],[Effectiveness Review &amp; date deemed effective]]-Table27[[#This Row],[PTO initialized date]])</f>
        <v>46067</v>
      </c>
    </row>
    <row r="812" spans="1:13" ht="18">
      <c r="A812" s="68"/>
      <c r="B812" s="18" t="e">
        <f>VLOOKUP(Table27[[#This Row],[Location 
(drop-down)]],'List source'!D$2:E$71,2,FALSE)</f>
        <v>#N/A</v>
      </c>
      <c r="C812" s="154" t="s">
        <v>2151</v>
      </c>
      <c r="D812" s="20" t="e">
        <f t="shared" si="12"/>
        <v>#N/A</v>
      </c>
      <c r="E812" s="68"/>
      <c r="F812" s="10" t="e" cm="1">
        <f t="array" aca="1" ref="F8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2" s="72"/>
      <c r="I812" s="70"/>
      <c r="J812" s="70"/>
      <c r="K812" s="71"/>
      <c r="L812" s="296"/>
      <c r="M812" s="10">
        <f ca="1">IF(ISBLANK(K812), TODAY()-(I812), Table27[[#This Row],[Effectiveness Review &amp; date deemed effective]]-Table27[[#This Row],[PTO initialized date]])</f>
        <v>46067</v>
      </c>
    </row>
    <row r="813" spans="1:13" ht="18">
      <c r="A813" s="68"/>
      <c r="B813" s="18" t="e">
        <f>VLOOKUP(Table27[[#This Row],[Location 
(drop-down)]],'List source'!D$2:E$71,2,FALSE)</f>
        <v>#N/A</v>
      </c>
      <c r="C813" s="154" t="s">
        <v>2152</v>
      </c>
      <c r="D813" s="194" t="e">
        <f t="shared" si="12"/>
        <v>#N/A</v>
      </c>
      <c r="E813" s="68"/>
      <c r="F813" s="10" t="e" cm="1">
        <f t="array" aca="1" ref="F8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3" s="173"/>
      <c r="I813" s="70"/>
      <c r="J813" s="70"/>
      <c r="K813" s="71"/>
      <c r="L813" s="295"/>
      <c r="M813" s="10">
        <f ca="1">IF(ISBLANK(K813), TODAY()-(I813), Table27[[#This Row],[Effectiveness Review &amp; date deemed effective]]-Table27[[#This Row],[PTO initialized date]])</f>
        <v>46067</v>
      </c>
    </row>
    <row r="814" spans="1:13" ht="18">
      <c r="A814" s="68"/>
      <c r="B814" s="18" t="e">
        <f>VLOOKUP(Table27[[#This Row],[Location 
(drop-down)]],'List source'!D$2:E$71,2,FALSE)</f>
        <v>#N/A</v>
      </c>
      <c r="C814" s="154" t="s">
        <v>2153</v>
      </c>
      <c r="D814" s="20" t="e">
        <f t="shared" si="12"/>
        <v>#N/A</v>
      </c>
      <c r="E814" s="68"/>
      <c r="F814" s="10" t="e" cm="1">
        <f t="array" aca="1" ref="F8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4" s="173"/>
      <c r="I814" s="70"/>
      <c r="J814" s="70"/>
      <c r="K814" s="71"/>
      <c r="L814" s="296"/>
      <c r="M814" s="10">
        <f ca="1">IF(ISBLANK(K814), TODAY()-(I814), Table27[[#This Row],[Effectiveness Review &amp; date deemed effective]]-Table27[[#This Row],[PTO initialized date]])</f>
        <v>46067</v>
      </c>
    </row>
    <row r="815" spans="1:13" ht="18">
      <c r="A815" s="68"/>
      <c r="B815" s="18" t="e">
        <f>VLOOKUP(Table27[[#This Row],[Location 
(drop-down)]],'List source'!D$2:E$71,2,FALSE)</f>
        <v>#N/A</v>
      </c>
      <c r="C815" s="154" t="s">
        <v>2154</v>
      </c>
      <c r="D815" s="20" t="e">
        <f t="shared" si="12"/>
        <v>#N/A</v>
      </c>
      <c r="E815" s="68"/>
      <c r="F815" s="10" t="e" cm="1">
        <f t="array" aca="1" ref="F8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5" s="173"/>
      <c r="I815" s="70"/>
      <c r="J815" s="70"/>
      <c r="K815" s="71"/>
      <c r="L815" s="296"/>
      <c r="M815" s="10">
        <f ca="1">IF(ISBLANK(K815), TODAY()-(I815), Table27[[#This Row],[Effectiveness Review &amp; date deemed effective]]-Table27[[#This Row],[PTO initialized date]])</f>
        <v>46067</v>
      </c>
    </row>
    <row r="816" spans="1:13" ht="18">
      <c r="A816" s="68"/>
      <c r="B816" s="18" t="e">
        <f>VLOOKUP(Table27[[#This Row],[Location 
(drop-down)]],'List source'!D$2:E$71,2,FALSE)</f>
        <v>#N/A</v>
      </c>
      <c r="C816" s="154" t="s">
        <v>2155</v>
      </c>
      <c r="D816" s="20" t="e">
        <f t="shared" si="12"/>
        <v>#N/A</v>
      </c>
      <c r="E816" s="68"/>
      <c r="F816" s="10" t="e" cm="1">
        <f t="array" aca="1" ref="F8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6" s="173"/>
      <c r="I816" s="70"/>
      <c r="J816" s="70"/>
      <c r="K816" s="71"/>
      <c r="L816" s="296"/>
      <c r="M816" s="10">
        <f ca="1">IF(ISBLANK(K816), TODAY()-(I816), Table27[[#This Row],[Effectiveness Review &amp; date deemed effective]]-Table27[[#This Row],[PTO initialized date]])</f>
        <v>46067</v>
      </c>
    </row>
    <row r="817" spans="1:13" ht="18">
      <c r="A817" s="68"/>
      <c r="B817" s="18" t="e">
        <f>VLOOKUP(Table27[[#This Row],[Location 
(drop-down)]],'List source'!D$2:E$71,2,FALSE)</f>
        <v>#N/A</v>
      </c>
      <c r="C817" s="154" t="s">
        <v>2156</v>
      </c>
      <c r="D817" s="20" t="e">
        <f t="shared" si="12"/>
        <v>#N/A</v>
      </c>
      <c r="E817" s="68"/>
      <c r="F817" s="10" t="e" cm="1">
        <f t="array" aca="1" ref="F8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7" s="173"/>
      <c r="I817" s="70"/>
      <c r="J817" s="70"/>
      <c r="K817" s="71"/>
      <c r="L817" s="296"/>
      <c r="M817" s="10">
        <f ca="1">IF(ISBLANK(K817), TODAY()-(I817), Table27[[#This Row],[Effectiveness Review &amp; date deemed effective]]-Table27[[#This Row],[PTO initialized date]])</f>
        <v>46067</v>
      </c>
    </row>
    <row r="818" spans="1:13" ht="18">
      <c r="A818" s="68"/>
      <c r="B818" s="18" t="e">
        <f>VLOOKUP(Table27[[#This Row],[Location 
(drop-down)]],'List source'!D$2:E$71,2,FALSE)</f>
        <v>#N/A</v>
      </c>
      <c r="C818" s="154" t="s">
        <v>2157</v>
      </c>
      <c r="D818" s="20" t="e">
        <f t="shared" si="12"/>
        <v>#N/A</v>
      </c>
      <c r="E818" s="68"/>
      <c r="F818" s="10" t="e" cm="1">
        <f t="array" aca="1" ref="F8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8" s="173"/>
      <c r="I818" s="70"/>
      <c r="J818" s="70"/>
      <c r="K818" s="71"/>
      <c r="L818" s="296"/>
      <c r="M818" s="10">
        <f ca="1">IF(ISBLANK(K818), TODAY()-(I818), Table27[[#This Row],[Effectiveness Review &amp; date deemed effective]]-Table27[[#This Row],[PTO initialized date]])</f>
        <v>46067</v>
      </c>
    </row>
    <row r="819" spans="1:13" ht="18">
      <c r="A819" s="68"/>
      <c r="B819" s="18" t="e">
        <f>VLOOKUP(Table27[[#This Row],[Location 
(drop-down)]],'List source'!D$2:E$71,2,FALSE)</f>
        <v>#N/A</v>
      </c>
      <c r="C819" s="154" t="s">
        <v>2158</v>
      </c>
      <c r="D819" s="194" t="e">
        <f t="shared" si="12"/>
        <v>#N/A</v>
      </c>
      <c r="E819" s="68"/>
      <c r="F819" s="10" t="e" cm="1">
        <f t="array" aca="1" ref="F8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19" s="72"/>
      <c r="I819" s="70"/>
      <c r="J819" s="70"/>
      <c r="K819" s="71"/>
      <c r="L819" s="295"/>
      <c r="M819" s="10">
        <f ca="1">IF(ISBLANK(K819), TODAY()-(I819), Table27[[#This Row],[Effectiveness Review &amp; date deemed effective]]-Table27[[#This Row],[PTO initialized date]])</f>
        <v>46067</v>
      </c>
    </row>
    <row r="820" spans="1:13" ht="18">
      <c r="A820" s="68"/>
      <c r="B820" s="18" t="e">
        <f>VLOOKUP(Table27[[#This Row],[Location 
(drop-down)]],'List source'!D$2:E$71,2,FALSE)</f>
        <v>#N/A</v>
      </c>
      <c r="C820" s="154" t="s">
        <v>2159</v>
      </c>
      <c r="D820" s="20" t="e">
        <f t="shared" si="12"/>
        <v>#N/A</v>
      </c>
      <c r="E820" s="68"/>
      <c r="F820" s="10" t="e" cm="1">
        <f t="array" aca="1" ref="F8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0" s="173"/>
      <c r="I820" s="70"/>
      <c r="J820" s="70"/>
      <c r="K820" s="71"/>
      <c r="L820" s="296"/>
      <c r="M820" s="10">
        <f ca="1">IF(ISBLANK(K820), TODAY()-(I820), Table27[[#This Row],[Effectiveness Review &amp; date deemed effective]]-Table27[[#This Row],[PTO initialized date]])</f>
        <v>46067</v>
      </c>
    </row>
    <row r="821" spans="1:13" ht="18">
      <c r="A821" s="68"/>
      <c r="B821" s="18" t="e">
        <f>VLOOKUP(Table27[[#This Row],[Location 
(drop-down)]],'List source'!D$2:E$71,2,FALSE)</f>
        <v>#N/A</v>
      </c>
      <c r="C821" s="154" t="s">
        <v>2160</v>
      </c>
      <c r="D821" s="194" t="e">
        <f t="shared" si="12"/>
        <v>#N/A</v>
      </c>
      <c r="E821" s="68"/>
      <c r="F821" s="10" t="e" cm="1">
        <f t="array" aca="1" ref="F8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1" s="72"/>
      <c r="I821" s="70"/>
      <c r="J821" s="70"/>
      <c r="K821" s="71"/>
      <c r="L821" s="295"/>
      <c r="M821" s="10">
        <f ca="1">IF(ISBLANK(K821), TODAY()-(I821), Table27[[#This Row],[Effectiveness Review &amp; date deemed effective]]-Table27[[#This Row],[PTO initialized date]])</f>
        <v>46067</v>
      </c>
    </row>
    <row r="822" spans="1:13" ht="18">
      <c r="A822" s="68"/>
      <c r="B822" s="18" t="e">
        <f>VLOOKUP(Table27[[#This Row],[Location 
(drop-down)]],'List source'!D$2:E$71,2,FALSE)</f>
        <v>#N/A</v>
      </c>
      <c r="C822" s="154" t="s">
        <v>2161</v>
      </c>
      <c r="D822" s="20" t="e">
        <f t="shared" si="12"/>
        <v>#N/A</v>
      </c>
      <c r="E822" s="68"/>
      <c r="F822" s="10" t="e" cm="1">
        <f t="array" aca="1" ref="F8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2" s="173"/>
      <c r="I822" s="70"/>
      <c r="J822" s="70"/>
      <c r="K822" s="71"/>
      <c r="L822" s="296"/>
      <c r="M822" s="10">
        <f ca="1">IF(ISBLANK(K822), TODAY()-(I822), Table27[[#This Row],[Effectiveness Review &amp; date deemed effective]]-Table27[[#This Row],[PTO initialized date]])</f>
        <v>46067</v>
      </c>
    </row>
    <row r="823" spans="1:13" ht="18">
      <c r="A823" s="68"/>
      <c r="B823" s="18" t="e">
        <f>VLOOKUP(Table27[[#This Row],[Location 
(drop-down)]],'List source'!D$2:E$71,2,FALSE)</f>
        <v>#N/A</v>
      </c>
      <c r="C823" s="154" t="s">
        <v>2162</v>
      </c>
      <c r="D823" s="20" t="e">
        <f t="shared" si="12"/>
        <v>#N/A</v>
      </c>
      <c r="E823" s="68"/>
      <c r="F823" s="10" t="e" cm="1">
        <f t="array" aca="1" ref="F8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3" s="173"/>
      <c r="I823" s="70"/>
      <c r="J823" s="70"/>
      <c r="K823" s="71"/>
      <c r="L823" s="296"/>
      <c r="M823" s="10">
        <f ca="1">IF(ISBLANK(K823), TODAY()-(I823), Table27[[#This Row],[Effectiveness Review &amp; date deemed effective]]-Table27[[#This Row],[PTO initialized date]])</f>
        <v>46067</v>
      </c>
    </row>
    <row r="824" spans="1:13" ht="18">
      <c r="A824" s="68"/>
      <c r="B824" s="18" t="e">
        <f>VLOOKUP(Table27[[#This Row],[Location 
(drop-down)]],'List source'!D$2:E$71,2,FALSE)</f>
        <v>#N/A</v>
      </c>
      <c r="C824" s="154" t="s">
        <v>2163</v>
      </c>
      <c r="D824" s="20" t="e">
        <f t="shared" si="12"/>
        <v>#N/A</v>
      </c>
      <c r="E824" s="68"/>
      <c r="F824" s="10" t="e" cm="1">
        <f t="array" aca="1" ref="F8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4" s="173"/>
      <c r="I824" s="70"/>
      <c r="J824" s="70"/>
      <c r="K824" s="71"/>
      <c r="L824" s="296"/>
      <c r="M824" s="10">
        <f ca="1">IF(ISBLANK(K824), TODAY()-(I824), Table27[[#This Row],[Effectiveness Review &amp; date deemed effective]]-Table27[[#This Row],[PTO initialized date]])</f>
        <v>46067</v>
      </c>
    </row>
    <row r="825" spans="1:13" ht="18">
      <c r="A825" s="68"/>
      <c r="B825" s="18" t="e">
        <f>VLOOKUP(Table27[[#This Row],[Location 
(drop-down)]],'List source'!D$2:E$71,2,FALSE)</f>
        <v>#N/A</v>
      </c>
      <c r="C825" s="154" t="s">
        <v>2164</v>
      </c>
      <c r="D825" s="194" t="e">
        <f t="shared" si="12"/>
        <v>#N/A</v>
      </c>
      <c r="E825" s="68"/>
      <c r="F825" s="10" t="e" cm="1">
        <f t="array" aca="1" ref="F8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5" s="173"/>
      <c r="I825" s="70"/>
      <c r="J825" s="70"/>
      <c r="K825" s="71"/>
      <c r="L825" s="295"/>
      <c r="M825" s="10">
        <f ca="1">IF(ISBLANK(K825), TODAY()-(I825), Table27[[#This Row],[Effectiveness Review &amp; date deemed effective]]-Table27[[#This Row],[PTO initialized date]])</f>
        <v>46067</v>
      </c>
    </row>
    <row r="826" spans="1:13" ht="18">
      <c r="A826" s="68"/>
      <c r="B826" s="18" t="e">
        <f>VLOOKUP(Table27[[#This Row],[Location 
(drop-down)]],'List source'!D$2:E$71,2,FALSE)</f>
        <v>#N/A</v>
      </c>
      <c r="C826" s="154" t="s">
        <v>2165</v>
      </c>
      <c r="D826" s="20" t="e">
        <f t="shared" si="12"/>
        <v>#N/A</v>
      </c>
      <c r="E826" s="68"/>
      <c r="F826" s="10" t="e" cm="1">
        <f t="array" aca="1" ref="F8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6" s="72"/>
      <c r="I826" s="70"/>
      <c r="J826" s="70"/>
      <c r="K826" s="71"/>
      <c r="L826" s="296"/>
      <c r="M826" s="10">
        <f ca="1">IF(ISBLANK(K826), TODAY()-(I826), Table27[[#This Row],[Effectiveness Review &amp; date deemed effective]]-Table27[[#This Row],[PTO initialized date]])</f>
        <v>46067</v>
      </c>
    </row>
    <row r="827" spans="1:13" ht="18">
      <c r="A827" s="68"/>
      <c r="B827" s="18" t="e">
        <f>VLOOKUP(Table27[[#This Row],[Location 
(drop-down)]],'List source'!D$2:E$71,2,FALSE)</f>
        <v>#N/A</v>
      </c>
      <c r="C827" s="154" t="s">
        <v>2166</v>
      </c>
      <c r="D827" s="20" t="e">
        <f t="shared" si="12"/>
        <v>#N/A</v>
      </c>
      <c r="E827" s="68"/>
      <c r="F827" s="10" t="e" cm="1">
        <f t="array" aca="1" ref="F8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7" s="72"/>
      <c r="I827" s="70"/>
      <c r="J827" s="70"/>
      <c r="K827" s="71"/>
      <c r="L827" s="296"/>
      <c r="M827" s="10">
        <f ca="1">IF(ISBLANK(K827), TODAY()-(I827), Table27[[#This Row],[Effectiveness Review &amp; date deemed effective]]-Table27[[#This Row],[PTO initialized date]])</f>
        <v>46067</v>
      </c>
    </row>
    <row r="828" spans="1:13" ht="18">
      <c r="A828" s="68"/>
      <c r="B828" s="18" t="e">
        <f>VLOOKUP(Table27[[#This Row],[Location 
(drop-down)]],'List source'!D$2:E$71,2,FALSE)</f>
        <v>#N/A</v>
      </c>
      <c r="C828" s="154" t="s">
        <v>2167</v>
      </c>
      <c r="D828" s="20" t="e">
        <f t="shared" si="12"/>
        <v>#N/A</v>
      </c>
      <c r="E828" s="68"/>
      <c r="F828" s="10" t="e" cm="1">
        <f t="array" aca="1" ref="F8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8" s="72"/>
      <c r="I828" s="70"/>
      <c r="J828" s="70"/>
      <c r="K828" s="71"/>
      <c r="L828" s="233"/>
      <c r="M828" s="10">
        <f ca="1">IF(ISBLANK(K828), TODAY()-(I828), Table27[[#This Row],[Effectiveness Review &amp; date deemed effective]]-Table27[[#This Row],[PTO initialized date]])</f>
        <v>46067</v>
      </c>
    </row>
    <row r="829" spans="1:13" ht="18">
      <c r="A829" s="68"/>
      <c r="B829" s="18" t="e">
        <f>VLOOKUP(Table27[[#This Row],[Location 
(drop-down)]],'List source'!D$2:E$71,2,FALSE)</f>
        <v>#N/A</v>
      </c>
      <c r="C829" s="154" t="s">
        <v>2168</v>
      </c>
      <c r="D829" s="20" t="e">
        <f t="shared" si="12"/>
        <v>#N/A</v>
      </c>
      <c r="E829" s="68"/>
      <c r="F829" s="10" t="e" cm="1">
        <f t="array" aca="1" ref="F8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29" s="72"/>
      <c r="I829" s="70"/>
      <c r="J829" s="70"/>
      <c r="K829" s="71"/>
      <c r="L829" s="296"/>
      <c r="M829" s="10">
        <f ca="1">IF(ISBLANK(K829), TODAY()-(I829), Table27[[#This Row],[Effectiveness Review &amp; date deemed effective]]-Table27[[#This Row],[PTO initialized date]])</f>
        <v>46067</v>
      </c>
    </row>
    <row r="830" spans="1:13" ht="18">
      <c r="A830" s="68"/>
      <c r="B830" s="18" t="e">
        <f>VLOOKUP(Table27[[#This Row],[Location 
(drop-down)]],'List source'!D$2:E$71,2,FALSE)</f>
        <v>#N/A</v>
      </c>
      <c r="C830" s="154" t="s">
        <v>2169</v>
      </c>
      <c r="D830" s="20" t="e">
        <f t="shared" si="12"/>
        <v>#N/A</v>
      </c>
      <c r="E830" s="68"/>
      <c r="F830" s="10" t="e" cm="1">
        <f t="array" aca="1" ref="F8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0" s="173"/>
      <c r="I830" s="70"/>
      <c r="J830" s="70"/>
      <c r="K830" s="71"/>
      <c r="L830" s="296"/>
      <c r="M830" s="10">
        <f ca="1">IF(ISBLANK(K830), TODAY()-(I830), Table27[[#This Row],[Effectiveness Review &amp; date deemed effective]]-Table27[[#This Row],[PTO initialized date]])</f>
        <v>46067</v>
      </c>
    </row>
    <row r="831" spans="1:13" ht="18">
      <c r="A831" s="68"/>
      <c r="B831" s="18" t="e">
        <f>VLOOKUP(Table27[[#This Row],[Location 
(drop-down)]],'List source'!D$2:E$71,2,FALSE)</f>
        <v>#N/A</v>
      </c>
      <c r="C831" s="154" t="s">
        <v>2170</v>
      </c>
      <c r="D831" s="20" t="e">
        <f t="shared" si="12"/>
        <v>#N/A</v>
      </c>
      <c r="E831" s="68"/>
      <c r="F831" s="10" t="e" cm="1">
        <f t="array" aca="1" ref="F8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1" s="173"/>
      <c r="I831" s="70"/>
      <c r="J831" s="70"/>
      <c r="K831" s="71"/>
      <c r="L831" s="296"/>
      <c r="M831" s="10">
        <f ca="1">IF(ISBLANK(K831), TODAY()-(I831), Table27[[#This Row],[Effectiveness Review &amp; date deemed effective]]-Table27[[#This Row],[PTO initialized date]])</f>
        <v>46067</v>
      </c>
    </row>
    <row r="832" spans="1:13" ht="18">
      <c r="A832" s="68"/>
      <c r="B832" s="18" t="e">
        <f>VLOOKUP(Table27[[#This Row],[Location 
(drop-down)]],'List source'!D$2:E$71,2,FALSE)</f>
        <v>#N/A</v>
      </c>
      <c r="C832" s="154" t="s">
        <v>2171</v>
      </c>
      <c r="D832" s="20" t="e">
        <f t="shared" si="12"/>
        <v>#N/A</v>
      </c>
      <c r="E832" s="68"/>
      <c r="F832" s="10" t="e" cm="1">
        <f t="array" aca="1" ref="F8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2" s="72"/>
      <c r="I832" s="70"/>
      <c r="J832" s="70"/>
      <c r="K832" s="71"/>
      <c r="L832" s="296"/>
      <c r="M832" s="10">
        <f ca="1">IF(ISBLANK(K832), TODAY()-(I832), Table27[[#This Row],[Effectiveness Review &amp; date deemed effective]]-Table27[[#This Row],[PTO initialized date]])</f>
        <v>46067</v>
      </c>
    </row>
    <row r="833" spans="1:13" ht="18">
      <c r="A833" s="68"/>
      <c r="B833" s="18" t="e">
        <f>VLOOKUP(Table27[[#This Row],[Location 
(drop-down)]],'List source'!D$2:E$71,2,FALSE)</f>
        <v>#N/A</v>
      </c>
      <c r="C833" s="154" t="s">
        <v>2172</v>
      </c>
      <c r="D833" s="20" t="e">
        <f t="shared" si="12"/>
        <v>#N/A</v>
      </c>
      <c r="E833" s="68"/>
      <c r="F833" s="10" t="e" cm="1">
        <f t="array" aca="1" ref="F8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3" s="173"/>
      <c r="I833" s="70"/>
      <c r="J833" s="70"/>
      <c r="K833" s="71"/>
      <c r="L833" s="296"/>
      <c r="M833" s="10">
        <f ca="1">IF(ISBLANK(K833), TODAY()-(I833), Table27[[#This Row],[Effectiveness Review &amp; date deemed effective]]-Table27[[#This Row],[PTO initialized date]])</f>
        <v>46067</v>
      </c>
    </row>
    <row r="834" spans="1:13" ht="18">
      <c r="A834" s="68"/>
      <c r="B834" s="18" t="e">
        <f>VLOOKUP(Table27[[#This Row],[Location 
(drop-down)]],'List source'!D$2:E$71,2,FALSE)</f>
        <v>#N/A</v>
      </c>
      <c r="C834" s="154" t="s">
        <v>2173</v>
      </c>
      <c r="D834" s="20" t="e">
        <f t="shared" ref="D834:D897" si="13">"PTO" &amp; C834 &amp; "-" &amp; B834 &amp; "-" &amp; "26"</f>
        <v>#N/A</v>
      </c>
      <c r="E834" s="68"/>
      <c r="F834" s="10" t="e" cm="1">
        <f t="array" aca="1" ref="F8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4" s="72"/>
      <c r="I834" s="70"/>
      <c r="J834" s="70"/>
      <c r="K834" s="71"/>
      <c r="L834" s="296"/>
      <c r="M834" s="10">
        <f ca="1">IF(ISBLANK(K834), TODAY()-(I834), Table27[[#This Row],[Effectiveness Review &amp; date deemed effective]]-Table27[[#This Row],[PTO initialized date]])</f>
        <v>46067</v>
      </c>
    </row>
    <row r="835" spans="1:13" ht="18">
      <c r="A835" s="68"/>
      <c r="B835" s="18" t="e">
        <f>VLOOKUP(Table27[[#This Row],[Location 
(drop-down)]],'List source'!D$2:E$71,2,FALSE)</f>
        <v>#N/A</v>
      </c>
      <c r="C835" s="154" t="s">
        <v>2174</v>
      </c>
      <c r="D835" s="20" t="e">
        <f t="shared" si="13"/>
        <v>#N/A</v>
      </c>
      <c r="E835" s="68"/>
      <c r="F835" s="10" t="e" cm="1">
        <f t="array" aca="1" ref="F8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5" s="72"/>
      <c r="I835" s="70"/>
      <c r="J835" s="70"/>
      <c r="K835" s="71"/>
      <c r="L835" s="233"/>
      <c r="M835" s="10">
        <f ca="1">IF(ISBLANK(K835), TODAY()-(I835), Table27[[#This Row],[Effectiveness Review &amp; date deemed effective]]-Table27[[#This Row],[PTO initialized date]])</f>
        <v>46067</v>
      </c>
    </row>
    <row r="836" spans="1:13" ht="18">
      <c r="A836" s="68"/>
      <c r="B836" s="18" t="e">
        <f>VLOOKUP(Table27[[#This Row],[Location 
(drop-down)]],'List source'!D$2:E$71,2,FALSE)</f>
        <v>#N/A</v>
      </c>
      <c r="C836" s="154" t="s">
        <v>2175</v>
      </c>
      <c r="D836" s="20" t="e">
        <f t="shared" si="13"/>
        <v>#N/A</v>
      </c>
      <c r="E836" s="68"/>
      <c r="F836" s="10" t="e" cm="1">
        <f t="array" aca="1" ref="F8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6" s="72"/>
      <c r="I836" s="70"/>
      <c r="J836" s="70"/>
      <c r="K836" s="71"/>
      <c r="L836" s="296"/>
      <c r="M836" s="10">
        <f ca="1">IF(ISBLANK(K836), TODAY()-(I836), Table27[[#This Row],[Effectiveness Review &amp; date deemed effective]]-Table27[[#This Row],[PTO initialized date]])</f>
        <v>46067</v>
      </c>
    </row>
    <row r="837" spans="1:13" ht="18">
      <c r="A837" s="68"/>
      <c r="B837" s="18" t="e">
        <f>VLOOKUP(Table27[[#This Row],[Location 
(drop-down)]],'List source'!D$2:E$71,2,FALSE)</f>
        <v>#N/A</v>
      </c>
      <c r="C837" s="154" t="s">
        <v>2176</v>
      </c>
      <c r="D837" s="20" t="e">
        <f t="shared" si="13"/>
        <v>#N/A</v>
      </c>
      <c r="E837" s="68"/>
      <c r="F837" s="10" t="e" cm="1">
        <f t="array" aca="1" ref="F8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7" s="72"/>
      <c r="I837" s="70"/>
      <c r="J837" s="70"/>
      <c r="K837" s="71"/>
      <c r="L837" s="296"/>
      <c r="M837" s="10">
        <f ca="1">IF(ISBLANK(K837), TODAY()-(I837), Table27[[#This Row],[Effectiveness Review &amp; date deemed effective]]-Table27[[#This Row],[PTO initialized date]])</f>
        <v>46067</v>
      </c>
    </row>
    <row r="838" spans="1:13" ht="18">
      <c r="A838" s="68"/>
      <c r="B838" s="18" t="e">
        <f>VLOOKUP(Table27[[#This Row],[Location 
(drop-down)]],'List source'!D$2:E$71,2,FALSE)</f>
        <v>#N/A</v>
      </c>
      <c r="C838" s="154" t="s">
        <v>2177</v>
      </c>
      <c r="D838" s="20" t="e">
        <f t="shared" si="13"/>
        <v>#N/A</v>
      </c>
      <c r="E838" s="68"/>
      <c r="F838" s="10" t="e" cm="1">
        <f t="array" aca="1" ref="F8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8" s="173"/>
      <c r="I838" s="70"/>
      <c r="J838" s="70"/>
      <c r="K838" s="71"/>
      <c r="L838" s="296"/>
      <c r="M838" s="10">
        <f ca="1">IF(ISBLANK(K838), TODAY()-(I838), Table27[[#This Row],[Effectiveness Review &amp; date deemed effective]]-Table27[[#This Row],[PTO initialized date]])</f>
        <v>46067</v>
      </c>
    </row>
    <row r="839" spans="1:13" ht="18">
      <c r="A839" s="68"/>
      <c r="B839" s="18" t="e">
        <f>VLOOKUP(Table27[[#This Row],[Location 
(drop-down)]],'List source'!D$2:E$71,2,FALSE)</f>
        <v>#N/A</v>
      </c>
      <c r="C839" s="154" t="s">
        <v>2178</v>
      </c>
      <c r="D839" s="20" t="e">
        <f t="shared" si="13"/>
        <v>#N/A</v>
      </c>
      <c r="E839" s="68"/>
      <c r="F839" s="10" t="e" cm="1">
        <f t="array" aca="1" ref="F8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39" s="72"/>
      <c r="I839" s="70"/>
      <c r="J839" s="70"/>
      <c r="K839" s="71"/>
      <c r="L839" s="296"/>
      <c r="M839" s="10">
        <f ca="1">IF(ISBLANK(K839), TODAY()-(I839), Table27[[#This Row],[Effectiveness Review &amp; date deemed effective]]-Table27[[#This Row],[PTO initialized date]])</f>
        <v>46067</v>
      </c>
    </row>
    <row r="840" spans="1:13" ht="18">
      <c r="A840" s="68"/>
      <c r="B840" s="18" t="e">
        <f>VLOOKUP(Table27[[#This Row],[Location 
(drop-down)]],'List source'!D$2:E$71,2,FALSE)</f>
        <v>#N/A</v>
      </c>
      <c r="C840" s="154" t="s">
        <v>2179</v>
      </c>
      <c r="D840" s="20" t="e">
        <f t="shared" si="13"/>
        <v>#N/A</v>
      </c>
      <c r="E840" s="68"/>
      <c r="F840" s="10" t="e" cm="1">
        <f t="array" aca="1" ref="F8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0" s="173"/>
      <c r="I840" s="70"/>
      <c r="J840" s="70"/>
      <c r="K840" s="71"/>
      <c r="L840" s="296"/>
      <c r="M840" s="10">
        <f ca="1">IF(ISBLANK(K840), TODAY()-(I840), Table27[[#This Row],[Effectiveness Review &amp; date deemed effective]]-Table27[[#This Row],[PTO initialized date]])</f>
        <v>46067</v>
      </c>
    </row>
    <row r="841" spans="1:13" ht="18">
      <c r="A841" s="68"/>
      <c r="B841" s="18" t="e">
        <f>VLOOKUP(Table27[[#This Row],[Location 
(drop-down)]],'List source'!D$2:E$71,2,FALSE)</f>
        <v>#N/A</v>
      </c>
      <c r="C841" s="154" t="s">
        <v>2180</v>
      </c>
      <c r="D841" s="20" t="e">
        <f t="shared" si="13"/>
        <v>#N/A</v>
      </c>
      <c r="E841" s="68"/>
      <c r="F841" s="10" t="e" cm="1">
        <f t="array" aca="1" ref="F8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1" s="173"/>
      <c r="I841" s="70"/>
      <c r="J841" s="70"/>
      <c r="K841" s="71"/>
      <c r="L841" s="296"/>
      <c r="M841" s="10">
        <f ca="1">IF(ISBLANK(K841), TODAY()-(I841), Table27[[#This Row],[Effectiveness Review &amp; date deemed effective]]-Table27[[#This Row],[PTO initialized date]])</f>
        <v>46067</v>
      </c>
    </row>
    <row r="842" spans="1:13" ht="18">
      <c r="A842" s="68"/>
      <c r="B842" s="18" t="e">
        <f>VLOOKUP(Table27[[#This Row],[Location 
(drop-down)]],'List source'!D$2:E$71,2,FALSE)</f>
        <v>#N/A</v>
      </c>
      <c r="C842" s="154" t="s">
        <v>2181</v>
      </c>
      <c r="D842" s="20" t="e">
        <f t="shared" si="13"/>
        <v>#N/A</v>
      </c>
      <c r="E842" s="68"/>
      <c r="F842" s="10" t="e" cm="1">
        <f t="array" aca="1" ref="F8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2" s="173"/>
      <c r="I842" s="70"/>
      <c r="J842" s="70"/>
      <c r="K842" s="71"/>
      <c r="L842" s="296"/>
      <c r="M842" s="10">
        <f ca="1">IF(ISBLANK(K842), TODAY()-(I842), Table27[[#This Row],[Effectiveness Review &amp; date deemed effective]]-Table27[[#This Row],[PTO initialized date]])</f>
        <v>46067</v>
      </c>
    </row>
    <row r="843" spans="1:13" ht="18">
      <c r="A843" s="68"/>
      <c r="B843" s="18" t="e">
        <f>VLOOKUP(Table27[[#This Row],[Location 
(drop-down)]],'List source'!D$2:E$71,2,FALSE)</f>
        <v>#N/A</v>
      </c>
      <c r="C843" s="154" t="s">
        <v>2182</v>
      </c>
      <c r="D843" s="20" t="e">
        <f t="shared" si="13"/>
        <v>#N/A</v>
      </c>
      <c r="E843" s="68"/>
      <c r="F843" s="10" t="e" cm="1">
        <f t="array" aca="1" ref="F8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3" s="173"/>
      <c r="I843" s="70"/>
      <c r="J843" s="70"/>
      <c r="K843" s="71"/>
      <c r="L843" s="296"/>
      <c r="M843" s="10">
        <f ca="1">IF(ISBLANK(K843), TODAY()-(I843), Table27[[#This Row],[Effectiveness Review &amp; date deemed effective]]-Table27[[#This Row],[PTO initialized date]])</f>
        <v>46067</v>
      </c>
    </row>
    <row r="844" spans="1:13" ht="18">
      <c r="A844" s="68"/>
      <c r="B844" s="18" t="e">
        <f>VLOOKUP(Table27[[#This Row],[Location 
(drop-down)]],'List source'!D$2:E$71,2,FALSE)</f>
        <v>#N/A</v>
      </c>
      <c r="C844" s="154" t="s">
        <v>2183</v>
      </c>
      <c r="D844" s="20" t="e">
        <f t="shared" si="13"/>
        <v>#N/A</v>
      </c>
      <c r="E844" s="68"/>
      <c r="F844" s="10" t="e" cm="1">
        <f t="array" aca="1" ref="F8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4" s="72"/>
      <c r="I844" s="70"/>
      <c r="J844" s="70"/>
      <c r="K844" s="71"/>
      <c r="L844" s="296"/>
      <c r="M844" s="10">
        <f ca="1">IF(ISBLANK(K844), TODAY()-(I844), Table27[[#This Row],[Effectiveness Review &amp; date deemed effective]]-Table27[[#This Row],[PTO initialized date]])</f>
        <v>46067</v>
      </c>
    </row>
    <row r="845" spans="1:13" ht="18">
      <c r="A845" s="68"/>
      <c r="B845" s="18" t="e">
        <f>VLOOKUP(Table27[[#This Row],[Location 
(drop-down)]],'List source'!D$2:E$71,2,FALSE)</f>
        <v>#N/A</v>
      </c>
      <c r="C845" s="154" t="s">
        <v>2184</v>
      </c>
      <c r="D845" s="20" t="e">
        <f t="shared" si="13"/>
        <v>#N/A</v>
      </c>
      <c r="E845" s="68"/>
      <c r="F845" s="10" t="e" cm="1">
        <f t="array" aca="1" ref="F8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5" s="173"/>
      <c r="I845" s="70"/>
      <c r="J845" s="70"/>
      <c r="K845" s="71"/>
      <c r="L845" s="233"/>
      <c r="M845" s="10">
        <f ca="1">IF(ISBLANK(K845), TODAY()-(I845), Table27[[#This Row],[Effectiveness Review &amp; date deemed effective]]-Table27[[#This Row],[PTO initialized date]])</f>
        <v>46067</v>
      </c>
    </row>
    <row r="846" spans="1:13" ht="18">
      <c r="A846" s="68"/>
      <c r="B846" s="18" t="e">
        <f>VLOOKUP(Table27[[#This Row],[Location 
(drop-down)]],'List source'!D$2:E$71,2,FALSE)</f>
        <v>#N/A</v>
      </c>
      <c r="C846" s="154" t="s">
        <v>2185</v>
      </c>
      <c r="D846" s="20" t="e">
        <f t="shared" si="13"/>
        <v>#N/A</v>
      </c>
      <c r="E846" s="68"/>
      <c r="F846" s="10" t="e" cm="1">
        <f t="array" aca="1" ref="F8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6" s="173"/>
      <c r="I846" s="70"/>
      <c r="J846" s="70"/>
      <c r="K846" s="71"/>
      <c r="L846" s="296"/>
      <c r="M846" s="10">
        <f ca="1">IF(ISBLANK(K846), TODAY()-(I846), Table27[[#This Row],[Effectiveness Review &amp; date deemed effective]]-Table27[[#This Row],[PTO initialized date]])</f>
        <v>46067</v>
      </c>
    </row>
    <row r="847" spans="1:13" ht="18">
      <c r="A847" s="68"/>
      <c r="B847" s="18" t="e">
        <f>VLOOKUP(Table27[[#This Row],[Location 
(drop-down)]],'List source'!D$2:E$71,2,FALSE)</f>
        <v>#N/A</v>
      </c>
      <c r="C847" s="154" t="s">
        <v>2186</v>
      </c>
      <c r="D847" s="20" t="e">
        <f t="shared" si="13"/>
        <v>#N/A</v>
      </c>
      <c r="E847" s="68"/>
      <c r="F847" s="10" t="e" cm="1">
        <f t="array" aca="1" ref="F8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7" s="72"/>
      <c r="I847" s="70"/>
      <c r="J847" s="70"/>
      <c r="K847" s="71"/>
      <c r="L847" s="296"/>
      <c r="M847" s="10">
        <f ca="1">IF(ISBLANK(K847), TODAY()-(I847), Table27[[#This Row],[Effectiveness Review &amp; date deemed effective]]-Table27[[#This Row],[PTO initialized date]])</f>
        <v>46067</v>
      </c>
    </row>
    <row r="848" spans="1:13" ht="18">
      <c r="A848" s="68"/>
      <c r="B848" s="18" t="e">
        <f>VLOOKUP(Table27[[#This Row],[Location 
(drop-down)]],'List source'!D$2:E$71,2,FALSE)</f>
        <v>#N/A</v>
      </c>
      <c r="C848" s="154" t="s">
        <v>2187</v>
      </c>
      <c r="D848" s="194" t="e">
        <f t="shared" si="13"/>
        <v>#N/A</v>
      </c>
      <c r="E848" s="68"/>
      <c r="F848" s="10" t="e" cm="1">
        <f t="array" aca="1" ref="F8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8" s="173"/>
      <c r="I848" s="70"/>
      <c r="J848" s="70"/>
      <c r="K848" s="71"/>
      <c r="L848" s="336"/>
      <c r="M848" s="10">
        <f ca="1">IF(ISBLANK(K848), TODAY()-(I848), Table27[[#This Row],[Effectiveness Review &amp; date deemed effective]]-Table27[[#This Row],[PTO initialized date]])</f>
        <v>46067</v>
      </c>
    </row>
    <row r="849" spans="1:13" ht="18">
      <c r="A849" s="68"/>
      <c r="B849" s="18" t="e">
        <f>VLOOKUP(Table27[[#This Row],[Location 
(drop-down)]],'List source'!D$2:E$71,2,FALSE)</f>
        <v>#N/A</v>
      </c>
      <c r="C849" s="154" t="s">
        <v>2188</v>
      </c>
      <c r="D849" s="194" t="e">
        <f t="shared" si="13"/>
        <v>#N/A</v>
      </c>
      <c r="E849" s="68"/>
      <c r="F849" s="10" t="e" cm="1">
        <f t="array" aca="1" ref="F8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49" s="173"/>
      <c r="I849" s="70"/>
      <c r="J849" s="70"/>
      <c r="K849" s="71"/>
      <c r="L849" s="336"/>
      <c r="M849" s="10">
        <f ca="1">IF(ISBLANK(K849), TODAY()-(I849), Table27[[#This Row],[Effectiveness Review &amp; date deemed effective]]-Table27[[#This Row],[PTO initialized date]])</f>
        <v>46067</v>
      </c>
    </row>
    <row r="850" spans="1:13" ht="18">
      <c r="A850" s="68"/>
      <c r="B850" s="18" t="e">
        <f>VLOOKUP(Table27[[#This Row],[Location 
(drop-down)]],'List source'!D$2:E$71,2,FALSE)</f>
        <v>#N/A</v>
      </c>
      <c r="C850" s="154" t="s">
        <v>2189</v>
      </c>
      <c r="D850" s="20" t="e">
        <f t="shared" si="13"/>
        <v>#N/A</v>
      </c>
      <c r="E850" s="68"/>
      <c r="F850" s="10" t="e" cm="1">
        <f t="array" aca="1" ref="F8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0" s="72"/>
      <c r="I850" s="70"/>
      <c r="J850" s="70"/>
      <c r="K850" s="71"/>
      <c r="L850" s="296"/>
      <c r="M850" s="10">
        <f ca="1">IF(ISBLANK(K850), TODAY()-(I850), Table27[[#This Row],[Effectiveness Review &amp; date deemed effective]]-Table27[[#This Row],[PTO initialized date]])</f>
        <v>46067</v>
      </c>
    </row>
    <row r="851" spans="1:13" ht="18">
      <c r="A851" s="68"/>
      <c r="B851" s="18" t="e">
        <f>VLOOKUP(Table27[[#This Row],[Location 
(drop-down)]],'List source'!D$2:E$71,2,FALSE)</f>
        <v>#N/A</v>
      </c>
      <c r="C851" s="154" t="s">
        <v>2190</v>
      </c>
      <c r="D851" s="20" t="e">
        <f t="shared" si="13"/>
        <v>#N/A</v>
      </c>
      <c r="E851" s="68"/>
      <c r="F851" s="10" t="e" cm="1">
        <f t="array" aca="1" ref="F8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1" s="72"/>
      <c r="I851" s="70"/>
      <c r="J851" s="70"/>
      <c r="K851" s="71"/>
      <c r="L851" s="296"/>
      <c r="M851" s="10">
        <f ca="1">IF(ISBLANK(K851), TODAY()-(I851), Table27[[#This Row],[Effectiveness Review &amp; date deemed effective]]-Table27[[#This Row],[PTO initialized date]])</f>
        <v>46067</v>
      </c>
    </row>
    <row r="852" spans="1:13" ht="18">
      <c r="A852" s="9"/>
      <c r="B852" s="18" t="e">
        <f>VLOOKUP(Table27[[#This Row],[Location 
(drop-down)]],'List source'!D$2:E$71,2,FALSE)</f>
        <v>#N/A</v>
      </c>
      <c r="C852" s="154" t="s">
        <v>2191</v>
      </c>
      <c r="D852" s="20" t="e">
        <f t="shared" si="13"/>
        <v>#N/A</v>
      </c>
      <c r="E852" s="9"/>
      <c r="F852" s="10" t="e" cm="1">
        <f t="array" aca="1" ref="F8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2" s="130"/>
      <c r="I852" s="70"/>
      <c r="J852" s="70"/>
      <c r="K852" s="71"/>
      <c r="L852" s="296"/>
      <c r="M852" s="10">
        <f ca="1">IF(ISBLANK(K852), TODAY()-(I852), Table27[[#This Row],[Effectiveness Review &amp; date deemed effective]]-Table27[[#This Row],[PTO initialized date]])</f>
        <v>46067</v>
      </c>
    </row>
    <row r="853" spans="1:13" ht="18">
      <c r="A853" s="9"/>
      <c r="B853" s="18" t="e">
        <f>VLOOKUP(Table27[[#This Row],[Location 
(drop-down)]],'List source'!D$2:E$71,2,FALSE)</f>
        <v>#N/A</v>
      </c>
      <c r="C853" s="154" t="s">
        <v>2192</v>
      </c>
      <c r="D853" s="20" t="e">
        <f t="shared" si="13"/>
        <v>#N/A</v>
      </c>
      <c r="E853" s="9"/>
      <c r="F853" s="10" t="e" cm="1">
        <f t="array" aca="1" ref="F8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3" s="10"/>
      <c r="I853" s="70"/>
      <c r="J853" s="70"/>
      <c r="K853" s="71"/>
      <c r="L853" s="296"/>
      <c r="M853" s="10">
        <f ca="1">IF(ISBLANK(K853), TODAY()-(I853), Table27[[#This Row],[Effectiveness Review &amp; date deemed effective]]-Table27[[#This Row],[PTO initialized date]])</f>
        <v>46067</v>
      </c>
    </row>
    <row r="854" spans="1:13" ht="18">
      <c r="A854" s="9"/>
      <c r="B854" s="18" t="e">
        <f>VLOOKUP(Table27[[#This Row],[Location 
(drop-down)]],'List source'!D$2:E$71,2,FALSE)</f>
        <v>#N/A</v>
      </c>
      <c r="C854" s="154" t="s">
        <v>2193</v>
      </c>
      <c r="D854" s="20" t="e">
        <f t="shared" si="13"/>
        <v>#N/A</v>
      </c>
      <c r="E854" s="9"/>
      <c r="F854" s="10" t="e" cm="1">
        <f t="array" aca="1" ref="F8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4" s="130"/>
      <c r="I854" s="70"/>
      <c r="J854" s="12"/>
      <c r="K854" s="61"/>
      <c r="L854" s="233"/>
      <c r="M854" s="10">
        <f ca="1">IF(ISBLANK(K854), TODAY()-(I854), Table27[[#This Row],[Effectiveness Review &amp; date deemed effective]]-Table27[[#This Row],[PTO initialized date]])</f>
        <v>46067</v>
      </c>
    </row>
    <row r="855" spans="1:13" ht="18">
      <c r="A855" s="9"/>
      <c r="B855" s="18" t="e">
        <f>VLOOKUP(Table27[[#This Row],[Location 
(drop-down)]],'List source'!D$2:E$71,2,FALSE)</f>
        <v>#N/A</v>
      </c>
      <c r="C855" s="154" t="s">
        <v>2194</v>
      </c>
      <c r="D855" s="194" t="e">
        <f t="shared" si="13"/>
        <v>#N/A</v>
      </c>
      <c r="E855" s="9"/>
      <c r="F855" s="10" t="e" cm="1">
        <f t="array" aca="1" ref="F8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5" s="130"/>
      <c r="I855" s="70"/>
      <c r="J855" s="12"/>
      <c r="K855" s="61"/>
      <c r="L855" s="336"/>
      <c r="M855" s="10">
        <f ca="1">IF(ISBLANK(K855), TODAY()-(I855), Table27[[#This Row],[Effectiveness Review &amp; date deemed effective]]-Table27[[#This Row],[PTO initialized date]])</f>
        <v>46067</v>
      </c>
    </row>
    <row r="856" spans="1:13" ht="18">
      <c r="A856" s="9"/>
      <c r="B856" s="18" t="e">
        <f>VLOOKUP(Table27[[#This Row],[Location 
(drop-down)]],'List source'!D$2:E$71,2,FALSE)</f>
        <v>#N/A</v>
      </c>
      <c r="C856" s="154" t="s">
        <v>2195</v>
      </c>
      <c r="D856" s="20" t="e">
        <f t="shared" si="13"/>
        <v>#N/A</v>
      </c>
      <c r="E856" s="9"/>
      <c r="F856" s="10" t="e" cm="1">
        <f t="array" aca="1" ref="F8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6" s="130"/>
      <c r="I856" s="70"/>
      <c r="J856" s="12"/>
      <c r="K856" s="61"/>
      <c r="L856" s="233"/>
      <c r="M856" s="10">
        <f ca="1">IF(ISBLANK(K856), TODAY()-(I856), Table27[[#This Row],[Effectiveness Review &amp; date deemed effective]]-Table27[[#This Row],[PTO initialized date]])</f>
        <v>46067</v>
      </c>
    </row>
    <row r="857" spans="1:13" ht="18">
      <c r="A857" s="9"/>
      <c r="B857" s="18" t="e">
        <f>VLOOKUP(Table27[[#This Row],[Location 
(drop-down)]],'List source'!D$2:E$71,2,FALSE)</f>
        <v>#N/A</v>
      </c>
      <c r="C857" s="154" t="s">
        <v>2196</v>
      </c>
      <c r="D857" s="20" t="e">
        <f t="shared" si="13"/>
        <v>#N/A</v>
      </c>
      <c r="E857" s="9"/>
      <c r="F857" s="10" t="e" cm="1">
        <f t="array" aca="1" ref="F8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7" s="10"/>
      <c r="I857" s="70"/>
      <c r="J857" s="70"/>
      <c r="K857" s="71"/>
      <c r="L857" s="296"/>
      <c r="M857" s="10">
        <f ca="1">IF(ISBLANK(K857), TODAY()-(I857), Table27[[#This Row],[Effectiveness Review &amp; date deemed effective]]-Table27[[#This Row],[PTO initialized date]])</f>
        <v>46067</v>
      </c>
    </row>
    <row r="858" spans="1:13" ht="18">
      <c r="A858" s="9"/>
      <c r="B858" s="18" t="e">
        <f>VLOOKUP(Table27[[#This Row],[Location 
(drop-down)]],'List source'!D$2:E$71,2,FALSE)</f>
        <v>#N/A</v>
      </c>
      <c r="C858" s="154" t="s">
        <v>2197</v>
      </c>
      <c r="D858" s="20" t="e">
        <f t="shared" si="13"/>
        <v>#N/A</v>
      </c>
      <c r="E858" s="9"/>
      <c r="F858" s="10" t="e" cm="1">
        <f t="array" aca="1" ref="F8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8" s="130"/>
      <c r="I858" s="70"/>
      <c r="J858" s="12"/>
      <c r="K858" s="61"/>
      <c r="L858" s="233"/>
      <c r="M858" s="10">
        <f ca="1">IF(ISBLANK(K858), TODAY()-(I858), Table27[[#This Row],[Effectiveness Review &amp; date deemed effective]]-Table27[[#This Row],[PTO initialized date]])</f>
        <v>46067</v>
      </c>
    </row>
    <row r="859" spans="1:13" ht="18">
      <c r="A859" s="9"/>
      <c r="B859" s="18" t="e">
        <f>VLOOKUP(Table27[[#This Row],[Location 
(drop-down)]],'List source'!D$2:E$71,2,FALSE)</f>
        <v>#N/A</v>
      </c>
      <c r="C859" s="154" t="s">
        <v>2198</v>
      </c>
      <c r="D859" s="194" t="e">
        <f t="shared" si="13"/>
        <v>#N/A</v>
      </c>
      <c r="E859" s="9"/>
      <c r="F859" s="10" t="e" cm="1">
        <f t="array" aca="1" ref="F8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59" s="130"/>
      <c r="I859" s="70"/>
      <c r="J859" s="12"/>
      <c r="K859" s="61"/>
      <c r="L859" s="336"/>
      <c r="M859" s="10">
        <f ca="1">IF(ISBLANK(K859), TODAY()-(I859), Table27[[#This Row],[Effectiveness Review &amp; date deemed effective]]-Table27[[#This Row],[PTO initialized date]])</f>
        <v>46067</v>
      </c>
    </row>
    <row r="860" spans="1:13" ht="18">
      <c r="A860" s="9"/>
      <c r="B860" s="18" t="e">
        <f>VLOOKUP(Table27[[#This Row],[Location 
(drop-down)]],'List source'!D$2:E$71,2,FALSE)</f>
        <v>#N/A</v>
      </c>
      <c r="C860" s="154" t="s">
        <v>2199</v>
      </c>
      <c r="D860" s="20" t="e">
        <f t="shared" si="13"/>
        <v>#N/A</v>
      </c>
      <c r="E860" s="9"/>
      <c r="F860" s="10" t="e" cm="1">
        <f t="array" aca="1" ref="F8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0" s="130"/>
      <c r="I860" s="70"/>
      <c r="J860" s="70"/>
      <c r="K860" s="71"/>
      <c r="L860" s="296"/>
      <c r="M860" s="10">
        <f ca="1">IF(ISBLANK(K860), TODAY()-(I860), Table27[[#This Row],[Effectiveness Review &amp; date deemed effective]]-Table27[[#This Row],[PTO initialized date]])</f>
        <v>46067</v>
      </c>
    </row>
    <row r="861" spans="1:13" ht="18">
      <c r="A861" s="9"/>
      <c r="B861" s="18" t="e">
        <f>VLOOKUP(Table27[[#This Row],[Location 
(drop-down)]],'List source'!D$2:E$71,2,FALSE)</f>
        <v>#N/A</v>
      </c>
      <c r="C861" s="154" t="s">
        <v>2200</v>
      </c>
      <c r="D861" s="20" t="e">
        <f t="shared" si="13"/>
        <v>#N/A</v>
      </c>
      <c r="E861" s="9"/>
      <c r="F861" s="10" t="e" cm="1">
        <f t="array" aca="1" ref="F8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1" s="130"/>
      <c r="I861" s="70"/>
      <c r="J861" s="12"/>
      <c r="K861" s="61"/>
      <c r="L861" s="233"/>
      <c r="M861" s="10">
        <f ca="1">IF(ISBLANK(K861), TODAY()-(I861), Table27[[#This Row],[Effectiveness Review &amp; date deemed effective]]-Table27[[#This Row],[PTO initialized date]])</f>
        <v>46067</v>
      </c>
    </row>
    <row r="862" spans="1:13" ht="18">
      <c r="A862" s="9"/>
      <c r="B862" s="18" t="e">
        <f>VLOOKUP(Table27[[#This Row],[Location 
(drop-down)]],'List source'!D$2:E$71,2,FALSE)</f>
        <v>#N/A</v>
      </c>
      <c r="C862" s="154" t="s">
        <v>2201</v>
      </c>
      <c r="D862" s="20" t="e">
        <f t="shared" si="13"/>
        <v>#N/A</v>
      </c>
      <c r="E862" s="9"/>
      <c r="F862" s="10" t="e" cm="1">
        <f t="array" aca="1" ref="F8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2" s="130"/>
      <c r="I862" s="70"/>
      <c r="J862" s="70"/>
      <c r="K862" s="71"/>
      <c r="L862" s="296"/>
      <c r="M862" s="10">
        <f ca="1">IF(ISBLANK(K862), TODAY()-(I862), Table27[[#This Row],[Effectiveness Review &amp; date deemed effective]]-Table27[[#This Row],[PTO initialized date]])</f>
        <v>46067</v>
      </c>
    </row>
    <row r="863" spans="1:13" ht="18">
      <c r="A863" s="9"/>
      <c r="B863" s="18" t="e">
        <f>VLOOKUP(Table27[[#This Row],[Location 
(drop-down)]],'List source'!D$2:E$71,2,FALSE)</f>
        <v>#N/A</v>
      </c>
      <c r="C863" s="154" t="s">
        <v>2202</v>
      </c>
      <c r="D863" s="194" t="e">
        <f t="shared" si="13"/>
        <v>#N/A</v>
      </c>
      <c r="E863" s="9"/>
      <c r="F863" s="10" t="e" cm="1">
        <f t="array" aca="1" ref="F8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3" s="130"/>
      <c r="I863" s="12"/>
      <c r="J863" s="12"/>
      <c r="K863" s="61"/>
      <c r="L863" s="296"/>
      <c r="M863" s="10">
        <f ca="1">IF(ISBLANK(K863), TODAY()-(I863), Table27[[#This Row],[Effectiveness Review &amp; date deemed effective]]-Table27[[#This Row],[PTO initialized date]])</f>
        <v>46067</v>
      </c>
    </row>
    <row r="864" spans="1:13" ht="18">
      <c r="A864" s="9"/>
      <c r="B864" s="18" t="e">
        <f>VLOOKUP(Table27[[#This Row],[Location 
(drop-down)]],'List source'!D$2:E$71,2,FALSE)</f>
        <v>#N/A</v>
      </c>
      <c r="C864" s="154" t="s">
        <v>2203</v>
      </c>
      <c r="D864" s="20" t="e">
        <f t="shared" si="13"/>
        <v>#N/A</v>
      </c>
      <c r="E864" s="9"/>
      <c r="F864" s="10" t="e" cm="1">
        <f t="array" aca="1" ref="F8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4" s="130"/>
      <c r="I864" s="12"/>
      <c r="J864" s="70"/>
      <c r="K864" s="71"/>
      <c r="L864" s="296"/>
      <c r="M864" s="10">
        <f ca="1">IF(ISBLANK(K864), TODAY()-(I864), Table27[[#This Row],[Effectiveness Review &amp; date deemed effective]]-Table27[[#This Row],[PTO initialized date]])</f>
        <v>46067</v>
      </c>
    </row>
    <row r="865" spans="1:13" ht="18">
      <c r="A865" s="9"/>
      <c r="B865" s="18" t="e">
        <f>VLOOKUP(Table27[[#This Row],[Location 
(drop-down)]],'List source'!D$2:E$71,2,FALSE)</f>
        <v>#N/A</v>
      </c>
      <c r="C865" s="154" t="s">
        <v>2204</v>
      </c>
      <c r="D865" s="20" t="e">
        <f t="shared" si="13"/>
        <v>#N/A</v>
      </c>
      <c r="E865" s="9"/>
      <c r="F865" s="10" t="e" cm="1">
        <f t="array" aca="1" ref="F8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5" s="130"/>
      <c r="I865" s="12"/>
      <c r="J865" s="70"/>
      <c r="K865" s="71"/>
      <c r="L865" s="296"/>
      <c r="M865" s="10">
        <f ca="1">IF(ISBLANK(K865), TODAY()-(I865), Table27[[#This Row],[Effectiveness Review &amp; date deemed effective]]-Table27[[#This Row],[PTO initialized date]])</f>
        <v>46067</v>
      </c>
    </row>
    <row r="866" spans="1:13" ht="18">
      <c r="A866" s="9"/>
      <c r="B866" s="18" t="e">
        <f>VLOOKUP(Table27[[#This Row],[Location 
(drop-down)]],'List source'!D$2:E$71,2,FALSE)</f>
        <v>#N/A</v>
      </c>
      <c r="C866" s="154" t="s">
        <v>2205</v>
      </c>
      <c r="D866" s="20" t="e">
        <f t="shared" si="13"/>
        <v>#N/A</v>
      </c>
      <c r="E866" s="9"/>
      <c r="F866" s="10" t="e" cm="1">
        <f t="array" aca="1" ref="F8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6" s="10"/>
      <c r="I866" s="12"/>
      <c r="J866" s="12"/>
      <c r="K866" s="61"/>
      <c r="L866" s="233"/>
      <c r="M866" s="10">
        <f ca="1">IF(ISBLANK(K866), TODAY()-(I866), Table27[[#This Row],[Effectiveness Review &amp; date deemed effective]]-Table27[[#This Row],[PTO initialized date]])</f>
        <v>46067</v>
      </c>
    </row>
    <row r="867" spans="1:13" ht="18">
      <c r="A867" s="9"/>
      <c r="B867" s="18" t="e">
        <f>VLOOKUP(Table27[[#This Row],[Location 
(drop-down)]],'List source'!D$2:E$71,2,FALSE)</f>
        <v>#N/A</v>
      </c>
      <c r="C867" s="154" t="s">
        <v>2206</v>
      </c>
      <c r="D867" s="20" t="e">
        <f t="shared" si="13"/>
        <v>#N/A</v>
      </c>
      <c r="E867" s="9"/>
      <c r="F867" s="10" t="e" cm="1">
        <f t="array" aca="1" ref="F8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7" s="130"/>
      <c r="I867" s="12"/>
      <c r="J867" s="12"/>
      <c r="K867" s="61"/>
      <c r="L867" s="233"/>
      <c r="M867" s="10">
        <f ca="1">IF(ISBLANK(K867), TODAY()-(I867), Table27[[#This Row],[Effectiveness Review &amp; date deemed effective]]-Table27[[#This Row],[PTO initialized date]])</f>
        <v>46067</v>
      </c>
    </row>
    <row r="868" spans="1:13" ht="18">
      <c r="A868" s="9"/>
      <c r="B868" s="18" t="e">
        <f>VLOOKUP(Table27[[#This Row],[Location 
(drop-down)]],'List source'!D$2:E$71,2,FALSE)</f>
        <v>#N/A</v>
      </c>
      <c r="C868" s="154" t="s">
        <v>2207</v>
      </c>
      <c r="D868" s="20" t="e">
        <f t="shared" si="13"/>
        <v>#N/A</v>
      </c>
      <c r="E868" s="9"/>
      <c r="F868" s="10" t="e" cm="1">
        <f t="array" aca="1" ref="F8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8" s="10"/>
      <c r="I868" s="12"/>
      <c r="J868" s="12"/>
      <c r="K868" s="61"/>
      <c r="L868" s="233"/>
      <c r="M868" s="10">
        <f ca="1">IF(ISBLANK(K868), TODAY()-(I868), Table27[[#This Row],[Effectiveness Review &amp; date deemed effective]]-Table27[[#This Row],[PTO initialized date]])</f>
        <v>46067</v>
      </c>
    </row>
    <row r="869" spans="1:13" ht="18">
      <c r="A869" s="9"/>
      <c r="B869" s="18" t="e">
        <f>VLOOKUP(Table27[[#This Row],[Location 
(drop-down)]],'List source'!D$2:E$71,2,FALSE)</f>
        <v>#N/A</v>
      </c>
      <c r="C869" s="154" t="s">
        <v>2208</v>
      </c>
      <c r="D869" s="20" t="e">
        <f t="shared" si="13"/>
        <v>#N/A</v>
      </c>
      <c r="E869" s="9"/>
      <c r="F869" s="10" t="e" cm="1">
        <f t="array" aca="1" ref="F8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69" s="130"/>
      <c r="I869" s="12"/>
      <c r="J869" s="12"/>
      <c r="K869" s="61"/>
      <c r="L869" s="233"/>
      <c r="M869" s="10">
        <f ca="1">IF(ISBLANK(K869), TODAY()-(I869), Table27[[#This Row],[Effectiveness Review &amp; date deemed effective]]-Table27[[#This Row],[PTO initialized date]])</f>
        <v>46067</v>
      </c>
    </row>
    <row r="870" spans="1:13" ht="18">
      <c r="A870" s="9"/>
      <c r="B870" s="18" t="e">
        <f>VLOOKUP(Table27[[#This Row],[Location 
(drop-down)]],'List source'!D$2:E$71,2,FALSE)</f>
        <v>#N/A</v>
      </c>
      <c r="C870" s="154" t="s">
        <v>2209</v>
      </c>
      <c r="D870" s="20" t="e">
        <f t="shared" si="13"/>
        <v>#N/A</v>
      </c>
      <c r="E870" s="9"/>
      <c r="F870" s="10" t="e" cm="1">
        <f t="array" aca="1" ref="F8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0" s="10"/>
      <c r="I870" s="12"/>
      <c r="J870" s="12"/>
      <c r="K870" s="61"/>
      <c r="L870" s="339"/>
      <c r="M870" s="10">
        <f ca="1">IF(ISBLANK(K870), TODAY()-(I870), Table27[[#This Row],[Effectiveness Review &amp; date deemed effective]]-Table27[[#This Row],[PTO initialized date]])</f>
        <v>46067</v>
      </c>
    </row>
    <row r="871" spans="1:13" ht="18">
      <c r="A871" s="9"/>
      <c r="B871" s="18" t="e">
        <f>VLOOKUP(Table27[[#This Row],[Location 
(drop-down)]],'List source'!D$2:E$71,2,FALSE)</f>
        <v>#N/A</v>
      </c>
      <c r="C871" s="154" t="s">
        <v>2210</v>
      </c>
      <c r="D871" s="20" t="e">
        <f t="shared" si="13"/>
        <v>#N/A</v>
      </c>
      <c r="E871" s="9"/>
      <c r="F871" s="10" t="e" cm="1">
        <f t="array" aca="1" ref="F8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1" s="10"/>
      <c r="I871" s="12"/>
      <c r="J871" s="12"/>
      <c r="K871" s="61"/>
      <c r="L871" s="233"/>
      <c r="M871" s="10">
        <f ca="1">IF(ISBLANK(K871), TODAY()-(I871), Table27[[#This Row],[Effectiveness Review &amp; date deemed effective]]-Table27[[#This Row],[PTO initialized date]])</f>
        <v>46067</v>
      </c>
    </row>
    <row r="872" spans="1:13" ht="18">
      <c r="A872" s="9"/>
      <c r="B872" s="18" t="e">
        <f>VLOOKUP(Table27[[#This Row],[Location 
(drop-down)]],'List source'!D$2:E$71,2,FALSE)</f>
        <v>#N/A</v>
      </c>
      <c r="C872" s="154" t="s">
        <v>2211</v>
      </c>
      <c r="D872" s="20" t="e">
        <f t="shared" si="13"/>
        <v>#N/A</v>
      </c>
      <c r="E872" s="9"/>
      <c r="F872" s="10" t="e" cm="1">
        <f t="array" aca="1" ref="F8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2" s="10"/>
      <c r="I872" s="12"/>
      <c r="J872" s="12"/>
      <c r="K872" s="61"/>
      <c r="L872" s="339"/>
      <c r="M872" s="10">
        <f ca="1">IF(ISBLANK(K872), TODAY()-(I872), Table27[[#This Row],[Effectiveness Review &amp; date deemed effective]]-Table27[[#This Row],[PTO initialized date]])</f>
        <v>46067</v>
      </c>
    </row>
    <row r="873" spans="1:13" ht="18">
      <c r="A873" s="9"/>
      <c r="B873" s="18" t="e">
        <f>VLOOKUP(Table27[[#This Row],[Location 
(drop-down)]],'List source'!D$2:E$71,2,FALSE)</f>
        <v>#N/A</v>
      </c>
      <c r="C873" s="154" t="s">
        <v>2212</v>
      </c>
      <c r="D873" s="20" t="e">
        <f t="shared" si="13"/>
        <v>#N/A</v>
      </c>
      <c r="E873" s="9"/>
      <c r="F873" s="10" t="e" cm="1">
        <f t="array" aca="1" ref="F8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3" s="130"/>
      <c r="I873" s="12"/>
      <c r="J873" s="12"/>
      <c r="K873" s="61"/>
      <c r="L873" s="233"/>
      <c r="M873" s="10">
        <f ca="1">IF(ISBLANK(K873), TODAY()-(I873), Table27[[#This Row],[Effectiveness Review &amp; date deemed effective]]-Table27[[#This Row],[PTO initialized date]])</f>
        <v>46067</v>
      </c>
    </row>
    <row r="874" spans="1:13" ht="18">
      <c r="A874" s="9"/>
      <c r="B874" s="18" t="e">
        <f>VLOOKUP(Table27[[#This Row],[Location 
(drop-down)]],'List source'!D$2:E$71,2,FALSE)</f>
        <v>#N/A</v>
      </c>
      <c r="C874" s="154" t="s">
        <v>2213</v>
      </c>
      <c r="D874" s="20" t="e">
        <f t="shared" si="13"/>
        <v>#N/A</v>
      </c>
      <c r="E874" s="9"/>
      <c r="F874" s="10" t="e" cm="1">
        <f t="array" aca="1" ref="F8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4" s="130"/>
      <c r="I874" s="12"/>
      <c r="J874" s="12"/>
      <c r="K874" s="61"/>
      <c r="L874" s="233"/>
      <c r="M874" s="10">
        <f ca="1">IF(ISBLANK(K874), TODAY()-(I874), Table27[[#This Row],[Effectiveness Review &amp; date deemed effective]]-Table27[[#This Row],[PTO initialized date]])</f>
        <v>46067</v>
      </c>
    </row>
    <row r="875" spans="1:13" ht="18">
      <c r="A875" s="9"/>
      <c r="B875" s="18" t="e">
        <f>VLOOKUP(Table27[[#This Row],[Location 
(drop-down)]],'List source'!D$2:E$71,2,FALSE)</f>
        <v>#N/A</v>
      </c>
      <c r="C875" s="154" t="s">
        <v>2214</v>
      </c>
      <c r="D875" s="20" t="e">
        <f t="shared" si="13"/>
        <v>#N/A</v>
      </c>
      <c r="E875" s="9"/>
      <c r="F875" s="10" t="e" cm="1">
        <f t="array" aca="1" ref="F8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5" s="130"/>
      <c r="I875" s="12"/>
      <c r="J875" s="12"/>
      <c r="K875" s="61"/>
      <c r="L875" s="233"/>
      <c r="M875" s="10">
        <f ca="1">IF(ISBLANK(K875), TODAY()-(I875), Table27[[#This Row],[Effectiveness Review &amp; date deemed effective]]-Table27[[#This Row],[PTO initialized date]])</f>
        <v>46067</v>
      </c>
    </row>
    <row r="876" spans="1:13" ht="18">
      <c r="A876" s="9"/>
      <c r="B876" s="18" t="e">
        <f>VLOOKUP(Table27[[#This Row],[Location 
(drop-down)]],'List source'!D$2:E$71,2,FALSE)</f>
        <v>#N/A</v>
      </c>
      <c r="C876" s="154" t="s">
        <v>2215</v>
      </c>
      <c r="D876" s="20" t="e">
        <f t="shared" si="13"/>
        <v>#N/A</v>
      </c>
      <c r="E876" s="9"/>
      <c r="F876" s="10" t="e" cm="1">
        <f t="array" aca="1" ref="F8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6" s="10"/>
      <c r="I876" s="12"/>
      <c r="J876" s="12"/>
      <c r="K876" s="61"/>
      <c r="L876" s="233"/>
      <c r="M876" s="10">
        <f ca="1">IF(ISBLANK(K876), TODAY()-(I876), Table27[[#This Row],[Effectiveness Review &amp; date deemed effective]]-Table27[[#This Row],[PTO initialized date]])</f>
        <v>46067</v>
      </c>
    </row>
    <row r="877" spans="1:13" ht="18">
      <c r="A877" s="9"/>
      <c r="B877" s="18" t="e">
        <f>VLOOKUP(Table27[[#This Row],[Location 
(drop-down)]],'List source'!D$2:E$71,2,FALSE)</f>
        <v>#N/A</v>
      </c>
      <c r="C877" s="154" t="s">
        <v>2216</v>
      </c>
      <c r="D877" s="20" t="e">
        <f t="shared" si="13"/>
        <v>#N/A</v>
      </c>
      <c r="E877" s="9"/>
      <c r="F877" s="10" t="e" cm="1">
        <f t="array" aca="1" ref="F8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7" s="10"/>
      <c r="I877" s="12"/>
      <c r="J877" s="12"/>
      <c r="K877" s="61"/>
      <c r="L877" s="233"/>
      <c r="M877" s="10">
        <f ca="1">IF(ISBLANK(K877), TODAY()-(I877), Table27[[#This Row],[Effectiveness Review &amp; date deemed effective]]-Table27[[#This Row],[PTO initialized date]])</f>
        <v>46067</v>
      </c>
    </row>
    <row r="878" spans="1:13" ht="18">
      <c r="A878" s="9"/>
      <c r="B878" s="18" t="e">
        <f>VLOOKUP(Table27[[#This Row],[Location 
(drop-down)]],'List source'!D$2:E$71,2,FALSE)</f>
        <v>#N/A</v>
      </c>
      <c r="C878" s="154" t="s">
        <v>2217</v>
      </c>
      <c r="D878" s="20" t="e">
        <f t="shared" si="13"/>
        <v>#N/A</v>
      </c>
      <c r="E878" s="9"/>
      <c r="F878" s="10" t="e" cm="1">
        <f t="array" aca="1" ref="F8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8" s="130"/>
      <c r="I878" s="12"/>
      <c r="J878" s="12"/>
      <c r="K878" s="61"/>
      <c r="L878" s="339"/>
      <c r="M878" s="10">
        <f ca="1">IF(ISBLANK(K878), TODAY()-(I878), Table27[[#This Row],[Effectiveness Review &amp; date deemed effective]]-Table27[[#This Row],[PTO initialized date]])</f>
        <v>46067</v>
      </c>
    </row>
    <row r="879" spans="1:13" ht="18">
      <c r="A879" s="9"/>
      <c r="B879" s="18" t="e">
        <f>VLOOKUP(Table27[[#This Row],[Location 
(drop-down)]],'List source'!D$2:E$71,2,FALSE)</f>
        <v>#N/A</v>
      </c>
      <c r="C879" s="154" t="s">
        <v>2218</v>
      </c>
      <c r="D879" s="20" t="e">
        <f t="shared" si="13"/>
        <v>#N/A</v>
      </c>
      <c r="E879" s="9"/>
      <c r="F879" s="10" t="e" cm="1">
        <f t="array" aca="1" ref="F8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79" s="130"/>
      <c r="I879" s="12"/>
      <c r="J879" s="12"/>
      <c r="K879" s="61"/>
      <c r="L879" s="233"/>
      <c r="M879" s="10">
        <f ca="1">IF(ISBLANK(K879), TODAY()-(I879), Table27[[#This Row],[Effectiveness Review &amp; date deemed effective]]-Table27[[#This Row],[PTO initialized date]])</f>
        <v>46067</v>
      </c>
    </row>
    <row r="880" spans="1:13" ht="18">
      <c r="A880" s="9"/>
      <c r="B880" s="18" t="e">
        <f>VLOOKUP(Table27[[#This Row],[Location 
(drop-down)]],'List source'!D$2:E$71,2,FALSE)</f>
        <v>#N/A</v>
      </c>
      <c r="C880" s="154" t="s">
        <v>2219</v>
      </c>
      <c r="D880" s="20" t="e">
        <f t="shared" si="13"/>
        <v>#N/A</v>
      </c>
      <c r="E880" s="9"/>
      <c r="F880" s="10" t="e" cm="1">
        <f t="array" aca="1" ref="F8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0" s="10"/>
      <c r="I880" s="12"/>
      <c r="J880" s="12"/>
      <c r="K880" s="61"/>
      <c r="L880" s="233"/>
      <c r="M880" s="10">
        <f ca="1">IF(ISBLANK(K880), TODAY()-(I880), Table27[[#This Row],[Effectiveness Review &amp; date deemed effective]]-Table27[[#This Row],[PTO initialized date]])</f>
        <v>46067</v>
      </c>
    </row>
    <row r="881" spans="1:13" ht="18">
      <c r="A881" s="9"/>
      <c r="B881" s="18" t="e">
        <f>VLOOKUP(Table27[[#This Row],[Location 
(drop-down)]],'List source'!D$2:E$71,2,FALSE)</f>
        <v>#N/A</v>
      </c>
      <c r="C881" s="154" t="s">
        <v>2220</v>
      </c>
      <c r="D881" s="20" t="e">
        <f t="shared" si="13"/>
        <v>#N/A</v>
      </c>
      <c r="E881" s="9"/>
      <c r="F881" s="10" t="e" cm="1">
        <f t="array" aca="1" ref="F8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1" s="10"/>
      <c r="I881" s="12"/>
      <c r="J881" s="12"/>
      <c r="K881" s="61"/>
      <c r="L881" s="233"/>
      <c r="M881" s="10">
        <f ca="1">IF(ISBLANK(K881), TODAY()-(I881), Table27[[#This Row],[Effectiveness Review &amp; date deemed effective]]-Table27[[#This Row],[PTO initialized date]])</f>
        <v>46067</v>
      </c>
    </row>
    <row r="882" spans="1:13" ht="18">
      <c r="A882" s="9"/>
      <c r="B882" s="18" t="e">
        <f>VLOOKUP(Table27[[#This Row],[Location 
(drop-down)]],'List source'!D$2:E$71,2,FALSE)</f>
        <v>#N/A</v>
      </c>
      <c r="C882" s="154" t="s">
        <v>2221</v>
      </c>
      <c r="D882" s="20" t="e">
        <f t="shared" si="13"/>
        <v>#N/A</v>
      </c>
      <c r="E882" s="9"/>
      <c r="F882" s="10" t="e" cm="1">
        <f t="array" aca="1" ref="F8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2" s="130"/>
      <c r="I882" s="12"/>
      <c r="J882" s="12"/>
      <c r="K882" s="61"/>
      <c r="L882" s="233"/>
      <c r="M882" s="10">
        <f ca="1">IF(ISBLANK(K882), TODAY()-(I882), Table27[[#This Row],[Effectiveness Review &amp; date deemed effective]]-Table27[[#This Row],[PTO initialized date]])</f>
        <v>46067</v>
      </c>
    </row>
    <row r="883" spans="1:13" ht="18">
      <c r="A883" s="9"/>
      <c r="B883" s="18" t="e">
        <f>VLOOKUP(Table27[[#This Row],[Location 
(drop-down)]],'List source'!D$2:E$71,2,FALSE)</f>
        <v>#N/A</v>
      </c>
      <c r="C883" s="154" t="s">
        <v>2222</v>
      </c>
      <c r="D883" s="20" t="e">
        <f t="shared" si="13"/>
        <v>#N/A</v>
      </c>
      <c r="E883" s="9"/>
      <c r="F883" s="10" t="e" cm="1">
        <f t="array" aca="1" ref="F8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3" s="10"/>
      <c r="I883" s="12"/>
      <c r="J883" s="12"/>
      <c r="K883" s="61"/>
      <c r="L883" s="233"/>
      <c r="M883" s="10">
        <f ca="1">IF(ISBLANK(K883), TODAY()-(I883), Table27[[#This Row],[Effectiveness Review &amp; date deemed effective]]-Table27[[#This Row],[PTO initialized date]])</f>
        <v>46067</v>
      </c>
    </row>
    <row r="884" spans="1:13" ht="18">
      <c r="A884" s="9"/>
      <c r="B884" s="18" t="e">
        <f>VLOOKUP(Table27[[#This Row],[Location 
(drop-down)]],'List source'!D$2:E$71,2,FALSE)</f>
        <v>#N/A</v>
      </c>
      <c r="C884" s="154" t="s">
        <v>2223</v>
      </c>
      <c r="D884" s="20" t="e">
        <f t="shared" si="13"/>
        <v>#N/A</v>
      </c>
      <c r="E884" s="9"/>
      <c r="F884" s="10" t="e" cm="1">
        <f t="array" aca="1" ref="F8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4" s="130"/>
      <c r="I884" s="12"/>
      <c r="J884" s="12"/>
      <c r="K884" s="61"/>
      <c r="L884" s="233"/>
      <c r="M884" s="10">
        <f ca="1">IF(ISBLANK(K884), TODAY()-(I884), Table27[[#This Row],[Effectiveness Review &amp; date deemed effective]]-Table27[[#This Row],[PTO initialized date]])</f>
        <v>46067</v>
      </c>
    </row>
    <row r="885" spans="1:13" ht="18">
      <c r="A885" s="9"/>
      <c r="B885" s="18" t="e">
        <f>VLOOKUP(Table27[[#This Row],[Location 
(drop-down)]],'List source'!D$2:E$71,2,FALSE)</f>
        <v>#N/A</v>
      </c>
      <c r="C885" s="154" t="s">
        <v>2224</v>
      </c>
      <c r="D885" s="20" t="e">
        <f t="shared" si="13"/>
        <v>#N/A</v>
      </c>
      <c r="E885" s="9"/>
      <c r="F885" s="10" t="e" cm="1">
        <f t="array" aca="1" ref="F8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5" s="10"/>
      <c r="I885" s="12"/>
      <c r="J885" s="12"/>
      <c r="K885" s="61"/>
      <c r="L885" s="233"/>
      <c r="M885" s="10">
        <f ca="1">IF(ISBLANK(K885), TODAY()-(I885), Table27[[#This Row],[Effectiveness Review &amp; date deemed effective]]-Table27[[#This Row],[PTO initialized date]])</f>
        <v>46067</v>
      </c>
    </row>
    <row r="886" spans="1:13" ht="18">
      <c r="A886" s="9"/>
      <c r="B886" s="18" t="e">
        <f>VLOOKUP(Table27[[#This Row],[Location 
(drop-down)]],'List source'!D$2:E$71,2,FALSE)</f>
        <v>#N/A</v>
      </c>
      <c r="C886" s="154" t="s">
        <v>2225</v>
      </c>
      <c r="D886" s="20" t="e">
        <f t="shared" si="13"/>
        <v>#N/A</v>
      </c>
      <c r="E886" s="9"/>
      <c r="F886" s="10" t="e" cm="1">
        <f t="array" aca="1" ref="F8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6" s="130"/>
      <c r="I886" s="12"/>
      <c r="J886" s="12"/>
      <c r="K886" s="61"/>
      <c r="L886" s="233"/>
      <c r="M886" s="10">
        <f ca="1">IF(ISBLANK(K886), TODAY()-(I886), Table27[[#This Row],[Effectiveness Review &amp; date deemed effective]]-Table27[[#This Row],[PTO initialized date]])</f>
        <v>46067</v>
      </c>
    </row>
    <row r="887" spans="1:13" ht="18">
      <c r="A887" s="9"/>
      <c r="B887" s="18" t="e">
        <f>VLOOKUP(Table27[[#This Row],[Location 
(drop-down)]],'List source'!D$2:E$71,2,FALSE)</f>
        <v>#N/A</v>
      </c>
      <c r="C887" s="154" t="s">
        <v>2226</v>
      </c>
      <c r="D887" s="20" t="e">
        <f t="shared" si="13"/>
        <v>#N/A</v>
      </c>
      <c r="E887" s="9"/>
      <c r="F887" s="10" t="e" cm="1">
        <f t="array" aca="1" ref="F8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7" s="130"/>
      <c r="I887" s="12"/>
      <c r="J887" s="12"/>
      <c r="K887" s="61"/>
      <c r="L887" s="233"/>
      <c r="M887" s="10">
        <f ca="1">IF(ISBLANK(K887), TODAY()-(I887), Table27[[#This Row],[Effectiveness Review &amp; date deemed effective]]-Table27[[#This Row],[PTO initialized date]])</f>
        <v>46067</v>
      </c>
    </row>
    <row r="888" spans="1:13" ht="18">
      <c r="A888" s="9"/>
      <c r="B888" s="18" t="e">
        <f>VLOOKUP(Table27[[#This Row],[Location 
(drop-down)]],'List source'!D$2:E$71,2,FALSE)</f>
        <v>#N/A</v>
      </c>
      <c r="C888" s="154" t="s">
        <v>2227</v>
      </c>
      <c r="D888" s="20" t="e">
        <f t="shared" si="13"/>
        <v>#N/A</v>
      </c>
      <c r="E888" s="9"/>
      <c r="F888" s="10" t="e" cm="1">
        <f t="array" aca="1" ref="F8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8" s="10"/>
      <c r="I888" s="12"/>
      <c r="J888" s="12"/>
      <c r="K888" s="61"/>
      <c r="L888" s="233"/>
      <c r="M888" s="10">
        <f ca="1">IF(ISBLANK(K888), TODAY()-(I888), Table27[[#This Row],[Effectiveness Review &amp; date deemed effective]]-Table27[[#This Row],[PTO initialized date]])</f>
        <v>46067</v>
      </c>
    </row>
    <row r="889" spans="1:13" ht="18">
      <c r="A889" s="9"/>
      <c r="B889" s="18" t="e">
        <f>VLOOKUP(Table27[[#This Row],[Location 
(drop-down)]],'List source'!D$2:E$71,2,FALSE)</f>
        <v>#N/A</v>
      </c>
      <c r="C889" s="154" t="s">
        <v>2228</v>
      </c>
      <c r="D889" s="20" t="e">
        <f t="shared" si="13"/>
        <v>#N/A</v>
      </c>
      <c r="E889" s="9"/>
      <c r="F889" s="10" t="e" cm="1">
        <f t="array" aca="1" ref="F8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89" s="130"/>
      <c r="I889" s="12"/>
      <c r="J889" s="12"/>
      <c r="K889" s="61"/>
      <c r="L889" s="233"/>
      <c r="M889" s="10">
        <f ca="1">IF(ISBLANK(K889), TODAY()-(I889), Table27[[#This Row],[Effectiveness Review &amp; date deemed effective]]-Table27[[#This Row],[PTO initialized date]])</f>
        <v>46067</v>
      </c>
    </row>
    <row r="890" spans="1:13" ht="18">
      <c r="A890" s="9"/>
      <c r="B890" s="18" t="e">
        <f>VLOOKUP(Table27[[#This Row],[Location 
(drop-down)]],'List source'!D$2:E$71,2,FALSE)</f>
        <v>#N/A</v>
      </c>
      <c r="C890" s="154" t="s">
        <v>2229</v>
      </c>
      <c r="D890" s="20" t="e">
        <f t="shared" si="13"/>
        <v>#N/A</v>
      </c>
      <c r="E890" s="9"/>
      <c r="F890" s="10" t="e" cm="1">
        <f t="array" aca="1" ref="F8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0" s="10"/>
      <c r="I890" s="12"/>
      <c r="J890" s="12"/>
      <c r="K890" s="61"/>
      <c r="L890" s="233"/>
      <c r="M890" s="10">
        <f ca="1">IF(ISBLANK(K890), TODAY()-(I890), Table27[[#This Row],[Effectiveness Review &amp; date deemed effective]]-Table27[[#This Row],[PTO initialized date]])</f>
        <v>46067</v>
      </c>
    </row>
    <row r="891" spans="1:13" ht="18">
      <c r="A891" s="9"/>
      <c r="B891" s="18" t="e">
        <f>VLOOKUP(Table27[[#This Row],[Location 
(drop-down)]],'List source'!D$2:E$71,2,FALSE)</f>
        <v>#N/A</v>
      </c>
      <c r="C891" s="154" t="s">
        <v>2230</v>
      </c>
      <c r="D891" s="20" t="e">
        <f t="shared" si="13"/>
        <v>#N/A</v>
      </c>
      <c r="E891" s="9"/>
      <c r="F891" s="10" t="e" cm="1">
        <f t="array" aca="1" ref="F8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1" s="130"/>
      <c r="I891" s="12"/>
      <c r="J891" s="12"/>
      <c r="K891" s="61"/>
      <c r="L891" s="233"/>
      <c r="M891" s="10">
        <f ca="1">IF(ISBLANK(K891), TODAY()-(I891), Table27[[#This Row],[Effectiveness Review &amp; date deemed effective]]-Table27[[#This Row],[PTO initialized date]])</f>
        <v>46067</v>
      </c>
    </row>
    <row r="892" spans="1:13" ht="18">
      <c r="A892" s="9"/>
      <c r="B892" s="18" t="e">
        <f>VLOOKUP(Table27[[#This Row],[Location 
(drop-down)]],'List source'!D$2:E$71,2,FALSE)</f>
        <v>#N/A</v>
      </c>
      <c r="C892" s="154" t="s">
        <v>2231</v>
      </c>
      <c r="D892" s="20" t="e">
        <f t="shared" si="13"/>
        <v>#N/A</v>
      </c>
      <c r="E892" s="9"/>
      <c r="F892" s="10" t="e" cm="1">
        <f t="array" aca="1" ref="F8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2" s="130"/>
      <c r="I892" s="12"/>
      <c r="J892" s="12"/>
      <c r="K892" s="61"/>
      <c r="L892" s="233"/>
      <c r="M892" s="10">
        <f ca="1">IF(ISBLANK(K892), TODAY()-(I892), Table27[[#This Row],[Effectiveness Review &amp; date deemed effective]]-Table27[[#This Row],[PTO initialized date]])</f>
        <v>46067</v>
      </c>
    </row>
    <row r="893" spans="1:13" ht="18">
      <c r="A893" s="9"/>
      <c r="B893" s="18" t="e">
        <f>VLOOKUP(Table27[[#This Row],[Location 
(drop-down)]],'List source'!D$2:E$71,2,FALSE)</f>
        <v>#N/A</v>
      </c>
      <c r="C893" s="154" t="s">
        <v>2232</v>
      </c>
      <c r="D893" s="20" t="e">
        <f t="shared" si="13"/>
        <v>#N/A</v>
      </c>
      <c r="E893" s="9"/>
      <c r="F893" s="10" t="e" cm="1">
        <f t="array" aca="1" ref="F8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3" s="10"/>
      <c r="I893" s="12"/>
      <c r="J893" s="12"/>
      <c r="K893" s="61"/>
      <c r="L893" s="233"/>
      <c r="M893" s="10">
        <f ca="1">IF(ISBLANK(K893), TODAY()-(I893), Table27[[#This Row],[Effectiveness Review &amp; date deemed effective]]-Table27[[#This Row],[PTO initialized date]])</f>
        <v>46067</v>
      </c>
    </row>
    <row r="894" spans="1:13" ht="18">
      <c r="A894" s="9"/>
      <c r="B894" s="18" t="e">
        <f>VLOOKUP(Table27[[#This Row],[Location 
(drop-down)]],'List source'!D$2:E$71,2,FALSE)</f>
        <v>#N/A</v>
      </c>
      <c r="C894" s="154" t="s">
        <v>2233</v>
      </c>
      <c r="D894" s="20" t="e">
        <f t="shared" si="13"/>
        <v>#N/A</v>
      </c>
      <c r="E894" s="9"/>
      <c r="F894" s="10" t="e" cm="1">
        <f t="array" aca="1" ref="F8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4" s="130"/>
      <c r="I894" s="12"/>
      <c r="J894" s="12"/>
      <c r="K894" s="61"/>
      <c r="L894" s="233"/>
      <c r="M894" s="10">
        <f ca="1">IF(ISBLANK(K894), TODAY()-(I894), Table27[[#This Row],[Effectiveness Review &amp; date deemed effective]]-Table27[[#This Row],[PTO initialized date]])</f>
        <v>46067</v>
      </c>
    </row>
    <row r="895" spans="1:13" ht="18">
      <c r="A895" s="9"/>
      <c r="B895" s="18" t="e">
        <f>VLOOKUP(Table27[[#This Row],[Location 
(drop-down)]],'List source'!D$2:E$71,2,FALSE)</f>
        <v>#N/A</v>
      </c>
      <c r="C895" s="154" t="s">
        <v>2234</v>
      </c>
      <c r="D895" s="20" t="e">
        <f t="shared" si="13"/>
        <v>#N/A</v>
      </c>
      <c r="E895" s="9"/>
      <c r="F895" s="10" t="e" cm="1">
        <f t="array" aca="1" ref="F8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5" s="10"/>
      <c r="I895" s="12"/>
      <c r="J895" s="12"/>
      <c r="K895" s="61"/>
      <c r="L895" s="233"/>
      <c r="M895" s="10">
        <f ca="1">IF(ISBLANK(K895), TODAY()-(I895), Table27[[#This Row],[Effectiveness Review &amp; date deemed effective]]-Table27[[#This Row],[PTO initialized date]])</f>
        <v>46067</v>
      </c>
    </row>
    <row r="896" spans="1:13" ht="18">
      <c r="A896" s="9"/>
      <c r="B896" s="18" t="e">
        <f>VLOOKUP(Table27[[#This Row],[Location 
(drop-down)]],'List source'!D$2:E$71,2,FALSE)</f>
        <v>#N/A</v>
      </c>
      <c r="C896" s="154" t="s">
        <v>2235</v>
      </c>
      <c r="D896" s="20" t="e">
        <f t="shared" si="13"/>
        <v>#N/A</v>
      </c>
      <c r="E896" s="9"/>
      <c r="F896" s="10" t="e" cm="1">
        <f t="array" aca="1" ref="F8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6" s="130"/>
      <c r="I896" s="12"/>
      <c r="J896" s="12"/>
      <c r="K896" s="61"/>
      <c r="L896" s="233"/>
      <c r="M896" s="10">
        <f ca="1">IF(ISBLANK(K896), TODAY()-(I896), Table27[[#This Row],[Effectiveness Review &amp; date deemed effective]]-Table27[[#This Row],[PTO initialized date]])</f>
        <v>46067</v>
      </c>
    </row>
    <row r="897" spans="1:13" ht="18">
      <c r="A897" s="9"/>
      <c r="B897" s="18" t="e">
        <f>VLOOKUP(Table27[[#This Row],[Location 
(drop-down)]],'List source'!D$2:E$71,2,FALSE)</f>
        <v>#N/A</v>
      </c>
      <c r="C897" s="154" t="s">
        <v>2236</v>
      </c>
      <c r="D897" s="20" t="e">
        <f t="shared" si="13"/>
        <v>#N/A</v>
      </c>
      <c r="E897" s="9"/>
      <c r="F897" s="10" t="e" cm="1">
        <f t="array" aca="1" ref="F8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7" s="130"/>
      <c r="I897" s="12"/>
      <c r="J897" s="12"/>
      <c r="K897" s="61"/>
      <c r="L897" s="233"/>
      <c r="M897" s="10">
        <f ca="1">IF(ISBLANK(K897), TODAY()-(I897), Table27[[#This Row],[Effectiveness Review &amp; date deemed effective]]-Table27[[#This Row],[PTO initialized date]])</f>
        <v>46067</v>
      </c>
    </row>
    <row r="898" spans="1:13" ht="18">
      <c r="A898" s="9"/>
      <c r="B898" s="18" t="e">
        <f>VLOOKUP(Table27[[#This Row],[Location 
(drop-down)]],'List source'!D$2:E$71,2,FALSE)</f>
        <v>#N/A</v>
      </c>
      <c r="C898" s="154" t="s">
        <v>2237</v>
      </c>
      <c r="D898" s="20" t="e">
        <f t="shared" ref="D898:D961" si="14">"PTO" &amp; C898 &amp; "-" &amp; B898 &amp; "-" &amp; "26"</f>
        <v>#N/A</v>
      </c>
      <c r="E898" s="9"/>
      <c r="F898" s="10" t="e" cm="1">
        <f t="array" aca="1" ref="F8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8" s="130"/>
      <c r="I898" s="12"/>
      <c r="J898" s="12"/>
      <c r="K898" s="61"/>
      <c r="L898" s="233"/>
      <c r="M898" s="10">
        <f ca="1">IF(ISBLANK(K898), TODAY()-(I898), Table27[[#This Row],[Effectiveness Review &amp; date deemed effective]]-Table27[[#This Row],[PTO initialized date]])</f>
        <v>46067</v>
      </c>
    </row>
    <row r="899" spans="1:13" ht="18">
      <c r="A899" s="9"/>
      <c r="B899" s="18" t="e">
        <f>VLOOKUP(Table27[[#This Row],[Location 
(drop-down)]],'List source'!D$2:E$71,2,FALSE)</f>
        <v>#N/A</v>
      </c>
      <c r="C899" s="154" t="s">
        <v>2238</v>
      </c>
      <c r="D899" s="20" t="e">
        <f t="shared" si="14"/>
        <v>#N/A</v>
      </c>
      <c r="E899" s="9"/>
      <c r="F899" s="10" t="e" cm="1">
        <f t="array" aca="1" ref="F8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8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899" s="10"/>
      <c r="I899" s="12"/>
      <c r="J899" s="12"/>
      <c r="K899" s="61"/>
      <c r="L899" s="233"/>
      <c r="M899" s="10">
        <f ca="1">IF(ISBLANK(K899), TODAY()-(I899), Table27[[#This Row],[Effectiveness Review &amp; date deemed effective]]-Table27[[#This Row],[PTO initialized date]])</f>
        <v>46067</v>
      </c>
    </row>
    <row r="900" spans="1:13" ht="18">
      <c r="A900" s="9"/>
      <c r="B900" s="18" t="e">
        <f>VLOOKUP(Table27[[#This Row],[Location 
(drop-down)]],'List source'!D$2:E$71,2,FALSE)</f>
        <v>#N/A</v>
      </c>
      <c r="C900" s="154" t="s">
        <v>2239</v>
      </c>
      <c r="D900" s="20" t="e">
        <f t="shared" si="14"/>
        <v>#N/A</v>
      </c>
      <c r="E900" s="9"/>
      <c r="F900" s="10" t="e" cm="1">
        <f t="array" aca="1" ref="F9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0" s="10"/>
      <c r="I900" s="12"/>
      <c r="J900" s="12"/>
      <c r="K900" s="61"/>
      <c r="L900" s="233"/>
      <c r="M900" s="10">
        <f ca="1">IF(ISBLANK(K900), TODAY()-(I900), Table27[[#This Row],[Effectiveness Review &amp; date deemed effective]]-Table27[[#This Row],[PTO initialized date]])</f>
        <v>46067</v>
      </c>
    </row>
    <row r="901" spans="1:13" ht="18">
      <c r="A901" s="9"/>
      <c r="B901" s="18" t="e">
        <f>VLOOKUP(Table27[[#This Row],[Location 
(drop-down)]],'List source'!D$2:E$71,2,FALSE)</f>
        <v>#N/A</v>
      </c>
      <c r="C901" s="154" t="s">
        <v>2240</v>
      </c>
      <c r="D901" s="20" t="e">
        <f t="shared" si="14"/>
        <v>#N/A</v>
      </c>
      <c r="E901" s="9"/>
      <c r="F901" s="10" t="e" cm="1">
        <f t="array" aca="1" ref="F9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1" s="130"/>
      <c r="I901" s="12"/>
      <c r="J901" s="12"/>
      <c r="K901" s="61"/>
      <c r="L901" s="339"/>
      <c r="M901" s="10">
        <f ca="1">IF(ISBLANK(K901), TODAY()-(I901), Table27[[#This Row],[Effectiveness Review &amp; date deemed effective]]-Table27[[#This Row],[PTO initialized date]])</f>
        <v>46067</v>
      </c>
    </row>
    <row r="902" spans="1:13" ht="18">
      <c r="A902" s="9"/>
      <c r="B902" s="18" t="e">
        <f>VLOOKUP(Table27[[#This Row],[Location 
(drop-down)]],'List source'!D$2:E$71,2,FALSE)</f>
        <v>#N/A</v>
      </c>
      <c r="C902" s="154" t="s">
        <v>2241</v>
      </c>
      <c r="D902" s="20" t="e">
        <f t="shared" si="14"/>
        <v>#N/A</v>
      </c>
      <c r="E902" s="9"/>
      <c r="F902" s="10" t="e" cm="1">
        <f t="array" aca="1" ref="F9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2" s="10"/>
      <c r="I902" s="12"/>
      <c r="J902" s="12"/>
      <c r="K902" s="61"/>
      <c r="L902" s="233"/>
      <c r="M902" s="10">
        <f ca="1">IF(ISBLANK(K902), TODAY()-(I902), Table27[[#This Row],[Effectiveness Review &amp; date deemed effective]]-Table27[[#This Row],[PTO initialized date]])</f>
        <v>46067</v>
      </c>
    </row>
    <row r="903" spans="1:13" ht="18">
      <c r="A903" s="9"/>
      <c r="B903" s="18" t="e">
        <f>VLOOKUP(Table27[[#This Row],[Location 
(drop-down)]],'List source'!D$2:E$71,2,FALSE)</f>
        <v>#N/A</v>
      </c>
      <c r="C903" s="154" t="s">
        <v>2242</v>
      </c>
      <c r="D903" s="20" t="e">
        <f t="shared" si="14"/>
        <v>#N/A</v>
      </c>
      <c r="E903" s="9"/>
      <c r="F903" s="10" t="e" cm="1">
        <f t="array" aca="1" ref="F9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3" s="130"/>
      <c r="I903" s="12"/>
      <c r="J903" s="12"/>
      <c r="K903" s="61"/>
      <c r="L903" s="233"/>
      <c r="M903" s="10">
        <f ca="1">IF(ISBLANK(K903), TODAY()-(I903), Table27[[#This Row],[Effectiveness Review &amp; date deemed effective]]-Table27[[#This Row],[PTO initialized date]])</f>
        <v>46067</v>
      </c>
    </row>
    <row r="904" spans="1:13" ht="18">
      <c r="A904" s="9"/>
      <c r="B904" s="18" t="e">
        <f>VLOOKUP(Table27[[#This Row],[Location 
(drop-down)]],'List source'!D$2:E$71,2,FALSE)</f>
        <v>#N/A</v>
      </c>
      <c r="C904" s="154" t="s">
        <v>2243</v>
      </c>
      <c r="D904" s="20" t="e">
        <f t="shared" si="14"/>
        <v>#N/A</v>
      </c>
      <c r="E904" s="9"/>
      <c r="F904" s="10" t="e" cm="1">
        <f t="array" aca="1" ref="F9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4" s="130"/>
      <c r="I904" s="12"/>
      <c r="J904" s="12"/>
      <c r="K904" s="61"/>
      <c r="L904" s="233"/>
      <c r="M904" s="10">
        <f ca="1">IF(ISBLANK(K904), TODAY()-(I904), Table27[[#This Row],[Effectiveness Review &amp; date deemed effective]]-Table27[[#This Row],[PTO initialized date]])</f>
        <v>46067</v>
      </c>
    </row>
    <row r="905" spans="1:13" ht="18">
      <c r="A905" s="9"/>
      <c r="B905" s="18" t="e">
        <f>VLOOKUP(Table27[[#This Row],[Location 
(drop-down)]],'List source'!D$2:E$71,2,FALSE)</f>
        <v>#N/A</v>
      </c>
      <c r="C905" s="154" t="s">
        <v>2244</v>
      </c>
      <c r="D905" s="20" t="e">
        <f t="shared" si="14"/>
        <v>#N/A</v>
      </c>
      <c r="E905" s="9"/>
      <c r="F905" s="10" t="e" cm="1">
        <f t="array" aca="1" ref="F9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5" s="10"/>
      <c r="I905" s="12"/>
      <c r="J905" s="12"/>
      <c r="K905" s="61"/>
      <c r="L905" s="233"/>
      <c r="M905" s="10">
        <f ca="1">IF(ISBLANK(K905), TODAY()-(I905), Table27[[#This Row],[Effectiveness Review &amp; date deemed effective]]-Table27[[#This Row],[PTO initialized date]])</f>
        <v>46067</v>
      </c>
    </row>
    <row r="906" spans="1:13" ht="18">
      <c r="A906" s="9"/>
      <c r="B906" s="18" t="e">
        <f>VLOOKUP(Table27[[#This Row],[Location 
(drop-down)]],'List source'!D$2:E$71,2,FALSE)</f>
        <v>#N/A</v>
      </c>
      <c r="C906" s="154" t="s">
        <v>2245</v>
      </c>
      <c r="D906" s="20" t="e">
        <f t="shared" si="14"/>
        <v>#N/A</v>
      </c>
      <c r="E906" s="9"/>
      <c r="F906" s="10" t="e" cm="1">
        <f t="array" aca="1" ref="F9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6" s="130"/>
      <c r="I906" s="12"/>
      <c r="J906" s="12"/>
      <c r="K906" s="61"/>
      <c r="L906" s="233"/>
      <c r="M906" s="10">
        <f ca="1">IF(ISBLANK(K906), TODAY()-(I906), Table27[[#This Row],[Effectiveness Review &amp; date deemed effective]]-Table27[[#This Row],[PTO initialized date]])</f>
        <v>46067</v>
      </c>
    </row>
    <row r="907" spans="1:13" ht="18">
      <c r="A907" s="9"/>
      <c r="B907" s="18" t="e">
        <f>VLOOKUP(Table27[[#This Row],[Location 
(drop-down)]],'List source'!D$2:E$71,2,FALSE)</f>
        <v>#N/A</v>
      </c>
      <c r="C907" s="154" t="s">
        <v>2246</v>
      </c>
      <c r="D907" s="20" t="e">
        <f t="shared" si="14"/>
        <v>#N/A</v>
      </c>
      <c r="E907" s="9"/>
      <c r="F907" s="10" t="e" cm="1">
        <f t="array" aca="1" ref="F9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7" s="10"/>
      <c r="I907" s="12"/>
      <c r="J907" s="12"/>
      <c r="K907" s="61"/>
      <c r="L907" s="233"/>
      <c r="M907" s="10">
        <f ca="1">IF(ISBLANK(K907), TODAY()-(I907), Table27[[#This Row],[Effectiveness Review &amp; date deemed effective]]-Table27[[#This Row],[PTO initialized date]])</f>
        <v>46067</v>
      </c>
    </row>
    <row r="908" spans="1:13" ht="18">
      <c r="A908" s="9"/>
      <c r="B908" s="18" t="e">
        <f>VLOOKUP(Table27[[#This Row],[Location 
(drop-down)]],'List source'!D$2:E$71,2,FALSE)</f>
        <v>#N/A</v>
      </c>
      <c r="C908" s="154" t="s">
        <v>2247</v>
      </c>
      <c r="D908" s="20" t="e">
        <f t="shared" si="14"/>
        <v>#N/A</v>
      </c>
      <c r="E908" s="9"/>
      <c r="F908" s="10" t="e" cm="1">
        <f t="array" aca="1" ref="F9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8" s="130"/>
      <c r="I908" s="12"/>
      <c r="J908" s="12"/>
      <c r="K908" s="61"/>
      <c r="L908" s="233"/>
      <c r="M908" s="10">
        <f ca="1">IF(ISBLANK(K908), TODAY()-(I908), Table27[[#This Row],[Effectiveness Review &amp; date deemed effective]]-Table27[[#This Row],[PTO initialized date]])</f>
        <v>46067</v>
      </c>
    </row>
    <row r="909" spans="1:13" ht="18">
      <c r="A909" s="9"/>
      <c r="B909" s="18" t="e">
        <f>VLOOKUP(Table27[[#This Row],[Location 
(drop-down)]],'List source'!D$2:E$71,2,FALSE)</f>
        <v>#N/A</v>
      </c>
      <c r="C909" s="154" t="s">
        <v>2248</v>
      </c>
      <c r="D909" s="20" t="e">
        <f t="shared" si="14"/>
        <v>#N/A</v>
      </c>
      <c r="E909" s="9"/>
      <c r="F909" s="10" t="e" cm="1">
        <f t="array" aca="1" ref="F9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09" s="10"/>
      <c r="I909" s="12"/>
      <c r="J909" s="12"/>
      <c r="K909" s="61"/>
      <c r="L909" s="233"/>
      <c r="M909" s="10">
        <f ca="1">IF(ISBLANK(K909), TODAY()-(I909), Table27[[#This Row],[Effectiveness Review &amp; date deemed effective]]-Table27[[#This Row],[PTO initialized date]])</f>
        <v>46067</v>
      </c>
    </row>
    <row r="910" spans="1:13" ht="18">
      <c r="A910" s="9"/>
      <c r="B910" s="18" t="e">
        <f>VLOOKUP(Table27[[#This Row],[Location 
(drop-down)]],'List source'!D$2:E$71,2,FALSE)</f>
        <v>#N/A</v>
      </c>
      <c r="C910" s="154" t="s">
        <v>2249</v>
      </c>
      <c r="D910" s="20" t="e">
        <f t="shared" si="14"/>
        <v>#N/A</v>
      </c>
      <c r="E910" s="9"/>
      <c r="F910" s="10" t="e" cm="1">
        <f t="array" aca="1" ref="F9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0" s="130"/>
      <c r="I910" s="12"/>
      <c r="J910" s="12"/>
      <c r="K910" s="61"/>
      <c r="L910" s="233"/>
      <c r="M910" s="10">
        <f ca="1">IF(ISBLANK(K910), TODAY()-(I910), Table27[[#This Row],[Effectiveness Review &amp; date deemed effective]]-Table27[[#This Row],[PTO initialized date]])</f>
        <v>46067</v>
      </c>
    </row>
    <row r="911" spans="1:13" ht="18">
      <c r="A911" s="9"/>
      <c r="B911" s="18" t="e">
        <f>VLOOKUP(Table27[[#This Row],[Location 
(drop-down)]],'List source'!D$2:E$71,2,FALSE)</f>
        <v>#N/A</v>
      </c>
      <c r="C911" s="154" t="s">
        <v>2250</v>
      </c>
      <c r="D911" s="20" t="e">
        <f t="shared" si="14"/>
        <v>#N/A</v>
      </c>
      <c r="E911" s="9"/>
      <c r="F911" s="10" t="e" cm="1">
        <f t="array" aca="1" ref="F9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1" s="10"/>
      <c r="I911" s="12"/>
      <c r="J911" s="12"/>
      <c r="K911" s="61"/>
      <c r="L911" s="233"/>
      <c r="M911" s="10">
        <f ca="1">IF(ISBLANK(K911), TODAY()-(I911), Table27[[#This Row],[Effectiveness Review &amp; date deemed effective]]-Table27[[#This Row],[PTO initialized date]])</f>
        <v>46067</v>
      </c>
    </row>
    <row r="912" spans="1:13" ht="18">
      <c r="A912" s="9"/>
      <c r="B912" s="18" t="e">
        <f>VLOOKUP(Table27[[#This Row],[Location 
(drop-down)]],'List source'!D$2:E$71,2,FALSE)</f>
        <v>#N/A</v>
      </c>
      <c r="C912" s="154" t="s">
        <v>2251</v>
      </c>
      <c r="D912" s="20" t="e">
        <f t="shared" si="14"/>
        <v>#N/A</v>
      </c>
      <c r="E912" s="9"/>
      <c r="F912" s="10" t="e" cm="1">
        <f t="array" aca="1" ref="F9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2" s="130"/>
      <c r="I912" s="12"/>
      <c r="J912" s="12"/>
      <c r="K912" s="61"/>
      <c r="L912" s="233"/>
      <c r="M912" s="10">
        <f ca="1">IF(ISBLANK(K912), TODAY()-(I912), Table27[[#This Row],[Effectiveness Review &amp; date deemed effective]]-Table27[[#This Row],[PTO initialized date]])</f>
        <v>46067</v>
      </c>
    </row>
    <row r="913" spans="1:13" ht="18">
      <c r="A913" s="9"/>
      <c r="B913" s="18" t="e">
        <f>VLOOKUP(Table27[[#This Row],[Location 
(drop-down)]],'List source'!D$2:E$71,2,FALSE)</f>
        <v>#N/A</v>
      </c>
      <c r="C913" s="154" t="s">
        <v>2252</v>
      </c>
      <c r="D913" s="20" t="e">
        <f t="shared" si="14"/>
        <v>#N/A</v>
      </c>
      <c r="E913" s="9"/>
      <c r="F913" s="10" t="e" cm="1">
        <f t="array" aca="1" ref="F9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3" s="130"/>
      <c r="I913" s="12"/>
      <c r="J913" s="12"/>
      <c r="K913" s="61"/>
      <c r="L913" s="233"/>
      <c r="M913" s="10">
        <f ca="1">IF(ISBLANK(K913), TODAY()-(I913), Table27[[#This Row],[Effectiveness Review &amp; date deemed effective]]-Table27[[#This Row],[PTO initialized date]])</f>
        <v>46067</v>
      </c>
    </row>
    <row r="914" spans="1:13" ht="18">
      <c r="A914" s="9"/>
      <c r="B914" s="18" t="e">
        <f>VLOOKUP(Table27[[#This Row],[Location 
(drop-down)]],'List source'!D$2:E$71,2,FALSE)</f>
        <v>#N/A</v>
      </c>
      <c r="C914" s="154" t="s">
        <v>2253</v>
      </c>
      <c r="D914" s="20" t="e">
        <f t="shared" si="14"/>
        <v>#N/A</v>
      </c>
      <c r="E914" s="9"/>
      <c r="F914" s="10" t="e" cm="1">
        <f t="array" aca="1" ref="F9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4" s="130"/>
      <c r="I914" s="12"/>
      <c r="J914" s="12"/>
      <c r="K914" s="61"/>
      <c r="L914" s="233"/>
      <c r="M914" s="10">
        <f ca="1">IF(ISBLANK(K914), TODAY()-(I914), Table27[[#This Row],[Effectiveness Review &amp; date deemed effective]]-Table27[[#This Row],[PTO initialized date]])</f>
        <v>46067</v>
      </c>
    </row>
    <row r="915" spans="1:13" ht="18">
      <c r="A915" s="9"/>
      <c r="B915" s="18" t="e">
        <f>VLOOKUP(Table27[[#This Row],[Location 
(drop-down)]],'List source'!D$2:E$71,2,FALSE)</f>
        <v>#N/A</v>
      </c>
      <c r="C915" s="154" t="s">
        <v>2254</v>
      </c>
      <c r="D915" s="20" t="e">
        <f t="shared" si="14"/>
        <v>#N/A</v>
      </c>
      <c r="E915" s="9"/>
      <c r="F915" s="10" t="e" cm="1">
        <f t="array" aca="1" ref="F9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5" s="130"/>
      <c r="I915" s="12"/>
      <c r="J915" s="12"/>
      <c r="K915" s="61"/>
      <c r="L915" s="233"/>
      <c r="M915" s="10">
        <f ca="1">IF(ISBLANK(K915), TODAY()-(I915), Table27[[#This Row],[Effectiveness Review &amp; date deemed effective]]-Table27[[#This Row],[PTO initialized date]])</f>
        <v>46067</v>
      </c>
    </row>
    <row r="916" spans="1:13" ht="18">
      <c r="A916" s="9"/>
      <c r="B916" s="18" t="e">
        <f>VLOOKUP(Table27[[#This Row],[Location 
(drop-down)]],'List source'!D$2:E$71,2,FALSE)</f>
        <v>#N/A</v>
      </c>
      <c r="C916" s="154" t="s">
        <v>2255</v>
      </c>
      <c r="D916" s="20" t="e">
        <f t="shared" si="14"/>
        <v>#N/A</v>
      </c>
      <c r="E916" s="9"/>
      <c r="F916" s="10" t="e" cm="1">
        <f t="array" aca="1" ref="F9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6" s="10"/>
      <c r="I916" s="12"/>
      <c r="J916" s="12"/>
      <c r="K916" s="61"/>
      <c r="L916" s="233"/>
      <c r="M916" s="10">
        <f ca="1">IF(ISBLANK(K916), TODAY()-(I916), Table27[[#This Row],[Effectiveness Review &amp; date deemed effective]]-Table27[[#This Row],[PTO initialized date]])</f>
        <v>46067</v>
      </c>
    </row>
    <row r="917" spans="1:13" ht="18">
      <c r="A917" s="9"/>
      <c r="B917" s="18" t="e">
        <f>VLOOKUP(Table27[[#This Row],[Location 
(drop-down)]],'List source'!D$2:E$71,2,FALSE)</f>
        <v>#N/A</v>
      </c>
      <c r="C917" s="154" t="s">
        <v>2256</v>
      </c>
      <c r="D917" s="20" t="e">
        <f t="shared" si="14"/>
        <v>#N/A</v>
      </c>
      <c r="E917" s="9"/>
      <c r="F917" s="10" t="e" cm="1">
        <f t="array" aca="1" ref="F9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7" s="130"/>
      <c r="I917" s="12"/>
      <c r="J917" s="12"/>
      <c r="K917" s="61"/>
      <c r="L917" s="233"/>
      <c r="M917" s="10">
        <f ca="1">IF(ISBLANK(K917), TODAY()-(I917), Table27[[#This Row],[Effectiveness Review &amp; date deemed effective]]-Table27[[#This Row],[PTO initialized date]])</f>
        <v>46067</v>
      </c>
    </row>
    <row r="918" spans="1:13" ht="18">
      <c r="A918" s="9"/>
      <c r="B918" s="18" t="e">
        <f>VLOOKUP(Table27[[#This Row],[Location 
(drop-down)]],'List source'!D$2:E$71,2,FALSE)</f>
        <v>#N/A</v>
      </c>
      <c r="C918" s="154" t="s">
        <v>2257</v>
      </c>
      <c r="D918" s="20" t="e">
        <f t="shared" si="14"/>
        <v>#N/A</v>
      </c>
      <c r="E918" s="9"/>
      <c r="F918" s="10" t="e" cm="1">
        <f t="array" aca="1" ref="F9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8" s="130"/>
      <c r="I918" s="12"/>
      <c r="J918" s="12"/>
      <c r="K918" s="61"/>
      <c r="L918" s="233"/>
      <c r="M918" s="10">
        <f ca="1">IF(ISBLANK(K918), TODAY()-(I918), Table27[[#This Row],[Effectiveness Review &amp; date deemed effective]]-Table27[[#This Row],[PTO initialized date]])</f>
        <v>46067</v>
      </c>
    </row>
    <row r="919" spans="1:13" ht="18">
      <c r="A919" s="9"/>
      <c r="B919" s="18" t="e">
        <f>VLOOKUP(Table27[[#This Row],[Location 
(drop-down)]],'List source'!D$2:E$71,2,FALSE)</f>
        <v>#N/A</v>
      </c>
      <c r="C919" s="154" t="s">
        <v>2258</v>
      </c>
      <c r="D919" s="20" t="e">
        <f t="shared" si="14"/>
        <v>#N/A</v>
      </c>
      <c r="E919" s="9"/>
      <c r="F919" s="10" t="e" cm="1">
        <f t="array" aca="1" ref="F9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19" s="130"/>
      <c r="I919" s="12"/>
      <c r="J919" s="12"/>
      <c r="K919" s="61"/>
      <c r="L919" s="233"/>
      <c r="M919" s="10">
        <f ca="1">IF(ISBLANK(K919), TODAY()-(I919), Table27[[#This Row],[Effectiveness Review &amp; date deemed effective]]-Table27[[#This Row],[PTO initialized date]])</f>
        <v>46067</v>
      </c>
    </row>
    <row r="920" spans="1:13" ht="18">
      <c r="A920" s="9"/>
      <c r="B920" s="18" t="e">
        <f>VLOOKUP(Table27[[#This Row],[Location 
(drop-down)]],'List source'!D$2:E$71,2,FALSE)</f>
        <v>#N/A</v>
      </c>
      <c r="C920" s="154" t="s">
        <v>2259</v>
      </c>
      <c r="D920" s="20" t="e">
        <f t="shared" si="14"/>
        <v>#N/A</v>
      </c>
      <c r="E920" s="9"/>
      <c r="F920" s="10" t="e" cm="1">
        <f t="array" aca="1" ref="F9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0" s="10"/>
      <c r="I920" s="12"/>
      <c r="J920" s="12"/>
      <c r="K920" s="61"/>
      <c r="L920" s="233"/>
      <c r="M920" s="10">
        <f ca="1">IF(ISBLANK(K920), TODAY()-(I920), Table27[[#This Row],[Effectiveness Review &amp; date deemed effective]]-Table27[[#This Row],[PTO initialized date]])</f>
        <v>46067</v>
      </c>
    </row>
    <row r="921" spans="1:13" ht="18">
      <c r="A921" s="9"/>
      <c r="B921" s="18" t="e">
        <f>VLOOKUP(Table27[[#This Row],[Location 
(drop-down)]],'List source'!D$2:E$71,2,FALSE)</f>
        <v>#N/A</v>
      </c>
      <c r="C921" s="154" t="s">
        <v>2260</v>
      </c>
      <c r="D921" s="20" t="e">
        <f t="shared" si="14"/>
        <v>#N/A</v>
      </c>
      <c r="E921" s="9"/>
      <c r="F921" s="10" t="e" cm="1">
        <f t="array" aca="1" ref="F9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1" s="130"/>
      <c r="I921" s="12"/>
      <c r="J921" s="12"/>
      <c r="K921" s="61"/>
      <c r="L921" s="233"/>
      <c r="M921" s="10">
        <f ca="1">IF(ISBLANK(K921), TODAY()-(I921), Table27[[#This Row],[Effectiveness Review &amp; date deemed effective]]-Table27[[#This Row],[PTO initialized date]])</f>
        <v>46067</v>
      </c>
    </row>
    <row r="922" spans="1:13" ht="18">
      <c r="A922" s="9"/>
      <c r="B922" s="18" t="e">
        <f>VLOOKUP(Table27[[#This Row],[Location 
(drop-down)]],'List source'!D$2:E$71,2,FALSE)</f>
        <v>#N/A</v>
      </c>
      <c r="C922" s="154" t="s">
        <v>2261</v>
      </c>
      <c r="D922" s="20" t="e">
        <f t="shared" si="14"/>
        <v>#N/A</v>
      </c>
      <c r="E922" s="9"/>
      <c r="F922" s="10" t="e" cm="1">
        <f t="array" aca="1" ref="F9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2" s="130"/>
      <c r="I922" s="12"/>
      <c r="J922" s="12"/>
      <c r="K922" s="61"/>
      <c r="L922" s="233"/>
      <c r="M922" s="10">
        <f ca="1">IF(ISBLANK(K922), TODAY()-(I922), Table27[[#This Row],[Effectiveness Review &amp; date deemed effective]]-Table27[[#This Row],[PTO initialized date]])</f>
        <v>46067</v>
      </c>
    </row>
    <row r="923" spans="1:13" ht="18">
      <c r="A923" s="9"/>
      <c r="B923" s="18" t="e">
        <f>VLOOKUP(Table27[[#This Row],[Location 
(drop-down)]],'List source'!D$2:E$71,2,FALSE)</f>
        <v>#N/A</v>
      </c>
      <c r="C923" s="154" t="s">
        <v>2262</v>
      </c>
      <c r="D923" s="20" t="e">
        <f t="shared" si="14"/>
        <v>#N/A</v>
      </c>
      <c r="E923" s="9"/>
      <c r="F923" s="10" t="e" cm="1">
        <f t="array" aca="1" ref="F9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3" s="130"/>
      <c r="I923" s="12"/>
      <c r="J923" s="12"/>
      <c r="K923" s="61"/>
      <c r="L923" s="233"/>
      <c r="M923" s="10">
        <f ca="1">IF(ISBLANK(K923), TODAY()-(I923), Table27[[#This Row],[Effectiveness Review &amp; date deemed effective]]-Table27[[#This Row],[PTO initialized date]])</f>
        <v>46067</v>
      </c>
    </row>
    <row r="924" spans="1:13" ht="18">
      <c r="A924" s="9"/>
      <c r="B924" s="18" t="e">
        <f>VLOOKUP(Table27[[#This Row],[Location 
(drop-down)]],'List source'!D$2:E$71,2,FALSE)</f>
        <v>#N/A</v>
      </c>
      <c r="C924" s="154" t="s">
        <v>2263</v>
      </c>
      <c r="D924" s="20" t="e">
        <f t="shared" si="14"/>
        <v>#N/A</v>
      </c>
      <c r="E924" s="9"/>
      <c r="F924" s="10" t="e" cm="1">
        <f t="array" aca="1" ref="F9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4" s="130"/>
      <c r="I924" s="12"/>
      <c r="J924" s="12"/>
      <c r="K924" s="61"/>
      <c r="L924" s="233"/>
      <c r="M924" s="10">
        <f ca="1">IF(ISBLANK(K924), TODAY()-(I924), Table27[[#This Row],[Effectiveness Review &amp; date deemed effective]]-Table27[[#This Row],[PTO initialized date]])</f>
        <v>46067</v>
      </c>
    </row>
    <row r="925" spans="1:13" ht="18">
      <c r="A925" s="9"/>
      <c r="B925" s="18" t="e">
        <f>VLOOKUP(Table27[[#This Row],[Location 
(drop-down)]],'List source'!D$2:E$71,2,FALSE)</f>
        <v>#N/A</v>
      </c>
      <c r="C925" s="154" t="s">
        <v>2264</v>
      </c>
      <c r="D925" s="20" t="e">
        <f t="shared" si="14"/>
        <v>#N/A</v>
      </c>
      <c r="E925" s="9"/>
      <c r="F925" s="10" t="e" cm="1">
        <f t="array" aca="1" ref="F9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5" s="130"/>
      <c r="I925" s="12"/>
      <c r="J925" s="12"/>
      <c r="K925" s="61"/>
      <c r="L925" s="233"/>
      <c r="M925" s="10">
        <f ca="1">IF(ISBLANK(K925), TODAY()-(I925), Table27[[#This Row],[Effectiveness Review &amp; date deemed effective]]-Table27[[#This Row],[PTO initialized date]])</f>
        <v>46067</v>
      </c>
    </row>
    <row r="926" spans="1:13" ht="18">
      <c r="A926" s="9"/>
      <c r="B926" s="18" t="e">
        <f>VLOOKUP(Table27[[#This Row],[Location 
(drop-down)]],'List source'!D$2:E$71,2,FALSE)</f>
        <v>#N/A</v>
      </c>
      <c r="C926" s="154" t="s">
        <v>2265</v>
      </c>
      <c r="D926" s="20" t="e">
        <f t="shared" si="14"/>
        <v>#N/A</v>
      </c>
      <c r="E926" s="9"/>
      <c r="F926" s="10" t="e" cm="1">
        <f t="array" aca="1" ref="F9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6" s="130"/>
      <c r="I926" s="12"/>
      <c r="J926" s="12"/>
      <c r="K926" s="61"/>
      <c r="L926" s="233"/>
      <c r="M926" s="10">
        <f ca="1">IF(ISBLANK(K926), TODAY()-(I926), Table27[[#This Row],[Effectiveness Review &amp; date deemed effective]]-Table27[[#This Row],[PTO initialized date]])</f>
        <v>46067</v>
      </c>
    </row>
    <row r="927" spans="1:13" ht="18">
      <c r="A927" s="9"/>
      <c r="B927" s="18" t="e">
        <f>VLOOKUP(Table27[[#This Row],[Location 
(drop-down)]],'List source'!D$2:E$71,2,FALSE)</f>
        <v>#N/A</v>
      </c>
      <c r="C927" s="154" t="s">
        <v>2266</v>
      </c>
      <c r="D927" s="20" t="e">
        <f t="shared" si="14"/>
        <v>#N/A</v>
      </c>
      <c r="E927" s="9"/>
      <c r="F927" s="10" t="e" cm="1">
        <f t="array" aca="1" ref="F9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7" s="130"/>
      <c r="I927" s="12"/>
      <c r="J927" s="12"/>
      <c r="K927" s="61"/>
      <c r="L927" s="233"/>
      <c r="M927" s="10">
        <f ca="1">IF(ISBLANK(K927), TODAY()-(I927), Table27[[#This Row],[Effectiveness Review &amp; date deemed effective]]-Table27[[#This Row],[PTO initialized date]])</f>
        <v>46067</v>
      </c>
    </row>
    <row r="928" spans="1:13" ht="18">
      <c r="A928" s="9"/>
      <c r="B928" s="18" t="e">
        <f>VLOOKUP(Table27[[#This Row],[Location 
(drop-down)]],'List source'!D$2:E$71,2,FALSE)</f>
        <v>#N/A</v>
      </c>
      <c r="C928" s="154" t="s">
        <v>2267</v>
      </c>
      <c r="D928" s="20" t="e">
        <f t="shared" si="14"/>
        <v>#N/A</v>
      </c>
      <c r="E928" s="9"/>
      <c r="F928" s="10" t="e" cm="1">
        <f t="array" aca="1" ref="F9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8" s="130"/>
      <c r="I928" s="12"/>
      <c r="J928" s="12"/>
      <c r="K928" s="61"/>
      <c r="L928" s="233"/>
      <c r="M928" s="10">
        <f ca="1">IF(ISBLANK(K928), TODAY()-(I928), Table27[[#This Row],[Effectiveness Review &amp; date deemed effective]]-Table27[[#This Row],[PTO initialized date]])</f>
        <v>46067</v>
      </c>
    </row>
    <row r="929" spans="1:13" ht="18">
      <c r="A929" s="9"/>
      <c r="B929" s="18" t="e">
        <f>VLOOKUP(Table27[[#This Row],[Location 
(drop-down)]],'List source'!D$2:E$71,2,FALSE)</f>
        <v>#N/A</v>
      </c>
      <c r="C929" s="154" t="s">
        <v>2268</v>
      </c>
      <c r="D929" s="20" t="e">
        <f t="shared" si="14"/>
        <v>#N/A</v>
      </c>
      <c r="E929" s="9"/>
      <c r="F929" s="10" t="e" cm="1">
        <f t="array" aca="1" ref="F9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29" s="130"/>
      <c r="I929" s="12"/>
      <c r="J929" s="12"/>
      <c r="K929" s="61"/>
      <c r="L929" s="233"/>
      <c r="M929" s="10">
        <f ca="1">IF(ISBLANK(K929), TODAY()-(I929), Table27[[#This Row],[Effectiveness Review &amp; date deemed effective]]-Table27[[#This Row],[PTO initialized date]])</f>
        <v>46067</v>
      </c>
    </row>
    <row r="930" spans="1:13" ht="18">
      <c r="A930" s="9"/>
      <c r="B930" s="18" t="e">
        <f>VLOOKUP(Table27[[#This Row],[Location 
(drop-down)]],'List source'!D$2:E$71,2,FALSE)</f>
        <v>#N/A</v>
      </c>
      <c r="C930" s="154" t="s">
        <v>2269</v>
      </c>
      <c r="D930" s="20" t="e">
        <f t="shared" si="14"/>
        <v>#N/A</v>
      </c>
      <c r="E930" s="9"/>
      <c r="F930" s="10" t="e" cm="1">
        <f t="array" aca="1" ref="F9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0" s="130"/>
      <c r="I930" s="12"/>
      <c r="J930" s="12"/>
      <c r="K930" s="61"/>
      <c r="L930" s="233"/>
      <c r="M930" s="10">
        <f ca="1">IF(ISBLANK(K930), TODAY()-(I930), Table27[[#This Row],[Effectiveness Review &amp; date deemed effective]]-Table27[[#This Row],[PTO initialized date]])</f>
        <v>46067</v>
      </c>
    </row>
    <row r="931" spans="1:13" ht="18">
      <c r="A931" s="9"/>
      <c r="B931" s="18" t="e">
        <f>VLOOKUP(Table27[[#This Row],[Location 
(drop-down)]],'List source'!D$2:E$71,2,FALSE)</f>
        <v>#N/A</v>
      </c>
      <c r="C931" s="154" t="s">
        <v>2270</v>
      </c>
      <c r="D931" s="20" t="e">
        <f t="shared" si="14"/>
        <v>#N/A</v>
      </c>
      <c r="E931" s="9"/>
      <c r="F931" s="10" t="e" cm="1">
        <f t="array" aca="1" ref="F9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1" s="10"/>
      <c r="I931" s="12"/>
      <c r="J931" s="12"/>
      <c r="K931" s="61"/>
      <c r="L931" s="233"/>
      <c r="M931" s="10">
        <f ca="1">IF(ISBLANK(K931), TODAY()-(I931), Table27[[#This Row],[Effectiveness Review &amp; date deemed effective]]-Table27[[#This Row],[PTO initialized date]])</f>
        <v>46067</v>
      </c>
    </row>
    <row r="932" spans="1:13" ht="18">
      <c r="A932" s="9"/>
      <c r="B932" s="18" t="e">
        <f>VLOOKUP(Table27[[#This Row],[Location 
(drop-down)]],'List source'!D$2:E$71,2,FALSE)</f>
        <v>#N/A</v>
      </c>
      <c r="C932" s="154" t="s">
        <v>2271</v>
      </c>
      <c r="D932" s="20" t="e">
        <f t="shared" si="14"/>
        <v>#N/A</v>
      </c>
      <c r="E932" s="9"/>
      <c r="F932" s="10" t="e" cm="1">
        <f t="array" aca="1" ref="F9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2" s="130"/>
      <c r="I932" s="12"/>
      <c r="J932" s="12"/>
      <c r="K932" s="61"/>
      <c r="L932" s="233"/>
      <c r="M932" s="10">
        <f ca="1">IF(ISBLANK(K932), TODAY()-(I932), Table27[[#This Row],[Effectiveness Review &amp; date deemed effective]]-Table27[[#This Row],[PTO initialized date]])</f>
        <v>46067</v>
      </c>
    </row>
    <row r="933" spans="1:13" ht="18">
      <c r="A933" s="9"/>
      <c r="B933" s="18" t="e">
        <f>VLOOKUP(Table27[[#This Row],[Location 
(drop-down)]],'List source'!D$2:E$71,2,FALSE)</f>
        <v>#N/A</v>
      </c>
      <c r="C933" s="154" t="s">
        <v>2272</v>
      </c>
      <c r="D933" s="194" t="e">
        <f t="shared" si="14"/>
        <v>#N/A</v>
      </c>
      <c r="E933" s="9"/>
      <c r="F933" s="10" t="e" cm="1">
        <f t="array" aca="1" ref="F9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3" s="10"/>
      <c r="I933" s="12"/>
      <c r="J933" s="12"/>
      <c r="K933" s="61"/>
      <c r="L933" s="296"/>
      <c r="M933" s="10">
        <f ca="1">IF(ISBLANK(K933), TODAY()-(I933), Table27[[#This Row],[Effectiveness Review &amp; date deemed effective]]-Table27[[#This Row],[PTO initialized date]])</f>
        <v>46067</v>
      </c>
    </row>
    <row r="934" spans="1:13" ht="18">
      <c r="A934" s="9"/>
      <c r="B934" s="18" t="e">
        <f>VLOOKUP(Table27[[#This Row],[Location 
(drop-down)]],'List source'!D$2:E$71,2,FALSE)</f>
        <v>#N/A</v>
      </c>
      <c r="C934" s="154" t="s">
        <v>2273</v>
      </c>
      <c r="D934" s="20" t="e">
        <f t="shared" si="14"/>
        <v>#N/A</v>
      </c>
      <c r="E934" s="9"/>
      <c r="F934" s="10" t="e" cm="1">
        <f t="array" aca="1" ref="F9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4" s="10"/>
      <c r="I934" s="12"/>
      <c r="J934" s="12"/>
      <c r="K934" s="61"/>
      <c r="L934" s="233"/>
      <c r="M934" s="10">
        <f ca="1">IF(ISBLANK(K934), TODAY()-(I934), Table27[[#This Row],[Effectiveness Review &amp; date deemed effective]]-Table27[[#This Row],[PTO initialized date]])</f>
        <v>46067</v>
      </c>
    </row>
    <row r="935" spans="1:13" ht="18">
      <c r="A935" s="9"/>
      <c r="B935" s="18" t="e">
        <f>VLOOKUP(Table27[[#This Row],[Location 
(drop-down)]],'List source'!D$2:E$71,2,FALSE)</f>
        <v>#N/A</v>
      </c>
      <c r="C935" s="154" t="s">
        <v>2274</v>
      </c>
      <c r="D935" s="20" t="e">
        <f t="shared" si="14"/>
        <v>#N/A</v>
      </c>
      <c r="E935" s="9"/>
      <c r="F935" s="10" t="e" cm="1">
        <f t="array" aca="1" ref="F9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5" s="130"/>
      <c r="I935" s="12"/>
      <c r="J935" s="12"/>
      <c r="K935" s="61"/>
      <c r="L935" s="233"/>
      <c r="M935" s="10">
        <f ca="1">IF(ISBLANK(K935), TODAY()-(I935), Table27[[#This Row],[Effectiveness Review &amp; date deemed effective]]-Table27[[#This Row],[PTO initialized date]])</f>
        <v>46067</v>
      </c>
    </row>
    <row r="936" spans="1:13" ht="18">
      <c r="A936" s="9"/>
      <c r="B936" s="18" t="e">
        <f>VLOOKUP(Table27[[#This Row],[Location 
(drop-down)]],'List source'!D$2:E$71,2,FALSE)</f>
        <v>#N/A</v>
      </c>
      <c r="C936" s="154" t="s">
        <v>2275</v>
      </c>
      <c r="D936" s="20" t="e">
        <f t="shared" si="14"/>
        <v>#N/A</v>
      </c>
      <c r="E936" s="9"/>
      <c r="F936" s="10" t="e" cm="1">
        <f t="array" aca="1" ref="F9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6" s="10"/>
      <c r="I936" s="12"/>
      <c r="J936" s="12"/>
      <c r="K936" s="61"/>
      <c r="L936" s="233"/>
      <c r="M936" s="10">
        <f ca="1">IF(ISBLANK(K936), TODAY()-(I936), Table27[[#This Row],[Effectiveness Review &amp; date deemed effective]]-Table27[[#This Row],[PTO initialized date]])</f>
        <v>46067</v>
      </c>
    </row>
    <row r="937" spans="1:13" ht="18">
      <c r="A937" s="9"/>
      <c r="B937" s="18" t="e">
        <f>VLOOKUP(Table27[[#This Row],[Location 
(drop-down)]],'List source'!D$2:E$71,2,FALSE)</f>
        <v>#N/A</v>
      </c>
      <c r="C937" s="154" t="s">
        <v>2276</v>
      </c>
      <c r="D937" s="20" t="e">
        <f t="shared" si="14"/>
        <v>#N/A</v>
      </c>
      <c r="E937" s="9"/>
      <c r="F937" s="10" t="e" cm="1">
        <f t="array" aca="1" ref="F9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7" s="10"/>
      <c r="I937" s="12"/>
      <c r="J937" s="12"/>
      <c r="K937" s="61"/>
      <c r="L937" s="233"/>
      <c r="M937" s="10">
        <f ca="1">IF(ISBLANK(K937), TODAY()-(I937), Table27[[#This Row],[Effectiveness Review &amp; date deemed effective]]-Table27[[#This Row],[PTO initialized date]])</f>
        <v>46067</v>
      </c>
    </row>
    <row r="938" spans="1:13" ht="18">
      <c r="A938" s="62"/>
      <c r="B938" s="18" t="e">
        <f>VLOOKUP(Table27[[#This Row],[Location 
(drop-down)]],'List source'!D$2:E$71,2,FALSE)</f>
        <v>#N/A</v>
      </c>
      <c r="C938" s="154" t="s">
        <v>2277</v>
      </c>
      <c r="D938" s="20" t="e">
        <f t="shared" si="14"/>
        <v>#N/A</v>
      </c>
      <c r="E938" s="9"/>
      <c r="F938" s="10" t="e" cm="1">
        <f t="array" aca="1" ref="F9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8" s="10"/>
      <c r="I938" s="12"/>
      <c r="J938" s="12"/>
      <c r="K938" s="61"/>
      <c r="L938" s="233"/>
      <c r="M938" s="10">
        <f ca="1">IF(ISBLANK(K938), TODAY()-(I938), Table27[[#This Row],[Effectiveness Review &amp; date deemed effective]]-Table27[[#This Row],[PTO initialized date]])</f>
        <v>46067</v>
      </c>
    </row>
    <row r="939" spans="1:13" ht="18">
      <c r="A939" s="62"/>
      <c r="B939" s="18" t="e">
        <f>VLOOKUP(Table27[[#This Row],[Location 
(drop-down)]],'List source'!D$2:E$71,2,FALSE)</f>
        <v>#N/A</v>
      </c>
      <c r="C939" s="154" t="s">
        <v>2278</v>
      </c>
      <c r="D939" s="20" t="e">
        <f t="shared" si="14"/>
        <v>#N/A</v>
      </c>
      <c r="E939" s="9"/>
      <c r="F939" s="10" t="e" cm="1">
        <f t="array" aca="1" ref="F9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39" s="130"/>
      <c r="I939" s="12"/>
      <c r="J939" s="12"/>
      <c r="K939" s="61"/>
      <c r="L939" s="233"/>
      <c r="M939" s="10">
        <f ca="1">IF(ISBLANK(K939), TODAY()-(I939), Table27[[#This Row],[Effectiveness Review &amp; date deemed effective]]-Table27[[#This Row],[PTO initialized date]])</f>
        <v>46067</v>
      </c>
    </row>
    <row r="940" spans="1:13" ht="18">
      <c r="A940" s="62"/>
      <c r="B940" s="18" t="e">
        <f>VLOOKUP(Table27[[#This Row],[Location 
(drop-down)]],'List source'!D$2:E$71,2,FALSE)</f>
        <v>#N/A</v>
      </c>
      <c r="C940" s="154" t="s">
        <v>2279</v>
      </c>
      <c r="D940" s="20" t="e">
        <f t="shared" si="14"/>
        <v>#N/A</v>
      </c>
      <c r="E940" s="62"/>
      <c r="F940" s="10" t="e" cm="1">
        <f t="array" aca="1" ref="F9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0" s="130"/>
      <c r="I940" s="12"/>
      <c r="J940" s="12"/>
      <c r="K940" s="61"/>
      <c r="L940" s="233"/>
      <c r="M940" s="10">
        <f ca="1">IF(ISBLANK(K940), TODAY()-(I940), Table27[[#This Row],[Effectiveness Review &amp; date deemed effective]]-Table27[[#This Row],[PTO initialized date]])</f>
        <v>46067</v>
      </c>
    </row>
    <row r="941" spans="1:13" ht="18">
      <c r="A941" s="62"/>
      <c r="B941" s="18" t="e">
        <f>VLOOKUP(Table27[[#This Row],[Location 
(drop-down)]],'List source'!D$2:E$71,2,FALSE)</f>
        <v>#N/A</v>
      </c>
      <c r="C941" s="154" t="s">
        <v>2280</v>
      </c>
      <c r="D941" s="20" t="e">
        <f t="shared" si="14"/>
        <v>#N/A</v>
      </c>
      <c r="E941" s="62"/>
      <c r="F941" s="10" t="e" cm="1">
        <f t="array" aca="1" ref="F9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1" s="10"/>
      <c r="I941" s="12"/>
      <c r="J941" s="12"/>
      <c r="K941" s="61"/>
      <c r="L941" s="233"/>
      <c r="M941" s="10">
        <f ca="1">IF(ISBLANK(K941), TODAY()-(I941), Table27[[#This Row],[Effectiveness Review &amp; date deemed effective]]-Table27[[#This Row],[PTO initialized date]])</f>
        <v>46067</v>
      </c>
    </row>
    <row r="942" spans="1:13" ht="18">
      <c r="A942" s="62"/>
      <c r="B942" s="18" t="e">
        <f>VLOOKUP(Table27[[#This Row],[Location 
(drop-down)]],'List source'!D$2:E$71,2,FALSE)</f>
        <v>#N/A</v>
      </c>
      <c r="C942" s="154" t="s">
        <v>2281</v>
      </c>
      <c r="D942" s="20" t="e">
        <f t="shared" si="14"/>
        <v>#N/A</v>
      </c>
      <c r="E942" s="62"/>
      <c r="F942" s="10" t="e" cm="1">
        <f t="array" aca="1" ref="F9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2" s="10"/>
      <c r="I942" s="12"/>
      <c r="J942" s="12"/>
      <c r="K942" s="61"/>
      <c r="L942" s="233"/>
      <c r="M942" s="10">
        <f ca="1">IF(ISBLANK(K942), TODAY()-(I942), Table27[[#This Row],[Effectiveness Review &amp; date deemed effective]]-Table27[[#This Row],[PTO initialized date]])</f>
        <v>46067</v>
      </c>
    </row>
    <row r="943" spans="1:13" ht="18">
      <c r="A943" s="62"/>
      <c r="B943" s="18" t="e">
        <f>VLOOKUP(Table27[[#This Row],[Location 
(drop-down)]],'List source'!D$2:E$71,2,FALSE)</f>
        <v>#N/A</v>
      </c>
      <c r="C943" s="154" t="s">
        <v>2282</v>
      </c>
      <c r="D943" s="20" t="e">
        <f t="shared" si="14"/>
        <v>#N/A</v>
      </c>
      <c r="E943" s="9"/>
      <c r="F943" s="10" t="e" cm="1">
        <f t="array" aca="1" ref="F9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3" s="10"/>
      <c r="I943" s="12"/>
      <c r="J943" s="12"/>
      <c r="K943" s="61"/>
      <c r="L943" s="233"/>
      <c r="M943" s="10">
        <f ca="1">IF(ISBLANK(K943), TODAY()-(I943), Table27[[#This Row],[Effectiveness Review &amp; date deemed effective]]-Table27[[#This Row],[PTO initialized date]])</f>
        <v>46067</v>
      </c>
    </row>
    <row r="944" spans="1:13" ht="18">
      <c r="A944" s="62"/>
      <c r="B944" s="18" t="e">
        <f>VLOOKUP(Table27[[#This Row],[Location 
(drop-down)]],'List source'!D$2:E$71,2,FALSE)</f>
        <v>#N/A</v>
      </c>
      <c r="C944" s="154" t="s">
        <v>2283</v>
      </c>
      <c r="D944" s="20" t="e">
        <f t="shared" si="14"/>
        <v>#N/A</v>
      </c>
      <c r="E944" s="9"/>
      <c r="F944" s="10" t="e" cm="1">
        <f t="array" aca="1" ref="F9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4" s="130"/>
      <c r="I944" s="12"/>
      <c r="J944" s="12"/>
      <c r="K944" s="61"/>
      <c r="L944" s="233"/>
      <c r="M944" s="10">
        <f ca="1">IF(ISBLANK(K944), TODAY()-(I944), Table27[[#This Row],[Effectiveness Review &amp; date deemed effective]]-Table27[[#This Row],[PTO initialized date]])</f>
        <v>46067</v>
      </c>
    </row>
    <row r="945" spans="1:13" ht="18">
      <c r="A945" s="9"/>
      <c r="B945" s="18" t="e">
        <f>VLOOKUP(Table27[[#This Row],[Location 
(drop-down)]],'List source'!D$2:E$71,2,FALSE)</f>
        <v>#N/A</v>
      </c>
      <c r="C945" s="154" t="s">
        <v>2284</v>
      </c>
      <c r="D945" s="20" t="e">
        <f t="shared" si="14"/>
        <v>#N/A</v>
      </c>
      <c r="E945" s="9"/>
      <c r="F945" s="10" t="e" cm="1">
        <f t="array" aca="1" ref="F9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5" s="130"/>
      <c r="I945" s="12"/>
      <c r="J945" s="12"/>
      <c r="K945" s="61"/>
      <c r="L945" s="233"/>
      <c r="M945" s="10">
        <f ca="1">IF(ISBLANK(K945), TODAY()-(I945), Table27[[#This Row],[Effectiveness Review &amp; date deemed effective]]-Table27[[#This Row],[PTO initialized date]])</f>
        <v>46067</v>
      </c>
    </row>
    <row r="946" spans="1:13" ht="18">
      <c r="A946" s="9"/>
      <c r="B946" s="18" t="e">
        <f>VLOOKUP(Table27[[#This Row],[Location 
(drop-down)]],'List source'!D$2:E$71,2,FALSE)</f>
        <v>#N/A</v>
      </c>
      <c r="C946" s="154" t="s">
        <v>2285</v>
      </c>
      <c r="D946" s="20" t="e">
        <f t="shared" si="14"/>
        <v>#N/A</v>
      </c>
      <c r="E946" s="9"/>
      <c r="F946" s="10" t="e" cm="1">
        <f t="array" aca="1" ref="F9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6" s="130"/>
      <c r="I946" s="12"/>
      <c r="J946" s="12"/>
      <c r="K946" s="61"/>
      <c r="L946" s="233"/>
      <c r="M946" s="10">
        <f ca="1">IF(ISBLANK(K946), TODAY()-(I946), Table27[[#This Row],[Effectiveness Review &amp; date deemed effective]]-Table27[[#This Row],[PTO initialized date]])</f>
        <v>46067</v>
      </c>
    </row>
    <row r="947" spans="1:13" ht="18">
      <c r="A947" s="9"/>
      <c r="B947" s="18" t="e">
        <f>VLOOKUP(Table27[[#This Row],[Location 
(drop-down)]],'List source'!D$2:E$71,2,FALSE)</f>
        <v>#N/A</v>
      </c>
      <c r="C947" s="154" t="s">
        <v>2286</v>
      </c>
      <c r="D947" s="20" t="e">
        <f t="shared" si="14"/>
        <v>#N/A</v>
      </c>
      <c r="E947" s="9"/>
      <c r="F947" s="10" t="e" cm="1">
        <f t="array" aca="1" ref="F9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7" s="130"/>
      <c r="I947" s="12"/>
      <c r="J947" s="12"/>
      <c r="K947" s="61"/>
      <c r="L947" s="233"/>
      <c r="M947" s="10">
        <f ca="1">IF(ISBLANK(K947), TODAY()-(I947), Table27[[#This Row],[Effectiveness Review &amp; date deemed effective]]-Table27[[#This Row],[PTO initialized date]])</f>
        <v>46067</v>
      </c>
    </row>
    <row r="948" spans="1:13" ht="18">
      <c r="A948" s="9"/>
      <c r="B948" s="18" t="e">
        <f>VLOOKUP(Table27[[#This Row],[Location 
(drop-down)]],'List source'!D$2:E$71,2,FALSE)</f>
        <v>#N/A</v>
      </c>
      <c r="C948" s="154" t="s">
        <v>2287</v>
      </c>
      <c r="D948" s="20" t="e">
        <f t="shared" si="14"/>
        <v>#N/A</v>
      </c>
      <c r="E948" s="9"/>
      <c r="F948" s="10" t="e" cm="1">
        <f t="array" aca="1" ref="F9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8" s="130"/>
      <c r="I948" s="12"/>
      <c r="J948" s="12"/>
      <c r="K948" s="61"/>
      <c r="L948" s="233"/>
      <c r="M948" s="10">
        <f ca="1">IF(ISBLANK(K948), TODAY()-(I948), Table27[[#This Row],[Effectiveness Review &amp; date deemed effective]]-Table27[[#This Row],[PTO initialized date]])</f>
        <v>46067</v>
      </c>
    </row>
    <row r="949" spans="1:13" ht="18">
      <c r="A949" s="9"/>
      <c r="B949" s="18" t="e">
        <f>VLOOKUP(Table27[[#This Row],[Location 
(drop-down)]],'List source'!D$2:E$71,2,FALSE)</f>
        <v>#N/A</v>
      </c>
      <c r="C949" s="154" t="s">
        <v>2288</v>
      </c>
      <c r="D949" s="20" t="e">
        <f t="shared" si="14"/>
        <v>#N/A</v>
      </c>
      <c r="E949" s="9"/>
      <c r="F949" s="10" t="e" cm="1">
        <f t="array" aca="1" ref="F9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49" s="10"/>
      <c r="I949" s="12"/>
      <c r="J949" s="12"/>
      <c r="K949" s="61"/>
      <c r="L949" s="233"/>
      <c r="M949" s="10">
        <f ca="1">IF(ISBLANK(K949), TODAY()-(I949), Table27[[#This Row],[Effectiveness Review &amp; date deemed effective]]-Table27[[#This Row],[PTO initialized date]])</f>
        <v>46067</v>
      </c>
    </row>
    <row r="950" spans="1:13" ht="18">
      <c r="A950" s="9"/>
      <c r="B950" s="18" t="e">
        <f>VLOOKUP(Table27[[#This Row],[Location 
(drop-down)]],'List source'!D$2:E$71,2,FALSE)</f>
        <v>#N/A</v>
      </c>
      <c r="C950" s="154" t="s">
        <v>2289</v>
      </c>
      <c r="D950" s="194" t="e">
        <f t="shared" si="14"/>
        <v>#N/A</v>
      </c>
      <c r="E950" s="9"/>
      <c r="F950" s="10" t="e" cm="1">
        <f t="array" aca="1" ref="F9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0" s="130"/>
      <c r="I950" s="12"/>
      <c r="J950" s="12"/>
      <c r="K950" s="61"/>
      <c r="L950" s="296"/>
      <c r="M950" s="10">
        <f ca="1">IF(ISBLANK(K950), TODAY()-(I950), Table27[[#This Row],[Effectiveness Review &amp; date deemed effective]]-Table27[[#This Row],[PTO initialized date]])</f>
        <v>46067</v>
      </c>
    </row>
    <row r="951" spans="1:13" ht="18">
      <c r="A951" s="9"/>
      <c r="B951" s="18" t="e">
        <f>VLOOKUP(Table27[[#This Row],[Location 
(drop-down)]],'List source'!D$2:E$71,2,FALSE)</f>
        <v>#N/A</v>
      </c>
      <c r="C951" s="154" t="s">
        <v>2290</v>
      </c>
      <c r="D951" s="20" t="e">
        <f t="shared" si="14"/>
        <v>#N/A</v>
      </c>
      <c r="E951" s="9"/>
      <c r="F951" s="10" t="e" cm="1">
        <f t="array" aca="1" ref="F9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1" s="130"/>
      <c r="I951" s="12"/>
      <c r="J951" s="12"/>
      <c r="K951" s="61"/>
      <c r="L951" s="336"/>
      <c r="M951" s="10">
        <f ca="1">IF(ISBLANK(K951), TODAY()-(I951), Table27[[#This Row],[Effectiveness Review &amp; date deemed effective]]-Table27[[#This Row],[PTO initialized date]])</f>
        <v>46067</v>
      </c>
    </row>
    <row r="952" spans="1:13" ht="18">
      <c r="A952" s="9"/>
      <c r="B952" s="18" t="e">
        <f>VLOOKUP(Table27[[#This Row],[Location 
(drop-down)]],'List source'!D$2:E$71,2,FALSE)</f>
        <v>#N/A</v>
      </c>
      <c r="C952" s="154" t="s">
        <v>2291</v>
      </c>
      <c r="D952" s="20" t="e">
        <f t="shared" si="14"/>
        <v>#N/A</v>
      </c>
      <c r="E952" s="9"/>
      <c r="F952" s="10" t="e" cm="1">
        <f t="array" aca="1" ref="F9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2" s="10"/>
      <c r="I952" s="12"/>
      <c r="J952" s="12"/>
      <c r="K952" s="61"/>
      <c r="L952" s="233"/>
      <c r="M952" s="10">
        <f ca="1">IF(ISBLANK(K952), TODAY()-(I952), Table27[[#This Row],[Effectiveness Review &amp; date deemed effective]]-Table27[[#This Row],[PTO initialized date]])</f>
        <v>46067</v>
      </c>
    </row>
    <row r="953" spans="1:13" ht="18">
      <c r="A953" s="9"/>
      <c r="B953" s="18" t="e">
        <f>VLOOKUP(Table27[[#This Row],[Location 
(drop-down)]],'List source'!D$2:E$71,2,FALSE)</f>
        <v>#N/A</v>
      </c>
      <c r="C953" s="154" t="s">
        <v>2292</v>
      </c>
      <c r="D953" s="20" t="e">
        <f t="shared" si="14"/>
        <v>#N/A</v>
      </c>
      <c r="E953" s="9"/>
      <c r="F953" s="10" t="e" cm="1">
        <f t="array" aca="1" ref="F9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3" s="10"/>
      <c r="I953" s="12"/>
      <c r="J953" s="12"/>
      <c r="K953" s="61"/>
      <c r="L953" s="233"/>
      <c r="M953" s="10">
        <f ca="1">IF(ISBLANK(K953), TODAY()-(I953), Table27[[#This Row],[Effectiveness Review &amp; date deemed effective]]-Table27[[#This Row],[PTO initialized date]])</f>
        <v>46067</v>
      </c>
    </row>
    <row r="954" spans="1:13" ht="18">
      <c r="A954" s="9"/>
      <c r="B954" s="18" t="e">
        <f>VLOOKUP(Table27[[#This Row],[Location 
(drop-down)]],'List source'!D$2:E$71,2,FALSE)</f>
        <v>#N/A</v>
      </c>
      <c r="C954" s="154" t="s">
        <v>2293</v>
      </c>
      <c r="D954" s="20" t="e">
        <f t="shared" si="14"/>
        <v>#N/A</v>
      </c>
      <c r="E954" s="9"/>
      <c r="F954" s="10" t="e" cm="1">
        <f t="array" aca="1" ref="F9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4" s="130"/>
      <c r="I954" s="12"/>
      <c r="J954" s="12"/>
      <c r="K954" s="61"/>
      <c r="L954" s="233"/>
      <c r="M954" s="10">
        <f ca="1">IF(ISBLANK(K954), TODAY()-(I954), Table27[[#This Row],[Effectiveness Review &amp; date deemed effective]]-Table27[[#This Row],[PTO initialized date]])</f>
        <v>46067</v>
      </c>
    </row>
    <row r="955" spans="1:13" ht="18">
      <c r="A955" s="9"/>
      <c r="B955" s="18" t="e">
        <f>VLOOKUP(Table27[[#This Row],[Location 
(drop-down)]],'List source'!D$2:E$71,2,FALSE)</f>
        <v>#N/A</v>
      </c>
      <c r="C955" s="154" t="s">
        <v>2294</v>
      </c>
      <c r="D955" s="194" t="e">
        <f t="shared" si="14"/>
        <v>#N/A</v>
      </c>
      <c r="E955" s="9"/>
      <c r="F955" s="10" t="e" cm="1">
        <f t="array" aca="1" ref="F9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5" s="10"/>
      <c r="I955" s="12"/>
      <c r="J955" s="12"/>
      <c r="K955" s="61"/>
      <c r="L955" s="336"/>
      <c r="M955" s="10">
        <f ca="1">IF(ISBLANK(K955), TODAY()-(I955), Table27[[#This Row],[Effectiveness Review &amp; date deemed effective]]-Table27[[#This Row],[PTO initialized date]])</f>
        <v>46067</v>
      </c>
    </row>
    <row r="956" spans="1:13" ht="18">
      <c r="A956" s="9"/>
      <c r="B956" s="18" t="e">
        <f>VLOOKUP(Table27[[#This Row],[Location 
(drop-down)]],'List source'!D$2:E$71,2,FALSE)</f>
        <v>#N/A</v>
      </c>
      <c r="C956" s="154" t="s">
        <v>2295</v>
      </c>
      <c r="D956" s="194" t="e">
        <f t="shared" si="14"/>
        <v>#N/A</v>
      </c>
      <c r="E956" s="9"/>
      <c r="F956" s="10" t="e" cm="1">
        <f t="array" aca="1" ref="F9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6" s="10"/>
      <c r="I956" s="12"/>
      <c r="J956" s="12"/>
      <c r="K956" s="61"/>
      <c r="L956" s="336"/>
      <c r="M956" s="10">
        <f ca="1">IF(ISBLANK(K956), TODAY()-(I956), Table27[[#This Row],[Effectiveness Review &amp; date deemed effective]]-Table27[[#This Row],[PTO initialized date]])</f>
        <v>46067</v>
      </c>
    </row>
    <row r="957" spans="1:13" ht="18">
      <c r="A957" s="9"/>
      <c r="B957" s="18" t="e">
        <f>VLOOKUP(Table27[[#This Row],[Location 
(drop-down)]],'List source'!D$2:E$71,2,FALSE)</f>
        <v>#N/A</v>
      </c>
      <c r="C957" s="154" t="s">
        <v>2296</v>
      </c>
      <c r="D957" s="20" t="e">
        <f t="shared" si="14"/>
        <v>#N/A</v>
      </c>
      <c r="E957" s="9"/>
      <c r="F957" s="10" t="e" cm="1">
        <f t="array" aca="1" ref="F9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7" s="130"/>
      <c r="I957" s="12"/>
      <c r="J957" s="12"/>
      <c r="K957" s="61"/>
      <c r="L957" s="233"/>
      <c r="M957" s="10">
        <f ca="1">IF(ISBLANK(K957), TODAY()-(I957), Table27[[#This Row],[Effectiveness Review &amp; date deemed effective]]-Table27[[#This Row],[PTO initialized date]])</f>
        <v>46067</v>
      </c>
    </row>
    <row r="958" spans="1:13" ht="18">
      <c r="A958" s="9"/>
      <c r="B958" s="18" t="e">
        <f>VLOOKUP(Table27[[#This Row],[Location 
(drop-down)]],'List source'!D$2:E$71,2,FALSE)</f>
        <v>#N/A</v>
      </c>
      <c r="C958" s="154" t="s">
        <v>2297</v>
      </c>
      <c r="D958" s="20" t="e">
        <f t="shared" si="14"/>
        <v>#N/A</v>
      </c>
      <c r="E958" s="9"/>
      <c r="F958" s="10" t="e" cm="1">
        <f t="array" aca="1" ref="F9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8" s="10"/>
      <c r="I958" s="12"/>
      <c r="J958" s="12"/>
      <c r="K958" s="61"/>
      <c r="L958" s="233"/>
      <c r="M958" s="10">
        <f ca="1">IF(ISBLANK(K958), TODAY()-(I958), Table27[[#This Row],[Effectiveness Review &amp; date deemed effective]]-Table27[[#This Row],[PTO initialized date]])</f>
        <v>46067</v>
      </c>
    </row>
    <row r="959" spans="1:13" ht="18">
      <c r="A959" s="9"/>
      <c r="B959" s="18" t="e">
        <f>VLOOKUP(Table27[[#This Row],[Location 
(drop-down)]],'List source'!D$2:E$71,2,FALSE)</f>
        <v>#N/A</v>
      </c>
      <c r="C959" s="154" t="s">
        <v>2298</v>
      </c>
      <c r="D959" s="20" t="e">
        <f t="shared" si="14"/>
        <v>#N/A</v>
      </c>
      <c r="E959" s="9"/>
      <c r="F959" s="10" t="e" cm="1">
        <f t="array" aca="1" ref="F9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59" s="130"/>
      <c r="I959" s="12"/>
      <c r="J959" s="12"/>
      <c r="K959" s="61"/>
      <c r="L959" s="233"/>
      <c r="M959" s="10">
        <f ca="1">IF(ISBLANK(K959), TODAY()-(I959), Table27[[#This Row],[Effectiveness Review &amp; date deemed effective]]-Table27[[#This Row],[PTO initialized date]])</f>
        <v>46067</v>
      </c>
    </row>
    <row r="960" spans="1:13" ht="18">
      <c r="A960" s="9"/>
      <c r="B960" s="18" t="e">
        <f>VLOOKUP(Table27[[#This Row],[Location 
(drop-down)]],'List source'!D$2:E$71,2,FALSE)</f>
        <v>#N/A</v>
      </c>
      <c r="C960" s="154" t="s">
        <v>2299</v>
      </c>
      <c r="D960" s="20" t="e">
        <f t="shared" si="14"/>
        <v>#N/A</v>
      </c>
      <c r="E960" s="9"/>
      <c r="F960" s="10" t="e" cm="1">
        <f t="array" aca="1" ref="F9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0" s="10"/>
      <c r="I960" s="12"/>
      <c r="J960" s="12"/>
      <c r="K960" s="61"/>
      <c r="L960" s="233"/>
      <c r="M960" s="10">
        <f ca="1">IF(ISBLANK(K960), TODAY()-(I960), Table27[[#This Row],[Effectiveness Review &amp; date deemed effective]]-Table27[[#This Row],[PTO initialized date]])</f>
        <v>46067</v>
      </c>
    </row>
    <row r="961" spans="1:13" ht="18">
      <c r="A961" s="9"/>
      <c r="B961" s="18" t="e">
        <f>VLOOKUP(Table27[[#This Row],[Location 
(drop-down)]],'List source'!D$2:E$71,2,FALSE)</f>
        <v>#N/A</v>
      </c>
      <c r="C961" s="154" t="s">
        <v>2300</v>
      </c>
      <c r="D961" s="20" t="e">
        <f t="shared" si="14"/>
        <v>#N/A</v>
      </c>
      <c r="E961" s="9"/>
      <c r="F961" s="10" t="e" cm="1">
        <f t="array" aca="1" ref="F9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1" s="130"/>
      <c r="I961" s="12"/>
      <c r="J961" s="12"/>
      <c r="K961" s="61"/>
      <c r="L961" s="233"/>
      <c r="M961" s="10">
        <f ca="1">IF(ISBLANK(K961), TODAY()-(I961), Table27[[#This Row],[Effectiveness Review &amp; date deemed effective]]-Table27[[#This Row],[PTO initialized date]])</f>
        <v>46067</v>
      </c>
    </row>
    <row r="962" spans="1:13" ht="18">
      <c r="A962" s="9"/>
      <c r="B962" s="18" t="e">
        <f>VLOOKUP(Table27[[#This Row],[Location 
(drop-down)]],'List source'!D$2:E$71,2,FALSE)</f>
        <v>#N/A</v>
      </c>
      <c r="C962" s="154" t="s">
        <v>2301</v>
      </c>
      <c r="D962" s="20" t="e">
        <f t="shared" ref="D962:D1025" si="15">"PTO" &amp; C962 &amp; "-" &amp; B962 &amp; "-" &amp; "26"</f>
        <v>#N/A</v>
      </c>
      <c r="E962" s="9"/>
      <c r="F962" s="10" t="e" cm="1">
        <f t="array" aca="1" ref="F9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2" s="130"/>
      <c r="I962" s="12"/>
      <c r="J962" s="12"/>
      <c r="K962" s="61"/>
      <c r="L962" s="233"/>
      <c r="M962" s="10">
        <f ca="1">IF(ISBLANK(K962), TODAY()-(I962), Table27[[#This Row],[Effectiveness Review &amp; date deemed effective]]-Table27[[#This Row],[PTO initialized date]])</f>
        <v>46067</v>
      </c>
    </row>
    <row r="963" spans="1:13" ht="18">
      <c r="A963" s="9"/>
      <c r="B963" s="18" t="e">
        <f>VLOOKUP(Table27[[#This Row],[Location 
(drop-down)]],'List source'!D$2:E$71,2,FALSE)</f>
        <v>#N/A</v>
      </c>
      <c r="C963" s="154" t="s">
        <v>2302</v>
      </c>
      <c r="D963" s="20" t="e">
        <f t="shared" si="15"/>
        <v>#N/A</v>
      </c>
      <c r="E963" s="9"/>
      <c r="F963" s="10" t="e" cm="1">
        <f t="array" aca="1" ref="F9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3" s="130"/>
      <c r="I963" s="12"/>
      <c r="J963" s="12"/>
      <c r="K963" s="61"/>
      <c r="L963" s="233"/>
      <c r="M963" s="10">
        <f ca="1">IF(ISBLANK(K963), TODAY()-(I963), Table27[[#This Row],[Effectiveness Review &amp; date deemed effective]]-Table27[[#This Row],[PTO initialized date]])</f>
        <v>46067</v>
      </c>
    </row>
    <row r="964" spans="1:13" ht="18">
      <c r="A964" s="9"/>
      <c r="B964" s="18" t="e">
        <f>VLOOKUP(Table27[[#This Row],[Location 
(drop-down)]],'List source'!D$2:E$71,2,FALSE)</f>
        <v>#N/A</v>
      </c>
      <c r="C964" s="154" t="s">
        <v>2303</v>
      </c>
      <c r="D964" s="20" t="e">
        <f t="shared" si="15"/>
        <v>#N/A</v>
      </c>
      <c r="E964" s="9"/>
      <c r="F964" s="10" t="e" cm="1">
        <f t="array" aca="1" ref="F9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4" s="10"/>
      <c r="I964" s="12"/>
      <c r="J964" s="12"/>
      <c r="K964" s="61"/>
      <c r="L964" s="233"/>
      <c r="M964" s="10">
        <f ca="1">IF(ISBLANK(K964), TODAY()-(I964), Table27[[#This Row],[Effectiveness Review &amp; date deemed effective]]-Table27[[#This Row],[PTO initialized date]])</f>
        <v>46067</v>
      </c>
    </row>
    <row r="965" spans="1:13" ht="18">
      <c r="A965" s="9"/>
      <c r="B965" s="18" t="e">
        <f>VLOOKUP(Table27[[#This Row],[Location 
(drop-down)]],'List source'!D$2:E$71,2,FALSE)</f>
        <v>#N/A</v>
      </c>
      <c r="C965" s="154" t="s">
        <v>2304</v>
      </c>
      <c r="D965" s="20" t="e">
        <f t="shared" si="15"/>
        <v>#N/A</v>
      </c>
      <c r="E965" s="9"/>
      <c r="F965" s="10" t="e" cm="1">
        <f t="array" aca="1" ref="F9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5" s="130"/>
      <c r="I965" s="12"/>
      <c r="J965" s="12"/>
      <c r="K965" s="61"/>
      <c r="L965" s="233"/>
      <c r="M965" s="10">
        <f ca="1">IF(ISBLANK(K965), TODAY()-(I965), Table27[[#This Row],[Effectiveness Review &amp; date deemed effective]]-Table27[[#This Row],[PTO initialized date]])</f>
        <v>46067</v>
      </c>
    </row>
    <row r="966" spans="1:13" ht="18">
      <c r="A966" s="9"/>
      <c r="B966" s="18" t="e">
        <f>VLOOKUP(Table27[[#This Row],[Location 
(drop-down)]],'List source'!D$2:E$71,2,FALSE)</f>
        <v>#N/A</v>
      </c>
      <c r="C966" s="154" t="s">
        <v>2305</v>
      </c>
      <c r="D966" s="20" t="e">
        <f t="shared" si="15"/>
        <v>#N/A</v>
      </c>
      <c r="E966" s="9"/>
      <c r="F966" s="10" t="e" cm="1">
        <f t="array" aca="1" ref="F9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6" s="130"/>
      <c r="I966" s="12"/>
      <c r="J966" s="12"/>
      <c r="K966" s="61"/>
      <c r="L966" s="233"/>
      <c r="M966" s="10">
        <f ca="1">IF(ISBLANK(K966), TODAY()-(I966), Table27[[#This Row],[Effectiveness Review &amp; date deemed effective]]-Table27[[#This Row],[PTO initialized date]])</f>
        <v>46067</v>
      </c>
    </row>
    <row r="967" spans="1:13" ht="18">
      <c r="A967" s="9"/>
      <c r="B967" s="18" t="e">
        <f>VLOOKUP(Table27[[#This Row],[Location 
(drop-down)]],'List source'!D$2:E$71,2,FALSE)</f>
        <v>#N/A</v>
      </c>
      <c r="C967" s="154" t="s">
        <v>2306</v>
      </c>
      <c r="D967" s="20" t="e">
        <f t="shared" si="15"/>
        <v>#N/A</v>
      </c>
      <c r="E967" s="9"/>
      <c r="F967" s="10" t="e" cm="1">
        <f t="array" aca="1" ref="F9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7" s="10"/>
      <c r="I967" s="12"/>
      <c r="J967" s="12"/>
      <c r="K967" s="61"/>
      <c r="L967" s="233"/>
      <c r="M967" s="10">
        <f ca="1">IF(ISBLANK(K967), TODAY()-(I967), Table27[[#This Row],[Effectiveness Review &amp; date deemed effective]]-Table27[[#This Row],[PTO initialized date]])</f>
        <v>46067</v>
      </c>
    </row>
    <row r="968" spans="1:13" ht="18">
      <c r="A968" s="9"/>
      <c r="B968" s="18" t="e">
        <f>VLOOKUP(Table27[[#This Row],[Location 
(drop-down)]],'List source'!D$2:E$71,2,FALSE)</f>
        <v>#N/A</v>
      </c>
      <c r="C968" s="154" t="s">
        <v>2307</v>
      </c>
      <c r="D968" s="20" t="e">
        <f t="shared" si="15"/>
        <v>#N/A</v>
      </c>
      <c r="E968" s="9"/>
      <c r="F968" s="10" t="e" cm="1">
        <f t="array" aca="1" ref="F9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8" s="130"/>
      <c r="I968" s="12"/>
      <c r="J968" s="12"/>
      <c r="K968" s="61"/>
      <c r="L968" s="233"/>
      <c r="M968" s="10">
        <f ca="1">IF(ISBLANK(K968), TODAY()-(I968), Table27[[#This Row],[Effectiveness Review &amp; date deemed effective]]-Table27[[#This Row],[PTO initialized date]])</f>
        <v>46067</v>
      </c>
    </row>
    <row r="969" spans="1:13" ht="18">
      <c r="A969" s="9"/>
      <c r="B969" s="18" t="e">
        <f>VLOOKUP(Table27[[#This Row],[Location 
(drop-down)]],'List source'!D$2:E$71,2,FALSE)</f>
        <v>#N/A</v>
      </c>
      <c r="C969" s="154" t="s">
        <v>2308</v>
      </c>
      <c r="D969" s="20" t="e">
        <f t="shared" si="15"/>
        <v>#N/A</v>
      </c>
      <c r="E969" s="9"/>
      <c r="F969" s="10" t="e" cm="1">
        <f t="array" aca="1" ref="F9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69" s="10"/>
      <c r="I969" s="12"/>
      <c r="J969" s="12"/>
      <c r="K969" s="61"/>
      <c r="L969" s="233"/>
      <c r="M969" s="10">
        <f ca="1">IF(ISBLANK(K969), TODAY()-(I969), Table27[[#This Row],[Effectiveness Review &amp; date deemed effective]]-Table27[[#This Row],[PTO initialized date]])</f>
        <v>46067</v>
      </c>
    </row>
    <row r="970" spans="1:13" ht="18">
      <c r="A970" s="9"/>
      <c r="B970" s="18" t="e">
        <f>VLOOKUP(Table27[[#This Row],[Location 
(drop-down)]],'List source'!D$2:E$71,2,FALSE)</f>
        <v>#N/A</v>
      </c>
      <c r="C970" s="154" t="s">
        <v>2309</v>
      </c>
      <c r="D970" s="20" t="e">
        <f t="shared" si="15"/>
        <v>#N/A</v>
      </c>
      <c r="E970" s="9"/>
      <c r="F970" s="10" t="e" cm="1">
        <f t="array" aca="1" ref="F9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0" s="10"/>
      <c r="I970" s="12"/>
      <c r="J970" s="12"/>
      <c r="K970" s="61"/>
      <c r="L970" s="233"/>
      <c r="M970" s="10">
        <f ca="1">IF(ISBLANK(K970), TODAY()-(I970), Table27[[#This Row],[Effectiveness Review &amp; date deemed effective]]-Table27[[#This Row],[PTO initialized date]])</f>
        <v>46067</v>
      </c>
    </row>
    <row r="971" spans="1:13" ht="18">
      <c r="A971" s="9"/>
      <c r="B971" s="18" t="e">
        <f>VLOOKUP(Table27[[#This Row],[Location 
(drop-down)]],'List source'!D$2:E$71,2,FALSE)</f>
        <v>#N/A</v>
      </c>
      <c r="C971" s="154" t="s">
        <v>2310</v>
      </c>
      <c r="D971" s="20" t="e">
        <f t="shared" si="15"/>
        <v>#N/A</v>
      </c>
      <c r="E971" s="9"/>
      <c r="F971" s="10" t="e" cm="1">
        <f t="array" aca="1" ref="F9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1" s="10"/>
      <c r="I971" s="12"/>
      <c r="J971" s="12"/>
      <c r="K971" s="61"/>
      <c r="L971" s="233"/>
      <c r="M971" s="10">
        <f ca="1">IF(ISBLANK(K971), TODAY()-(I971), Table27[[#This Row],[Effectiveness Review &amp; date deemed effective]]-Table27[[#This Row],[PTO initialized date]])</f>
        <v>46067</v>
      </c>
    </row>
    <row r="972" spans="1:13" ht="18">
      <c r="A972" s="9"/>
      <c r="B972" s="18" t="e">
        <f>VLOOKUP(Table27[[#This Row],[Location 
(drop-down)]],'List source'!D$2:E$71,2,FALSE)</f>
        <v>#N/A</v>
      </c>
      <c r="C972" s="154" t="s">
        <v>2311</v>
      </c>
      <c r="D972" s="20" t="e">
        <f t="shared" si="15"/>
        <v>#N/A</v>
      </c>
      <c r="E972" s="9"/>
      <c r="F972" s="10" t="e" cm="1">
        <f t="array" aca="1" ref="F9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2" s="130"/>
      <c r="I972" s="12"/>
      <c r="J972" s="12"/>
      <c r="K972" s="61"/>
      <c r="L972" s="233"/>
      <c r="M972" s="10">
        <f ca="1">IF(ISBLANK(K972), TODAY()-(I972), Table27[[#This Row],[Effectiveness Review &amp; date deemed effective]]-Table27[[#This Row],[PTO initialized date]])</f>
        <v>46067</v>
      </c>
    </row>
    <row r="973" spans="1:13" ht="18">
      <c r="A973" s="9"/>
      <c r="B973" s="18" t="e">
        <f>VLOOKUP(Table27[[#This Row],[Location 
(drop-down)]],'List source'!D$2:E$71,2,FALSE)</f>
        <v>#N/A</v>
      </c>
      <c r="C973" s="154" t="s">
        <v>2312</v>
      </c>
      <c r="D973" s="20" t="e">
        <f t="shared" si="15"/>
        <v>#N/A</v>
      </c>
      <c r="E973" s="9"/>
      <c r="F973" s="10" t="e" cm="1">
        <f t="array" aca="1" ref="F9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3" s="10"/>
      <c r="I973" s="12"/>
      <c r="J973" s="12"/>
      <c r="K973" s="61"/>
      <c r="L973" s="233"/>
      <c r="M973" s="10">
        <f ca="1">IF(ISBLANK(K973), TODAY()-(I973), Table27[[#This Row],[Effectiveness Review &amp; date deemed effective]]-Table27[[#This Row],[PTO initialized date]])</f>
        <v>46067</v>
      </c>
    </row>
    <row r="974" spans="1:13" ht="18">
      <c r="A974" s="9"/>
      <c r="B974" s="18" t="e">
        <f>VLOOKUP(Table27[[#This Row],[Location 
(drop-down)]],'List source'!D$2:E$71,2,FALSE)</f>
        <v>#N/A</v>
      </c>
      <c r="C974" s="154" t="s">
        <v>2313</v>
      </c>
      <c r="D974" s="20" t="e">
        <f t="shared" si="15"/>
        <v>#N/A</v>
      </c>
      <c r="E974" s="9"/>
      <c r="F974" s="10" t="e" cm="1">
        <f t="array" aca="1" ref="F9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4" s="130"/>
      <c r="I974" s="12"/>
      <c r="J974" s="12"/>
      <c r="K974" s="61"/>
      <c r="L974" s="233"/>
      <c r="M974" s="10">
        <f ca="1">IF(ISBLANK(K974), TODAY()-(I974), Table27[[#This Row],[Effectiveness Review &amp; date deemed effective]]-Table27[[#This Row],[PTO initialized date]])</f>
        <v>46067</v>
      </c>
    </row>
    <row r="975" spans="1:13" ht="18">
      <c r="A975" s="9"/>
      <c r="B975" s="18" t="e">
        <f>VLOOKUP(Table27[[#This Row],[Location 
(drop-down)]],'List source'!D$2:E$71,2,FALSE)</f>
        <v>#N/A</v>
      </c>
      <c r="C975" s="154" t="s">
        <v>2314</v>
      </c>
      <c r="D975" s="20" t="e">
        <f t="shared" si="15"/>
        <v>#N/A</v>
      </c>
      <c r="E975" s="9"/>
      <c r="F975" s="10" t="e" cm="1">
        <f t="array" aca="1" ref="F9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5" s="10"/>
      <c r="I975" s="12"/>
      <c r="J975" s="12"/>
      <c r="K975" s="61"/>
      <c r="L975" s="233"/>
      <c r="M975" s="10">
        <f ca="1">IF(ISBLANK(K975), TODAY()-(I975), Table27[[#This Row],[Effectiveness Review &amp; date deemed effective]]-Table27[[#This Row],[PTO initialized date]])</f>
        <v>46067</v>
      </c>
    </row>
    <row r="976" spans="1:13" ht="18">
      <c r="A976" s="9"/>
      <c r="B976" s="18" t="e">
        <f>VLOOKUP(Table27[[#This Row],[Location 
(drop-down)]],'List source'!D$2:E$71,2,FALSE)</f>
        <v>#N/A</v>
      </c>
      <c r="C976" s="154" t="s">
        <v>2315</v>
      </c>
      <c r="D976" s="20" t="e">
        <f t="shared" si="15"/>
        <v>#N/A</v>
      </c>
      <c r="E976" s="9"/>
      <c r="F976" s="10" t="e" cm="1">
        <f t="array" aca="1" ref="F9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6" s="10"/>
      <c r="I976" s="12"/>
      <c r="J976" s="12"/>
      <c r="K976" s="61"/>
      <c r="L976" s="233"/>
      <c r="M976" s="10">
        <f ca="1">IF(ISBLANK(K976), TODAY()-(I976), Table27[[#This Row],[Effectiveness Review &amp; date deemed effective]]-Table27[[#This Row],[PTO initialized date]])</f>
        <v>46067</v>
      </c>
    </row>
    <row r="977" spans="1:13" ht="18">
      <c r="A977" s="9"/>
      <c r="B977" s="18" t="e">
        <f>VLOOKUP(Table27[[#This Row],[Location 
(drop-down)]],'List source'!D$2:E$71,2,FALSE)</f>
        <v>#N/A</v>
      </c>
      <c r="C977" s="154" t="s">
        <v>2316</v>
      </c>
      <c r="D977" s="20" t="e">
        <f t="shared" si="15"/>
        <v>#N/A</v>
      </c>
      <c r="E977" s="9"/>
      <c r="F977" s="10" t="e" cm="1">
        <f t="array" aca="1" ref="F9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7" s="10"/>
      <c r="I977" s="12"/>
      <c r="J977" s="12"/>
      <c r="K977" s="61"/>
      <c r="L977" s="233"/>
      <c r="M977" s="10">
        <f ca="1">IF(ISBLANK(K977), TODAY()-(I977), Table27[[#This Row],[Effectiveness Review &amp; date deemed effective]]-Table27[[#This Row],[PTO initialized date]])</f>
        <v>46067</v>
      </c>
    </row>
    <row r="978" spans="1:13" ht="18">
      <c r="A978" s="9"/>
      <c r="B978" s="18" t="e">
        <f>VLOOKUP(Table27[[#This Row],[Location 
(drop-down)]],'List source'!D$2:E$71,2,FALSE)</f>
        <v>#N/A</v>
      </c>
      <c r="C978" s="154" t="s">
        <v>2317</v>
      </c>
      <c r="D978" s="20" t="e">
        <f t="shared" si="15"/>
        <v>#N/A</v>
      </c>
      <c r="E978" s="9"/>
      <c r="F978" s="10" t="e" cm="1">
        <f t="array" aca="1" ref="F9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8" s="10"/>
      <c r="I978" s="12"/>
      <c r="J978" s="12"/>
      <c r="K978" s="61"/>
      <c r="L978" s="233"/>
      <c r="M978" s="10">
        <f ca="1">IF(ISBLANK(K978), TODAY()-(I978), Table27[[#This Row],[Effectiveness Review &amp; date deemed effective]]-Table27[[#This Row],[PTO initialized date]])</f>
        <v>46067</v>
      </c>
    </row>
    <row r="979" spans="1:13" ht="18">
      <c r="A979" s="9"/>
      <c r="B979" s="18" t="e">
        <f>VLOOKUP(Table27[[#This Row],[Location 
(drop-down)]],'List source'!D$2:E$71,2,FALSE)</f>
        <v>#N/A</v>
      </c>
      <c r="C979" s="154" t="s">
        <v>2318</v>
      </c>
      <c r="D979" s="20" t="e">
        <f t="shared" si="15"/>
        <v>#N/A</v>
      </c>
      <c r="E979" s="9"/>
      <c r="F979" s="10" t="e" cm="1">
        <f t="array" aca="1" ref="F9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79" s="10"/>
      <c r="I979" s="12"/>
      <c r="J979" s="12"/>
      <c r="K979" s="61"/>
      <c r="L979" s="233"/>
      <c r="M979" s="10">
        <f ca="1">IF(ISBLANK(K979), TODAY()-(I979), Table27[[#This Row],[Effectiveness Review &amp; date deemed effective]]-Table27[[#This Row],[PTO initialized date]])</f>
        <v>46067</v>
      </c>
    </row>
    <row r="980" spans="1:13" ht="18">
      <c r="A980" s="9"/>
      <c r="B980" s="18" t="e">
        <f>VLOOKUP(Table27[[#This Row],[Location 
(drop-down)]],'List source'!D$2:E$71,2,FALSE)</f>
        <v>#N/A</v>
      </c>
      <c r="C980" s="154" t="s">
        <v>2319</v>
      </c>
      <c r="D980" s="20" t="e">
        <f t="shared" si="15"/>
        <v>#N/A</v>
      </c>
      <c r="E980" s="9"/>
      <c r="F980" s="10" t="e" cm="1">
        <f t="array" aca="1" ref="F9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0" s="10"/>
      <c r="I980" s="12"/>
      <c r="J980" s="12"/>
      <c r="K980" s="61"/>
      <c r="L980" s="233"/>
      <c r="M980" s="10">
        <f ca="1">IF(ISBLANK(K980), TODAY()-(I980), Table27[[#This Row],[Effectiveness Review &amp; date deemed effective]]-Table27[[#This Row],[PTO initialized date]])</f>
        <v>46067</v>
      </c>
    </row>
    <row r="981" spans="1:13" ht="18">
      <c r="A981" s="9"/>
      <c r="B981" s="18" t="e">
        <f>VLOOKUP(Table27[[#This Row],[Location 
(drop-down)]],'List source'!D$2:E$71,2,FALSE)</f>
        <v>#N/A</v>
      </c>
      <c r="C981" s="154" t="s">
        <v>2320</v>
      </c>
      <c r="D981" s="20" t="e">
        <f t="shared" si="15"/>
        <v>#N/A</v>
      </c>
      <c r="E981" s="9"/>
      <c r="F981" s="10" t="e" cm="1">
        <f t="array" aca="1" ref="F9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1" s="10"/>
      <c r="I981" s="12"/>
      <c r="J981" s="12"/>
      <c r="K981" s="61"/>
      <c r="L981" s="233"/>
      <c r="M981" s="10">
        <f ca="1">IF(ISBLANK(K981), TODAY()-(I981), Table27[[#This Row],[Effectiveness Review &amp; date deemed effective]]-Table27[[#This Row],[PTO initialized date]])</f>
        <v>46067</v>
      </c>
    </row>
    <row r="982" spans="1:13" ht="18">
      <c r="A982" s="9"/>
      <c r="B982" s="18" t="e">
        <f>VLOOKUP(Table27[[#This Row],[Location 
(drop-down)]],'List source'!D$2:E$71,2,FALSE)</f>
        <v>#N/A</v>
      </c>
      <c r="C982" s="154" t="s">
        <v>2321</v>
      </c>
      <c r="D982" s="20" t="e">
        <f t="shared" si="15"/>
        <v>#N/A</v>
      </c>
      <c r="E982" s="9"/>
      <c r="F982" s="10" t="e" cm="1">
        <f t="array" aca="1" ref="F9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2" s="10"/>
      <c r="I982" s="12"/>
      <c r="J982" s="12"/>
      <c r="K982" s="61"/>
      <c r="L982" s="233"/>
      <c r="M982" s="10">
        <f ca="1">IF(ISBLANK(K982), TODAY()-(I982), Table27[[#This Row],[Effectiveness Review &amp; date deemed effective]]-Table27[[#This Row],[PTO initialized date]])</f>
        <v>46067</v>
      </c>
    </row>
    <row r="983" spans="1:13" ht="18">
      <c r="A983" s="9"/>
      <c r="B983" s="18" t="e">
        <f>VLOOKUP(Table27[[#This Row],[Location 
(drop-down)]],'List source'!D$2:E$71,2,FALSE)</f>
        <v>#N/A</v>
      </c>
      <c r="C983" s="154" t="s">
        <v>2322</v>
      </c>
      <c r="D983" s="20" t="e">
        <f t="shared" si="15"/>
        <v>#N/A</v>
      </c>
      <c r="E983" s="9"/>
      <c r="F983" s="10" t="e" cm="1">
        <f t="array" aca="1" ref="F9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3" s="10"/>
      <c r="I983" s="12"/>
      <c r="J983" s="12"/>
      <c r="K983" s="61"/>
      <c r="L983" s="233"/>
      <c r="M983" s="10">
        <f ca="1">IF(ISBLANK(K983), TODAY()-(I983), Table27[[#This Row],[Effectiveness Review &amp; date deemed effective]]-Table27[[#This Row],[PTO initialized date]])</f>
        <v>46067</v>
      </c>
    </row>
    <row r="984" spans="1:13" ht="18">
      <c r="A984" s="9"/>
      <c r="B984" s="18" t="e">
        <f>VLOOKUP(Table27[[#This Row],[Location 
(drop-down)]],'List source'!D$2:E$71,2,FALSE)</f>
        <v>#N/A</v>
      </c>
      <c r="C984" s="154" t="s">
        <v>2323</v>
      </c>
      <c r="D984" s="20" t="e">
        <f t="shared" si="15"/>
        <v>#N/A</v>
      </c>
      <c r="E984" s="9"/>
      <c r="F984" s="10" t="e" cm="1">
        <f t="array" aca="1" ref="F9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4" s="10"/>
      <c r="I984" s="12"/>
      <c r="J984" s="12"/>
      <c r="K984" s="61"/>
      <c r="L984" s="233"/>
      <c r="M984" s="10">
        <f ca="1">IF(ISBLANK(K984), TODAY()-(I984), Table27[[#This Row],[Effectiveness Review &amp; date deemed effective]]-Table27[[#This Row],[PTO initialized date]])</f>
        <v>46067</v>
      </c>
    </row>
    <row r="985" spans="1:13" ht="18">
      <c r="A985" s="9"/>
      <c r="B985" s="18" t="e">
        <f>VLOOKUP(Table27[[#This Row],[Location 
(drop-down)]],'List source'!D$2:E$71,2,FALSE)</f>
        <v>#N/A</v>
      </c>
      <c r="C985" s="154" t="s">
        <v>2324</v>
      </c>
      <c r="D985" s="20" t="e">
        <f t="shared" si="15"/>
        <v>#N/A</v>
      </c>
      <c r="E985" s="9"/>
      <c r="F985" s="10" t="e" cm="1">
        <f t="array" aca="1" ref="F9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5" s="10"/>
      <c r="I985" s="12"/>
      <c r="J985" s="12"/>
      <c r="K985" s="61"/>
      <c r="L985" s="233"/>
      <c r="M985" s="10">
        <f ca="1">IF(ISBLANK(K985), TODAY()-(I985), Table27[[#This Row],[Effectiveness Review &amp; date deemed effective]]-Table27[[#This Row],[PTO initialized date]])</f>
        <v>46067</v>
      </c>
    </row>
    <row r="986" spans="1:13" ht="18">
      <c r="A986" s="9"/>
      <c r="B986" s="18" t="e">
        <f>VLOOKUP(Table27[[#This Row],[Location 
(drop-down)]],'List source'!D$2:E$71,2,FALSE)</f>
        <v>#N/A</v>
      </c>
      <c r="C986" s="154" t="s">
        <v>2325</v>
      </c>
      <c r="D986" s="20" t="e">
        <f t="shared" si="15"/>
        <v>#N/A</v>
      </c>
      <c r="E986" s="9"/>
      <c r="F986" s="10" t="e" cm="1">
        <f t="array" aca="1" ref="F9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6" s="10"/>
      <c r="I986" s="12"/>
      <c r="J986" s="12"/>
      <c r="K986" s="61"/>
      <c r="L986" s="233"/>
      <c r="M986" s="10">
        <f ca="1">IF(ISBLANK(K986), TODAY()-(I986), Table27[[#This Row],[Effectiveness Review &amp; date deemed effective]]-Table27[[#This Row],[PTO initialized date]])</f>
        <v>46067</v>
      </c>
    </row>
    <row r="987" spans="1:13" ht="18">
      <c r="A987" s="9"/>
      <c r="B987" s="18" t="e">
        <f>VLOOKUP(Table27[[#This Row],[Location 
(drop-down)]],'List source'!D$2:E$71,2,FALSE)</f>
        <v>#N/A</v>
      </c>
      <c r="C987" s="154" t="s">
        <v>2326</v>
      </c>
      <c r="D987" s="20" t="e">
        <f t="shared" si="15"/>
        <v>#N/A</v>
      </c>
      <c r="E987" s="9"/>
      <c r="F987" s="10" t="e" cm="1">
        <f t="array" aca="1" ref="F9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7" s="130"/>
      <c r="I987" s="12"/>
      <c r="J987" s="12"/>
      <c r="K987" s="61"/>
      <c r="L987" s="233"/>
      <c r="M987" s="10">
        <f ca="1">IF(ISBLANK(K987), TODAY()-(I987), Table27[[#This Row],[Effectiveness Review &amp; date deemed effective]]-Table27[[#This Row],[PTO initialized date]])</f>
        <v>46067</v>
      </c>
    </row>
    <row r="988" spans="1:13" ht="18">
      <c r="A988" s="9"/>
      <c r="B988" s="18" t="e">
        <f>VLOOKUP(Table27[[#This Row],[Location 
(drop-down)]],'List source'!D$2:E$71,2,FALSE)</f>
        <v>#N/A</v>
      </c>
      <c r="C988" s="154" t="s">
        <v>2327</v>
      </c>
      <c r="D988" s="20" t="e">
        <f t="shared" si="15"/>
        <v>#N/A</v>
      </c>
      <c r="E988" s="9"/>
      <c r="F988" s="10" t="e" cm="1">
        <f t="array" aca="1" ref="F9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8" s="130"/>
      <c r="I988" s="12"/>
      <c r="J988" s="12"/>
      <c r="K988" s="61"/>
      <c r="L988" s="233"/>
      <c r="M988" s="10">
        <f ca="1">IF(ISBLANK(K988), TODAY()-(I988), Table27[[#This Row],[Effectiveness Review &amp; date deemed effective]]-Table27[[#This Row],[PTO initialized date]])</f>
        <v>46067</v>
      </c>
    </row>
    <row r="989" spans="1:13" ht="18">
      <c r="A989" s="9"/>
      <c r="B989" s="18" t="e">
        <f>VLOOKUP(Table27[[#This Row],[Location 
(drop-down)]],'List source'!D$2:E$71,2,FALSE)</f>
        <v>#N/A</v>
      </c>
      <c r="C989" s="154" t="s">
        <v>2328</v>
      </c>
      <c r="D989" s="20" t="e">
        <f t="shared" si="15"/>
        <v>#N/A</v>
      </c>
      <c r="E989" s="9"/>
      <c r="F989" s="10" t="e" cm="1">
        <f t="array" aca="1" ref="F9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89" s="10"/>
      <c r="I989" s="12"/>
      <c r="J989" s="12"/>
      <c r="K989" s="61"/>
      <c r="L989" s="233"/>
      <c r="M989" s="10">
        <f ca="1">IF(ISBLANK(K989), TODAY()-(I989), Table27[[#This Row],[Effectiveness Review &amp; date deemed effective]]-Table27[[#This Row],[PTO initialized date]])</f>
        <v>46067</v>
      </c>
    </row>
    <row r="990" spans="1:13" ht="18">
      <c r="A990" s="9"/>
      <c r="B990" s="18" t="e">
        <f>VLOOKUP(Table27[[#This Row],[Location 
(drop-down)]],'List source'!D$2:E$71,2,FALSE)</f>
        <v>#N/A</v>
      </c>
      <c r="C990" s="154" t="s">
        <v>2329</v>
      </c>
      <c r="D990" s="20" t="e">
        <f t="shared" si="15"/>
        <v>#N/A</v>
      </c>
      <c r="E990" s="9"/>
      <c r="F990" s="10" t="e" cm="1">
        <f t="array" aca="1" ref="F9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0" s="130"/>
      <c r="I990" s="12"/>
      <c r="J990" s="12"/>
      <c r="K990" s="61"/>
      <c r="L990" s="233"/>
      <c r="M990" s="10">
        <f ca="1">IF(ISBLANK(K990), TODAY()-(I990), Table27[[#This Row],[Effectiveness Review &amp; date deemed effective]]-Table27[[#This Row],[PTO initialized date]])</f>
        <v>46067</v>
      </c>
    </row>
    <row r="991" spans="1:13" ht="18">
      <c r="A991" s="9"/>
      <c r="B991" s="18" t="e">
        <f>VLOOKUP(Table27[[#This Row],[Location 
(drop-down)]],'List source'!D$2:E$71,2,FALSE)</f>
        <v>#N/A</v>
      </c>
      <c r="C991" s="154" t="s">
        <v>2330</v>
      </c>
      <c r="D991" s="20" t="e">
        <f t="shared" si="15"/>
        <v>#N/A</v>
      </c>
      <c r="E991" s="9"/>
      <c r="F991" s="10" t="e" cm="1">
        <f t="array" aca="1" ref="F9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1" s="10"/>
      <c r="I991" s="12"/>
      <c r="J991" s="12"/>
      <c r="K991" s="61"/>
      <c r="L991" s="233"/>
      <c r="M991" s="10">
        <f ca="1">IF(ISBLANK(K991), TODAY()-(I991), Table27[[#This Row],[Effectiveness Review &amp; date deemed effective]]-Table27[[#This Row],[PTO initialized date]])</f>
        <v>46067</v>
      </c>
    </row>
    <row r="992" spans="1:13" ht="18">
      <c r="A992" s="9"/>
      <c r="B992" s="18" t="e">
        <f>VLOOKUP(Table27[[#This Row],[Location 
(drop-down)]],'List source'!D$2:E$71,2,FALSE)</f>
        <v>#N/A</v>
      </c>
      <c r="C992" s="154" t="s">
        <v>2331</v>
      </c>
      <c r="D992" s="20" t="e">
        <f t="shared" si="15"/>
        <v>#N/A</v>
      </c>
      <c r="E992" s="9"/>
      <c r="F992" s="10" t="e" cm="1">
        <f t="array" aca="1" ref="F9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2" s="10"/>
      <c r="I992" s="12"/>
      <c r="J992" s="12"/>
      <c r="K992" s="61"/>
      <c r="L992" s="233"/>
      <c r="M992" s="10">
        <f ca="1">IF(ISBLANK(K992), TODAY()-(I992), Table27[[#This Row],[Effectiveness Review &amp; date deemed effective]]-Table27[[#This Row],[PTO initialized date]])</f>
        <v>46067</v>
      </c>
    </row>
    <row r="993" spans="1:13" ht="18">
      <c r="A993" s="9"/>
      <c r="B993" s="18" t="e">
        <f>VLOOKUP(Table27[[#This Row],[Location 
(drop-down)]],'List source'!D$2:E$71,2,FALSE)</f>
        <v>#N/A</v>
      </c>
      <c r="C993" s="154" t="s">
        <v>2332</v>
      </c>
      <c r="D993" s="20" t="e">
        <f t="shared" si="15"/>
        <v>#N/A</v>
      </c>
      <c r="E993" s="9"/>
      <c r="F993" s="10" t="e" cm="1">
        <f t="array" aca="1" ref="F9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3" s="10"/>
      <c r="I993" s="12"/>
      <c r="J993" s="12"/>
      <c r="K993" s="61"/>
      <c r="L993" s="233"/>
      <c r="M993" s="10">
        <f ca="1">IF(ISBLANK(K993), TODAY()-(I993), Table27[[#This Row],[Effectiveness Review &amp; date deemed effective]]-Table27[[#This Row],[PTO initialized date]])</f>
        <v>46067</v>
      </c>
    </row>
    <row r="994" spans="1:13" ht="18">
      <c r="A994" s="9"/>
      <c r="B994" s="18" t="e">
        <f>VLOOKUP(Table27[[#This Row],[Location 
(drop-down)]],'List source'!D$2:E$71,2,FALSE)</f>
        <v>#N/A</v>
      </c>
      <c r="C994" s="154" t="s">
        <v>2333</v>
      </c>
      <c r="D994" s="20" t="e">
        <f t="shared" si="15"/>
        <v>#N/A</v>
      </c>
      <c r="E994" s="9"/>
      <c r="F994" s="10" t="e" cm="1">
        <f t="array" aca="1" ref="F9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4" s="10"/>
      <c r="I994" s="12"/>
      <c r="J994" s="12"/>
      <c r="K994" s="61"/>
      <c r="L994" s="233"/>
      <c r="M994" s="10">
        <f ca="1">IF(ISBLANK(K994), TODAY()-(I994), Table27[[#This Row],[Effectiveness Review &amp; date deemed effective]]-Table27[[#This Row],[PTO initialized date]])</f>
        <v>46067</v>
      </c>
    </row>
    <row r="995" spans="1:13" ht="18">
      <c r="A995" s="9"/>
      <c r="B995" s="18" t="e">
        <f>VLOOKUP(Table27[[#This Row],[Location 
(drop-down)]],'List source'!D$2:E$71,2,FALSE)</f>
        <v>#N/A</v>
      </c>
      <c r="C995" s="154" t="s">
        <v>2334</v>
      </c>
      <c r="D995" s="20" t="e">
        <f t="shared" si="15"/>
        <v>#N/A</v>
      </c>
      <c r="E995" s="9"/>
      <c r="F995" s="10" t="e" cm="1">
        <f t="array" aca="1" ref="F9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5" s="10"/>
      <c r="I995" s="12"/>
      <c r="J995" s="12"/>
      <c r="K995" s="61"/>
      <c r="L995" s="233"/>
      <c r="M995" s="10">
        <f ca="1">IF(ISBLANK(K995), TODAY()-(I995), Table27[[#This Row],[Effectiveness Review &amp; date deemed effective]]-Table27[[#This Row],[PTO initialized date]])</f>
        <v>46067</v>
      </c>
    </row>
    <row r="996" spans="1:13" ht="18">
      <c r="A996" s="9"/>
      <c r="B996" s="18" t="e">
        <f>VLOOKUP(Table27[[#This Row],[Location 
(drop-down)]],'List source'!D$2:E$71,2,FALSE)</f>
        <v>#N/A</v>
      </c>
      <c r="C996" s="154" t="s">
        <v>2335</v>
      </c>
      <c r="D996" s="20" t="e">
        <f t="shared" si="15"/>
        <v>#N/A</v>
      </c>
      <c r="E996" s="9"/>
      <c r="F996" s="10" t="e" cm="1">
        <f t="array" aca="1" ref="F9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6" s="10"/>
      <c r="I996" s="12"/>
      <c r="J996" s="12"/>
      <c r="K996" s="61"/>
      <c r="L996" s="233"/>
      <c r="M996" s="10">
        <f ca="1">IF(ISBLANK(K996), TODAY()-(I996), Table27[[#This Row],[Effectiveness Review &amp; date deemed effective]]-Table27[[#This Row],[PTO initialized date]])</f>
        <v>46067</v>
      </c>
    </row>
    <row r="997" spans="1:13" ht="18">
      <c r="A997" s="9"/>
      <c r="B997" s="18" t="e">
        <f>VLOOKUP(Table27[[#This Row],[Location 
(drop-down)]],'List source'!D$2:E$71,2,FALSE)</f>
        <v>#N/A</v>
      </c>
      <c r="C997" s="154" t="s">
        <v>2336</v>
      </c>
      <c r="D997" s="20" t="e">
        <f t="shared" si="15"/>
        <v>#N/A</v>
      </c>
      <c r="E997" s="9"/>
      <c r="F997" s="10" t="e" cm="1">
        <f t="array" aca="1" ref="F9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7" s="10"/>
      <c r="I997" s="12"/>
      <c r="J997" s="12"/>
      <c r="K997" s="61"/>
      <c r="L997" s="233"/>
      <c r="M997" s="10">
        <f ca="1">IF(ISBLANK(K997), TODAY()-(I997), Table27[[#This Row],[Effectiveness Review &amp; date deemed effective]]-Table27[[#This Row],[PTO initialized date]])</f>
        <v>46067</v>
      </c>
    </row>
    <row r="998" spans="1:13" ht="18">
      <c r="A998" s="9"/>
      <c r="B998" s="18" t="e">
        <f>VLOOKUP(Table27[[#This Row],[Location 
(drop-down)]],'List source'!D$2:E$71,2,FALSE)</f>
        <v>#N/A</v>
      </c>
      <c r="C998" s="154" t="s">
        <v>2337</v>
      </c>
      <c r="D998" s="20" t="e">
        <f t="shared" si="15"/>
        <v>#N/A</v>
      </c>
      <c r="E998" s="9"/>
      <c r="F998" s="10" t="e" cm="1">
        <f t="array" aca="1" ref="F9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8" s="130"/>
      <c r="I998" s="12"/>
      <c r="J998" s="12"/>
      <c r="K998" s="61"/>
      <c r="L998" s="233"/>
      <c r="M998" s="10">
        <f ca="1">IF(ISBLANK(K998), TODAY()-(I998), Table27[[#This Row],[Effectiveness Review &amp; date deemed effective]]-Table27[[#This Row],[PTO initialized date]])</f>
        <v>46067</v>
      </c>
    </row>
    <row r="999" spans="1:13" ht="18">
      <c r="A999" s="9"/>
      <c r="B999" s="18" t="e">
        <f>VLOOKUP(Table27[[#This Row],[Location 
(drop-down)]],'List source'!D$2:E$71,2,FALSE)</f>
        <v>#N/A</v>
      </c>
      <c r="C999" s="154" t="s">
        <v>2338</v>
      </c>
      <c r="D999" s="20" t="e">
        <f t="shared" si="15"/>
        <v>#N/A</v>
      </c>
      <c r="E999" s="9"/>
      <c r="F999" s="10" t="e" cm="1">
        <f t="array" aca="1" ref="F9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9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999" s="10"/>
      <c r="I999" s="12"/>
      <c r="J999" s="12"/>
      <c r="K999" s="61"/>
      <c r="L999" s="233"/>
      <c r="M999" s="10">
        <f ca="1">IF(ISBLANK(K999), TODAY()-(I999), Table27[[#This Row],[Effectiveness Review &amp; date deemed effective]]-Table27[[#This Row],[PTO initialized date]])</f>
        <v>46067</v>
      </c>
    </row>
    <row r="1000" spans="1:13" ht="18">
      <c r="A1000" s="9"/>
      <c r="B1000" s="18" t="e">
        <f>VLOOKUP(Table27[[#This Row],[Location 
(drop-down)]],'List source'!D$2:E$71,2,FALSE)</f>
        <v>#N/A</v>
      </c>
      <c r="C1000" s="154" t="s">
        <v>2339</v>
      </c>
      <c r="D1000" s="20" t="e">
        <f t="shared" si="15"/>
        <v>#N/A</v>
      </c>
      <c r="E1000" s="9"/>
      <c r="F1000" s="10" t="e" cm="1">
        <f t="array" aca="1" ref="F10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0" s="10"/>
      <c r="I1000" s="12"/>
      <c r="J1000" s="12"/>
      <c r="K1000" s="61"/>
      <c r="L1000" s="233"/>
      <c r="M1000" s="10">
        <f ca="1">IF(ISBLANK(K1000), TODAY()-(I1000), Table27[[#This Row],[Effectiveness Review &amp; date deemed effective]]-Table27[[#This Row],[PTO initialized date]])</f>
        <v>46067</v>
      </c>
    </row>
    <row r="1001" spans="1:13" ht="18">
      <c r="A1001" s="9"/>
      <c r="B1001" s="18" t="e">
        <f>VLOOKUP(Table27[[#This Row],[Location 
(drop-down)]],'List source'!D$2:E$71,2,FALSE)</f>
        <v>#N/A</v>
      </c>
      <c r="C1001" s="154" t="s">
        <v>2340</v>
      </c>
      <c r="D1001" s="20" t="e">
        <f t="shared" si="15"/>
        <v>#N/A</v>
      </c>
      <c r="E1001" s="9"/>
      <c r="F1001" s="10" t="e" cm="1">
        <f t="array" aca="1" ref="F10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1" s="130"/>
      <c r="I1001" s="12"/>
      <c r="J1001" s="12"/>
      <c r="K1001" s="61"/>
      <c r="L1001" s="233"/>
      <c r="M1001" s="10">
        <f ca="1">IF(ISBLANK(K1001), TODAY()-(I1001), Table27[[#This Row],[Effectiveness Review &amp; date deemed effective]]-Table27[[#This Row],[PTO initialized date]])</f>
        <v>46067</v>
      </c>
    </row>
    <row r="1002" spans="1:13" ht="18">
      <c r="A1002" s="9"/>
      <c r="B1002" s="18" t="e">
        <f>VLOOKUP(Table27[[#This Row],[Location 
(drop-down)]],'List source'!D$2:E$71,2,FALSE)</f>
        <v>#N/A</v>
      </c>
      <c r="C1002" s="154" t="s">
        <v>2341</v>
      </c>
      <c r="D1002" s="20" t="e">
        <f t="shared" si="15"/>
        <v>#N/A</v>
      </c>
      <c r="E1002" s="9"/>
      <c r="F1002" s="10" t="e" cm="1">
        <f t="array" aca="1" ref="F10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2" s="10"/>
      <c r="I1002" s="12"/>
      <c r="J1002" s="12"/>
      <c r="K1002" s="61"/>
      <c r="L1002" s="233"/>
      <c r="M1002" s="10">
        <f ca="1">IF(ISBLANK(K1002), TODAY()-(I1002), Table27[[#This Row],[Effectiveness Review &amp; date deemed effective]]-Table27[[#This Row],[PTO initialized date]])</f>
        <v>46067</v>
      </c>
    </row>
    <row r="1003" spans="1:13" ht="18">
      <c r="A1003" s="9"/>
      <c r="B1003" s="18" t="e">
        <f>VLOOKUP(Table27[[#This Row],[Location 
(drop-down)]],'List source'!D$2:E$71,2,FALSE)</f>
        <v>#N/A</v>
      </c>
      <c r="C1003" s="154" t="s">
        <v>2342</v>
      </c>
      <c r="D1003" s="20" t="e">
        <f t="shared" si="15"/>
        <v>#N/A</v>
      </c>
      <c r="E1003" s="9"/>
      <c r="F1003" s="10" t="e" cm="1">
        <f t="array" aca="1" ref="F10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3" s="130"/>
      <c r="I1003" s="12"/>
      <c r="J1003" s="12"/>
      <c r="K1003" s="61"/>
      <c r="L1003" s="233"/>
      <c r="M1003" s="10">
        <f ca="1">IF(ISBLANK(K1003), TODAY()-(I1003), Table27[[#This Row],[Effectiveness Review &amp; date deemed effective]]-Table27[[#This Row],[PTO initialized date]])</f>
        <v>46067</v>
      </c>
    </row>
    <row r="1004" spans="1:13" ht="18">
      <c r="A1004" s="9"/>
      <c r="B1004" s="18" t="e">
        <f>VLOOKUP(Table27[[#This Row],[Location 
(drop-down)]],'List source'!D$2:E$71,2,FALSE)</f>
        <v>#N/A</v>
      </c>
      <c r="C1004" s="154" t="s">
        <v>2343</v>
      </c>
      <c r="D1004" s="20" t="e">
        <f t="shared" si="15"/>
        <v>#N/A</v>
      </c>
      <c r="E1004" s="9"/>
      <c r="F1004" s="10" t="e" cm="1">
        <f t="array" aca="1" ref="F10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4" s="130"/>
      <c r="I1004" s="12"/>
      <c r="J1004" s="12"/>
      <c r="K1004" s="61"/>
      <c r="L1004" s="233"/>
      <c r="M1004" s="10">
        <f ca="1">IF(ISBLANK(K1004), TODAY()-(I1004), Table27[[#This Row],[Effectiveness Review &amp; date deemed effective]]-Table27[[#This Row],[PTO initialized date]])</f>
        <v>46067</v>
      </c>
    </row>
    <row r="1005" spans="1:13" ht="18">
      <c r="A1005" s="9"/>
      <c r="B1005" s="18" t="e">
        <f>VLOOKUP(Table27[[#This Row],[Location 
(drop-down)]],'List source'!D$2:E$71,2,FALSE)</f>
        <v>#N/A</v>
      </c>
      <c r="C1005" s="154" t="s">
        <v>2344</v>
      </c>
      <c r="D1005" s="20" t="e">
        <f t="shared" si="15"/>
        <v>#N/A</v>
      </c>
      <c r="E1005" s="9"/>
      <c r="F1005" s="10" t="e" cm="1">
        <f t="array" aca="1" ref="F10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5" s="10"/>
      <c r="I1005" s="12"/>
      <c r="J1005" s="12"/>
      <c r="K1005" s="61"/>
      <c r="L1005" s="233"/>
      <c r="M1005" s="10">
        <f ca="1">IF(ISBLANK(K1005), TODAY()-(I1005), Table27[[#This Row],[Effectiveness Review &amp; date deemed effective]]-Table27[[#This Row],[PTO initialized date]])</f>
        <v>46067</v>
      </c>
    </row>
    <row r="1006" spans="1:13" ht="18">
      <c r="A1006" s="9"/>
      <c r="B1006" s="18" t="e">
        <f>VLOOKUP(Table27[[#This Row],[Location 
(drop-down)]],'List source'!D$2:E$71,2,FALSE)</f>
        <v>#N/A</v>
      </c>
      <c r="C1006" s="154" t="s">
        <v>2345</v>
      </c>
      <c r="D1006" s="20" t="e">
        <f t="shared" si="15"/>
        <v>#N/A</v>
      </c>
      <c r="E1006" s="9"/>
      <c r="F1006" s="10" t="e" cm="1">
        <f t="array" aca="1" ref="F10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6" s="130"/>
      <c r="I1006" s="12"/>
      <c r="J1006" s="12"/>
      <c r="K1006" s="61"/>
      <c r="L1006" s="233"/>
      <c r="M1006" s="10">
        <f ca="1">IF(ISBLANK(K1006), TODAY()-(I1006), Table27[[#This Row],[Effectiveness Review &amp; date deemed effective]]-Table27[[#This Row],[PTO initialized date]])</f>
        <v>46067</v>
      </c>
    </row>
    <row r="1007" spans="1:13" ht="18">
      <c r="A1007" s="9"/>
      <c r="B1007" s="18" t="e">
        <f>VLOOKUP(Table27[[#This Row],[Location 
(drop-down)]],'List source'!D$2:E$71,2,FALSE)</f>
        <v>#N/A</v>
      </c>
      <c r="C1007" s="154" t="s">
        <v>2346</v>
      </c>
      <c r="D1007" s="20" t="e">
        <f t="shared" si="15"/>
        <v>#N/A</v>
      </c>
      <c r="E1007" s="9"/>
      <c r="F1007" s="10" t="e" cm="1">
        <f t="array" aca="1" ref="F10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7" s="130"/>
      <c r="I1007" s="12"/>
      <c r="J1007" s="12"/>
      <c r="K1007" s="61"/>
      <c r="L1007" s="233"/>
      <c r="M1007" s="10">
        <f ca="1">IF(ISBLANK(K1007), TODAY()-(I1007), Table27[[#This Row],[Effectiveness Review &amp; date deemed effective]]-Table27[[#This Row],[PTO initialized date]])</f>
        <v>46067</v>
      </c>
    </row>
    <row r="1008" spans="1:13" ht="18">
      <c r="A1008" s="9"/>
      <c r="B1008" s="18" t="e">
        <f>VLOOKUP(Table27[[#This Row],[Location 
(drop-down)]],'List source'!D$2:E$71,2,FALSE)</f>
        <v>#N/A</v>
      </c>
      <c r="C1008" s="154" t="s">
        <v>2347</v>
      </c>
      <c r="D1008" s="20" t="e">
        <f t="shared" si="15"/>
        <v>#N/A</v>
      </c>
      <c r="E1008" s="9"/>
      <c r="F1008" s="10" t="e" cm="1">
        <f t="array" aca="1" ref="F10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8" s="10"/>
      <c r="I1008" s="12"/>
      <c r="J1008" s="12"/>
      <c r="K1008" s="61"/>
      <c r="L1008" s="233"/>
      <c r="M1008" s="10">
        <f ca="1">IF(ISBLANK(K1008), TODAY()-(I1008), Table27[[#This Row],[Effectiveness Review &amp; date deemed effective]]-Table27[[#This Row],[PTO initialized date]])</f>
        <v>46067</v>
      </c>
    </row>
    <row r="1009" spans="1:13" ht="18">
      <c r="A1009" s="9"/>
      <c r="B1009" s="18" t="e">
        <f>VLOOKUP(Table27[[#This Row],[Location 
(drop-down)]],'List source'!D$2:E$71,2,FALSE)</f>
        <v>#N/A</v>
      </c>
      <c r="C1009" s="154" t="s">
        <v>2348</v>
      </c>
      <c r="D1009" s="20" t="e">
        <f t="shared" si="15"/>
        <v>#N/A</v>
      </c>
      <c r="E1009" s="9"/>
      <c r="F1009" s="10" t="e" cm="1">
        <f t="array" aca="1" ref="F10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09" s="130"/>
      <c r="I1009" s="12"/>
      <c r="J1009" s="12"/>
      <c r="K1009" s="61"/>
      <c r="L1009" s="233"/>
      <c r="M1009" s="10">
        <f ca="1">IF(ISBLANK(K1009), TODAY()-(I1009), Table27[[#This Row],[Effectiveness Review &amp; date deemed effective]]-Table27[[#This Row],[PTO initialized date]])</f>
        <v>46067</v>
      </c>
    </row>
    <row r="1010" spans="1:13" ht="18">
      <c r="A1010" s="9"/>
      <c r="B1010" s="18" t="e">
        <f>VLOOKUP(Table27[[#This Row],[Location 
(drop-down)]],'List source'!D$2:E$71,2,FALSE)</f>
        <v>#N/A</v>
      </c>
      <c r="C1010" s="154" t="s">
        <v>2349</v>
      </c>
      <c r="D1010" s="20" t="e">
        <f t="shared" si="15"/>
        <v>#N/A</v>
      </c>
      <c r="E1010" s="9"/>
      <c r="F1010" s="10" t="e" cm="1">
        <f t="array" aca="1" ref="F10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0" s="10"/>
      <c r="I1010" s="12"/>
      <c r="J1010" s="12"/>
      <c r="K1010" s="61"/>
      <c r="L1010" s="233"/>
      <c r="M1010" s="10">
        <f ca="1">IF(ISBLANK(K1010), TODAY()-(I1010), Table27[[#This Row],[Effectiveness Review &amp; date deemed effective]]-Table27[[#This Row],[PTO initialized date]])</f>
        <v>46067</v>
      </c>
    </row>
    <row r="1011" spans="1:13" ht="18">
      <c r="A1011" s="9"/>
      <c r="B1011" s="18" t="e">
        <f>VLOOKUP(Table27[[#This Row],[Location 
(drop-down)]],'List source'!D$2:E$71,2,FALSE)</f>
        <v>#N/A</v>
      </c>
      <c r="C1011" s="154" t="s">
        <v>2350</v>
      </c>
      <c r="D1011" s="20" t="e">
        <f t="shared" si="15"/>
        <v>#N/A</v>
      </c>
      <c r="E1011" s="9"/>
      <c r="F1011" s="10" t="e" cm="1">
        <f t="array" aca="1" ref="F10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1" s="10"/>
      <c r="I1011" s="12"/>
      <c r="J1011" s="12"/>
      <c r="K1011" s="61"/>
      <c r="L1011" s="233"/>
      <c r="M1011" s="10">
        <f ca="1">IF(ISBLANK(K1011), TODAY()-(I1011), Table27[[#This Row],[Effectiveness Review &amp; date deemed effective]]-Table27[[#This Row],[PTO initialized date]])</f>
        <v>46067</v>
      </c>
    </row>
    <row r="1012" spans="1:13" ht="18">
      <c r="A1012" s="9"/>
      <c r="B1012" s="18" t="e">
        <f>VLOOKUP(Table27[[#This Row],[Location 
(drop-down)]],'List source'!D$2:E$71,2,FALSE)</f>
        <v>#N/A</v>
      </c>
      <c r="C1012" s="154" t="s">
        <v>2351</v>
      </c>
      <c r="D1012" s="20" t="e">
        <f t="shared" si="15"/>
        <v>#N/A</v>
      </c>
      <c r="E1012" s="9"/>
      <c r="F1012" s="10" t="e" cm="1">
        <f t="array" aca="1" ref="F10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2" s="10"/>
      <c r="I1012" s="12"/>
      <c r="J1012" s="12"/>
      <c r="K1012" s="61"/>
      <c r="L1012" s="233"/>
      <c r="M1012" s="10">
        <f ca="1">IF(ISBLANK(K1012), TODAY()-(I1012), Table27[[#This Row],[Effectiveness Review &amp; date deemed effective]]-Table27[[#This Row],[PTO initialized date]])</f>
        <v>46067</v>
      </c>
    </row>
    <row r="1013" spans="1:13" ht="18">
      <c r="A1013" s="9"/>
      <c r="B1013" s="18" t="e">
        <f>VLOOKUP(Table27[[#This Row],[Location 
(drop-down)]],'List source'!D$2:E$71,2,FALSE)</f>
        <v>#N/A</v>
      </c>
      <c r="C1013" s="154" t="s">
        <v>2352</v>
      </c>
      <c r="D1013" s="20" t="e">
        <f t="shared" si="15"/>
        <v>#N/A</v>
      </c>
      <c r="E1013" s="9"/>
      <c r="F1013" s="10" t="e" cm="1">
        <f t="array" aca="1" ref="F10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3" s="130"/>
      <c r="I1013" s="12"/>
      <c r="J1013" s="12"/>
      <c r="K1013" s="61"/>
      <c r="L1013" s="233"/>
      <c r="M1013" s="10">
        <f ca="1">IF(ISBLANK(K1013), TODAY()-(I1013), Table27[[#This Row],[Effectiveness Review &amp; date deemed effective]]-Table27[[#This Row],[PTO initialized date]])</f>
        <v>46067</v>
      </c>
    </row>
    <row r="1014" spans="1:13" ht="18">
      <c r="A1014" s="9"/>
      <c r="B1014" s="18" t="e">
        <f>VLOOKUP(Table27[[#This Row],[Location 
(drop-down)]],'List source'!D$2:E$71,2,FALSE)</f>
        <v>#N/A</v>
      </c>
      <c r="C1014" s="154" t="s">
        <v>2353</v>
      </c>
      <c r="D1014" s="20" t="e">
        <f t="shared" si="15"/>
        <v>#N/A</v>
      </c>
      <c r="E1014" s="9"/>
      <c r="F1014" s="10" t="e" cm="1">
        <f t="array" aca="1" ref="F10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4" s="10"/>
      <c r="I1014" s="12"/>
      <c r="J1014" s="12"/>
      <c r="K1014" s="61"/>
      <c r="L1014" s="233"/>
      <c r="M1014" s="10">
        <f ca="1">IF(ISBLANK(K1014), TODAY()-(I1014), Table27[[#This Row],[Effectiveness Review &amp; date deemed effective]]-Table27[[#This Row],[PTO initialized date]])</f>
        <v>46067</v>
      </c>
    </row>
    <row r="1015" spans="1:13" ht="18">
      <c r="A1015" s="9"/>
      <c r="B1015" s="18" t="e">
        <f>VLOOKUP(Table27[[#This Row],[Location 
(drop-down)]],'List source'!D$2:E$71,2,FALSE)</f>
        <v>#N/A</v>
      </c>
      <c r="C1015" s="154" t="s">
        <v>2354</v>
      </c>
      <c r="D1015" s="194" t="e">
        <f t="shared" si="15"/>
        <v>#N/A</v>
      </c>
      <c r="E1015" s="9"/>
      <c r="F1015" s="10" t="e" cm="1">
        <f t="array" aca="1" ref="F10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5" s="130"/>
      <c r="I1015" s="12"/>
      <c r="J1015" s="12"/>
      <c r="K1015" s="61"/>
      <c r="L1015" s="336"/>
      <c r="M1015" s="10">
        <f ca="1">IF(ISBLANK(K1015), TODAY()-(I1015), Table27[[#This Row],[Effectiveness Review &amp; date deemed effective]]-Table27[[#This Row],[PTO initialized date]])</f>
        <v>46067</v>
      </c>
    </row>
    <row r="1016" spans="1:13" ht="18">
      <c r="A1016" s="9"/>
      <c r="B1016" s="18" t="e">
        <f>VLOOKUP(Table27[[#This Row],[Location 
(drop-down)]],'List source'!D$2:E$71,2,FALSE)</f>
        <v>#N/A</v>
      </c>
      <c r="C1016" s="154" t="s">
        <v>2355</v>
      </c>
      <c r="D1016" s="194" t="e">
        <f t="shared" si="15"/>
        <v>#N/A</v>
      </c>
      <c r="E1016" s="9"/>
      <c r="F1016" s="10" t="e" cm="1">
        <f t="array" aca="1" ref="F10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6" s="130"/>
      <c r="I1016" s="12"/>
      <c r="J1016" s="12"/>
      <c r="K1016" s="61"/>
      <c r="L1016" s="336"/>
      <c r="M1016" s="10">
        <f ca="1">IF(ISBLANK(K1016), TODAY()-(I1016), Table27[[#This Row],[Effectiveness Review &amp; date deemed effective]]-Table27[[#This Row],[PTO initialized date]])</f>
        <v>46067</v>
      </c>
    </row>
    <row r="1017" spans="1:13" ht="18">
      <c r="A1017" s="9"/>
      <c r="B1017" s="18" t="e">
        <f>VLOOKUP(Table27[[#This Row],[Location 
(drop-down)]],'List source'!D$2:E$71,2,FALSE)</f>
        <v>#N/A</v>
      </c>
      <c r="C1017" s="154" t="s">
        <v>2356</v>
      </c>
      <c r="D1017" s="194" t="e">
        <f t="shared" si="15"/>
        <v>#N/A</v>
      </c>
      <c r="E1017" s="9"/>
      <c r="F1017" s="10" t="e" cm="1">
        <f t="array" aca="1" ref="F10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7" s="130"/>
      <c r="I1017" s="12"/>
      <c r="J1017" s="12"/>
      <c r="K1017" s="61"/>
      <c r="L1017" s="336"/>
      <c r="M1017" s="10">
        <f ca="1">IF(ISBLANK(K1017), TODAY()-(I1017), Table27[[#This Row],[Effectiveness Review &amp; date deemed effective]]-Table27[[#This Row],[PTO initialized date]])</f>
        <v>46067</v>
      </c>
    </row>
    <row r="1018" spans="1:13" ht="18">
      <c r="A1018" s="9"/>
      <c r="B1018" s="18" t="e">
        <f>VLOOKUP(Table27[[#This Row],[Location 
(drop-down)]],'List source'!D$2:E$71,2,FALSE)</f>
        <v>#N/A</v>
      </c>
      <c r="C1018" s="154" t="s">
        <v>2357</v>
      </c>
      <c r="D1018" s="194" t="e">
        <f t="shared" si="15"/>
        <v>#N/A</v>
      </c>
      <c r="E1018" s="9"/>
      <c r="F1018" s="10" t="e" cm="1">
        <f t="array" aca="1" ref="F10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8" s="130"/>
      <c r="I1018" s="12"/>
      <c r="J1018" s="12"/>
      <c r="K1018" s="61"/>
      <c r="L1018" s="336"/>
      <c r="M1018" s="10">
        <f ca="1">IF(ISBLANK(K1018), TODAY()-(I1018), Table27[[#This Row],[Effectiveness Review &amp; date deemed effective]]-Table27[[#This Row],[PTO initialized date]])</f>
        <v>46067</v>
      </c>
    </row>
    <row r="1019" spans="1:13" ht="18">
      <c r="A1019" s="9"/>
      <c r="B1019" s="18" t="e">
        <f>VLOOKUP(Table27[[#This Row],[Location 
(drop-down)]],'List source'!D$2:E$71,2,FALSE)</f>
        <v>#N/A</v>
      </c>
      <c r="C1019" s="154" t="s">
        <v>2358</v>
      </c>
      <c r="D1019" s="20" t="e">
        <f t="shared" si="15"/>
        <v>#N/A</v>
      </c>
      <c r="E1019" s="9"/>
      <c r="F1019" s="10" t="e" cm="1">
        <f t="array" aca="1" ref="F10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19" s="10"/>
      <c r="I1019" s="12"/>
      <c r="J1019" s="12"/>
      <c r="K1019" s="61"/>
      <c r="L1019" s="233"/>
      <c r="M1019" s="10">
        <f ca="1">IF(ISBLANK(K1019), TODAY()-(I1019), Table27[[#This Row],[Effectiveness Review &amp; date deemed effective]]-Table27[[#This Row],[PTO initialized date]])</f>
        <v>46067</v>
      </c>
    </row>
    <row r="1020" spans="1:13" ht="18">
      <c r="A1020" s="9"/>
      <c r="B1020" s="18" t="e">
        <f>VLOOKUP(Table27[[#This Row],[Location 
(drop-down)]],'List source'!D$2:E$71,2,FALSE)</f>
        <v>#N/A</v>
      </c>
      <c r="C1020" s="154" t="s">
        <v>2359</v>
      </c>
      <c r="D1020" s="20" t="e">
        <f t="shared" si="15"/>
        <v>#N/A</v>
      </c>
      <c r="E1020" s="9"/>
      <c r="F1020" s="10" t="e" cm="1">
        <f t="array" aca="1" ref="F10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0" s="130"/>
      <c r="I1020" s="12"/>
      <c r="J1020" s="12"/>
      <c r="K1020" s="61"/>
      <c r="L1020" s="233"/>
      <c r="M1020" s="10">
        <f ca="1">IF(ISBLANK(K1020), TODAY()-(I1020), Table27[[#This Row],[Effectiveness Review &amp; date deemed effective]]-Table27[[#This Row],[PTO initialized date]])</f>
        <v>46067</v>
      </c>
    </row>
    <row r="1021" spans="1:13" ht="18">
      <c r="A1021" s="9"/>
      <c r="B1021" s="18" t="e">
        <f>VLOOKUP(Table27[[#This Row],[Location 
(drop-down)]],'List source'!D$2:E$71,2,FALSE)</f>
        <v>#N/A</v>
      </c>
      <c r="C1021" s="154" t="s">
        <v>2360</v>
      </c>
      <c r="D1021" s="194" t="e">
        <f t="shared" si="15"/>
        <v>#N/A</v>
      </c>
      <c r="E1021" s="9"/>
      <c r="F1021" s="10" t="e" cm="1">
        <f t="array" aca="1" ref="F10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1" s="130"/>
      <c r="I1021" s="12"/>
      <c r="J1021" s="12"/>
      <c r="K1021" s="61"/>
      <c r="L1021" s="336"/>
      <c r="M1021" s="10">
        <f ca="1">IF(ISBLANK(K1021), TODAY()-(I1021), Table27[[#This Row],[Effectiveness Review &amp; date deemed effective]]-Table27[[#This Row],[PTO initialized date]])</f>
        <v>46067</v>
      </c>
    </row>
    <row r="1022" spans="1:13" ht="18">
      <c r="A1022" s="9"/>
      <c r="B1022" s="18" t="e">
        <f>VLOOKUP(Table27[[#This Row],[Location 
(drop-down)]],'List source'!D$2:E$71,2,FALSE)</f>
        <v>#N/A</v>
      </c>
      <c r="C1022" s="154" t="s">
        <v>2361</v>
      </c>
      <c r="D1022" s="194" t="e">
        <f t="shared" si="15"/>
        <v>#N/A</v>
      </c>
      <c r="E1022" s="9"/>
      <c r="F1022" s="10" t="e" cm="1">
        <f t="array" aca="1" ref="F10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2" s="130"/>
      <c r="I1022" s="12"/>
      <c r="J1022" s="12"/>
      <c r="K1022" s="61"/>
      <c r="L1022" s="336"/>
      <c r="M1022" s="10">
        <f ca="1">IF(ISBLANK(K1022), TODAY()-(I1022), Table27[[#This Row],[Effectiveness Review &amp; date deemed effective]]-Table27[[#This Row],[PTO initialized date]])</f>
        <v>46067</v>
      </c>
    </row>
    <row r="1023" spans="1:13" ht="18">
      <c r="A1023" s="9"/>
      <c r="B1023" s="18" t="e">
        <f>VLOOKUP(Table27[[#This Row],[Location 
(drop-down)]],'List source'!D$2:E$71,2,FALSE)</f>
        <v>#N/A</v>
      </c>
      <c r="C1023" s="154" t="s">
        <v>2362</v>
      </c>
      <c r="D1023" s="20" t="e">
        <f t="shared" si="15"/>
        <v>#N/A</v>
      </c>
      <c r="E1023" s="9"/>
      <c r="F1023" s="10" t="e" cm="1">
        <f t="array" aca="1" ref="F10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3" s="130"/>
      <c r="I1023" s="12"/>
      <c r="J1023" s="12"/>
      <c r="K1023" s="61"/>
      <c r="L1023" s="233"/>
      <c r="M1023" s="10">
        <f ca="1">IF(ISBLANK(K1023), TODAY()-(I1023), Table27[[#This Row],[Effectiveness Review &amp; date deemed effective]]-Table27[[#This Row],[PTO initialized date]])</f>
        <v>46067</v>
      </c>
    </row>
    <row r="1024" spans="1:13" ht="18">
      <c r="A1024" s="9"/>
      <c r="B1024" s="18" t="e">
        <f>VLOOKUP(Table27[[#This Row],[Location 
(drop-down)]],'List source'!D$2:E$71,2,FALSE)</f>
        <v>#N/A</v>
      </c>
      <c r="C1024" s="154" t="s">
        <v>2363</v>
      </c>
      <c r="D1024" s="20" t="e">
        <f t="shared" si="15"/>
        <v>#N/A</v>
      </c>
      <c r="E1024" s="9"/>
      <c r="F1024" s="10" t="e" cm="1">
        <f t="array" aca="1" ref="F10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4" s="130"/>
      <c r="I1024" s="12"/>
      <c r="J1024" s="12"/>
      <c r="K1024" s="61"/>
      <c r="L1024" s="233"/>
      <c r="M1024" s="10">
        <f ca="1">IF(ISBLANK(K1024), TODAY()-(I1024), Table27[[#This Row],[Effectiveness Review &amp; date deemed effective]]-Table27[[#This Row],[PTO initialized date]])</f>
        <v>46067</v>
      </c>
    </row>
    <row r="1025" spans="1:13" ht="18">
      <c r="A1025" s="9"/>
      <c r="B1025" s="18" t="e">
        <f>VLOOKUP(Table27[[#This Row],[Location 
(drop-down)]],'List source'!D$2:E$71,2,FALSE)</f>
        <v>#N/A</v>
      </c>
      <c r="C1025" s="154" t="s">
        <v>2364</v>
      </c>
      <c r="D1025" s="194" t="e">
        <f t="shared" si="15"/>
        <v>#N/A</v>
      </c>
      <c r="E1025" s="9"/>
      <c r="F1025" s="10" t="e" cm="1">
        <f t="array" aca="1" ref="F10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5" s="10"/>
      <c r="I1025" s="12"/>
      <c r="J1025" s="12"/>
      <c r="K1025" s="61"/>
      <c r="L1025" s="336"/>
      <c r="M1025" s="10">
        <f ca="1">IF(ISBLANK(K1025), TODAY()-(I1025), Table27[[#This Row],[Effectiveness Review &amp; date deemed effective]]-Table27[[#This Row],[PTO initialized date]])</f>
        <v>46067</v>
      </c>
    </row>
    <row r="1026" spans="1:13" ht="18">
      <c r="A1026" s="9"/>
      <c r="B1026" s="18" t="e">
        <f>VLOOKUP(Table27[[#This Row],[Location 
(drop-down)]],'List source'!D$2:E$71,2,FALSE)</f>
        <v>#N/A</v>
      </c>
      <c r="C1026" s="154" t="s">
        <v>2365</v>
      </c>
      <c r="D1026" s="20" t="e">
        <f t="shared" ref="D1026:D1089" si="16">"PTO" &amp; C1026 &amp; "-" &amp; B1026 &amp; "-" &amp; "26"</f>
        <v>#N/A</v>
      </c>
      <c r="E1026" s="9"/>
      <c r="F1026" s="10" t="e" cm="1">
        <f t="array" aca="1" ref="F10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6" s="130"/>
      <c r="I1026" s="12"/>
      <c r="J1026" s="12"/>
      <c r="K1026" s="61"/>
      <c r="L1026" s="233"/>
      <c r="M1026" s="10">
        <f ca="1">IF(ISBLANK(K1026), TODAY()-(I1026), Table27[[#This Row],[Effectiveness Review &amp; date deemed effective]]-Table27[[#This Row],[PTO initialized date]])</f>
        <v>46067</v>
      </c>
    </row>
    <row r="1027" spans="1:13" ht="18">
      <c r="A1027" s="9"/>
      <c r="B1027" s="18" t="e">
        <f>VLOOKUP(Table27[[#This Row],[Location 
(drop-down)]],'List source'!D$2:E$71,2,FALSE)</f>
        <v>#N/A</v>
      </c>
      <c r="C1027" s="154" t="s">
        <v>2366</v>
      </c>
      <c r="D1027" s="194" t="e">
        <f t="shared" si="16"/>
        <v>#N/A</v>
      </c>
      <c r="E1027" s="9"/>
      <c r="F1027" s="10" t="e" cm="1">
        <f t="array" aca="1" ref="F10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7" s="10"/>
      <c r="I1027" s="12"/>
      <c r="J1027" s="12"/>
      <c r="K1027" s="61"/>
      <c r="L1027" s="336"/>
      <c r="M1027" s="10">
        <f ca="1">IF(ISBLANK(K1027), TODAY()-(I1027), Table27[[#This Row],[Effectiveness Review &amp; date deemed effective]]-Table27[[#This Row],[PTO initialized date]])</f>
        <v>46067</v>
      </c>
    </row>
    <row r="1028" spans="1:13" ht="18">
      <c r="A1028" s="9"/>
      <c r="B1028" s="18" t="e">
        <f>VLOOKUP(Table27[[#This Row],[Location 
(drop-down)]],'List source'!D$2:E$71,2,FALSE)</f>
        <v>#N/A</v>
      </c>
      <c r="C1028" s="154" t="s">
        <v>2367</v>
      </c>
      <c r="D1028" s="20" t="e">
        <f t="shared" si="16"/>
        <v>#N/A</v>
      </c>
      <c r="E1028" s="9"/>
      <c r="F1028" s="10" t="e" cm="1">
        <f t="array" aca="1" ref="F10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8" s="10"/>
      <c r="I1028" s="12"/>
      <c r="J1028" s="12"/>
      <c r="K1028" s="61"/>
      <c r="L1028" s="233"/>
      <c r="M1028" s="10">
        <f ca="1">IF(ISBLANK(K1028), TODAY()-(I1028), Table27[[#This Row],[Effectiveness Review &amp; date deemed effective]]-Table27[[#This Row],[PTO initialized date]])</f>
        <v>46067</v>
      </c>
    </row>
    <row r="1029" spans="1:13" ht="18">
      <c r="A1029" s="9"/>
      <c r="B1029" s="18" t="e">
        <f>VLOOKUP(Table27[[#This Row],[Location 
(drop-down)]],'List source'!D$2:E$71,2,FALSE)</f>
        <v>#N/A</v>
      </c>
      <c r="C1029" s="154" t="s">
        <v>2368</v>
      </c>
      <c r="D1029" s="20" t="e">
        <f t="shared" si="16"/>
        <v>#N/A</v>
      </c>
      <c r="E1029" s="9"/>
      <c r="F1029" s="10" t="e" cm="1">
        <f t="array" aca="1" ref="F10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29" s="130"/>
      <c r="I1029" s="12"/>
      <c r="J1029" s="12"/>
      <c r="K1029" s="61"/>
      <c r="L1029" s="233"/>
      <c r="M1029" s="10">
        <f ca="1">IF(ISBLANK(K1029), TODAY()-(I1029), Table27[[#This Row],[Effectiveness Review &amp; date deemed effective]]-Table27[[#This Row],[PTO initialized date]])</f>
        <v>46067</v>
      </c>
    </row>
    <row r="1030" spans="1:13" ht="18">
      <c r="A1030" s="9"/>
      <c r="B1030" s="18" t="e">
        <f>VLOOKUP(Table27[[#This Row],[Location 
(drop-down)]],'List source'!D$2:E$71,2,FALSE)</f>
        <v>#N/A</v>
      </c>
      <c r="C1030" s="154" t="s">
        <v>2369</v>
      </c>
      <c r="D1030" s="194" t="e">
        <f t="shared" si="16"/>
        <v>#N/A</v>
      </c>
      <c r="E1030" s="9"/>
      <c r="F1030" s="10" t="e" cm="1">
        <f t="array" aca="1" ref="F10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0" s="130"/>
      <c r="I1030" s="12"/>
      <c r="J1030" s="12"/>
      <c r="K1030" s="61"/>
      <c r="L1030" s="336"/>
      <c r="M1030" s="10">
        <f ca="1">IF(ISBLANK(K1030), TODAY()-(I1030), Table27[[#This Row],[Effectiveness Review &amp; date deemed effective]]-Table27[[#This Row],[PTO initialized date]])</f>
        <v>46067</v>
      </c>
    </row>
    <row r="1031" spans="1:13" ht="18">
      <c r="A1031" s="9"/>
      <c r="B1031" s="18" t="e">
        <f>VLOOKUP(Table27[[#This Row],[Location 
(drop-down)]],'List source'!D$2:E$71,2,FALSE)</f>
        <v>#N/A</v>
      </c>
      <c r="C1031" s="154" t="s">
        <v>2370</v>
      </c>
      <c r="D1031" s="20" t="e">
        <f t="shared" si="16"/>
        <v>#N/A</v>
      </c>
      <c r="E1031" s="9"/>
      <c r="F1031" s="10" t="e" cm="1">
        <f t="array" aca="1" ref="F10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1" s="10"/>
      <c r="I1031" s="12"/>
      <c r="J1031" s="12"/>
      <c r="K1031" s="61"/>
      <c r="L1031" s="233"/>
      <c r="M1031" s="10">
        <f ca="1">IF(ISBLANK(K1031), TODAY()-(I1031), Table27[[#This Row],[Effectiveness Review &amp; date deemed effective]]-Table27[[#This Row],[PTO initialized date]])</f>
        <v>46067</v>
      </c>
    </row>
    <row r="1032" spans="1:13" ht="18">
      <c r="A1032" s="9"/>
      <c r="B1032" s="18" t="e">
        <f>VLOOKUP(Table27[[#This Row],[Location 
(drop-down)]],'List source'!D$2:E$71,2,FALSE)</f>
        <v>#N/A</v>
      </c>
      <c r="C1032" s="154" t="s">
        <v>2371</v>
      </c>
      <c r="D1032" s="20" t="e">
        <f t="shared" si="16"/>
        <v>#N/A</v>
      </c>
      <c r="E1032" s="9"/>
      <c r="F1032" s="10" t="e" cm="1">
        <f t="array" aca="1" ref="F10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2" s="130"/>
      <c r="I1032" s="12"/>
      <c r="J1032" s="12"/>
      <c r="K1032" s="61"/>
      <c r="L1032" s="233"/>
      <c r="M1032" s="10">
        <f ca="1">IF(ISBLANK(K1032), TODAY()-(I1032), Table27[[#This Row],[Effectiveness Review &amp; date deemed effective]]-Table27[[#This Row],[PTO initialized date]])</f>
        <v>46067</v>
      </c>
    </row>
    <row r="1033" spans="1:13" ht="18">
      <c r="A1033" s="9"/>
      <c r="B1033" s="18" t="e">
        <f>VLOOKUP(Table27[[#This Row],[Location 
(drop-down)]],'List source'!D$2:E$71,2,FALSE)</f>
        <v>#N/A</v>
      </c>
      <c r="C1033" s="154" t="s">
        <v>2372</v>
      </c>
      <c r="D1033" s="20" t="e">
        <f t="shared" si="16"/>
        <v>#N/A</v>
      </c>
      <c r="E1033" s="9"/>
      <c r="F1033" s="10" t="e" cm="1">
        <f t="array" aca="1" ref="F10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3" s="130"/>
      <c r="I1033" s="12"/>
      <c r="J1033" s="12"/>
      <c r="K1033" s="61"/>
      <c r="L1033" s="233"/>
      <c r="M1033" s="10">
        <f ca="1">IF(ISBLANK(K1033), TODAY()-(I1033), Table27[[#This Row],[Effectiveness Review &amp; date deemed effective]]-Table27[[#This Row],[PTO initialized date]])</f>
        <v>46067</v>
      </c>
    </row>
    <row r="1034" spans="1:13" ht="18">
      <c r="A1034" s="9"/>
      <c r="B1034" s="18" t="e">
        <f>VLOOKUP(Table27[[#This Row],[Location 
(drop-down)]],'List source'!D$2:E$71,2,FALSE)</f>
        <v>#N/A</v>
      </c>
      <c r="C1034" s="154" t="s">
        <v>2373</v>
      </c>
      <c r="D1034" s="20" t="e">
        <f t="shared" si="16"/>
        <v>#N/A</v>
      </c>
      <c r="E1034" s="9"/>
      <c r="F1034" s="10" t="e" cm="1">
        <f t="array" aca="1" ref="F10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4" s="130"/>
      <c r="I1034" s="12"/>
      <c r="J1034" s="12"/>
      <c r="K1034" s="61"/>
      <c r="L1034" s="233"/>
      <c r="M1034" s="10">
        <f ca="1">IF(ISBLANK(K1034), TODAY()-(I1034), Table27[[#This Row],[Effectiveness Review &amp; date deemed effective]]-Table27[[#This Row],[PTO initialized date]])</f>
        <v>46067</v>
      </c>
    </row>
    <row r="1035" spans="1:13" ht="18">
      <c r="A1035" s="9"/>
      <c r="B1035" s="18" t="e">
        <f>VLOOKUP(Table27[[#This Row],[Location 
(drop-down)]],'List source'!D$2:E$71,2,FALSE)</f>
        <v>#N/A</v>
      </c>
      <c r="C1035" s="154" t="s">
        <v>2374</v>
      </c>
      <c r="D1035" s="194" t="e">
        <f t="shared" si="16"/>
        <v>#N/A</v>
      </c>
      <c r="E1035" s="9"/>
      <c r="F1035" s="10" t="e" cm="1">
        <f t="array" aca="1" ref="F10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5" s="130"/>
      <c r="I1035" s="12"/>
      <c r="J1035" s="12"/>
      <c r="K1035" s="61"/>
      <c r="L1035" s="336"/>
      <c r="M1035" s="10">
        <f ca="1">IF(ISBLANK(K1035), TODAY()-(I1035), Table27[[#This Row],[Effectiveness Review &amp; date deemed effective]]-Table27[[#This Row],[PTO initialized date]])</f>
        <v>46067</v>
      </c>
    </row>
    <row r="1036" spans="1:13" ht="18">
      <c r="A1036" s="9"/>
      <c r="B1036" s="18" t="e">
        <f>VLOOKUP(Table27[[#This Row],[Location 
(drop-down)]],'List source'!D$2:E$71,2,FALSE)</f>
        <v>#N/A</v>
      </c>
      <c r="C1036" s="154" t="s">
        <v>2375</v>
      </c>
      <c r="D1036" s="20" t="e">
        <f t="shared" si="16"/>
        <v>#N/A</v>
      </c>
      <c r="E1036" s="9"/>
      <c r="F1036" s="10" t="e" cm="1">
        <f t="array" aca="1" ref="F10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6" s="130"/>
      <c r="I1036" s="12"/>
      <c r="J1036" s="12"/>
      <c r="K1036" s="61"/>
      <c r="L1036" s="233"/>
      <c r="M1036" s="10">
        <f ca="1">IF(ISBLANK(K1036), TODAY()-(I1036), Table27[[#This Row],[Effectiveness Review &amp; date deemed effective]]-Table27[[#This Row],[PTO initialized date]])</f>
        <v>46067</v>
      </c>
    </row>
    <row r="1037" spans="1:13" ht="18">
      <c r="A1037" s="9"/>
      <c r="B1037" s="18" t="e">
        <f>VLOOKUP(Table27[[#This Row],[Location 
(drop-down)]],'List source'!D$2:E$71,2,FALSE)</f>
        <v>#N/A</v>
      </c>
      <c r="C1037" s="154" t="s">
        <v>2376</v>
      </c>
      <c r="D1037" s="194" t="e">
        <f t="shared" si="16"/>
        <v>#N/A</v>
      </c>
      <c r="E1037" s="9"/>
      <c r="F1037" s="10" t="e" cm="1">
        <f t="array" aca="1" ref="F10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7" s="10"/>
      <c r="I1037" s="12"/>
      <c r="J1037" s="12"/>
      <c r="K1037" s="61"/>
      <c r="L1037" s="336"/>
      <c r="M1037" s="10">
        <f ca="1">IF(ISBLANK(K1037), TODAY()-(I1037), Table27[[#This Row],[Effectiveness Review &amp; date deemed effective]]-Table27[[#This Row],[PTO initialized date]])</f>
        <v>46067</v>
      </c>
    </row>
    <row r="1038" spans="1:13" ht="18">
      <c r="A1038" s="9"/>
      <c r="B1038" s="18" t="e">
        <f>VLOOKUP(Table27[[#This Row],[Location 
(drop-down)]],'List source'!D$2:E$71,2,FALSE)</f>
        <v>#N/A</v>
      </c>
      <c r="C1038" s="154" t="s">
        <v>2377</v>
      </c>
      <c r="D1038" s="20" t="e">
        <f t="shared" si="16"/>
        <v>#N/A</v>
      </c>
      <c r="E1038" s="9"/>
      <c r="F1038" s="10" t="e" cm="1">
        <f t="array" aca="1" ref="F10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8" s="130"/>
      <c r="I1038" s="12"/>
      <c r="J1038" s="12"/>
      <c r="K1038" s="61"/>
      <c r="L1038" s="233"/>
      <c r="M1038" s="10">
        <f ca="1">IF(ISBLANK(K1038), TODAY()-(I1038), Table27[[#This Row],[Effectiveness Review &amp; date deemed effective]]-Table27[[#This Row],[PTO initialized date]])</f>
        <v>46067</v>
      </c>
    </row>
    <row r="1039" spans="1:13" ht="18">
      <c r="A1039" s="9"/>
      <c r="B1039" s="18" t="e">
        <f>VLOOKUP(Table27[[#This Row],[Location 
(drop-down)]],'List source'!D$2:E$71,2,FALSE)</f>
        <v>#N/A</v>
      </c>
      <c r="C1039" s="154" t="s">
        <v>2378</v>
      </c>
      <c r="D1039" s="194" t="e">
        <f t="shared" si="16"/>
        <v>#N/A</v>
      </c>
      <c r="E1039" s="9"/>
      <c r="F1039" s="10" t="e" cm="1">
        <f t="array" aca="1" ref="F10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39" s="130"/>
      <c r="I1039" s="12"/>
      <c r="J1039" s="12"/>
      <c r="K1039" s="61"/>
      <c r="L1039" s="336"/>
      <c r="M1039" s="10">
        <f ca="1">IF(ISBLANK(K1039), TODAY()-(I1039), Table27[[#This Row],[Effectiveness Review &amp; date deemed effective]]-Table27[[#This Row],[PTO initialized date]])</f>
        <v>46067</v>
      </c>
    </row>
    <row r="1040" spans="1:13" ht="18">
      <c r="A1040" s="9"/>
      <c r="B1040" s="18" t="e">
        <f>VLOOKUP(Table27[[#This Row],[Location 
(drop-down)]],'List source'!D$2:E$71,2,FALSE)</f>
        <v>#N/A</v>
      </c>
      <c r="C1040" s="154" t="s">
        <v>2379</v>
      </c>
      <c r="D1040" s="20" t="e">
        <f t="shared" si="16"/>
        <v>#N/A</v>
      </c>
      <c r="E1040" s="9"/>
      <c r="F1040" s="10" t="e" cm="1">
        <f t="array" aca="1" ref="F10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0" s="10"/>
      <c r="I1040" s="12"/>
      <c r="J1040" s="12"/>
      <c r="K1040" s="61"/>
      <c r="L1040" s="233"/>
      <c r="M1040" s="10">
        <f ca="1">IF(ISBLANK(K1040), TODAY()-(I1040), Table27[[#This Row],[Effectiveness Review &amp; date deemed effective]]-Table27[[#This Row],[PTO initialized date]])</f>
        <v>46067</v>
      </c>
    </row>
    <row r="1041" spans="1:13" ht="18">
      <c r="A1041" s="9"/>
      <c r="B1041" s="18" t="e">
        <f>VLOOKUP(Table27[[#This Row],[Location 
(drop-down)]],'List source'!D$2:E$71,2,FALSE)</f>
        <v>#N/A</v>
      </c>
      <c r="C1041" s="154" t="s">
        <v>2380</v>
      </c>
      <c r="D1041" s="20" t="e">
        <f t="shared" si="16"/>
        <v>#N/A</v>
      </c>
      <c r="E1041" s="9"/>
      <c r="F1041" s="10" t="e" cm="1">
        <f t="array" aca="1" ref="F10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1" s="130"/>
      <c r="I1041" s="12"/>
      <c r="J1041" s="12"/>
      <c r="K1041" s="61"/>
      <c r="L1041" s="232"/>
      <c r="M1041" s="10">
        <f ca="1">IF(ISBLANK(K1041), TODAY()-(I1041), Table27[[#This Row],[Effectiveness Review &amp; date deemed effective]]-Table27[[#This Row],[PTO initialized date]])</f>
        <v>46067</v>
      </c>
    </row>
    <row r="1042" spans="1:13" ht="18">
      <c r="A1042" s="9"/>
      <c r="B1042" s="18" t="e">
        <f>VLOOKUP(Table27[[#This Row],[Location 
(drop-down)]],'List source'!D$2:E$71,2,FALSE)</f>
        <v>#N/A</v>
      </c>
      <c r="C1042" s="154" t="s">
        <v>2381</v>
      </c>
      <c r="D1042" s="20" t="e">
        <f t="shared" si="16"/>
        <v>#N/A</v>
      </c>
      <c r="E1042" s="9"/>
      <c r="F1042" s="10" t="e" cm="1">
        <f t="array" aca="1" ref="F10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2" s="130"/>
      <c r="I1042" s="12"/>
      <c r="J1042" s="12"/>
      <c r="K1042" s="61"/>
      <c r="L1042" s="232"/>
      <c r="M1042" s="10">
        <f ca="1">IF(ISBLANK(K1042), TODAY()-(I1042), Table27[[#This Row],[Effectiveness Review &amp; date deemed effective]]-Table27[[#This Row],[PTO initialized date]])</f>
        <v>46067</v>
      </c>
    </row>
    <row r="1043" spans="1:13" ht="18">
      <c r="A1043" s="9"/>
      <c r="B1043" s="18" t="e">
        <f>VLOOKUP(Table27[[#This Row],[Location 
(drop-down)]],'List source'!D$2:E$71,2,FALSE)</f>
        <v>#N/A</v>
      </c>
      <c r="C1043" s="154" t="s">
        <v>2382</v>
      </c>
      <c r="D1043" s="20" t="e">
        <f t="shared" si="16"/>
        <v>#N/A</v>
      </c>
      <c r="E1043" s="9"/>
      <c r="F1043" s="10" t="e" cm="1">
        <f t="array" aca="1" ref="F10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3" s="130"/>
      <c r="I1043" s="12"/>
      <c r="J1043" s="12"/>
      <c r="K1043" s="61"/>
      <c r="L1043" s="233"/>
      <c r="M1043" s="10">
        <f ca="1">IF(ISBLANK(K1043), TODAY()-(I1043), Table27[[#This Row],[Effectiveness Review &amp; date deemed effective]]-Table27[[#This Row],[PTO initialized date]])</f>
        <v>46067</v>
      </c>
    </row>
    <row r="1044" spans="1:13" ht="18">
      <c r="A1044" s="9"/>
      <c r="B1044" s="18" t="e">
        <f>VLOOKUP(Table27[[#This Row],[Location 
(drop-down)]],'List source'!D$2:E$71,2,FALSE)</f>
        <v>#N/A</v>
      </c>
      <c r="C1044" s="154" t="s">
        <v>2383</v>
      </c>
      <c r="D1044" s="20" t="e">
        <f t="shared" si="16"/>
        <v>#N/A</v>
      </c>
      <c r="E1044" s="9"/>
      <c r="F1044" s="10" t="e" cm="1">
        <f t="array" aca="1" ref="F10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4" s="10"/>
      <c r="I1044" s="12"/>
      <c r="J1044" s="12"/>
      <c r="K1044" s="61"/>
      <c r="L1044" s="233"/>
      <c r="M1044" s="10">
        <f ca="1">IF(ISBLANK(K1044), TODAY()-(I1044), Table27[[#This Row],[Effectiveness Review &amp; date deemed effective]]-Table27[[#This Row],[PTO initialized date]])</f>
        <v>46067</v>
      </c>
    </row>
    <row r="1045" spans="1:13" ht="18">
      <c r="A1045" s="9"/>
      <c r="B1045" s="18" t="e">
        <f>VLOOKUP(Table27[[#This Row],[Location 
(drop-down)]],'List source'!D$2:E$71,2,FALSE)</f>
        <v>#N/A</v>
      </c>
      <c r="C1045" s="154" t="s">
        <v>2384</v>
      </c>
      <c r="D1045" s="20" t="e">
        <f t="shared" si="16"/>
        <v>#N/A</v>
      </c>
      <c r="E1045" s="9"/>
      <c r="F1045" s="10" t="e" cm="1">
        <f t="array" aca="1" ref="F10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5" s="130"/>
      <c r="I1045" s="12"/>
      <c r="J1045" s="12"/>
      <c r="K1045" s="61"/>
      <c r="L1045" s="233"/>
      <c r="M1045" s="10">
        <f ca="1">IF(ISBLANK(K1045), TODAY()-(I1045), Table27[[#This Row],[Effectiveness Review &amp; date deemed effective]]-Table27[[#This Row],[PTO initialized date]])</f>
        <v>46067</v>
      </c>
    </row>
    <row r="1046" spans="1:13" ht="18">
      <c r="A1046" s="9"/>
      <c r="B1046" s="18" t="e">
        <f>VLOOKUP(Table27[[#This Row],[Location 
(drop-down)]],'List source'!D$2:E$71,2,FALSE)</f>
        <v>#N/A</v>
      </c>
      <c r="C1046" s="154" t="s">
        <v>2385</v>
      </c>
      <c r="D1046" s="20" t="e">
        <f t="shared" si="16"/>
        <v>#N/A</v>
      </c>
      <c r="E1046" s="9"/>
      <c r="F1046" s="10" t="e" cm="1">
        <f t="array" aca="1" ref="F10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6" s="10"/>
      <c r="I1046" s="12"/>
      <c r="J1046" s="12"/>
      <c r="K1046" s="61"/>
      <c r="L1046" s="233"/>
      <c r="M1046" s="10">
        <f ca="1">IF(ISBLANK(K1046), TODAY()-(I1046), Table27[[#This Row],[Effectiveness Review &amp; date deemed effective]]-Table27[[#This Row],[PTO initialized date]])</f>
        <v>46067</v>
      </c>
    </row>
    <row r="1047" spans="1:13" ht="18">
      <c r="A1047" s="9"/>
      <c r="B1047" s="18" t="e">
        <f>VLOOKUP(Table27[[#This Row],[Location 
(drop-down)]],'List source'!D$2:E$71,2,FALSE)</f>
        <v>#N/A</v>
      </c>
      <c r="C1047" s="154" t="s">
        <v>2386</v>
      </c>
      <c r="D1047" s="20" t="e">
        <f t="shared" si="16"/>
        <v>#N/A</v>
      </c>
      <c r="E1047" s="9"/>
      <c r="F1047" s="10" t="e" cm="1">
        <f t="array" aca="1" ref="F10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7" s="130"/>
      <c r="I1047" s="12"/>
      <c r="J1047" s="12"/>
      <c r="K1047" s="61"/>
      <c r="L1047" s="233"/>
      <c r="M1047" s="10">
        <f ca="1">IF(ISBLANK(K1047), TODAY()-(I1047), Table27[[#This Row],[Effectiveness Review &amp; date deemed effective]]-Table27[[#This Row],[PTO initialized date]])</f>
        <v>46067</v>
      </c>
    </row>
    <row r="1048" spans="1:13" ht="18">
      <c r="A1048" s="9"/>
      <c r="B1048" s="18" t="e">
        <f>VLOOKUP(Table27[[#This Row],[Location 
(drop-down)]],'List source'!D$2:E$71,2,FALSE)</f>
        <v>#N/A</v>
      </c>
      <c r="C1048" s="154" t="s">
        <v>2387</v>
      </c>
      <c r="D1048" s="20" t="e">
        <f t="shared" si="16"/>
        <v>#N/A</v>
      </c>
      <c r="E1048" s="9"/>
      <c r="F1048" s="10" t="e" cm="1">
        <f t="array" aca="1" ref="F10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8" s="130"/>
      <c r="I1048" s="12"/>
      <c r="J1048" s="12"/>
      <c r="K1048" s="61"/>
      <c r="L1048" s="233"/>
      <c r="M1048" s="10">
        <f ca="1">IF(ISBLANK(K1048), TODAY()-(I1048), Table27[[#This Row],[Effectiveness Review &amp; date deemed effective]]-Table27[[#This Row],[PTO initialized date]])</f>
        <v>46067</v>
      </c>
    </row>
    <row r="1049" spans="1:13" ht="18">
      <c r="A1049" s="9"/>
      <c r="B1049" s="18" t="e">
        <f>VLOOKUP(Table27[[#This Row],[Location 
(drop-down)]],'List source'!D$2:E$71,2,FALSE)</f>
        <v>#N/A</v>
      </c>
      <c r="C1049" s="154" t="s">
        <v>2388</v>
      </c>
      <c r="D1049" s="20" t="e">
        <f t="shared" si="16"/>
        <v>#N/A</v>
      </c>
      <c r="E1049" s="9"/>
      <c r="F1049" s="10" t="e" cm="1">
        <f t="array" aca="1" ref="F10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49" s="10"/>
      <c r="I1049" s="12"/>
      <c r="J1049" s="12"/>
      <c r="K1049" s="61"/>
      <c r="L1049" s="339"/>
      <c r="M1049" s="10">
        <f ca="1">IF(ISBLANK(K1049), TODAY()-(I1049), Table27[[#This Row],[Effectiveness Review &amp; date deemed effective]]-Table27[[#This Row],[PTO initialized date]])</f>
        <v>46067</v>
      </c>
    </row>
    <row r="1050" spans="1:13" ht="18">
      <c r="A1050" s="9"/>
      <c r="B1050" s="18" t="e">
        <f>VLOOKUP(Table27[[#This Row],[Location 
(drop-down)]],'List source'!D$2:E$71,2,FALSE)</f>
        <v>#N/A</v>
      </c>
      <c r="C1050" s="154" t="s">
        <v>2389</v>
      </c>
      <c r="D1050" s="20" t="e">
        <f t="shared" si="16"/>
        <v>#N/A</v>
      </c>
      <c r="E1050" s="9"/>
      <c r="F1050" s="10" t="e" cm="1">
        <f t="array" aca="1" ref="F10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0" s="130"/>
      <c r="I1050" s="12"/>
      <c r="J1050" s="12"/>
      <c r="K1050" s="61"/>
      <c r="L1050" s="233"/>
      <c r="M1050" s="10">
        <f ca="1">IF(ISBLANK(K1050), TODAY()-(I1050), Table27[[#This Row],[Effectiveness Review &amp; date deemed effective]]-Table27[[#This Row],[PTO initialized date]])</f>
        <v>46067</v>
      </c>
    </row>
    <row r="1051" spans="1:13" ht="18">
      <c r="A1051" s="9"/>
      <c r="B1051" s="18" t="e">
        <f>VLOOKUP(Table27[[#This Row],[Location 
(drop-down)]],'List source'!D$2:E$71,2,FALSE)</f>
        <v>#N/A</v>
      </c>
      <c r="C1051" s="154" t="s">
        <v>2390</v>
      </c>
      <c r="D1051" s="20" t="e">
        <f t="shared" si="16"/>
        <v>#N/A</v>
      </c>
      <c r="E1051" s="9"/>
      <c r="F1051" s="10" t="e" cm="1">
        <f t="array" aca="1" ref="F10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1" s="10"/>
      <c r="I1051" s="12"/>
      <c r="J1051" s="12"/>
      <c r="K1051" s="61"/>
      <c r="L1051" s="233"/>
      <c r="M1051" s="10">
        <f ca="1">IF(ISBLANK(K1051), TODAY()-(I1051), Table27[[#This Row],[Effectiveness Review &amp; date deemed effective]]-Table27[[#This Row],[PTO initialized date]])</f>
        <v>46067</v>
      </c>
    </row>
    <row r="1052" spans="1:13" ht="18">
      <c r="A1052" s="9"/>
      <c r="B1052" s="18" t="e">
        <f>VLOOKUP(Table27[[#This Row],[Location 
(drop-down)]],'List source'!D$2:E$71,2,FALSE)</f>
        <v>#N/A</v>
      </c>
      <c r="C1052" s="154" t="s">
        <v>2391</v>
      </c>
      <c r="D1052" s="20" t="e">
        <f t="shared" si="16"/>
        <v>#N/A</v>
      </c>
      <c r="E1052" s="9"/>
      <c r="F1052" s="10" t="e" cm="1">
        <f t="array" aca="1" ref="F10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2" s="10"/>
      <c r="I1052" s="12"/>
      <c r="J1052" s="12"/>
      <c r="K1052" s="61"/>
      <c r="L1052" s="233"/>
      <c r="M1052" s="10">
        <f ca="1">IF(ISBLANK(K1052), TODAY()-(I1052), Table27[[#This Row],[Effectiveness Review &amp; date deemed effective]]-Table27[[#This Row],[PTO initialized date]])</f>
        <v>46067</v>
      </c>
    </row>
    <row r="1053" spans="1:13" ht="18">
      <c r="A1053" s="9"/>
      <c r="B1053" s="18" t="e">
        <f>VLOOKUP(Table27[[#This Row],[Location 
(drop-down)]],'List source'!D$2:E$71,2,FALSE)</f>
        <v>#N/A</v>
      </c>
      <c r="C1053" s="154" t="s">
        <v>2392</v>
      </c>
      <c r="D1053" s="20" t="e">
        <f t="shared" si="16"/>
        <v>#N/A</v>
      </c>
      <c r="E1053" s="9"/>
      <c r="F1053" s="10" t="e" cm="1">
        <f t="array" aca="1" ref="F10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3" s="10"/>
      <c r="I1053" s="12"/>
      <c r="J1053" s="12"/>
      <c r="K1053" s="61"/>
      <c r="L1053" s="339"/>
      <c r="M1053" s="10">
        <f ca="1">IF(ISBLANK(K1053), TODAY()-(I1053), Table27[[#This Row],[Effectiveness Review &amp; date deemed effective]]-Table27[[#This Row],[PTO initialized date]])</f>
        <v>46067</v>
      </c>
    </row>
    <row r="1054" spans="1:13" ht="18">
      <c r="A1054" s="9"/>
      <c r="B1054" s="18" t="e">
        <f>VLOOKUP(Table27[[#This Row],[Location 
(drop-down)]],'List source'!D$2:E$71,2,FALSE)</f>
        <v>#N/A</v>
      </c>
      <c r="C1054" s="154" t="s">
        <v>2393</v>
      </c>
      <c r="D1054" s="20" t="e">
        <f t="shared" si="16"/>
        <v>#N/A</v>
      </c>
      <c r="E1054" s="9"/>
      <c r="F1054" s="10" t="e" cm="1">
        <f t="array" aca="1" ref="F10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4" s="10"/>
      <c r="I1054" s="12"/>
      <c r="J1054" s="12"/>
      <c r="K1054" s="61"/>
      <c r="L1054" s="233"/>
      <c r="M1054" s="10">
        <f ca="1">IF(ISBLANK(K1054), TODAY()-(I1054), Table27[[#This Row],[Effectiveness Review &amp; date deemed effective]]-Table27[[#This Row],[PTO initialized date]])</f>
        <v>46067</v>
      </c>
    </row>
    <row r="1055" spans="1:13" ht="18">
      <c r="A1055" s="9"/>
      <c r="B1055" s="18" t="e">
        <f>VLOOKUP(Table27[[#This Row],[Location 
(drop-down)]],'List source'!D$2:E$71,2,FALSE)</f>
        <v>#N/A</v>
      </c>
      <c r="C1055" s="154" t="s">
        <v>2394</v>
      </c>
      <c r="D1055" s="20" t="e">
        <f t="shared" si="16"/>
        <v>#N/A</v>
      </c>
      <c r="E1055" s="9"/>
      <c r="F1055" s="10" t="e" cm="1">
        <f t="array" aca="1" ref="F10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5" s="10"/>
      <c r="I1055" s="12"/>
      <c r="J1055" s="12"/>
      <c r="K1055" s="61"/>
      <c r="L1055" s="339"/>
      <c r="M1055" s="10">
        <f ca="1">IF(ISBLANK(K1055), TODAY()-(I1055), Table27[[#This Row],[Effectiveness Review &amp; date deemed effective]]-Table27[[#This Row],[PTO initialized date]])</f>
        <v>46067</v>
      </c>
    </row>
    <row r="1056" spans="1:13" ht="18">
      <c r="A1056" s="9"/>
      <c r="B1056" s="18" t="e">
        <f>VLOOKUP(Table27[[#This Row],[Location 
(drop-down)]],'List source'!D$2:E$71,2,FALSE)</f>
        <v>#N/A</v>
      </c>
      <c r="C1056" s="154" t="s">
        <v>2395</v>
      </c>
      <c r="D1056" s="20" t="e">
        <f t="shared" si="16"/>
        <v>#N/A</v>
      </c>
      <c r="E1056" s="9"/>
      <c r="F1056" s="10" t="e" cm="1">
        <f t="array" aca="1" ref="F10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6" s="130"/>
      <c r="I1056" s="12"/>
      <c r="J1056" s="12"/>
      <c r="K1056" s="61"/>
      <c r="L1056" s="233"/>
      <c r="M1056" s="10">
        <f ca="1">IF(ISBLANK(K1056), TODAY()-(I1056), Table27[[#This Row],[Effectiveness Review &amp; date deemed effective]]-Table27[[#This Row],[PTO initialized date]])</f>
        <v>46067</v>
      </c>
    </row>
    <row r="1057" spans="1:13" ht="18">
      <c r="A1057" s="9"/>
      <c r="B1057" s="18" t="e">
        <f>VLOOKUP(Table27[[#This Row],[Location 
(drop-down)]],'List source'!D$2:E$71,2,FALSE)</f>
        <v>#N/A</v>
      </c>
      <c r="C1057" s="154" t="s">
        <v>2396</v>
      </c>
      <c r="D1057" s="20" t="e">
        <f t="shared" si="16"/>
        <v>#N/A</v>
      </c>
      <c r="E1057" s="9"/>
      <c r="F1057" s="10" t="e" cm="1">
        <f t="array" aca="1" ref="F10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7" s="10"/>
      <c r="I1057" s="12"/>
      <c r="J1057" s="12"/>
      <c r="K1057" s="61"/>
      <c r="L1057" s="233"/>
      <c r="M1057" s="10">
        <f ca="1">IF(ISBLANK(K1057), TODAY()-(I1057), Table27[[#This Row],[Effectiveness Review &amp; date deemed effective]]-Table27[[#This Row],[PTO initialized date]])</f>
        <v>46067</v>
      </c>
    </row>
    <row r="1058" spans="1:13" ht="18">
      <c r="A1058" s="62"/>
      <c r="B1058" s="18" t="e">
        <f>VLOOKUP(Table27[[#This Row],[Location 
(drop-down)]],'List source'!D$2:E$71,2,FALSE)</f>
        <v>#N/A</v>
      </c>
      <c r="C1058" s="154" t="s">
        <v>2397</v>
      </c>
      <c r="D1058" s="20" t="e">
        <f t="shared" si="16"/>
        <v>#N/A</v>
      </c>
      <c r="E1058" s="9"/>
      <c r="F1058" s="10" t="e" cm="1">
        <f t="array" aca="1" ref="F10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8" s="10"/>
      <c r="I1058" s="12"/>
      <c r="J1058" s="12"/>
      <c r="K1058" s="61"/>
      <c r="L1058" s="233"/>
      <c r="M1058" s="10">
        <f ca="1">IF(ISBLANK(K1058), TODAY()-(I1058), Table27[[#This Row],[Effectiveness Review &amp; date deemed effective]]-Table27[[#This Row],[PTO initialized date]])</f>
        <v>46067</v>
      </c>
    </row>
    <row r="1059" spans="1:13" ht="18">
      <c r="A1059" s="62"/>
      <c r="B1059" s="18" t="e">
        <f>VLOOKUP(Table27[[#This Row],[Location 
(drop-down)]],'List source'!D$2:E$71,2,FALSE)</f>
        <v>#N/A</v>
      </c>
      <c r="C1059" s="154" t="s">
        <v>2398</v>
      </c>
      <c r="D1059" s="20" t="e">
        <f t="shared" si="16"/>
        <v>#N/A</v>
      </c>
      <c r="E1059" s="9"/>
      <c r="F1059" s="10" t="e" cm="1">
        <f t="array" aca="1" ref="F10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59" s="10"/>
      <c r="I1059" s="12"/>
      <c r="J1059" s="12"/>
      <c r="K1059" s="61"/>
      <c r="L1059" s="233"/>
      <c r="M1059" s="10">
        <f ca="1">IF(ISBLANK(K1059), TODAY()-(I1059), Table27[[#This Row],[Effectiveness Review &amp; date deemed effective]]-Table27[[#This Row],[PTO initialized date]])</f>
        <v>46067</v>
      </c>
    </row>
    <row r="1060" spans="1:13" ht="18">
      <c r="A1060" s="62"/>
      <c r="B1060" s="18" t="e">
        <f>VLOOKUP(Table27[[#This Row],[Location 
(drop-down)]],'List source'!D$2:E$71,2,FALSE)</f>
        <v>#N/A</v>
      </c>
      <c r="C1060" s="154" t="s">
        <v>2399</v>
      </c>
      <c r="D1060" s="20" t="e">
        <f t="shared" si="16"/>
        <v>#N/A</v>
      </c>
      <c r="E1060" s="9"/>
      <c r="F1060" s="10" t="e" cm="1">
        <f t="array" aca="1" ref="F10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0" s="130"/>
      <c r="I1060" s="12"/>
      <c r="J1060" s="12"/>
      <c r="K1060" s="61"/>
      <c r="L1060" s="233"/>
      <c r="M1060" s="10">
        <f ca="1">IF(ISBLANK(K1060), TODAY()-(I1060), Table27[[#This Row],[Effectiveness Review &amp; date deemed effective]]-Table27[[#This Row],[PTO initialized date]])</f>
        <v>46067</v>
      </c>
    </row>
    <row r="1061" spans="1:13" ht="18">
      <c r="A1061" s="9"/>
      <c r="B1061" s="18" t="e">
        <f>VLOOKUP(Table27[[#This Row],[Location 
(drop-down)]],'List source'!D$2:E$71,2,FALSE)</f>
        <v>#N/A</v>
      </c>
      <c r="C1061" s="154" t="s">
        <v>2400</v>
      </c>
      <c r="D1061" s="20" t="e">
        <f t="shared" si="16"/>
        <v>#N/A</v>
      </c>
      <c r="E1061" s="9"/>
      <c r="F1061" s="10" t="e" cm="1">
        <f t="array" aca="1" ref="F10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1" s="10"/>
      <c r="I1061" s="12"/>
      <c r="J1061" s="12"/>
      <c r="K1061" s="61"/>
      <c r="L1061" s="233"/>
      <c r="M1061" s="10">
        <f ca="1">IF(ISBLANK(K1061), TODAY()-(I1061), Table27[[#This Row],[Effectiveness Review &amp; date deemed effective]]-Table27[[#This Row],[PTO initialized date]])</f>
        <v>46067</v>
      </c>
    </row>
    <row r="1062" spans="1:13" ht="18">
      <c r="A1062" s="9"/>
      <c r="B1062" s="18" t="e">
        <f>VLOOKUP(Table27[[#This Row],[Location 
(drop-down)]],'List source'!D$2:E$71,2,FALSE)</f>
        <v>#N/A</v>
      </c>
      <c r="C1062" s="154" t="s">
        <v>2401</v>
      </c>
      <c r="D1062" s="20" t="e">
        <f t="shared" si="16"/>
        <v>#N/A</v>
      </c>
      <c r="E1062" s="9"/>
      <c r="F1062" s="10" t="e" cm="1">
        <f t="array" aca="1" ref="F10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2" s="130"/>
      <c r="I1062" s="12"/>
      <c r="J1062" s="12"/>
      <c r="K1062" s="61"/>
      <c r="L1062" s="233"/>
      <c r="M1062" s="10">
        <f ca="1">IF(ISBLANK(K1062), TODAY()-(I1062), Table27[[#This Row],[Effectiveness Review &amp; date deemed effective]]-Table27[[#This Row],[PTO initialized date]])</f>
        <v>46067</v>
      </c>
    </row>
    <row r="1063" spans="1:13" ht="18">
      <c r="A1063" s="9"/>
      <c r="B1063" s="18" t="e">
        <f>VLOOKUP(Table27[[#This Row],[Location 
(drop-down)]],'List source'!D$2:E$71,2,FALSE)</f>
        <v>#N/A</v>
      </c>
      <c r="C1063" s="154" t="s">
        <v>2402</v>
      </c>
      <c r="D1063" s="20" t="e">
        <f t="shared" si="16"/>
        <v>#N/A</v>
      </c>
      <c r="E1063" s="9"/>
      <c r="F1063" s="10" t="e" cm="1">
        <f t="array" aca="1" ref="F10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3" s="130"/>
      <c r="I1063" s="12"/>
      <c r="J1063" s="12"/>
      <c r="K1063" s="61"/>
      <c r="L1063" s="233"/>
      <c r="M1063" s="10">
        <f ca="1">IF(ISBLANK(K1063), TODAY()-(I1063), Table27[[#This Row],[Effectiveness Review &amp; date deemed effective]]-Table27[[#This Row],[PTO initialized date]])</f>
        <v>46067</v>
      </c>
    </row>
    <row r="1064" spans="1:13" ht="18">
      <c r="A1064" s="9"/>
      <c r="B1064" s="18" t="e">
        <f>VLOOKUP(Table27[[#This Row],[Location 
(drop-down)]],'List source'!D$2:E$71,2,FALSE)</f>
        <v>#N/A</v>
      </c>
      <c r="C1064" s="154" t="s">
        <v>2403</v>
      </c>
      <c r="D1064" s="20" t="e">
        <f t="shared" si="16"/>
        <v>#N/A</v>
      </c>
      <c r="E1064" s="9"/>
      <c r="F1064" s="10" t="e" cm="1">
        <f t="array" aca="1" ref="F10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4" s="10"/>
      <c r="I1064" s="12"/>
      <c r="J1064" s="12"/>
      <c r="K1064" s="61"/>
      <c r="L1064" s="233"/>
      <c r="M1064" s="10">
        <f ca="1">IF(ISBLANK(K1064), TODAY()-(I1064), Table27[[#This Row],[Effectiveness Review &amp; date deemed effective]]-Table27[[#This Row],[PTO initialized date]])</f>
        <v>46067</v>
      </c>
    </row>
    <row r="1065" spans="1:13" ht="18">
      <c r="A1065" s="9"/>
      <c r="B1065" s="18" t="e">
        <f>VLOOKUP(Table27[[#This Row],[Location 
(drop-down)]],'List source'!D$2:E$71,2,FALSE)</f>
        <v>#N/A</v>
      </c>
      <c r="C1065" s="154" t="s">
        <v>2404</v>
      </c>
      <c r="D1065" s="20" t="e">
        <f t="shared" si="16"/>
        <v>#N/A</v>
      </c>
      <c r="E1065" s="9"/>
      <c r="F1065" s="10" t="e" cm="1">
        <f t="array" aca="1" ref="F10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5" s="10"/>
      <c r="I1065" s="12"/>
      <c r="J1065" s="12"/>
      <c r="K1065" s="61"/>
      <c r="L1065" s="233"/>
      <c r="M1065" s="10">
        <f ca="1">IF(ISBLANK(K1065), TODAY()-(I1065), Table27[[#This Row],[Effectiveness Review &amp; date deemed effective]]-Table27[[#This Row],[PTO initialized date]])</f>
        <v>46067</v>
      </c>
    </row>
    <row r="1066" spans="1:13" ht="18">
      <c r="A1066" s="9"/>
      <c r="B1066" s="18" t="e">
        <f>VLOOKUP(Table27[[#This Row],[Location 
(drop-down)]],'List source'!D$2:E$71,2,FALSE)</f>
        <v>#N/A</v>
      </c>
      <c r="C1066" s="154" t="s">
        <v>2405</v>
      </c>
      <c r="D1066" s="20" t="e">
        <f t="shared" si="16"/>
        <v>#N/A</v>
      </c>
      <c r="E1066" s="9"/>
      <c r="F1066" s="10" t="e" cm="1">
        <f t="array" aca="1" ref="F10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6" s="130"/>
      <c r="I1066" s="12"/>
      <c r="J1066" s="12"/>
      <c r="K1066" s="61"/>
      <c r="L1066" s="233"/>
      <c r="M1066" s="10">
        <f ca="1">IF(ISBLANK(K1066), TODAY()-(I1066), Table27[[#This Row],[Effectiveness Review &amp; date deemed effective]]-Table27[[#This Row],[PTO initialized date]])</f>
        <v>46067</v>
      </c>
    </row>
    <row r="1067" spans="1:13" ht="18">
      <c r="A1067" s="9"/>
      <c r="B1067" s="18" t="e">
        <f>VLOOKUP(Table27[[#This Row],[Location 
(drop-down)]],'List source'!D$2:E$71,2,FALSE)</f>
        <v>#N/A</v>
      </c>
      <c r="C1067" s="154" t="s">
        <v>2406</v>
      </c>
      <c r="D1067" s="20" t="e">
        <f t="shared" si="16"/>
        <v>#N/A</v>
      </c>
      <c r="E1067" s="9"/>
      <c r="F1067" s="10" t="e" cm="1">
        <f t="array" aca="1" ref="F10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7" s="10"/>
      <c r="I1067" s="12"/>
      <c r="J1067" s="12"/>
      <c r="K1067" s="61"/>
      <c r="L1067" s="233"/>
      <c r="M1067" s="10">
        <f ca="1">IF(ISBLANK(K1067), TODAY()-(I1067), Table27[[#This Row],[Effectiveness Review &amp; date deemed effective]]-Table27[[#This Row],[PTO initialized date]])</f>
        <v>46067</v>
      </c>
    </row>
    <row r="1068" spans="1:13" ht="18">
      <c r="A1068" s="9"/>
      <c r="B1068" s="18" t="e">
        <f>VLOOKUP(Table27[[#This Row],[Location 
(drop-down)]],'List source'!D$2:E$71,2,FALSE)</f>
        <v>#N/A</v>
      </c>
      <c r="C1068" s="154" t="s">
        <v>2407</v>
      </c>
      <c r="D1068" s="20" t="e">
        <f t="shared" si="16"/>
        <v>#N/A</v>
      </c>
      <c r="E1068" s="9"/>
      <c r="F1068" s="10" t="e" cm="1">
        <f t="array" aca="1" ref="F10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8" s="10"/>
      <c r="I1068" s="12"/>
      <c r="J1068" s="12"/>
      <c r="K1068" s="61"/>
      <c r="L1068" s="233"/>
      <c r="M1068" s="10">
        <f ca="1">IF(ISBLANK(K1068), TODAY()-(I1068), Table27[[#This Row],[Effectiveness Review &amp; date deemed effective]]-Table27[[#This Row],[PTO initialized date]])</f>
        <v>46067</v>
      </c>
    </row>
    <row r="1069" spans="1:13" ht="18">
      <c r="A1069" s="9"/>
      <c r="B1069" s="18" t="e">
        <f>VLOOKUP(Table27[[#This Row],[Location 
(drop-down)]],'List source'!D$2:E$71,2,FALSE)</f>
        <v>#N/A</v>
      </c>
      <c r="C1069" s="154" t="s">
        <v>2408</v>
      </c>
      <c r="D1069" s="20" t="e">
        <f t="shared" si="16"/>
        <v>#N/A</v>
      </c>
      <c r="E1069" s="9"/>
      <c r="F1069" s="10" t="e" cm="1">
        <f t="array" aca="1" ref="F10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69" s="10"/>
      <c r="I1069" s="12"/>
      <c r="J1069" s="12"/>
      <c r="K1069" s="61"/>
      <c r="L1069" s="233"/>
      <c r="M1069" s="10">
        <f ca="1">IF(ISBLANK(K1069), TODAY()-(I1069), Table27[[#This Row],[Effectiveness Review &amp; date deemed effective]]-Table27[[#This Row],[PTO initialized date]])</f>
        <v>46067</v>
      </c>
    </row>
    <row r="1070" spans="1:13" ht="18">
      <c r="A1070" s="9"/>
      <c r="B1070" s="18" t="e">
        <f>VLOOKUP(Table27[[#This Row],[Location 
(drop-down)]],'List source'!D$2:E$71,2,FALSE)</f>
        <v>#N/A</v>
      </c>
      <c r="C1070" s="154" t="s">
        <v>2409</v>
      </c>
      <c r="D1070" s="20" t="e">
        <f t="shared" si="16"/>
        <v>#N/A</v>
      </c>
      <c r="E1070" s="9"/>
      <c r="F1070" s="10" t="e" cm="1">
        <f t="array" aca="1" ref="F10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0" s="10"/>
      <c r="I1070" s="12"/>
      <c r="J1070" s="12"/>
      <c r="K1070" s="61"/>
      <c r="L1070" s="233"/>
      <c r="M1070" s="10">
        <f ca="1">IF(ISBLANK(K1070), TODAY()-(I1070), Table27[[#This Row],[Effectiveness Review &amp; date deemed effective]]-Table27[[#This Row],[PTO initialized date]])</f>
        <v>46067</v>
      </c>
    </row>
    <row r="1071" spans="1:13" ht="18">
      <c r="A1071" s="9"/>
      <c r="B1071" s="18" t="e">
        <f>VLOOKUP(Table27[[#This Row],[Location 
(drop-down)]],'List source'!D$2:E$71,2,FALSE)</f>
        <v>#N/A</v>
      </c>
      <c r="C1071" s="154" t="s">
        <v>2410</v>
      </c>
      <c r="D1071" s="20" t="e">
        <f t="shared" si="16"/>
        <v>#N/A</v>
      </c>
      <c r="E1071" s="9"/>
      <c r="F1071" s="10" t="e" cm="1">
        <f t="array" aca="1" ref="F10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1" s="10"/>
      <c r="I1071" s="12"/>
      <c r="J1071" s="12"/>
      <c r="K1071" s="61"/>
      <c r="L1071" s="233"/>
      <c r="M1071" s="10">
        <f ca="1">IF(ISBLANK(K1071), TODAY()-(I1071), Table27[[#This Row],[Effectiveness Review &amp; date deemed effective]]-Table27[[#This Row],[PTO initialized date]])</f>
        <v>46067</v>
      </c>
    </row>
    <row r="1072" spans="1:13" ht="18">
      <c r="A1072" s="9"/>
      <c r="B1072" s="18" t="e">
        <f>VLOOKUP(Table27[[#This Row],[Location 
(drop-down)]],'List source'!D$2:E$71,2,FALSE)</f>
        <v>#N/A</v>
      </c>
      <c r="C1072" s="154" t="s">
        <v>2411</v>
      </c>
      <c r="D1072" s="20" t="e">
        <f t="shared" si="16"/>
        <v>#N/A</v>
      </c>
      <c r="E1072" s="9"/>
      <c r="F1072" s="10" t="e" cm="1">
        <f t="array" aca="1" ref="F10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2" s="10"/>
      <c r="I1072" s="12"/>
      <c r="J1072" s="12"/>
      <c r="K1072" s="61"/>
      <c r="L1072" s="233"/>
      <c r="M1072" s="10">
        <f ca="1">IF(ISBLANK(K1072), TODAY()-(I1072), Table27[[#This Row],[Effectiveness Review &amp; date deemed effective]]-Table27[[#This Row],[PTO initialized date]])</f>
        <v>46067</v>
      </c>
    </row>
    <row r="1073" spans="1:13" ht="18">
      <c r="A1073" s="9"/>
      <c r="B1073" s="18" t="e">
        <f>VLOOKUP(Table27[[#This Row],[Location 
(drop-down)]],'List source'!D$2:E$71,2,FALSE)</f>
        <v>#N/A</v>
      </c>
      <c r="C1073" s="154" t="s">
        <v>2412</v>
      </c>
      <c r="D1073" s="20" t="e">
        <f t="shared" si="16"/>
        <v>#N/A</v>
      </c>
      <c r="E1073" s="9"/>
      <c r="F1073" s="10" t="e" cm="1">
        <f t="array" aca="1" ref="F10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3" s="10"/>
      <c r="I1073" s="12"/>
      <c r="J1073" s="12"/>
      <c r="K1073" s="61"/>
      <c r="L1073" s="233"/>
      <c r="M1073" s="10">
        <f ca="1">IF(ISBLANK(K1073), TODAY()-(I1073), Table27[[#This Row],[Effectiveness Review &amp; date deemed effective]]-Table27[[#This Row],[PTO initialized date]])</f>
        <v>46067</v>
      </c>
    </row>
    <row r="1074" spans="1:13" ht="18">
      <c r="A1074" s="9"/>
      <c r="B1074" s="18" t="e">
        <f>VLOOKUP(Table27[[#This Row],[Location 
(drop-down)]],'List source'!D$2:E$71,2,FALSE)</f>
        <v>#N/A</v>
      </c>
      <c r="C1074" s="154" t="s">
        <v>2413</v>
      </c>
      <c r="D1074" s="20" t="e">
        <f t="shared" si="16"/>
        <v>#N/A</v>
      </c>
      <c r="E1074" s="9"/>
      <c r="F1074" s="10" t="e" cm="1">
        <f t="array" aca="1" ref="F10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4" s="10"/>
      <c r="I1074" s="12"/>
      <c r="J1074" s="12"/>
      <c r="K1074" s="61"/>
      <c r="L1074" s="233"/>
      <c r="M1074" s="10">
        <f ca="1">IF(ISBLANK(K1074), TODAY()-(I1074), Table27[[#This Row],[Effectiveness Review &amp; date deemed effective]]-Table27[[#This Row],[PTO initialized date]])</f>
        <v>46067</v>
      </c>
    </row>
    <row r="1075" spans="1:13" ht="18">
      <c r="A1075" s="9"/>
      <c r="B1075" s="18" t="e">
        <f>VLOOKUP(Table27[[#This Row],[Location 
(drop-down)]],'List source'!D$2:E$71,2,FALSE)</f>
        <v>#N/A</v>
      </c>
      <c r="C1075" s="154" t="s">
        <v>2414</v>
      </c>
      <c r="D1075" s="20" t="e">
        <f t="shared" si="16"/>
        <v>#N/A</v>
      </c>
      <c r="E1075" s="9"/>
      <c r="F1075" s="10" t="e" cm="1">
        <f t="array" aca="1" ref="F10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5" s="10"/>
      <c r="I1075" s="12"/>
      <c r="J1075" s="12"/>
      <c r="K1075" s="61"/>
      <c r="L1075" s="233"/>
      <c r="M1075" s="10">
        <f ca="1">IF(ISBLANK(K1075), TODAY()-(I1075), Table27[[#This Row],[Effectiveness Review &amp; date deemed effective]]-Table27[[#This Row],[PTO initialized date]])</f>
        <v>46067</v>
      </c>
    </row>
    <row r="1076" spans="1:13" ht="18">
      <c r="A1076" s="9"/>
      <c r="B1076" s="18" t="e">
        <f>VLOOKUP(Table27[[#This Row],[Location 
(drop-down)]],'List source'!D$2:E$71,2,FALSE)</f>
        <v>#N/A</v>
      </c>
      <c r="C1076" s="154" t="s">
        <v>2415</v>
      </c>
      <c r="D1076" s="20" t="e">
        <f t="shared" si="16"/>
        <v>#N/A</v>
      </c>
      <c r="E1076" s="9"/>
      <c r="F1076" s="10" t="e" cm="1">
        <f t="array" aca="1" ref="F10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6" s="10"/>
      <c r="I1076" s="12"/>
      <c r="J1076" s="12"/>
      <c r="K1076" s="61"/>
      <c r="L1076" s="233"/>
      <c r="M1076" s="10">
        <f ca="1">IF(ISBLANK(K1076), TODAY()-(I1076), Table27[[#This Row],[Effectiveness Review &amp; date deemed effective]]-Table27[[#This Row],[PTO initialized date]])</f>
        <v>46067</v>
      </c>
    </row>
    <row r="1077" spans="1:13" ht="18">
      <c r="A1077" s="68"/>
      <c r="B1077" s="18" t="e">
        <f>VLOOKUP(Table27[[#This Row],[Location 
(drop-down)]],'List source'!D$2:E$71,2,FALSE)</f>
        <v>#N/A</v>
      </c>
      <c r="C1077" s="154" t="s">
        <v>2416</v>
      </c>
      <c r="D1077" s="20" t="e">
        <f t="shared" si="16"/>
        <v>#N/A</v>
      </c>
      <c r="E1077" s="68"/>
      <c r="F1077" s="10" t="e" cm="1">
        <f t="array" aca="1" ref="F10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7" s="72"/>
      <c r="I1077" s="70"/>
      <c r="J1077" s="70"/>
      <c r="K1077" s="71"/>
      <c r="L1077" s="296"/>
      <c r="M1077" s="10">
        <f ca="1">IF(ISBLANK(K1077), TODAY()-(I1077), Table27[[#This Row],[Effectiveness Review &amp; date deemed effective]]-Table27[[#This Row],[PTO initialized date]])</f>
        <v>46067</v>
      </c>
    </row>
    <row r="1078" spans="1:13" ht="18">
      <c r="A1078" s="9"/>
      <c r="B1078" s="18" t="e">
        <f>VLOOKUP(Table27[[#This Row],[Location 
(drop-down)]],'List source'!D$2:E$71,2,FALSE)</f>
        <v>#N/A</v>
      </c>
      <c r="C1078" s="154" t="s">
        <v>2417</v>
      </c>
      <c r="D1078" s="20" t="e">
        <f t="shared" si="16"/>
        <v>#N/A</v>
      </c>
      <c r="E1078" s="9"/>
      <c r="F1078" s="10" t="e" cm="1">
        <f t="array" aca="1" ref="F10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8" s="10"/>
      <c r="I1078" s="12"/>
      <c r="J1078" s="12"/>
      <c r="K1078" s="61"/>
      <c r="L1078" s="233"/>
      <c r="M1078" s="10">
        <f ca="1">IF(ISBLANK(K1078), TODAY()-(I1078), Table27[[#This Row],[Effectiveness Review &amp; date deemed effective]]-Table27[[#This Row],[PTO initialized date]])</f>
        <v>46067</v>
      </c>
    </row>
    <row r="1079" spans="1:13" ht="18">
      <c r="A1079" s="9"/>
      <c r="B1079" s="18" t="e">
        <f>VLOOKUP(Table27[[#This Row],[Location 
(drop-down)]],'List source'!D$2:E$71,2,FALSE)</f>
        <v>#N/A</v>
      </c>
      <c r="C1079" s="154" t="s">
        <v>2418</v>
      </c>
      <c r="D1079" s="20" t="e">
        <f t="shared" si="16"/>
        <v>#N/A</v>
      </c>
      <c r="E1079" s="9"/>
      <c r="F1079" s="10" t="e" cm="1">
        <f t="array" aca="1" ref="F10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79" s="10"/>
      <c r="I1079" s="12"/>
      <c r="J1079" s="12"/>
      <c r="K1079" s="61"/>
      <c r="L1079" s="233"/>
      <c r="M1079" s="10">
        <f ca="1">IF(ISBLANK(K1079), TODAY()-(I1079), Table27[[#This Row],[Effectiveness Review &amp; date deemed effective]]-Table27[[#This Row],[PTO initialized date]])</f>
        <v>46067</v>
      </c>
    </row>
    <row r="1080" spans="1:13" ht="18">
      <c r="A1080" s="9"/>
      <c r="B1080" s="18" t="e">
        <f>VLOOKUP(Table27[[#This Row],[Location 
(drop-down)]],'List source'!D$2:E$71,2,FALSE)</f>
        <v>#N/A</v>
      </c>
      <c r="C1080" s="154" t="s">
        <v>2419</v>
      </c>
      <c r="D1080" s="20" t="e">
        <f t="shared" si="16"/>
        <v>#N/A</v>
      </c>
      <c r="E1080" s="9"/>
      <c r="F1080" s="10" t="e" cm="1">
        <f t="array" aca="1" ref="F10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0" s="10"/>
      <c r="I1080" s="12"/>
      <c r="J1080" s="12"/>
      <c r="K1080" s="61"/>
      <c r="L1080" s="233"/>
      <c r="M1080" s="10">
        <f ca="1">IF(ISBLANK(K1080), TODAY()-(I1080), Table27[[#This Row],[Effectiveness Review &amp; date deemed effective]]-Table27[[#This Row],[PTO initialized date]])</f>
        <v>46067</v>
      </c>
    </row>
    <row r="1081" spans="1:13" ht="18">
      <c r="A1081" s="9"/>
      <c r="B1081" s="18" t="e">
        <f>VLOOKUP(Table27[[#This Row],[Location 
(drop-down)]],'List source'!D$2:E$71,2,FALSE)</f>
        <v>#N/A</v>
      </c>
      <c r="C1081" s="154" t="s">
        <v>2420</v>
      </c>
      <c r="D1081" s="20" t="e">
        <f t="shared" si="16"/>
        <v>#N/A</v>
      </c>
      <c r="E1081" s="9"/>
      <c r="F1081" s="10" t="e" cm="1">
        <f t="array" aca="1" ref="F10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1" s="10"/>
      <c r="I1081" s="12"/>
      <c r="J1081" s="12"/>
      <c r="K1081" s="61"/>
      <c r="L1081" s="233"/>
      <c r="M1081" s="10">
        <f ca="1">IF(ISBLANK(K1081), TODAY()-(I1081), Table27[[#This Row],[Effectiveness Review &amp; date deemed effective]]-Table27[[#This Row],[PTO initialized date]])</f>
        <v>46067</v>
      </c>
    </row>
    <row r="1082" spans="1:13" ht="18">
      <c r="A1082" s="9"/>
      <c r="B1082" s="18" t="e">
        <f>VLOOKUP(Table27[[#This Row],[Location 
(drop-down)]],'List source'!D$2:E$71,2,FALSE)</f>
        <v>#N/A</v>
      </c>
      <c r="C1082" s="154" t="s">
        <v>2421</v>
      </c>
      <c r="D1082" s="20" t="e">
        <f t="shared" si="16"/>
        <v>#N/A</v>
      </c>
      <c r="E1082" s="9"/>
      <c r="F1082" s="10" t="e" cm="1">
        <f t="array" aca="1" ref="F10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2" s="10"/>
      <c r="I1082" s="12"/>
      <c r="J1082" s="12"/>
      <c r="K1082" s="61"/>
      <c r="L1082" s="233"/>
      <c r="M1082" s="10">
        <f ca="1">IF(ISBLANK(K1082), TODAY()-(I1082), Table27[[#This Row],[Effectiveness Review &amp; date deemed effective]]-Table27[[#This Row],[PTO initialized date]])</f>
        <v>46067</v>
      </c>
    </row>
    <row r="1083" spans="1:13" ht="18">
      <c r="A1083" s="9"/>
      <c r="B1083" s="18" t="e">
        <f>VLOOKUP(Table27[[#This Row],[Location 
(drop-down)]],'List source'!D$2:E$71,2,FALSE)</f>
        <v>#N/A</v>
      </c>
      <c r="C1083" s="154" t="s">
        <v>2422</v>
      </c>
      <c r="D1083" s="20" t="e">
        <f t="shared" si="16"/>
        <v>#N/A</v>
      </c>
      <c r="E1083" s="9"/>
      <c r="F1083" s="10" t="e" cm="1">
        <f t="array" aca="1" ref="F10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3" s="10"/>
      <c r="I1083" s="12"/>
      <c r="J1083" s="12"/>
      <c r="K1083" s="61"/>
      <c r="L1083" s="233"/>
      <c r="M1083" s="10">
        <f ca="1">IF(ISBLANK(K1083), TODAY()-(I1083), Table27[[#This Row],[Effectiveness Review &amp; date deemed effective]]-Table27[[#This Row],[PTO initialized date]])</f>
        <v>46067</v>
      </c>
    </row>
    <row r="1084" spans="1:13" ht="18">
      <c r="A1084" s="9"/>
      <c r="B1084" s="18" t="e">
        <f>VLOOKUP(Table27[[#This Row],[Location 
(drop-down)]],'List source'!D$2:E$71,2,FALSE)</f>
        <v>#N/A</v>
      </c>
      <c r="C1084" s="154" t="s">
        <v>2423</v>
      </c>
      <c r="D1084" s="20" t="e">
        <f t="shared" si="16"/>
        <v>#N/A</v>
      </c>
      <c r="E1084" s="9"/>
      <c r="F1084" s="10" t="e" cm="1">
        <f t="array" aca="1" ref="F10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4" s="10"/>
      <c r="I1084" s="12"/>
      <c r="J1084" s="12"/>
      <c r="K1084" s="61"/>
      <c r="L1084" s="233"/>
      <c r="M1084" s="10">
        <f ca="1">IF(ISBLANK(K1084), TODAY()-(I1084), Table27[[#This Row],[Effectiveness Review &amp; date deemed effective]]-Table27[[#This Row],[PTO initialized date]])</f>
        <v>46067</v>
      </c>
    </row>
    <row r="1085" spans="1:13" ht="18">
      <c r="A1085" s="9"/>
      <c r="B1085" s="18" t="e">
        <f>VLOOKUP(Table27[[#This Row],[Location 
(drop-down)]],'List source'!D$2:E$71,2,FALSE)</f>
        <v>#N/A</v>
      </c>
      <c r="C1085" s="154" t="s">
        <v>2424</v>
      </c>
      <c r="D1085" s="20" t="e">
        <f t="shared" si="16"/>
        <v>#N/A</v>
      </c>
      <c r="E1085" s="9"/>
      <c r="F1085" s="10" t="e" cm="1">
        <f t="array" aca="1" ref="F10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5" s="10"/>
      <c r="I1085" s="12"/>
      <c r="J1085" s="12"/>
      <c r="K1085" s="61"/>
      <c r="L1085" s="233"/>
      <c r="M1085" s="10">
        <f ca="1">IF(ISBLANK(K1085), TODAY()-(I1085), Table27[[#This Row],[Effectiveness Review &amp; date deemed effective]]-Table27[[#This Row],[PTO initialized date]])</f>
        <v>46067</v>
      </c>
    </row>
    <row r="1086" spans="1:13" ht="18">
      <c r="A1086" s="9"/>
      <c r="B1086" s="18" t="e">
        <f>VLOOKUP(Table27[[#This Row],[Location 
(drop-down)]],'List source'!D$2:E$71,2,FALSE)</f>
        <v>#N/A</v>
      </c>
      <c r="C1086" s="154" t="s">
        <v>2425</v>
      </c>
      <c r="D1086" s="20" t="e">
        <f t="shared" si="16"/>
        <v>#N/A</v>
      </c>
      <c r="E1086" s="9"/>
      <c r="F1086" s="10" t="e" cm="1">
        <f t="array" aca="1" ref="F10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6" s="10"/>
      <c r="I1086" s="12"/>
      <c r="J1086" s="12"/>
      <c r="K1086" s="61"/>
      <c r="L1086" s="233"/>
      <c r="M1086" s="10">
        <f ca="1">IF(ISBLANK(K1086), TODAY()-(I1086), Table27[[#This Row],[Effectiveness Review &amp; date deemed effective]]-Table27[[#This Row],[PTO initialized date]])</f>
        <v>46067</v>
      </c>
    </row>
    <row r="1087" spans="1:13" ht="18">
      <c r="A1087" s="9"/>
      <c r="B1087" s="18" t="e">
        <f>VLOOKUP(Table27[[#This Row],[Location 
(drop-down)]],'List source'!D$2:E$71,2,FALSE)</f>
        <v>#N/A</v>
      </c>
      <c r="C1087" s="154" t="s">
        <v>2426</v>
      </c>
      <c r="D1087" s="20" t="e">
        <f t="shared" si="16"/>
        <v>#N/A</v>
      </c>
      <c r="E1087" s="9"/>
      <c r="F1087" s="10" t="e" cm="1">
        <f t="array" aca="1" ref="F10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7" s="10"/>
      <c r="I1087" s="12"/>
      <c r="J1087" s="12"/>
      <c r="K1087" s="61"/>
      <c r="L1087" s="233"/>
      <c r="M1087" s="10">
        <f ca="1">IF(ISBLANK(K1087), TODAY()-(I1087), Table27[[#This Row],[Effectiveness Review &amp; date deemed effective]]-Table27[[#This Row],[PTO initialized date]])</f>
        <v>46067</v>
      </c>
    </row>
    <row r="1088" spans="1:13" ht="18">
      <c r="A1088" s="9"/>
      <c r="B1088" s="18" t="e">
        <f>VLOOKUP(Table27[[#This Row],[Location 
(drop-down)]],'List source'!D$2:E$71,2,FALSE)</f>
        <v>#N/A</v>
      </c>
      <c r="C1088" s="154" t="s">
        <v>2427</v>
      </c>
      <c r="D1088" s="20" t="e">
        <f t="shared" si="16"/>
        <v>#N/A</v>
      </c>
      <c r="E1088" s="9"/>
      <c r="F1088" s="10" t="e" cm="1">
        <f t="array" aca="1" ref="F10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8" s="10"/>
      <c r="I1088" s="12"/>
      <c r="J1088" s="12"/>
      <c r="K1088" s="61"/>
      <c r="L1088" s="233"/>
      <c r="M1088" s="10">
        <f ca="1">IF(ISBLANK(K1088), TODAY()-(I1088), Table27[[#This Row],[Effectiveness Review &amp; date deemed effective]]-Table27[[#This Row],[PTO initialized date]])</f>
        <v>46067</v>
      </c>
    </row>
    <row r="1089" spans="1:13" ht="18">
      <c r="A1089" s="9"/>
      <c r="B1089" s="18" t="e">
        <f>VLOOKUP(Table27[[#This Row],[Location 
(drop-down)]],'List source'!D$2:E$71,2,FALSE)</f>
        <v>#N/A</v>
      </c>
      <c r="C1089" s="154" t="s">
        <v>2428</v>
      </c>
      <c r="D1089" s="20" t="e">
        <f t="shared" si="16"/>
        <v>#N/A</v>
      </c>
      <c r="E1089" s="9"/>
      <c r="F1089" s="10" t="e" cm="1">
        <f t="array" aca="1" ref="F10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89" s="10"/>
      <c r="I1089" s="12"/>
      <c r="J1089" s="12"/>
      <c r="K1089" s="61"/>
      <c r="L1089" s="233"/>
      <c r="M1089" s="10">
        <f ca="1">IF(ISBLANK(K1089), TODAY()-(I1089), Table27[[#This Row],[Effectiveness Review &amp; date deemed effective]]-Table27[[#This Row],[PTO initialized date]])</f>
        <v>46067</v>
      </c>
    </row>
    <row r="1090" spans="1:13" ht="18">
      <c r="A1090" s="9"/>
      <c r="B1090" s="18" t="e">
        <f>VLOOKUP(Table27[[#This Row],[Location 
(drop-down)]],'List source'!D$2:E$71,2,FALSE)</f>
        <v>#N/A</v>
      </c>
      <c r="C1090" s="154" t="s">
        <v>2429</v>
      </c>
      <c r="D1090" s="20" t="e">
        <f t="shared" ref="D1090:D1153" si="17">"PTO" &amp; C1090 &amp; "-" &amp; B1090 &amp; "-" &amp; "26"</f>
        <v>#N/A</v>
      </c>
      <c r="E1090" s="9"/>
      <c r="F1090" s="10" t="e" cm="1">
        <f t="array" aca="1" ref="F10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0" s="10"/>
      <c r="I1090" s="12"/>
      <c r="J1090" s="12"/>
      <c r="K1090" s="61"/>
      <c r="L1090" s="233"/>
      <c r="M1090" s="10">
        <f ca="1">IF(ISBLANK(K1090), TODAY()-(I1090), Table27[[#This Row],[Effectiveness Review &amp; date deemed effective]]-Table27[[#This Row],[PTO initialized date]])</f>
        <v>46067</v>
      </c>
    </row>
    <row r="1091" spans="1:13" ht="18">
      <c r="A1091" s="9"/>
      <c r="B1091" s="18" t="e">
        <f>VLOOKUP(Table27[[#This Row],[Location 
(drop-down)]],'List source'!D$2:E$71,2,FALSE)</f>
        <v>#N/A</v>
      </c>
      <c r="C1091" s="154" t="s">
        <v>2430</v>
      </c>
      <c r="D1091" s="20" t="e">
        <f t="shared" si="17"/>
        <v>#N/A</v>
      </c>
      <c r="E1091" s="9"/>
      <c r="F1091" s="10" t="e" cm="1">
        <f t="array" aca="1" ref="F10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1" s="10"/>
      <c r="I1091" s="12"/>
      <c r="J1091" s="12"/>
      <c r="K1091" s="61"/>
      <c r="L1091" s="233"/>
      <c r="M1091" s="10">
        <f ca="1">IF(ISBLANK(K1091), TODAY()-(I1091), Table27[[#This Row],[Effectiveness Review &amp; date deemed effective]]-Table27[[#This Row],[PTO initialized date]])</f>
        <v>46067</v>
      </c>
    </row>
    <row r="1092" spans="1:13" ht="18">
      <c r="A1092" s="9"/>
      <c r="B1092" s="18" t="e">
        <f>VLOOKUP(Table27[[#This Row],[Location 
(drop-down)]],'List source'!D$2:E$71,2,FALSE)</f>
        <v>#N/A</v>
      </c>
      <c r="C1092" s="154" t="s">
        <v>2431</v>
      </c>
      <c r="D1092" s="20" t="e">
        <f t="shared" si="17"/>
        <v>#N/A</v>
      </c>
      <c r="E1092" s="9"/>
      <c r="F1092" s="10" t="e" cm="1">
        <f t="array" aca="1" ref="F10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2" s="10"/>
      <c r="I1092" s="12"/>
      <c r="J1092" s="12"/>
      <c r="K1092" s="61"/>
      <c r="L1092" s="233"/>
      <c r="M1092" s="10">
        <f ca="1">IF(ISBLANK(K1092), TODAY()-(I1092), Table27[[#This Row],[Effectiveness Review &amp; date deemed effective]]-Table27[[#This Row],[PTO initialized date]])</f>
        <v>46067</v>
      </c>
    </row>
    <row r="1093" spans="1:13" ht="18">
      <c r="A1093" s="9"/>
      <c r="B1093" s="18" t="e">
        <f>VLOOKUP(Table27[[#This Row],[Location 
(drop-down)]],'List source'!D$2:E$71,2,FALSE)</f>
        <v>#N/A</v>
      </c>
      <c r="C1093" s="154" t="s">
        <v>2432</v>
      </c>
      <c r="D1093" s="20" t="e">
        <f t="shared" si="17"/>
        <v>#N/A</v>
      </c>
      <c r="E1093" s="9"/>
      <c r="F1093" s="10" t="e" cm="1">
        <f t="array" aca="1" ref="F10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3" s="10"/>
      <c r="I1093" s="12"/>
      <c r="J1093" s="12"/>
      <c r="K1093" s="61"/>
      <c r="L1093" s="233"/>
      <c r="M1093" s="10">
        <f ca="1">IF(ISBLANK(K1093), TODAY()-(I1093), Table27[[#This Row],[Effectiveness Review &amp; date deemed effective]]-Table27[[#This Row],[PTO initialized date]])</f>
        <v>46067</v>
      </c>
    </row>
    <row r="1094" spans="1:13" ht="18">
      <c r="A1094" s="9"/>
      <c r="B1094" s="18" t="e">
        <f>VLOOKUP(Table27[[#This Row],[Location 
(drop-down)]],'List source'!D$2:E$71,2,FALSE)</f>
        <v>#N/A</v>
      </c>
      <c r="C1094" s="154" t="s">
        <v>2433</v>
      </c>
      <c r="D1094" s="20" t="e">
        <f t="shared" si="17"/>
        <v>#N/A</v>
      </c>
      <c r="E1094" s="9"/>
      <c r="F1094" s="10" t="e" cm="1">
        <f t="array" aca="1" ref="F10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4" s="10"/>
      <c r="I1094" s="12"/>
      <c r="J1094" s="12"/>
      <c r="K1094" s="61"/>
      <c r="L1094" s="233"/>
      <c r="M1094" s="10">
        <f ca="1">IF(ISBLANK(K1094), TODAY()-(I1094), Table27[[#This Row],[Effectiveness Review &amp; date deemed effective]]-Table27[[#This Row],[PTO initialized date]])</f>
        <v>46067</v>
      </c>
    </row>
    <row r="1095" spans="1:13" ht="18">
      <c r="A1095" s="9"/>
      <c r="B1095" s="18" t="e">
        <f>VLOOKUP(Table27[[#This Row],[Location 
(drop-down)]],'List source'!D$2:E$71,2,FALSE)</f>
        <v>#N/A</v>
      </c>
      <c r="C1095" s="154" t="s">
        <v>2434</v>
      </c>
      <c r="D1095" s="20" t="e">
        <f t="shared" si="17"/>
        <v>#N/A</v>
      </c>
      <c r="E1095" s="9"/>
      <c r="F1095" s="10" t="e" cm="1">
        <f t="array" aca="1" ref="F10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5" s="10"/>
      <c r="I1095" s="12"/>
      <c r="J1095" s="12"/>
      <c r="K1095" s="61"/>
      <c r="L1095" s="233"/>
      <c r="M1095" s="10">
        <f ca="1">IF(ISBLANK(K1095), TODAY()-(I1095), Table27[[#This Row],[Effectiveness Review &amp; date deemed effective]]-Table27[[#This Row],[PTO initialized date]])</f>
        <v>46067</v>
      </c>
    </row>
    <row r="1096" spans="1:13" ht="18">
      <c r="A1096" s="9"/>
      <c r="B1096" s="18" t="e">
        <f>VLOOKUP(Table27[[#This Row],[Location 
(drop-down)]],'List source'!D$2:E$71,2,FALSE)</f>
        <v>#N/A</v>
      </c>
      <c r="C1096" s="154" t="s">
        <v>2435</v>
      </c>
      <c r="D1096" s="20" t="e">
        <f t="shared" si="17"/>
        <v>#N/A</v>
      </c>
      <c r="E1096" s="9"/>
      <c r="F1096" s="10" t="e" cm="1">
        <f t="array" aca="1" ref="F10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6" s="10"/>
      <c r="I1096" s="12"/>
      <c r="J1096" s="12"/>
      <c r="K1096" s="61"/>
      <c r="L1096" s="233"/>
      <c r="M1096" s="10">
        <f ca="1">IF(ISBLANK(K1096), TODAY()-(I1096), Table27[[#This Row],[Effectiveness Review &amp; date deemed effective]]-Table27[[#This Row],[PTO initialized date]])</f>
        <v>46067</v>
      </c>
    </row>
    <row r="1097" spans="1:13" ht="18">
      <c r="A1097" s="9"/>
      <c r="B1097" s="18" t="e">
        <f>VLOOKUP(Table27[[#This Row],[Location 
(drop-down)]],'List source'!D$2:E$71,2,FALSE)</f>
        <v>#N/A</v>
      </c>
      <c r="C1097" s="154" t="s">
        <v>2436</v>
      </c>
      <c r="D1097" s="20" t="e">
        <f t="shared" si="17"/>
        <v>#N/A</v>
      </c>
      <c r="E1097" s="9"/>
      <c r="F1097" s="10" t="e" cm="1">
        <f t="array" aca="1" ref="F10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7" s="10"/>
      <c r="I1097" s="12"/>
      <c r="J1097" s="12"/>
      <c r="K1097" s="61"/>
      <c r="L1097" s="233"/>
      <c r="M1097" s="10">
        <f ca="1">IF(ISBLANK(K1097), TODAY()-(I1097), Table27[[#This Row],[Effectiveness Review &amp; date deemed effective]]-Table27[[#This Row],[PTO initialized date]])</f>
        <v>46067</v>
      </c>
    </row>
    <row r="1098" spans="1:13" ht="18">
      <c r="A1098" s="9"/>
      <c r="B1098" s="18" t="e">
        <f>VLOOKUP(Table27[[#This Row],[Location 
(drop-down)]],'List source'!D$2:E$71,2,FALSE)</f>
        <v>#N/A</v>
      </c>
      <c r="C1098" s="154" t="s">
        <v>2437</v>
      </c>
      <c r="D1098" s="20" t="e">
        <f t="shared" si="17"/>
        <v>#N/A</v>
      </c>
      <c r="E1098" s="9"/>
      <c r="F1098" s="10" t="e" cm="1">
        <f t="array" aca="1" ref="F10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8" s="10"/>
      <c r="I1098" s="12"/>
      <c r="J1098" s="12"/>
      <c r="K1098" s="61"/>
      <c r="L1098" s="233"/>
      <c r="M1098" s="10">
        <f ca="1">IF(ISBLANK(K1098), TODAY()-(I1098), Table27[[#This Row],[Effectiveness Review &amp; date deemed effective]]-Table27[[#This Row],[PTO initialized date]])</f>
        <v>46067</v>
      </c>
    </row>
    <row r="1099" spans="1:13" ht="18">
      <c r="A1099" s="9"/>
      <c r="B1099" s="18" t="e">
        <f>VLOOKUP(Table27[[#This Row],[Location 
(drop-down)]],'List source'!D$2:E$71,2,FALSE)</f>
        <v>#N/A</v>
      </c>
      <c r="C1099" s="154" t="s">
        <v>2438</v>
      </c>
      <c r="D1099" s="20" t="e">
        <f t="shared" si="17"/>
        <v>#N/A</v>
      </c>
      <c r="E1099" s="9"/>
      <c r="F1099" s="10" t="e" cm="1">
        <f t="array" aca="1" ref="F10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0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099" s="10"/>
      <c r="I1099" s="12"/>
      <c r="J1099" s="12"/>
      <c r="K1099" s="61"/>
      <c r="L1099" s="233"/>
      <c r="M1099" s="10">
        <f ca="1">IF(ISBLANK(K1099), TODAY()-(I1099), Table27[[#This Row],[Effectiveness Review &amp; date deemed effective]]-Table27[[#This Row],[PTO initialized date]])</f>
        <v>46067</v>
      </c>
    </row>
    <row r="1100" spans="1:13" ht="18">
      <c r="A1100" s="9"/>
      <c r="B1100" s="18" t="e">
        <f>VLOOKUP(Table27[[#This Row],[Location 
(drop-down)]],'List source'!D$2:E$71,2,FALSE)</f>
        <v>#N/A</v>
      </c>
      <c r="C1100" s="154" t="s">
        <v>2439</v>
      </c>
      <c r="D1100" s="20" t="e">
        <f t="shared" si="17"/>
        <v>#N/A</v>
      </c>
      <c r="E1100" s="9"/>
      <c r="F1100" s="10" t="e" cm="1">
        <f t="array" aca="1" ref="F11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0" s="10"/>
      <c r="I1100" s="12"/>
      <c r="J1100" s="12"/>
      <c r="K1100" s="61"/>
      <c r="L1100" s="233"/>
      <c r="M1100" s="10">
        <f ca="1">IF(ISBLANK(K1100), TODAY()-(I1100), Table27[[#This Row],[Effectiveness Review &amp; date deemed effective]]-Table27[[#This Row],[PTO initialized date]])</f>
        <v>46067</v>
      </c>
    </row>
    <row r="1101" spans="1:13" ht="18">
      <c r="A1101" s="9"/>
      <c r="B1101" s="18" t="e">
        <f>VLOOKUP(Table27[[#This Row],[Location 
(drop-down)]],'List source'!D$2:E$71,2,FALSE)</f>
        <v>#N/A</v>
      </c>
      <c r="C1101" s="154" t="s">
        <v>2440</v>
      </c>
      <c r="D1101" s="20" t="e">
        <f t="shared" si="17"/>
        <v>#N/A</v>
      </c>
      <c r="E1101" s="9"/>
      <c r="F1101" s="10" t="e" cm="1">
        <f t="array" aca="1" ref="F11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1" s="10"/>
      <c r="I1101" s="12"/>
      <c r="J1101" s="12"/>
      <c r="K1101" s="61"/>
      <c r="L1101" s="233"/>
      <c r="M1101" s="10">
        <f ca="1">IF(ISBLANK(K1101), TODAY()-(I1101), Table27[[#This Row],[Effectiveness Review &amp; date deemed effective]]-Table27[[#This Row],[PTO initialized date]])</f>
        <v>46067</v>
      </c>
    </row>
    <row r="1102" spans="1:13" ht="18">
      <c r="A1102" s="9"/>
      <c r="B1102" s="18" t="e">
        <f>VLOOKUP(Table27[[#This Row],[Location 
(drop-down)]],'List source'!D$2:E$71,2,FALSE)</f>
        <v>#N/A</v>
      </c>
      <c r="C1102" s="154" t="s">
        <v>2441</v>
      </c>
      <c r="D1102" s="20" t="e">
        <f t="shared" si="17"/>
        <v>#N/A</v>
      </c>
      <c r="E1102" s="9"/>
      <c r="F1102" s="10" t="e" cm="1">
        <f t="array" aca="1" ref="F11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2" s="10"/>
      <c r="I1102" s="12"/>
      <c r="J1102" s="12"/>
      <c r="K1102" s="61"/>
      <c r="L1102" s="233"/>
      <c r="M1102" s="10">
        <f ca="1">IF(ISBLANK(K1102), TODAY()-(I1102), Table27[[#This Row],[Effectiveness Review &amp; date deemed effective]]-Table27[[#This Row],[PTO initialized date]])</f>
        <v>46067</v>
      </c>
    </row>
    <row r="1103" spans="1:13" ht="18">
      <c r="A1103" s="9"/>
      <c r="B1103" s="18" t="e">
        <f>VLOOKUP(Table27[[#This Row],[Location 
(drop-down)]],'List source'!D$2:E$71,2,FALSE)</f>
        <v>#N/A</v>
      </c>
      <c r="C1103" s="154" t="s">
        <v>2442</v>
      </c>
      <c r="D1103" s="20" t="e">
        <f t="shared" si="17"/>
        <v>#N/A</v>
      </c>
      <c r="E1103" s="9"/>
      <c r="F1103" s="10" t="e" cm="1">
        <f t="array" aca="1" ref="F11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3" s="10"/>
      <c r="I1103" s="12"/>
      <c r="J1103" s="12"/>
      <c r="K1103" s="61"/>
      <c r="L1103" s="233"/>
      <c r="M1103" s="10">
        <f ca="1">IF(ISBLANK(K1103), TODAY()-(I1103), Table27[[#This Row],[Effectiveness Review &amp; date deemed effective]]-Table27[[#This Row],[PTO initialized date]])</f>
        <v>46067</v>
      </c>
    </row>
    <row r="1104" spans="1:13" ht="18">
      <c r="A1104" s="9"/>
      <c r="B1104" s="18" t="e">
        <f>VLOOKUP(Table27[[#This Row],[Location 
(drop-down)]],'List source'!D$2:E$71,2,FALSE)</f>
        <v>#N/A</v>
      </c>
      <c r="C1104" s="154" t="s">
        <v>2443</v>
      </c>
      <c r="D1104" s="20" t="e">
        <f t="shared" si="17"/>
        <v>#N/A</v>
      </c>
      <c r="E1104" s="9"/>
      <c r="F1104" s="10" t="e" cm="1">
        <f t="array" aca="1" ref="F11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4" s="10"/>
      <c r="I1104" s="12"/>
      <c r="J1104" s="12"/>
      <c r="K1104" s="61"/>
      <c r="L1104" s="233"/>
      <c r="M1104" s="10">
        <f ca="1">IF(ISBLANK(K1104), TODAY()-(I1104), Table27[[#This Row],[Effectiveness Review &amp; date deemed effective]]-Table27[[#This Row],[PTO initialized date]])</f>
        <v>46067</v>
      </c>
    </row>
    <row r="1105" spans="1:13" ht="18">
      <c r="A1105" s="9"/>
      <c r="B1105" s="18" t="e">
        <f>VLOOKUP(Table27[[#This Row],[Location 
(drop-down)]],'List source'!D$2:E$71,2,FALSE)</f>
        <v>#N/A</v>
      </c>
      <c r="C1105" s="154" t="s">
        <v>2444</v>
      </c>
      <c r="D1105" s="20" t="e">
        <f t="shared" si="17"/>
        <v>#N/A</v>
      </c>
      <c r="E1105" s="9"/>
      <c r="F1105" s="10" t="e" cm="1">
        <f t="array" aca="1" ref="F11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5" s="10"/>
      <c r="I1105" s="12"/>
      <c r="J1105" s="12"/>
      <c r="K1105" s="61"/>
      <c r="L1105" s="233"/>
      <c r="M1105" s="10">
        <f ca="1">IF(ISBLANK(K1105), TODAY()-(I1105), Table27[[#This Row],[Effectiveness Review &amp; date deemed effective]]-Table27[[#This Row],[PTO initialized date]])</f>
        <v>46067</v>
      </c>
    </row>
    <row r="1106" spans="1:13" ht="18">
      <c r="A1106" s="9"/>
      <c r="B1106" s="18" t="e">
        <f>VLOOKUP(Table27[[#This Row],[Location 
(drop-down)]],'List source'!D$2:E$71,2,FALSE)</f>
        <v>#N/A</v>
      </c>
      <c r="C1106" s="154" t="s">
        <v>2445</v>
      </c>
      <c r="D1106" s="20" t="e">
        <f t="shared" si="17"/>
        <v>#N/A</v>
      </c>
      <c r="E1106" s="9"/>
      <c r="F1106" s="10" t="e" cm="1">
        <f t="array" aca="1" ref="F11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6" s="10"/>
      <c r="I1106" s="12"/>
      <c r="J1106" s="12"/>
      <c r="K1106" s="61"/>
      <c r="L1106" s="233"/>
      <c r="M1106" s="10">
        <f ca="1">IF(ISBLANK(K1106), TODAY()-(I1106), Table27[[#This Row],[Effectiveness Review &amp; date deemed effective]]-Table27[[#This Row],[PTO initialized date]])</f>
        <v>46067</v>
      </c>
    </row>
    <row r="1107" spans="1:13" ht="18">
      <c r="A1107" s="9"/>
      <c r="B1107" s="18" t="e">
        <f>VLOOKUP(Table27[[#This Row],[Location 
(drop-down)]],'List source'!D$2:E$71,2,FALSE)</f>
        <v>#N/A</v>
      </c>
      <c r="C1107" s="154" t="s">
        <v>2446</v>
      </c>
      <c r="D1107" s="20" t="e">
        <f t="shared" si="17"/>
        <v>#N/A</v>
      </c>
      <c r="E1107" s="9"/>
      <c r="F1107" s="10" t="e" cm="1">
        <f t="array" aca="1" ref="F11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7" s="10"/>
      <c r="I1107" s="12"/>
      <c r="J1107" s="12"/>
      <c r="K1107" s="61"/>
      <c r="L1107" s="233"/>
      <c r="M1107" s="10">
        <f ca="1">IF(ISBLANK(K1107), TODAY()-(I1107), Table27[[#This Row],[Effectiveness Review &amp; date deemed effective]]-Table27[[#This Row],[PTO initialized date]])</f>
        <v>46067</v>
      </c>
    </row>
    <row r="1108" spans="1:13" ht="18">
      <c r="A1108" s="9"/>
      <c r="B1108" s="18" t="e">
        <f>VLOOKUP(Table27[[#This Row],[Location 
(drop-down)]],'List source'!D$2:E$71,2,FALSE)</f>
        <v>#N/A</v>
      </c>
      <c r="C1108" s="154" t="s">
        <v>2447</v>
      </c>
      <c r="D1108" s="20" t="e">
        <f t="shared" si="17"/>
        <v>#N/A</v>
      </c>
      <c r="E1108" s="9"/>
      <c r="F1108" s="10" t="e" cm="1">
        <f t="array" aca="1" ref="F11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8" s="10"/>
      <c r="I1108" s="12"/>
      <c r="J1108" s="12"/>
      <c r="K1108" s="61"/>
      <c r="L1108" s="233"/>
      <c r="M1108" s="10">
        <f ca="1">IF(ISBLANK(K1108), TODAY()-(I1108), Table27[[#This Row],[Effectiveness Review &amp; date deemed effective]]-Table27[[#This Row],[PTO initialized date]])</f>
        <v>46067</v>
      </c>
    </row>
    <row r="1109" spans="1:13" ht="18">
      <c r="A1109" s="9"/>
      <c r="B1109" s="18" t="e">
        <f>VLOOKUP(Table27[[#This Row],[Location 
(drop-down)]],'List source'!D$2:E$71,2,FALSE)</f>
        <v>#N/A</v>
      </c>
      <c r="C1109" s="154" t="s">
        <v>2448</v>
      </c>
      <c r="D1109" s="20" t="e">
        <f t="shared" si="17"/>
        <v>#N/A</v>
      </c>
      <c r="E1109" s="9"/>
      <c r="F1109" s="10" t="e" cm="1">
        <f t="array" aca="1" ref="F11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09" s="10"/>
      <c r="I1109" s="12"/>
      <c r="J1109" s="12"/>
      <c r="K1109" s="61"/>
      <c r="L1109" s="233"/>
      <c r="M1109" s="10">
        <f ca="1">IF(ISBLANK(K1109), TODAY()-(I1109), Table27[[#This Row],[Effectiveness Review &amp; date deemed effective]]-Table27[[#This Row],[PTO initialized date]])</f>
        <v>46067</v>
      </c>
    </row>
    <row r="1110" spans="1:13" ht="18">
      <c r="A1110" s="9"/>
      <c r="B1110" s="18" t="e">
        <f>VLOOKUP(Table27[[#This Row],[Location 
(drop-down)]],'List source'!D$2:E$71,2,FALSE)</f>
        <v>#N/A</v>
      </c>
      <c r="C1110" s="154" t="s">
        <v>2449</v>
      </c>
      <c r="D1110" s="20" t="e">
        <f t="shared" si="17"/>
        <v>#N/A</v>
      </c>
      <c r="E1110" s="9"/>
      <c r="F1110" s="10" t="e" cm="1">
        <f t="array" aca="1" ref="F11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0" s="10"/>
      <c r="I1110" s="12"/>
      <c r="J1110" s="12"/>
      <c r="K1110" s="61"/>
      <c r="L1110" s="233"/>
      <c r="M1110" s="10">
        <f ca="1">IF(ISBLANK(K1110), TODAY()-(I1110), Table27[[#This Row],[Effectiveness Review &amp; date deemed effective]]-Table27[[#This Row],[PTO initialized date]])</f>
        <v>46067</v>
      </c>
    </row>
    <row r="1111" spans="1:13" ht="18">
      <c r="A1111" s="9"/>
      <c r="B1111" s="18" t="e">
        <f>VLOOKUP(Table27[[#This Row],[Location 
(drop-down)]],'List source'!D$2:E$71,2,FALSE)</f>
        <v>#N/A</v>
      </c>
      <c r="C1111" s="154" t="s">
        <v>2450</v>
      </c>
      <c r="D1111" s="20" t="e">
        <f t="shared" si="17"/>
        <v>#N/A</v>
      </c>
      <c r="E1111" s="9"/>
      <c r="F1111" s="10" t="e" cm="1">
        <f t="array" aca="1" ref="F11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1" s="10"/>
      <c r="I1111" s="12"/>
      <c r="J1111" s="12"/>
      <c r="K1111" s="61"/>
      <c r="L1111" s="233"/>
      <c r="M1111" s="10">
        <f ca="1">IF(ISBLANK(K1111), TODAY()-(I1111), Table27[[#This Row],[Effectiveness Review &amp; date deemed effective]]-Table27[[#This Row],[PTO initialized date]])</f>
        <v>46067</v>
      </c>
    </row>
    <row r="1112" spans="1:13" ht="18">
      <c r="A1112" s="9"/>
      <c r="B1112" s="18" t="e">
        <f>VLOOKUP(Table27[[#This Row],[Location 
(drop-down)]],'List source'!D$2:E$71,2,FALSE)</f>
        <v>#N/A</v>
      </c>
      <c r="C1112" s="154" t="s">
        <v>2451</v>
      </c>
      <c r="D1112" s="20" t="e">
        <f t="shared" si="17"/>
        <v>#N/A</v>
      </c>
      <c r="E1112" s="9"/>
      <c r="F1112" s="10" t="e" cm="1">
        <f t="array" aca="1" ref="F11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2" s="10"/>
      <c r="I1112" s="12"/>
      <c r="J1112" s="12"/>
      <c r="K1112" s="61"/>
      <c r="L1112" s="233"/>
      <c r="M1112" s="10">
        <f ca="1">IF(ISBLANK(K1112), TODAY()-(I1112), Table27[[#This Row],[Effectiveness Review &amp; date deemed effective]]-Table27[[#This Row],[PTO initialized date]])</f>
        <v>46067</v>
      </c>
    </row>
    <row r="1113" spans="1:13" ht="18">
      <c r="A1113" s="9"/>
      <c r="B1113" s="18" t="e">
        <f>VLOOKUP(Table27[[#This Row],[Location 
(drop-down)]],'List source'!D$2:E$71,2,FALSE)</f>
        <v>#N/A</v>
      </c>
      <c r="C1113" s="154" t="s">
        <v>2452</v>
      </c>
      <c r="D1113" s="20" t="e">
        <f t="shared" si="17"/>
        <v>#N/A</v>
      </c>
      <c r="E1113" s="9"/>
      <c r="F1113" s="10" t="e" cm="1">
        <f t="array" aca="1" ref="F11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3" s="10"/>
      <c r="I1113" s="12"/>
      <c r="J1113" s="12"/>
      <c r="K1113" s="61"/>
      <c r="L1113" s="233"/>
      <c r="M1113" s="10">
        <f ca="1">IF(ISBLANK(K1113), TODAY()-(I1113), Table27[[#This Row],[Effectiveness Review &amp; date deemed effective]]-Table27[[#This Row],[PTO initialized date]])</f>
        <v>46067</v>
      </c>
    </row>
    <row r="1114" spans="1:13" ht="18">
      <c r="A1114" s="9"/>
      <c r="B1114" s="18" t="e">
        <f>VLOOKUP(Table27[[#This Row],[Location 
(drop-down)]],'List source'!D$2:E$71,2,FALSE)</f>
        <v>#N/A</v>
      </c>
      <c r="C1114" s="154" t="s">
        <v>2453</v>
      </c>
      <c r="D1114" s="20" t="e">
        <f t="shared" si="17"/>
        <v>#N/A</v>
      </c>
      <c r="E1114" s="9"/>
      <c r="F1114" s="10" t="e" cm="1">
        <f t="array" aca="1" ref="F11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4" s="10"/>
      <c r="I1114" s="12"/>
      <c r="J1114" s="12"/>
      <c r="K1114" s="61"/>
      <c r="L1114" s="233"/>
      <c r="M1114" s="10">
        <f ca="1">IF(ISBLANK(K1114), TODAY()-(I1114), Table27[[#This Row],[Effectiveness Review &amp; date deemed effective]]-Table27[[#This Row],[PTO initialized date]])</f>
        <v>46067</v>
      </c>
    </row>
    <row r="1115" spans="1:13" ht="18">
      <c r="A1115" s="9"/>
      <c r="B1115" s="18" t="e">
        <f>VLOOKUP(Table27[[#This Row],[Location 
(drop-down)]],'List source'!D$2:E$71,2,FALSE)</f>
        <v>#N/A</v>
      </c>
      <c r="C1115" s="154" t="s">
        <v>2454</v>
      </c>
      <c r="D1115" s="20" t="e">
        <f t="shared" si="17"/>
        <v>#N/A</v>
      </c>
      <c r="E1115" s="9"/>
      <c r="F1115" s="10" t="e" cm="1">
        <f t="array" aca="1" ref="F11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5" s="10"/>
      <c r="I1115" s="12"/>
      <c r="J1115" s="12"/>
      <c r="K1115" s="61"/>
      <c r="L1115" s="233"/>
      <c r="M1115" s="10">
        <f ca="1">IF(ISBLANK(K1115), TODAY()-(I1115), Table27[[#This Row],[Effectiveness Review &amp; date deemed effective]]-Table27[[#This Row],[PTO initialized date]])</f>
        <v>46067</v>
      </c>
    </row>
    <row r="1116" spans="1:13" ht="18">
      <c r="A1116" s="9"/>
      <c r="B1116" s="18" t="e">
        <f>VLOOKUP(Table27[[#This Row],[Location 
(drop-down)]],'List source'!D$2:E$71,2,FALSE)</f>
        <v>#N/A</v>
      </c>
      <c r="C1116" s="154" t="s">
        <v>2455</v>
      </c>
      <c r="D1116" s="20" t="e">
        <f t="shared" si="17"/>
        <v>#N/A</v>
      </c>
      <c r="E1116" s="9"/>
      <c r="F1116" s="10" t="e" cm="1">
        <f t="array" aca="1" ref="F11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6" s="10"/>
      <c r="I1116" s="12"/>
      <c r="J1116" s="12"/>
      <c r="K1116" s="61"/>
      <c r="L1116" s="233"/>
      <c r="M1116" s="10">
        <f ca="1">IF(ISBLANK(K1116), TODAY()-(I1116), Table27[[#This Row],[Effectiveness Review &amp; date deemed effective]]-Table27[[#This Row],[PTO initialized date]])</f>
        <v>46067</v>
      </c>
    </row>
    <row r="1117" spans="1:13" ht="18">
      <c r="A1117" s="9"/>
      <c r="B1117" s="18" t="e">
        <f>VLOOKUP(Table27[[#This Row],[Location 
(drop-down)]],'List source'!D$2:E$71,2,FALSE)</f>
        <v>#N/A</v>
      </c>
      <c r="C1117" s="154" t="s">
        <v>2456</v>
      </c>
      <c r="D1117" s="20" t="e">
        <f t="shared" si="17"/>
        <v>#N/A</v>
      </c>
      <c r="E1117" s="9"/>
      <c r="F1117" s="10" t="e" cm="1">
        <f t="array" aca="1" ref="F11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7" s="10"/>
      <c r="I1117" s="12"/>
      <c r="J1117" s="12"/>
      <c r="K1117" s="61"/>
      <c r="L1117" s="233"/>
      <c r="M1117" s="10">
        <f ca="1">IF(ISBLANK(K1117), TODAY()-(I1117), Table27[[#This Row],[Effectiveness Review &amp; date deemed effective]]-Table27[[#This Row],[PTO initialized date]])</f>
        <v>46067</v>
      </c>
    </row>
    <row r="1118" spans="1:13" ht="18">
      <c r="A1118" s="9"/>
      <c r="B1118" s="18" t="e">
        <f>VLOOKUP(Table27[[#This Row],[Location 
(drop-down)]],'List source'!D$2:E$71,2,FALSE)</f>
        <v>#N/A</v>
      </c>
      <c r="C1118" s="154" t="s">
        <v>2457</v>
      </c>
      <c r="D1118" s="20" t="e">
        <f t="shared" si="17"/>
        <v>#N/A</v>
      </c>
      <c r="E1118" s="9"/>
      <c r="F1118" s="10" t="e" cm="1">
        <f t="array" aca="1" ref="F11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8" s="10"/>
      <c r="I1118" s="12"/>
      <c r="J1118" s="12"/>
      <c r="K1118" s="61"/>
      <c r="L1118" s="233"/>
      <c r="M1118" s="10">
        <f ca="1">IF(ISBLANK(K1118), TODAY()-(I1118), Table27[[#This Row],[Effectiveness Review &amp; date deemed effective]]-Table27[[#This Row],[PTO initialized date]])</f>
        <v>46067</v>
      </c>
    </row>
    <row r="1119" spans="1:13" ht="18">
      <c r="A1119" s="9"/>
      <c r="B1119" s="18" t="e">
        <f>VLOOKUP(Table27[[#This Row],[Location 
(drop-down)]],'List source'!D$2:E$71,2,FALSE)</f>
        <v>#N/A</v>
      </c>
      <c r="C1119" s="154" t="s">
        <v>2458</v>
      </c>
      <c r="D1119" s="20" t="e">
        <f t="shared" si="17"/>
        <v>#N/A</v>
      </c>
      <c r="E1119" s="9"/>
      <c r="F1119" s="10" t="e" cm="1">
        <f t="array" aca="1" ref="F11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19" s="10"/>
      <c r="I1119" s="12"/>
      <c r="J1119" s="12"/>
      <c r="K1119" s="61"/>
      <c r="L1119" s="233"/>
      <c r="M1119" s="10">
        <f ca="1">IF(ISBLANK(K1119), TODAY()-(I1119), Table27[[#This Row],[Effectiveness Review &amp; date deemed effective]]-Table27[[#This Row],[PTO initialized date]])</f>
        <v>46067</v>
      </c>
    </row>
    <row r="1120" spans="1:13" ht="18">
      <c r="A1120" s="9"/>
      <c r="B1120" s="18" t="e">
        <f>VLOOKUP(Table27[[#This Row],[Location 
(drop-down)]],'List source'!D$2:E$71,2,FALSE)</f>
        <v>#N/A</v>
      </c>
      <c r="C1120" s="154" t="s">
        <v>2459</v>
      </c>
      <c r="D1120" s="20" t="e">
        <f t="shared" si="17"/>
        <v>#N/A</v>
      </c>
      <c r="E1120" s="9"/>
      <c r="F1120" s="10" t="e" cm="1">
        <f t="array" aca="1" ref="F11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0" s="10"/>
      <c r="I1120" s="12"/>
      <c r="J1120" s="12"/>
      <c r="K1120" s="61"/>
      <c r="L1120" s="233"/>
      <c r="M1120" s="10">
        <f ca="1">IF(ISBLANK(K1120), TODAY()-(I1120), Table27[[#This Row],[Effectiveness Review &amp; date deemed effective]]-Table27[[#This Row],[PTO initialized date]])</f>
        <v>46067</v>
      </c>
    </row>
    <row r="1121" spans="1:13" ht="18">
      <c r="A1121" s="9"/>
      <c r="B1121" s="18" t="e">
        <f>VLOOKUP(Table27[[#This Row],[Location 
(drop-down)]],'List source'!D$2:E$71,2,FALSE)</f>
        <v>#N/A</v>
      </c>
      <c r="C1121" s="154" t="s">
        <v>2460</v>
      </c>
      <c r="D1121" s="20" t="e">
        <f t="shared" si="17"/>
        <v>#N/A</v>
      </c>
      <c r="E1121" s="9"/>
      <c r="F1121" s="10" t="e" cm="1">
        <f t="array" aca="1" ref="F11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1" s="10"/>
      <c r="I1121" s="12"/>
      <c r="J1121" s="12"/>
      <c r="K1121" s="61"/>
      <c r="L1121" s="233"/>
      <c r="M1121" s="10">
        <f ca="1">IF(ISBLANK(K1121), TODAY()-(I1121), Table27[[#This Row],[Effectiveness Review &amp; date deemed effective]]-Table27[[#This Row],[PTO initialized date]])</f>
        <v>46067</v>
      </c>
    </row>
    <row r="1122" spans="1:13" ht="18">
      <c r="A1122" s="9"/>
      <c r="B1122" s="18" t="e">
        <f>VLOOKUP(Table27[[#This Row],[Location 
(drop-down)]],'List source'!D$2:E$71,2,FALSE)</f>
        <v>#N/A</v>
      </c>
      <c r="C1122" s="154" t="s">
        <v>2461</v>
      </c>
      <c r="D1122" s="20" t="e">
        <f t="shared" si="17"/>
        <v>#N/A</v>
      </c>
      <c r="E1122" s="9"/>
      <c r="F1122" s="10" t="e" cm="1">
        <f t="array" aca="1" ref="F11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2" s="10"/>
      <c r="I1122" s="12"/>
      <c r="J1122" s="12"/>
      <c r="K1122" s="61"/>
      <c r="L1122" s="233"/>
      <c r="M1122" s="10">
        <f ca="1">IF(ISBLANK(K1122), TODAY()-(I1122), Table27[[#This Row],[Effectiveness Review &amp; date deemed effective]]-Table27[[#This Row],[PTO initialized date]])</f>
        <v>46067</v>
      </c>
    </row>
    <row r="1123" spans="1:13" ht="18">
      <c r="A1123" s="9"/>
      <c r="B1123" s="18" t="e">
        <f>VLOOKUP(Table27[[#This Row],[Location 
(drop-down)]],'List source'!D$2:E$71,2,FALSE)</f>
        <v>#N/A</v>
      </c>
      <c r="C1123" s="154" t="s">
        <v>2462</v>
      </c>
      <c r="D1123" s="20" t="e">
        <f t="shared" si="17"/>
        <v>#N/A</v>
      </c>
      <c r="E1123" s="9"/>
      <c r="F1123" s="10" t="e" cm="1">
        <f t="array" aca="1" ref="F11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3" s="10"/>
      <c r="I1123" s="12"/>
      <c r="J1123" s="12"/>
      <c r="K1123" s="61"/>
      <c r="L1123" s="233"/>
      <c r="M1123" s="10">
        <f ca="1">IF(ISBLANK(K1123), TODAY()-(I1123), Table27[[#This Row],[Effectiveness Review &amp; date deemed effective]]-Table27[[#This Row],[PTO initialized date]])</f>
        <v>46067</v>
      </c>
    </row>
    <row r="1124" spans="1:13" ht="18">
      <c r="A1124" s="9"/>
      <c r="B1124" s="18" t="e">
        <f>VLOOKUP(Table27[[#This Row],[Location 
(drop-down)]],'List source'!D$2:E$71,2,FALSE)</f>
        <v>#N/A</v>
      </c>
      <c r="C1124" s="154" t="s">
        <v>2463</v>
      </c>
      <c r="D1124" s="20" t="e">
        <f t="shared" si="17"/>
        <v>#N/A</v>
      </c>
      <c r="E1124" s="9"/>
      <c r="F1124" s="10" t="e" cm="1">
        <f t="array" aca="1" ref="F11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4" s="10"/>
      <c r="I1124" s="12"/>
      <c r="J1124" s="12"/>
      <c r="K1124" s="61"/>
      <c r="L1124" s="233"/>
      <c r="M1124" s="10">
        <f ca="1">IF(ISBLANK(K1124), TODAY()-(I1124), Table27[[#This Row],[Effectiveness Review &amp; date deemed effective]]-Table27[[#This Row],[PTO initialized date]])</f>
        <v>46067</v>
      </c>
    </row>
    <row r="1125" spans="1:13" ht="18">
      <c r="A1125" s="9"/>
      <c r="B1125" s="18" t="e">
        <f>VLOOKUP(Table27[[#This Row],[Location 
(drop-down)]],'List source'!D$2:E$71,2,FALSE)</f>
        <v>#N/A</v>
      </c>
      <c r="C1125" s="154" t="s">
        <v>2464</v>
      </c>
      <c r="D1125" s="20" t="e">
        <f t="shared" si="17"/>
        <v>#N/A</v>
      </c>
      <c r="E1125" s="9"/>
      <c r="F1125" s="10" t="e" cm="1">
        <f t="array" aca="1" ref="F11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5" s="10"/>
      <c r="I1125" s="12"/>
      <c r="J1125" s="12"/>
      <c r="K1125" s="61"/>
      <c r="L1125" s="233"/>
      <c r="M1125" s="10">
        <f ca="1">IF(ISBLANK(K1125), TODAY()-(I1125), Table27[[#This Row],[Effectiveness Review &amp; date deemed effective]]-Table27[[#This Row],[PTO initialized date]])</f>
        <v>46067</v>
      </c>
    </row>
    <row r="1126" spans="1:13" ht="18">
      <c r="A1126" s="9"/>
      <c r="B1126" s="18" t="e">
        <f>VLOOKUP(Table27[[#This Row],[Location 
(drop-down)]],'List source'!D$2:E$71,2,FALSE)</f>
        <v>#N/A</v>
      </c>
      <c r="C1126" s="154" t="s">
        <v>2465</v>
      </c>
      <c r="D1126" s="20" t="e">
        <f t="shared" si="17"/>
        <v>#N/A</v>
      </c>
      <c r="E1126" s="9"/>
      <c r="F1126" s="10" t="e" cm="1">
        <f t="array" aca="1" ref="F11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6" s="10"/>
      <c r="I1126" s="12"/>
      <c r="J1126" s="12"/>
      <c r="K1126" s="61"/>
      <c r="L1126" s="233"/>
      <c r="M1126" s="10">
        <f ca="1">IF(ISBLANK(K1126), TODAY()-(I1126), Table27[[#This Row],[Effectiveness Review &amp; date deemed effective]]-Table27[[#This Row],[PTO initialized date]])</f>
        <v>46067</v>
      </c>
    </row>
    <row r="1127" spans="1:13" ht="18">
      <c r="A1127" s="9"/>
      <c r="B1127" s="18" t="e">
        <f>VLOOKUP(Table27[[#This Row],[Location 
(drop-down)]],'List source'!D$2:E$71,2,FALSE)</f>
        <v>#N/A</v>
      </c>
      <c r="C1127" s="154" t="s">
        <v>2466</v>
      </c>
      <c r="D1127" s="20" t="e">
        <f t="shared" si="17"/>
        <v>#N/A</v>
      </c>
      <c r="E1127" s="9"/>
      <c r="F1127" s="10" t="e" cm="1">
        <f t="array" aca="1" ref="F11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7" s="10"/>
      <c r="I1127" s="12"/>
      <c r="J1127" s="12"/>
      <c r="K1127" s="61"/>
      <c r="L1127" s="233"/>
      <c r="M1127" s="10">
        <f ca="1">IF(ISBLANK(K1127), TODAY()-(I1127), Table27[[#This Row],[Effectiveness Review &amp; date deemed effective]]-Table27[[#This Row],[PTO initialized date]])</f>
        <v>46067</v>
      </c>
    </row>
    <row r="1128" spans="1:13" ht="18">
      <c r="A1128" s="9"/>
      <c r="B1128" s="18" t="e">
        <f>VLOOKUP(Table27[[#This Row],[Location 
(drop-down)]],'List source'!D$2:E$71,2,FALSE)</f>
        <v>#N/A</v>
      </c>
      <c r="C1128" s="154" t="s">
        <v>2467</v>
      </c>
      <c r="D1128" s="20" t="e">
        <f t="shared" si="17"/>
        <v>#N/A</v>
      </c>
      <c r="E1128" s="9"/>
      <c r="F1128" s="10" t="e" cm="1">
        <f t="array" aca="1" ref="F11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8" s="10"/>
      <c r="I1128" s="12"/>
      <c r="J1128" s="12"/>
      <c r="K1128" s="61"/>
      <c r="L1128" s="233"/>
      <c r="M1128" s="10">
        <f ca="1">IF(ISBLANK(K1128), TODAY()-(I1128), Table27[[#This Row],[Effectiveness Review &amp; date deemed effective]]-Table27[[#This Row],[PTO initialized date]])</f>
        <v>46067</v>
      </c>
    </row>
    <row r="1129" spans="1:13" ht="18">
      <c r="A1129" s="9"/>
      <c r="B1129" s="18" t="e">
        <f>VLOOKUP(Table27[[#This Row],[Location 
(drop-down)]],'List source'!D$2:E$71,2,FALSE)</f>
        <v>#N/A</v>
      </c>
      <c r="C1129" s="154" t="s">
        <v>2468</v>
      </c>
      <c r="D1129" s="20" t="e">
        <f t="shared" si="17"/>
        <v>#N/A</v>
      </c>
      <c r="E1129" s="9"/>
      <c r="F1129" s="10" t="e" cm="1">
        <f t="array" aca="1" ref="F11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29" s="10"/>
      <c r="I1129" s="12"/>
      <c r="J1129" s="12"/>
      <c r="K1129" s="61"/>
      <c r="L1129" s="233"/>
      <c r="M1129" s="10">
        <f ca="1">IF(ISBLANK(K1129), TODAY()-(I1129), Table27[[#This Row],[Effectiveness Review &amp; date deemed effective]]-Table27[[#This Row],[PTO initialized date]])</f>
        <v>46067</v>
      </c>
    </row>
    <row r="1130" spans="1:13" ht="18">
      <c r="A1130" s="9"/>
      <c r="B1130" s="18" t="e">
        <f>VLOOKUP(Table27[[#This Row],[Location 
(drop-down)]],'List source'!D$2:E$71,2,FALSE)</f>
        <v>#N/A</v>
      </c>
      <c r="C1130" s="154" t="s">
        <v>2469</v>
      </c>
      <c r="D1130" s="20" t="e">
        <f t="shared" si="17"/>
        <v>#N/A</v>
      </c>
      <c r="E1130" s="9"/>
      <c r="F1130" s="10" t="e" cm="1">
        <f t="array" aca="1" ref="F11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0" s="10"/>
      <c r="I1130" s="12"/>
      <c r="J1130" s="12"/>
      <c r="K1130" s="61"/>
      <c r="L1130" s="233"/>
      <c r="M1130" s="10">
        <f ca="1">IF(ISBLANK(K1130), TODAY()-(I1130), Table27[[#This Row],[Effectiveness Review &amp; date deemed effective]]-Table27[[#This Row],[PTO initialized date]])</f>
        <v>46067</v>
      </c>
    </row>
    <row r="1131" spans="1:13" ht="18">
      <c r="A1131" s="9"/>
      <c r="B1131" s="18" t="e">
        <f>VLOOKUP(Table27[[#This Row],[Location 
(drop-down)]],'List source'!D$2:E$71,2,FALSE)</f>
        <v>#N/A</v>
      </c>
      <c r="C1131" s="154" t="s">
        <v>2470</v>
      </c>
      <c r="D1131" s="20" t="e">
        <f t="shared" si="17"/>
        <v>#N/A</v>
      </c>
      <c r="E1131" s="9"/>
      <c r="F1131" s="10" t="e" cm="1">
        <f t="array" aca="1" ref="F11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1" s="10"/>
      <c r="I1131" s="12"/>
      <c r="J1131" s="12"/>
      <c r="K1131" s="61"/>
      <c r="L1131" s="233"/>
      <c r="M1131" s="10">
        <f ca="1">IF(ISBLANK(K1131), TODAY()-(I1131), Table27[[#This Row],[Effectiveness Review &amp; date deemed effective]]-Table27[[#This Row],[PTO initialized date]])</f>
        <v>46067</v>
      </c>
    </row>
    <row r="1132" spans="1:13" ht="18">
      <c r="A1132" s="9"/>
      <c r="B1132" s="18" t="e">
        <f>VLOOKUP(Table27[[#This Row],[Location 
(drop-down)]],'List source'!D$2:E$71,2,FALSE)</f>
        <v>#N/A</v>
      </c>
      <c r="C1132" s="154" t="s">
        <v>2471</v>
      </c>
      <c r="D1132" s="20" t="e">
        <f t="shared" si="17"/>
        <v>#N/A</v>
      </c>
      <c r="E1132" s="9"/>
      <c r="F1132" s="10" t="e" cm="1">
        <f t="array" aca="1" ref="F11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2" s="10"/>
      <c r="I1132" s="12"/>
      <c r="J1132" s="12"/>
      <c r="K1132" s="61"/>
      <c r="L1132" s="233"/>
      <c r="M1132" s="10">
        <f ca="1">IF(ISBLANK(K1132), TODAY()-(I1132), Table27[[#This Row],[Effectiveness Review &amp; date deemed effective]]-Table27[[#This Row],[PTO initialized date]])</f>
        <v>46067</v>
      </c>
    </row>
    <row r="1133" spans="1:13" ht="18">
      <c r="A1133" s="9"/>
      <c r="B1133" s="18" t="e">
        <f>VLOOKUP(Table27[[#This Row],[Location 
(drop-down)]],'List source'!D$2:E$71,2,FALSE)</f>
        <v>#N/A</v>
      </c>
      <c r="C1133" s="154" t="s">
        <v>2472</v>
      </c>
      <c r="D1133" s="20" t="e">
        <f t="shared" si="17"/>
        <v>#N/A</v>
      </c>
      <c r="E1133" s="9"/>
      <c r="F1133" s="10" t="e" cm="1">
        <f t="array" aca="1" ref="F11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3" s="10"/>
      <c r="I1133" s="12"/>
      <c r="J1133" s="12"/>
      <c r="K1133" s="61"/>
      <c r="L1133" s="233"/>
      <c r="M1133" s="10">
        <f ca="1">IF(ISBLANK(K1133), TODAY()-(I1133), Table27[[#This Row],[Effectiveness Review &amp; date deemed effective]]-Table27[[#This Row],[PTO initialized date]])</f>
        <v>46067</v>
      </c>
    </row>
    <row r="1134" spans="1:13" ht="18">
      <c r="A1134" s="9"/>
      <c r="B1134" s="18" t="e">
        <f>VLOOKUP(Table27[[#This Row],[Location 
(drop-down)]],'List source'!D$2:E$71,2,FALSE)</f>
        <v>#N/A</v>
      </c>
      <c r="C1134" s="154" t="s">
        <v>2473</v>
      </c>
      <c r="D1134" s="20" t="e">
        <f t="shared" si="17"/>
        <v>#N/A</v>
      </c>
      <c r="E1134" s="9"/>
      <c r="F1134" s="10" t="e" cm="1">
        <f t="array" aca="1" ref="F11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4" s="10"/>
      <c r="I1134" s="12"/>
      <c r="J1134" s="12"/>
      <c r="K1134" s="61"/>
      <c r="L1134" s="233"/>
      <c r="M1134" s="10">
        <f ca="1">IF(ISBLANK(K1134), TODAY()-(I1134), Table27[[#This Row],[Effectiveness Review &amp; date deemed effective]]-Table27[[#This Row],[PTO initialized date]])</f>
        <v>46067</v>
      </c>
    </row>
    <row r="1135" spans="1:13" ht="18">
      <c r="A1135" s="9"/>
      <c r="B1135" s="18" t="e">
        <f>VLOOKUP(Table27[[#This Row],[Location 
(drop-down)]],'List source'!D$2:E$71,2,FALSE)</f>
        <v>#N/A</v>
      </c>
      <c r="C1135" s="154" t="s">
        <v>2474</v>
      </c>
      <c r="D1135" s="20" t="e">
        <f t="shared" si="17"/>
        <v>#N/A</v>
      </c>
      <c r="E1135" s="9"/>
      <c r="F1135" s="10" t="e" cm="1">
        <f t="array" aca="1" ref="F11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5" s="10"/>
      <c r="I1135" s="12"/>
      <c r="J1135" s="12"/>
      <c r="K1135" s="61"/>
      <c r="L1135" s="233"/>
      <c r="M1135" s="10">
        <f ca="1">IF(ISBLANK(K1135), TODAY()-(I1135), Table27[[#This Row],[Effectiveness Review &amp; date deemed effective]]-Table27[[#This Row],[PTO initialized date]])</f>
        <v>46067</v>
      </c>
    </row>
    <row r="1136" spans="1:13" ht="18">
      <c r="A1136" s="9"/>
      <c r="B1136" s="18" t="e">
        <f>VLOOKUP(Table27[[#This Row],[Location 
(drop-down)]],'List source'!D$2:E$71,2,FALSE)</f>
        <v>#N/A</v>
      </c>
      <c r="C1136" s="154" t="s">
        <v>2475</v>
      </c>
      <c r="D1136" s="20" t="e">
        <f t="shared" si="17"/>
        <v>#N/A</v>
      </c>
      <c r="E1136" s="9"/>
      <c r="F1136" s="10" t="e" cm="1">
        <f t="array" aca="1" ref="F11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6" s="10"/>
      <c r="I1136" s="12"/>
      <c r="J1136" s="12"/>
      <c r="K1136" s="61"/>
      <c r="L1136" s="233"/>
      <c r="M1136" s="10">
        <f ca="1">IF(ISBLANK(K1136), TODAY()-(I1136), Table27[[#This Row],[Effectiveness Review &amp; date deemed effective]]-Table27[[#This Row],[PTO initialized date]])</f>
        <v>46067</v>
      </c>
    </row>
    <row r="1137" spans="1:13" ht="18">
      <c r="A1137" s="9"/>
      <c r="B1137" s="18" t="e">
        <f>VLOOKUP(Table27[[#This Row],[Location 
(drop-down)]],'List source'!D$2:E$71,2,FALSE)</f>
        <v>#N/A</v>
      </c>
      <c r="C1137" s="154" t="s">
        <v>2476</v>
      </c>
      <c r="D1137" s="20" t="e">
        <f t="shared" si="17"/>
        <v>#N/A</v>
      </c>
      <c r="E1137" s="9"/>
      <c r="F1137" s="10" t="e" cm="1">
        <f t="array" aca="1" ref="F11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7" s="10"/>
      <c r="I1137" s="12"/>
      <c r="J1137" s="12"/>
      <c r="K1137" s="61"/>
      <c r="L1137" s="233"/>
      <c r="M1137" s="10">
        <f ca="1">IF(ISBLANK(K1137), TODAY()-(I1137), Table27[[#This Row],[Effectiveness Review &amp; date deemed effective]]-Table27[[#This Row],[PTO initialized date]])</f>
        <v>46067</v>
      </c>
    </row>
    <row r="1138" spans="1:13" ht="18">
      <c r="A1138" s="9"/>
      <c r="B1138" s="18" t="e">
        <f>VLOOKUP(Table27[[#This Row],[Location 
(drop-down)]],'List source'!D$2:E$71,2,FALSE)</f>
        <v>#N/A</v>
      </c>
      <c r="C1138" s="154" t="s">
        <v>2477</v>
      </c>
      <c r="D1138" s="20" t="e">
        <f t="shared" si="17"/>
        <v>#N/A</v>
      </c>
      <c r="E1138" s="9"/>
      <c r="F1138" s="10" t="e" cm="1">
        <f t="array" aca="1" ref="F11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8" s="10"/>
      <c r="I1138" s="12"/>
      <c r="J1138" s="12"/>
      <c r="K1138" s="61"/>
      <c r="L1138" s="233"/>
      <c r="M1138" s="10">
        <f ca="1">IF(ISBLANK(K1138), TODAY()-(I1138), Table27[[#This Row],[Effectiveness Review &amp; date deemed effective]]-Table27[[#This Row],[PTO initialized date]])</f>
        <v>46067</v>
      </c>
    </row>
    <row r="1139" spans="1:13" ht="18">
      <c r="A1139" s="9"/>
      <c r="B1139" s="18" t="e">
        <f>VLOOKUP(Table27[[#This Row],[Location 
(drop-down)]],'List source'!D$2:E$71,2,FALSE)</f>
        <v>#N/A</v>
      </c>
      <c r="C1139" s="154" t="s">
        <v>2478</v>
      </c>
      <c r="D1139" s="20" t="e">
        <f t="shared" si="17"/>
        <v>#N/A</v>
      </c>
      <c r="E1139" s="9"/>
      <c r="F1139" s="10" t="e" cm="1">
        <f t="array" aca="1" ref="F11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39" s="10"/>
      <c r="I1139" s="12"/>
      <c r="J1139" s="12"/>
      <c r="K1139" s="61"/>
      <c r="L1139" s="233"/>
      <c r="M1139" s="10">
        <f ca="1">IF(ISBLANK(K1139), TODAY()-(I1139), Table27[[#This Row],[Effectiveness Review &amp; date deemed effective]]-Table27[[#This Row],[PTO initialized date]])</f>
        <v>46067</v>
      </c>
    </row>
    <row r="1140" spans="1:13" ht="18">
      <c r="A1140" s="9"/>
      <c r="B1140" s="18" t="e">
        <f>VLOOKUP(Table27[[#This Row],[Location 
(drop-down)]],'List source'!D$2:E$71,2,FALSE)</f>
        <v>#N/A</v>
      </c>
      <c r="C1140" s="154" t="s">
        <v>2479</v>
      </c>
      <c r="D1140" s="20" t="e">
        <f t="shared" si="17"/>
        <v>#N/A</v>
      </c>
      <c r="E1140" s="9"/>
      <c r="F1140" s="10" t="e" cm="1">
        <f t="array" aca="1" ref="F11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0" s="10"/>
      <c r="I1140" s="12"/>
      <c r="J1140" s="12"/>
      <c r="K1140" s="61"/>
      <c r="L1140" s="233"/>
      <c r="M1140" s="10">
        <f ca="1">IF(ISBLANK(K1140), TODAY()-(I1140), Table27[[#This Row],[Effectiveness Review &amp; date deemed effective]]-Table27[[#This Row],[PTO initialized date]])</f>
        <v>46067</v>
      </c>
    </row>
    <row r="1141" spans="1:13" ht="18">
      <c r="A1141" s="9"/>
      <c r="B1141" s="18" t="e">
        <f>VLOOKUP(Table27[[#This Row],[Location 
(drop-down)]],'List source'!D$2:E$71,2,FALSE)</f>
        <v>#N/A</v>
      </c>
      <c r="C1141" s="154" t="s">
        <v>2480</v>
      </c>
      <c r="D1141" s="20" t="e">
        <f t="shared" si="17"/>
        <v>#N/A</v>
      </c>
      <c r="E1141" s="9"/>
      <c r="F1141" s="10" t="e" cm="1">
        <f t="array" aca="1" ref="F11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1" s="10"/>
      <c r="I1141" s="12"/>
      <c r="J1141" s="12"/>
      <c r="K1141" s="61"/>
      <c r="L1141" s="233"/>
      <c r="M1141" s="10">
        <f ca="1">IF(ISBLANK(K1141), TODAY()-(I1141), Table27[[#This Row],[Effectiveness Review &amp; date deemed effective]]-Table27[[#This Row],[PTO initialized date]])</f>
        <v>46067</v>
      </c>
    </row>
    <row r="1142" spans="1:13" ht="18">
      <c r="A1142" s="9"/>
      <c r="B1142" s="18" t="e">
        <f>VLOOKUP(Table27[[#This Row],[Location 
(drop-down)]],'List source'!D$2:E$71,2,FALSE)</f>
        <v>#N/A</v>
      </c>
      <c r="C1142" s="154" t="s">
        <v>2481</v>
      </c>
      <c r="D1142" s="20" t="e">
        <f t="shared" si="17"/>
        <v>#N/A</v>
      </c>
      <c r="E1142" s="9"/>
      <c r="F1142" s="10" t="e" cm="1">
        <f t="array" aca="1" ref="F11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2" s="10"/>
      <c r="I1142" s="12"/>
      <c r="J1142" s="12"/>
      <c r="K1142" s="61"/>
      <c r="L1142" s="233"/>
      <c r="M1142" s="10">
        <f ca="1">IF(ISBLANK(K1142), TODAY()-(I1142), Table27[[#This Row],[Effectiveness Review &amp; date deemed effective]]-Table27[[#This Row],[PTO initialized date]])</f>
        <v>46067</v>
      </c>
    </row>
    <row r="1143" spans="1:13" ht="18">
      <c r="A1143" s="9"/>
      <c r="B1143" s="18" t="e">
        <f>VLOOKUP(Table27[[#This Row],[Location 
(drop-down)]],'List source'!D$2:E$71,2,FALSE)</f>
        <v>#N/A</v>
      </c>
      <c r="C1143" s="154" t="s">
        <v>2482</v>
      </c>
      <c r="D1143" s="20" t="e">
        <f t="shared" si="17"/>
        <v>#N/A</v>
      </c>
      <c r="E1143" s="9"/>
      <c r="F1143" s="10" t="e" cm="1">
        <f t="array" aca="1" ref="F11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3" s="10"/>
      <c r="I1143" s="12"/>
      <c r="J1143" s="12"/>
      <c r="K1143" s="61"/>
      <c r="L1143" s="233"/>
      <c r="M1143" s="10">
        <f ca="1">IF(ISBLANK(K1143), TODAY()-(I1143), Table27[[#This Row],[Effectiveness Review &amp; date deemed effective]]-Table27[[#This Row],[PTO initialized date]])</f>
        <v>46067</v>
      </c>
    </row>
    <row r="1144" spans="1:13" ht="18">
      <c r="A1144" s="9"/>
      <c r="B1144" s="18" t="e">
        <f>VLOOKUP(Table27[[#This Row],[Location 
(drop-down)]],'List source'!D$2:E$71,2,FALSE)</f>
        <v>#N/A</v>
      </c>
      <c r="C1144" s="154" t="s">
        <v>2483</v>
      </c>
      <c r="D1144" s="20" t="e">
        <f t="shared" si="17"/>
        <v>#N/A</v>
      </c>
      <c r="E1144" s="9"/>
      <c r="F1144" s="10" t="e" cm="1">
        <f t="array" aca="1" ref="F11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4" s="10"/>
      <c r="I1144" s="12"/>
      <c r="J1144" s="12"/>
      <c r="K1144" s="61"/>
      <c r="L1144" s="233"/>
      <c r="M1144" s="10">
        <f ca="1">IF(ISBLANK(K1144), TODAY()-(I1144), Table27[[#This Row],[Effectiveness Review &amp; date deemed effective]]-Table27[[#This Row],[PTO initialized date]])</f>
        <v>46067</v>
      </c>
    </row>
    <row r="1145" spans="1:13" ht="18">
      <c r="A1145" s="9"/>
      <c r="B1145" s="18" t="e">
        <f>VLOOKUP(Table27[[#This Row],[Location 
(drop-down)]],'List source'!D$2:E$71,2,FALSE)</f>
        <v>#N/A</v>
      </c>
      <c r="C1145" s="154" t="s">
        <v>2484</v>
      </c>
      <c r="D1145" s="20" t="e">
        <f t="shared" si="17"/>
        <v>#N/A</v>
      </c>
      <c r="E1145" s="9"/>
      <c r="F1145" s="10" t="e" cm="1">
        <f t="array" aca="1" ref="F11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5" s="10"/>
      <c r="I1145" s="12"/>
      <c r="J1145" s="12"/>
      <c r="K1145" s="61"/>
      <c r="L1145" s="233"/>
      <c r="M1145" s="10">
        <f ca="1">IF(ISBLANK(K1145), TODAY()-(I1145), Table27[[#This Row],[Effectiveness Review &amp; date deemed effective]]-Table27[[#This Row],[PTO initialized date]])</f>
        <v>46067</v>
      </c>
    </row>
    <row r="1146" spans="1:13" ht="18">
      <c r="A1146" s="9"/>
      <c r="B1146" s="18" t="e">
        <f>VLOOKUP(Table27[[#This Row],[Location 
(drop-down)]],'List source'!D$2:E$71,2,FALSE)</f>
        <v>#N/A</v>
      </c>
      <c r="C1146" s="154" t="s">
        <v>2485</v>
      </c>
      <c r="D1146" s="20" t="e">
        <f t="shared" si="17"/>
        <v>#N/A</v>
      </c>
      <c r="E1146" s="9"/>
      <c r="F1146" s="10" t="e" cm="1">
        <f t="array" aca="1" ref="F11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6" s="10"/>
      <c r="I1146" s="12"/>
      <c r="J1146" s="12"/>
      <c r="K1146" s="61"/>
      <c r="L1146" s="233"/>
      <c r="M1146" s="10">
        <f ca="1">IF(ISBLANK(K1146), TODAY()-(I1146), Table27[[#This Row],[Effectiveness Review &amp; date deemed effective]]-Table27[[#This Row],[PTO initialized date]])</f>
        <v>46067</v>
      </c>
    </row>
    <row r="1147" spans="1:13" ht="18">
      <c r="A1147" s="9"/>
      <c r="B1147" s="18" t="e">
        <f>VLOOKUP(Table27[[#This Row],[Location 
(drop-down)]],'List source'!D$2:E$71,2,FALSE)</f>
        <v>#N/A</v>
      </c>
      <c r="C1147" s="154" t="s">
        <v>2486</v>
      </c>
      <c r="D1147" s="20" t="e">
        <f t="shared" si="17"/>
        <v>#N/A</v>
      </c>
      <c r="E1147" s="9"/>
      <c r="F1147" s="10" t="e" cm="1">
        <f t="array" aca="1" ref="F11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7" s="10"/>
      <c r="I1147" s="12"/>
      <c r="J1147" s="12"/>
      <c r="K1147" s="61"/>
      <c r="L1147" s="233"/>
      <c r="M1147" s="10">
        <f ca="1">IF(ISBLANK(K1147), TODAY()-(I1147), Table27[[#This Row],[Effectiveness Review &amp; date deemed effective]]-Table27[[#This Row],[PTO initialized date]])</f>
        <v>46067</v>
      </c>
    </row>
    <row r="1148" spans="1:13" ht="18">
      <c r="A1148" s="9"/>
      <c r="B1148" s="18" t="e">
        <f>VLOOKUP(Table27[[#This Row],[Location 
(drop-down)]],'List source'!D$2:E$71,2,FALSE)</f>
        <v>#N/A</v>
      </c>
      <c r="C1148" s="154" t="s">
        <v>2487</v>
      </c>
      <c r="D1148" s="20" t="e">
        <f t="shared" si="17"/>
        <v>#N/A</v>
      </c>
      <c r="E1148" s="9"/>
      <c r="F1148" s="10" t="e" cm="1">
        <f t="array" aca="1" ref="F11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8" s="10"/>
      <c r="I1148" s="12"/>
      <c r="J1148" s="12"/>
      <c r="K1148" s="61"/>
      <c r="L1148" s="233"/>
      <c r="M1148" s="10">
        <f ca="1">IF(ISBLANK(K1148), TODAY()-(I1148), Table27[[#This Row],[Effectiveness Review &amp; date deemed effective]]-Table27[[#This Row],[PTO initialized date]])</f>
        <v>46067</v>
      </c>
    </row>
    <row r="1149" spans="1:13" ht="18">
      <c r="A1149" s="9"/>
      <c r="B1149" s="18" t="e">
        <f>VLOOKUP(Table27[[#This Row],[Location 
(drop-down)]],'List source'!D$2:E$71,2,FALSE)</f>
        <v>#N/A</v>
      </c>
      <c r="C1149" s="154" t="s">
        <v>2488</v>
      </c>
      <c r="D1149" s="20" t="e">
        <f t="shared" si="17"/>
        <v>#N/A</v>
      </c>
      <c r="E1149" s="9"/>
      <c r="F1149" s="10" t="e" cm="1">
        <f t="array" aca="1" ref="F11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49" s="10"/>
      <c r="I1149" s="12"/>
      <c r="J1149" s="12"/>
      <c r="K1149" s="61"/>
      <c r="L1149" s="233"/>
      <c r="M1149" s="10">
        <f ca="1">IF(ISBLANK(K1149), TODAY()-(I1149), Table27[[#This Row],[Effectiveness Review &amp; date deemed effective]]-Table27[[#This Row],[PTO initialized date]])</f>
        <v>46067</v>
      </c>
    </row>
    <row r="1150" spans="1:13" ht="18">
      <c r="A1150" s="9"/>
      <c r="B1150" s="18" t="e">
        <f>VLOOKUP(Table27[[#This Row],[Location 
(drop-down)]],'List source'!D$2:E$71,2,FALSE)</f>
        <v>#N/A</v>
      </c>
      <c r="C1150" s="154" t="s">
        <v>2489</v>
      </c>
      <c r="D1150" s="20" t="e">
        <f t="shared" si="17"/>
        <v>#N/A</v>
      </c>
      <c r="E1150" s="9"/>
      <c r="F1150" s="10" t="e" cm="1">
        <f t="array" aca="1" ref="F11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0" s="10"/>
      <c r="I1150" s="12"/>
      <c r="J1150" s="12"/>
      <c r="K1150" s="61"/>
      <c r="L1150" s="233"/>
      <c r="M1150" s="10">
        <f ca="1">IF(ISBLANK(K1150), TODAY()-(I1150), Table27[[#This Row],[Effectiveness Review &amp; date deemed effective]]-Table27[[#This Row],[PTO initialized date]])</f>
        <v>46067</v>
      </c>
    </row>
    <row r="1151" spans="1:13" ht="18">
      <c r="A1151" s="9"/>
      <c r="B1151" s="18" t="e">
        <f>VLOOKUP(Table27[[#This Row],[Location 
(drop-down)]],'List source'!D$2:E$71,2,FALSE)</f>
        <v>#N/A</v>
      </c>
      <c r="C1151" s="154" t="s">
        <v>2490</v>
      </c>
      <c r="D1151" s="20" t="e">
        <f t="shared" si="17"/>
        <v>#N/A</v>
      </c>
      <c r="E1151" s="9"/>
      <c r="F1151" s="10" t="e" cm="1">
        <f t="array" aca="1" ref="F11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1" s="10"/>
      <c r="I1151" s="12"/>
      <c r="J1151" s="12"/>
      <c r="K1151" s="61"/>
      <c r="L1151" s="233"/>
      <c r="M1151" s="10">
        <f ca="1">IF(ISBLANK(K1151), TODAY()-(I1151), Table27[[#This Row],[Effectiveness Review &amp; date deemed effective]]-Table27[[#This Row],[PTO initialized date]])</f>
        <v>46067</v>
      </c>
    </row>
    <row r="1152" spans="1:13" ht="18">
      <c r="A1152" s="9"/>
      <c r="B1152" s="18" t="e">
        <f>VLOOKUP(Table27[[#This Row],[Location 
(drop-down)]],'List source'!D$2:E$71,2,FALSE)</f>
        <v>#N/A</v>
      </c>
      <c r="C1152" s="154" t="s">
        <v>2491</v>
      </c>
      <c r="D1152" s="20" t="e">
        <f t="shared" si="17"/>
        <v>#N/A</v>
      </c>
      <c r="E1152" s="9"/>
      <c r="F1152" s="10" t="e" cm="1">
        <f t="array" aca="1" ref="F11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2" s="10"/>
      <c r="I1152" s="12"/>
      <c r="J1152" s="12"/>
      <c r="K1152" s="61"/>
      <c r="L1152" s="233"/>
      <c r="M1152" s="10">
        <f ca="1">IF(ISBLANK(K1152), TODAY()-(I1152), Table27[[#This Row],[Effectiveness Review &amp; date deemed effective]]-Table27[[#This Row],[PTO initialized date]])</f>
        <v>46067</v>
      </c>
    </row>
    <row r="1153" spans="1:13" ht="18">
      <c r="A1153" s="9"/>
      <c r="B1153" s="18" t="e">
        <f>VLOOKUP(Table27[[#This Row],[Location 
(drop-down)]],'List source'!D$2:E$71,2,FALSE)</f>
        <v>#N/A</v>
      </c>
      <c r="C1153" s="154" t="s">
        <v>2492</v>
      </c>
      <c r="D1153" s="20" t="e">
        <f t="shared" si="17"/>
        <v>#N/A</v>
      </c>
      <c r="E1153" s="9"/>
      <c r="F1153" s="10" t="e" cm="1">
        <f t="array" aca="1" ref="F11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3" s="10"/>
      <c r="I1153" s="12"/>
      <c r="J1153" s="12"/>
      <c r="K1153" s="61"/>
      <c r="L1153" s="233"/>
      <c r="M1153" s="10">
        <f ca="1">IF(ISBLANK(K1153), TODAY()-(I1153), Table27[[#This Row],[Effectiveness Review &amp; date deemed effective]]-Table27[[#This Row],[PTO initialized date]])</f>
        <v>46067</v>
      </c>
    </row>
    <row r="1154" spans="1:13" ht="18">
      <c r="A1154" s="9"/>
      <c r="B1154" s="18" t="e">
        <f>VLOOKUP(Table27[[#This Row],[Location 
(drop-down)]],'List source'!D$2:E$71,2,FALSE)</f>
        <v>#N/A</v>
      </c>
      <c r="C1154" s="154" t="s">
        <v>2493</v>
      </c>
      <c r="D1154" s="20" t="e">
        <f t="shared" ref="D1154:D1217" si="18">"PTO" &amp; C1154 &amp; "-" &amp; B1154 &amp; "-" &amp; "26"</f>
        <v>#N/A</v>
      </c>
      <c r="E1154" s="9"/>
      <c r="F1154" s="10" t="e" cm="1">
        <f t="array" aca="1" ref="F11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4" s="10"/>
      <c r="I1154" s="12"/>
      <c r="J1154" s="12"/>
      <c r="K1154" s="61"/>
      <c r="L1154" s="233"/>
      <c r="M1154" s="10">
        <f ca="1">IF(ISBLANK(K1154), TODAY()-(I1154), Table27[[#This Row],[Effectiveness Review &amp; date deemed effective]]-Table27[[#This Row],[PTO initialized date]])</f>
        <v>46067</v>
      </c>
    </row>
    <row r="1155" spans="1:13" ht="18">
      <c r="A1155" s="9"/>
      <c r="B1155" s="18" t="e">
        <f>VLOOKUP(Table27[[#This Row],[Location 
(drop-down)]],'List source'!D$2:E$71,2,FALSE)</f>
        <v>#N/A</v>
      </c>
      <c r="C1155" s="154" t="s">
        <v>2494</v>
      </c>
      <c r="D1155" s="20" t="e">
        <f t="shared" si="18"/>
        <v>#N/A</v>
      </c>
      <c r="E1155" s="9"/>
      <c r="F1155" s="10" t="e" cm="1">
        <f t="array" aca="1" ref="F11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5" s="10"/>
      <c r="I1155" s="12"/>
      <c r="J1155" s="12"/>
      <c r="K1155" s="61"/>
      <c r="L1155" s="233"/>
      <c r="M1155" s="10">
        <f ca="1">IF(ISBLANK(K1155), TODAY()-(I1155), Table27[[#This Row],[Effectiveness Review &amp; date deemed effective]]-Table27[[#This Row],[PTO initialized date]])</f>
        <v>46067</v>
      </c>
    </row>
    <row r="1156" spans="1:13" ht="18">
      <c r="A1156" s="9"/>
      <c r="B1156" s="18" t="e">
        <f>VLOOKUP(Table27[[#This Row],[Location 
(drop-down)]],'List source'!D$2:E$71,2,FALSE)</f>
        <v>#N/A</v>
      </c>
      <c r="C1156" s="154" t="s">
        <v>2495</v>
      </c>
      <c r="D1156" s="20" t="e">
        <f t="shared" si="18"/>
        <v>#N/A</v>
      </c>
      <c r="E1156" s="9"/>
      <c r="F1156" s="10" t="e" cm="1">
        <f t="array" aca="1" ref="F11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6" s="10"/>
      <c r="I1156" s="12"/>
      <c r="J1156" s="12"/>
      <c r="K1156" s="61"/>
      <c r="L1156" s="233"/>
      <c r="M1156" s="10">
        <f ca="1">IF(ISBLANK(K1156), TODAY()-(I1156), Table27[[#This Row],[Effectiveness Review &amp; date deemed effective]]-Table27[[#This Row],[PTO initialized date]])</f>
        <v>46067</v>
      </c>
    </row>
    <row r="1157" spans="1:13" ht="18">
      <c r="A1157" s="9"/>
      <c r="B1157" s="18" t="e">
        <f>VLOOKUP(Table27[[#This Row],[Location 
(drop-down)]],'List source'!D$2:E$71,2,FALSE)</f>
        <v>#N/A</v>
      </c>
      <c r="C1157" s="154" t="s">
        <v>2496</v>
      </c>
      <c r="D1157" s="20" t="e">
        <f t="shared" si="18"/>
        <v>#N/A</v>
      </c>
      <c r="E1157" s="9"/>
      <c r="F1157" s="10" t="e" cm="1">
        <f t="array" aca="1" ref="F11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7" s="10"/>
      <c r="I1157" s="12"/>
      <c r="J1157" s="12"/>
      <c r="K1157" s="61"/>
      <c r="L1157" s="233"/>
      <c r="M1157" s="10">
        <f ca="1">IF(ISBLANK(K1157), TODAY()-(I1157), Table27[[#This Row],[Effectiveness Review &amp; date deemed effective]]-Table27[[#This Row],[PTO initialized date]])</f>
        <v>46067</v>
      </c>
    </row>
    <row r="1158" spans="1:13" ht="18">
      <c r="A1158" s="9"/>
      <c r="B1158" s="18" t="e">
        <f>VLOOKUP(Table27[[#This Row],[Location 
(drop-down)]],'List source'!D$2:E$71,2,FALSE)</f>
        <v>#N/A</v>
      </c>
      <c r="C1158" s="154" t="s">
        <v>2497</v>
      </c>
      <c r="D1158" s="20" t="e">
        <f t="shared" si="18"/>
        <v>#N/A</v>
      </c>
      <c r="E1158" s="9"/>
      <c r="F1158" s="10" t="e" cm="1">
        <f t="array" aca="1" ref="F11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8" s="10"/>
      <c r="I1158" s="12"/>
      <c r="J1158" s="12"/>
      <c r="K1158" s="61"/>
      <c r="L1158" s="233"/>
      <c r="M1158" s="10">
        <f ca="1">IF(ISBLANK(K1158), TODAY()-(I1158), Table27[[#This Row],[Effectiveness Review &amp; date deemed effective]]-Table27[[#This Row],[PTO initialized date]])</f>
        <v>46067</v>
      </c>
    </row>
    <row r="1159" spans="1:13" ht="18">
      <c r="A1159" s="9"/>
      <c r="B1159" s="18" t="e">
        <f>VLOOKUP(Table27[[#This Row],[Location 
(drop-down)]],'List source'!D$2:E$71,2,FALSE)</f>
        <v>#N/A</v>
      </c>
      <c r="C1159" s="154" t="s">
        <v>2498</v>
      </c>
      <c r="D1159" s="20" t="e">
        <f t="shared" si="18"/>
        <v>#N/A</v>
      </c>
      <c r="E1159" s="9"/>
      <c r="F1159" s="10" t="e" cm="1">
        <f t="array" aca="1" ref="F11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59" s="10"/>
      <c r="I1159" s="12"/>
      <c r="J1159" s="12"/>
      <c r="K1159" s="61"/>
      <c r="L1159" s="233"/>
      <c r="M1159" s="10">
        <f ca="1">IF(ISBLANK(K1159), TODAY()-(I1159), Table27[[#This Row],[Effectiveness Review &amp; date deemed effective]]-Table27[[#This Row],[PTO initialized date]])</f>
        <v>46067</v>
      </c>
    </row>
    <row r="1160" spans="1:13" ht="18">
      <c r="A1160" s="9"/>
      <c r="B1160" s="18" t="e">
        <f>VLOOKUP(Table27[[#This Row],[Location 
(drop-down)]],'List source'!D$2:E$71,2,FALSE)</f>
        <v>#N/A</v>
      </c>
      <c r="C1160" s="154" t="s">
        <v>2499</v>
      </c>
      <c r="D1160" s="20" t="e">
        <f t="shared" si="18"/>
        <v>#N/A</v>
      </c>
      <c r="E1160" s="9"/>
      <c r="F1160" s="10" t="e" cm="1">
        <f t="array" aca="1" ref="F11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0" s="10"/>
      <c r="I1160" s="12"/>
      <c r="J1160" s="12"/>
      <c r="K1160" s="61"/>
      <c r="L1160" s="233"/>
      <c r="M1160" s="10">
        <f ca="1">IF(ISBLANK(K1160), TODAY()-(I1160), Table27[[#This Row],[Effectiveness Review &amp; date deemed effective]]-Table27[[#This Row],[PTO initialized date]])</f>
        <v>46067</v>
      </c>
    </row>
    <row r="1161" spans="1:13" ht="18">
      <c r="A1161" s="9"/>
      <c r="B1161" s="18" t="e">
        <f>VLOOKUP(Table27[[#This Row],[Location 
(drop-down)]],'List source'!D$2:E$71,2,FALSE)</f>
        <v>#N/A</v>
      </c>
      <c r="C1161" s="154" t="s">
        <v>2500</v>
      </c>
      <c r="D1161" s="20" t="e">
        <f t="shared" si="18"/>
        <v>#N/A</v>
      </c>
      <c r="E1161" s="9"/>
      <c r="F1161" s="10" t="e" cm="1">
        <f t="array" aca="1" ref="F11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1" s="10"/>
      <c r="I1161" s="12"/>
      <c r="J1161" s="12"/>
      <c r="K1161" s="61"/>
      <c r="L1161" s="233"/>
      <c r="M1161" s="10">
        <f ca="1">IF(ISBLANK(K1161), TODAY()-(I1161), Table27[[#This Row],[Effectiveness Review &amp; date deemed effective]]-Table27[[#This Row],[PTO initialized date]])</f>
        <v>46067</v>
      </c>
    </row>
    <row r="1162" spans="1:13" ht="18">
      <c r="A1162" s="9"/>
      <c r="B1162" s="18" t="e">
        <f>VLOOKUP(Table27[[#This Row],[Location 
(drop-down)]],'List source'!D$2:E$71,2,FALSE)</f>
        <v>#N/A</v>
      </c>
      <c r="C1162" s="154" t="s">
        <v>2501</v>
      </c>
      <c r="D1162" s="20" t="e">
        <f t="shared" si="18"/>
        <v>#N/A</v>
      </c>
      <c r="E1162" s="9"/>
      <c r="F1162" s="10" t="e" cm="1">
        <f t="array" aca="1" ref="F11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2" s="10"/>
      <c r="I1162" s="12"/>
      <c r="J1162" s="12"/>
      <c r="K1162" s="61"/>
      <c r="L1162" s="233"/>
      <c r="M1162" s="10">
        <f ca="1">IF(ISBLANK(K1162), TODAY()-(I1162), Table27[[#This Row],[Effectiveness Review &amp; date deemed effective]]-Table27[[#This Row],[PTO initialized date]])</f>
        <v>46067</v>
      </c>
    </row>
    <row r="1163" spans="1:13" ht="18">
      <c r="A1163" s="9"/>
      <c r="B1163" s="18" t="e">
        <f>VLOOKUP(Table27[[#This Row],[Location 
(drop-down)]],'List source'!D$2:E$71,2,FALSE)</f>
        <v>#N/A</v>
      </c>
      <c r="C1163" s="154" t="s">
        <v>2502</v>
      </c>
      <c r="D1163" s="20" t="e">
        <f t="shared" si="18"/>
        <v>#N/A</v>
      </c>
      <c r="E1163" s="9"/>
      <c r="F1163" s="10" t="e" cm="1">
        <f t="array" aca="1" ref="F11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3" s="10"/>
      <c r="I1163" s="12"/>
      <c r="J1163" s="12"/>
      <c r="K1163" s="61"/>
      <c r="L1163" s="233"/>
      <c r="M1163" s="10">
        <f ca="1">IF(ISBLANK(K1163), TODAY()-(I1163), Table27[[#This Row],[Effectiveness Review &amp; date deemed effective]]-Table27[[#This Row],[PTO initialized date]])</f>
        <v>46067</v>
      </c>
    </row>
    <row r="1164" spans="1:13" ht="18">
      <c r="A1164" s="9"/>
      <c r="B1164" s="18" t="e">
        <f>VLOOKUP(Table27[[#This Row],[Location 
(drop-down)]],'List source'!D$2:E$71,2,FALSE)</f>
        <v>#N/A</v>
      </c>
      <c r="C1164" s="154" t="s">
        <v>2503</v>
      </c>
      <c r="D1164" s="20" t="e">
        <f t="shared" si="18"/>
        <v>#N/A</v>
      </c>
      <c r="E1164" s="9"/>
      <c r="F1164" s="10" t="e" cm="1">
        <f t="array" aca="1" ref="F11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4" s="10"/>
      <c r="I1164" s="12"/>
      <c r="J1164" s="12"/>
      <c r="K1164" s="61"/>
      <c r="L1164" s="233"/>
      <c r="M1164" s="10">
        <f ca="1">IF(ISBLANK(K1164), TODAY()-(I1164), Table27[[#This Row],[Effectiveness Review &amp; date deemed effective]]-Table27[[#This Row],[PTO initialized date]])</f>
        <v>46067</v>
      </c>
    </row>
    <row r="1165" spans="1:13" ht="18">
      <c r="A1165" s="9"/>
      <c r="B1165" s="18" t="e">
        <f>VLOOKUP(Table27[[#This Row],[Location 
(drop-down)]],'List source'!D$2:E$71,2,FALSE)</f>
        <v>#N/A</v>
      </c>
      <c r="C1165" s="154" t="s">
        <v>2504</v>
      </c>
      <c r="D1165" s="20" t="e">
        <f t="shared" si="18"/>
        <v>#N/A</v>
      </c>
      <c r="E1165" s="9"/>
      <c r="F1165" s="10" t="e" cm="1">
        <f t="array" aca="1" ref="F11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5" s="10"/>
      <c r="I1165" s="12"/>
      <c r="J1165" s="12"/>
      <c r="K1165" s="61"/>
      <c r="L1165" s="233"/>
      <c r="M1165" s="10">
        <f ca="1">IF(ISBLANK(K1165), TODAY()-(I1165), Table27[[#This Row],[Effectiveness Review &amp; date deemed effective]]-Table27[[#This Row],[PTO initialized date]])</f>
        <v>46067</v>
      </c>
    </row>
    <row r="1166" spans="1:13" ht="18">
      <c r="A1166" s="9"/>
      <c r="B1166" s="18" t="e">
        <f>VLOOKUP(Table27[[#This Row],[Location 
(drop-down)]],'List source'!D$2:E$71,2,FALSE)</f>
        <v>#N/A</v>
      </c>
      <c r="C1166" s="154" t="s">
        <v>2505</v>
      </c>
      <c r="D1166" s="20" t="e">
        <f t="shared" si="18"/>
        <v>#N/A</v>
      </c>
      <c r="E1166" s="9"/>
      <c r="F1166" s="10" t="e" cm="1">
        <f t="array" aca="1" ref="F11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6" s="10"/>
      <c r="I1166" s="12"/>
      <c r="J1166" s="12"/>
      <c r="K1166" s="61"/>
      <c r="L1166" s="233"/>
      <c r="M1166" s="10">
        <f ca="1">IF(ISBLANK(K1166), TODAY()-(I1166), Table27[[#This Row],[Effectiveness Review &amp; date deemed effective]]-Table27[[#This Row],[PTO initialized date]])</f>
        <v>46067</v>
      </c>
    </row>
    <row r="1167" spans="1:13" ht="18">
      <c r="A1167" s="9"/>
      <c r="B1167" s="18" t="e">
        <f>VLOOKUP(Table27[[#This Row],[Location 
(drop-down)]],'List source'!D$2:E$71,2,FALSE)</f>
        <v>#N/A</v>
      </c>
      <c r="C1167" s="154" t="s">
        <v>2506</v>
      </c>
      <c r="D1167" s="20" t="e">
        <f t="shared" si="18"/>
        <v>#N/A</v>
      </c>
      <c r="E1167" s="9"/>
      <c r="F1167" s="10" t="e" cm="1">
        <f t="array" aca="1" ref="F11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7" s="10"/>
      <c r="I1167" s="12"/>
      <c r="J1167" s="12"/>
      <c r="K1167" s="61"/>
      <c r="L1167" s="233"/>
      <c r="M1167" s="10">
        <f ca="1">IF(ISBLANK(K1167), TODAY()-(I1167), Table27[[#This Row],[Effectiveness Review &amp; date deemed effective]]-Table27[[#This Row],[PTO initialized date]])</f>
        <v>46067</v>
      </c>
    </row>
    <row r="1168" spans="1:13" ht="18">
      <c r="A1168" s="9"/>
      <c r="B1168" s="18" t="e">
        <f>VLOOKUP(Table27[[#This Row],[Location 
(drop-down)]],'List source'!D$2:E$71,2,FALSE)</f>
        <v>#N/A</v>
      </c>
      <c r="C1168" s="154" t="s">
        <v>2507</v>
      </c>
      <c r="D1168" s="20" t="e">
        <f t="shared" si="18"/>
        <v>#N/A</v>
      </c>
      <c r="E1168" s="9"/>
      <c r="F1168" s="10" t="e" cm="1">
        <f t="array" aca="1" ref="F11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8" s="10"/>
      <c r="I1168" s="12"/>
      <c r="J1168" s="12"/>
      <c r="K1168" s="61"/>
      <c r="L1168" s="233"/>
      <c r="M1168" s="10">
        <f ca="1">IF(ISBLANK(K1168), TODAY()-(I1168), Table27[[#This Row],[Effectiveness Review &amp; date deemed effective]]-Table27[[#This Row],[PTO initialized date]])</f>
        <v>46067</v>
      </c>
    </row>
    <row r="1169" spans="1:13" ht="18">
      <c r="A1169" s="9"/>
      <c r="B1169" s="18" t="e">
        <f>VLOOKUP(Table27[[#This Row],[Location 
(drop-down)]],'List source'!D$2:E$71,2,FALSE)</f>
        <v>#N/A</v>
      </c>
      <c r="C1169" s="154" t="s">
        <v>2508</v>
      </c>
      <c r="D1169" s="20" t="e">
        <f t="shared" si="18"/>
        <v>#N/A</v>
      </c>
      <c r="E1169" s="9"/>
      <c r="F1169" s="10" t="e" cm="1">
        <f t="array" aca="1" ref="F11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69" s="10"/>
      <c r="I1169" s="12"/>
      <c r="J1169" s="12"/>
      <c r="K1169" s="61"/>
      <c r="L1169" s="233"/>
      <c r="M1169" s="10">
        <f ca="1">IF(ISBLANK(K1169), TODAY()-(I1169), Table27[[#This Row],[Effectiveness Review &amp; date deemed effective]]-Table27[[#This Row],[PTO initialized date]])</f>
        <v>46067</v>
      </c>
    </row>
    <row r="1170" spans="1:13" ht="18">
      <c r="A1170" s="9"/>
      <c r="B1170" s="18" t="e">
        <f>VLOOKUP(Table27[[#This Row],[Location 
(drop-down)]],'List source'!D$2:E$71,2,FALSE)</f>
        <v>#N/A</v>
      </c>
      <c r="C1170" s="154" t="s">
        <v>2509</v>
      </c>
      <c r="D1170" s="20" t="e">
        <f t="shared" si="18"/>
        <v>#N/A</v>
      </c>
      <c r="E1170" s="9"/>
      <c r="F1170" s="10" t="e" cm="1">
        <f t="array" aca="1" ref="F11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0" s="10"/>
      <c r="I1170" s="12"/>
      <c r="J1170" s="12"/>
      <c r="K1170" s="61"/>
      <c r="L1170" s="233"/>
      <c r="M1170" s="10">
        <f ca="1">IF(ISBLANK(K1170), TODAY()-(I1170), Table27[[#This Row],[Effectiveness Review &amp; date deemed effective]]-Table27[[#This Row],[PTO initialized date]])</f>
        <v>46067</v>
      </c>
    </row>
    <row r="1171" spans="1:13" ht="18">
      <c r="A1171" s="9"/>
      <c r="B1171" s="18" t="e">
        <f>VLOOKUP(Table27[[#This Row],[Location 
(drop-down)]],'List source'!D$2:E$71,2,FALSE)</f>
        <v>#N/A</v>
      </c>
      <c r="C1171" s="154" t="s">
        <v>2510</v>
      </c>
      <c r="D1171" s="20" t="e">
        <f t="shared" si="18"/>
        <v>#N/A</v>
      </c>
      <c r="E1171" s="9"/>
      <c r="F1171" s="10" t="e" cm="1">
        <f t="array" aca="1" ref="F11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1" s="10"/>
      <c r="I1171" s="12"/>
      <c r="J1171" s="12"/>
      <c r="K1171" s="61"/>
      <c r="L1171" s="233"/>
      <c r="M1171" s="10">
        <f ca="1">IF(ISBLANK(K1171), TODAY()-(I1171), Table27[[#This Row],[Effectiveness Review &amp; date deemed effective]]-Table27[[#This Row],[PTO initialized date]])</f>
        <v>46067</v>
      </c>
    </row>
    <row r="1172" spans="1:13" ht="18">
      <c r="A1172" s="9"/>
      <c r="B1172" s="18" t="e">
        <f>VLOOKUP(Table27[[#This Row],[Location 
(drop-down)]],'List source'!D$2:E$71,2,FALSE)</f>
        <v>#N/A</v>
      </c>
      <c r="C1172" s="154" t="s">
        <v>2511</v>
      </c>
      <c r="D1172" s="20" t="e">
        <f t="shared" si="18"/>
        <v>#N/A</v>
      </c>
      <c r="E1172" s="9"/>
      <c r="F1172" s="10" t="e" cm="1">
        <f t="array" aca="1" ref="F11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2" s="10"/>
      <c r="I1172" s="12"/>
      <c r="J1172" s="12"/>
      <c r="K1172" s="61"/>
      <c r="L1172" s="233"/>
      <c r="M1172" s="10">
        <f ca="1">IF(ISBLANK(K1172), TODAY()-(I1172), Table27[[#This Row],[Effectiveness Review &amp; date deemed effective]]-Table27[[#This Row],[PTO initialized date]])</f>
        <v>46067</v>
      </c>
    </row>
    <row r="1173" spans="1:13" ht="18">
      <c r="A1173" s="9"/>
      <c r="B1173" s="18" t="e">
        <f>VLOOKUP(Table27[[#This Row],[Location 
(drop-down)]],'List source'!D$2:E$71,2,FALSE)</f>
        <v>#N/A</v>
      </c>
      <c r="C1173" s="154" t="s">
        <v>2512</v>
      </c>
      <c r="D1173" s="20" t="e">
        <f t="shared" si="18"/>
        <v>#N/A</v>
      </c>
      <c r="E1173" s="9"/>
      <c r="F1173" s="10" t="e" cm="1">
        <f t="array" aca="1" ref="F11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3" s="10"/>
      <c r="I1173" s="12"/>
      <c r="J1173" s="12"/>
      <c r="K1173" s="61"/>
      <c r="L1173" s="233"/>
      <c r="M1173" s="10">
        <f ca="1">IF(ISBLANK(K1173), TODAY()-(I1173), Table27[[#This Row],[Effectiveness Review &amp; date deemed effective]]-Table27[[#This Row],[PTO initialized date]])</f>
        <v>46067</v>
      </c>
    </row>
    <row r="1174" spans="1:13" ht="18">
      <c r="A1174" s="9"/>
      <c r="B1174" s="18" t="e">
        <f>VLOOKUP(Table27[[#This Row],[Location 
(drop-down)]],'List source'!D$2:E$71,2,FALSE)</f>
        <v>#N/A</v>
      </c>
      <c r="C1174" s="154" t="s">
        <v>2513</v>
      </c>
      <c r="D1174" s="20" t="e">
        <f t="shared" si="18"/>
        <v>#N/A</v>
      </c>
      <c r="E1174" s="9"/>
      <c r="F1174" s="10" t="e" cm="1">
        <f t="array" aca="1" ref="F11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4" s="10"/>
      <c r="I1174" s="12"/>
      <c r="J1174" s="12"/>
      <c r="K1174" s="61"/>
      <c r="L1174" s="233"/>
      <c r="M1174" s="10">
        <f ca="1">IF(ISBLANK(K1174), TODAY()-(I1174), Table27[[#This Row],[Effectiveness Review &amp; date deemed effective]]-Table27[[#This Row],[PTO initialized date]])</f>
        <v>46067</v>
      </c>
    </row>
    <row r="1175" spans="1:13" ht="18">
      <c r="A1175" s="9"/>
      <c r="B1175" s="18" t="e">
        <f>VLOOKUP(Table27[[#This Row],[Location 
(drop-down)]],'List source'!D$2:E$71,2,FALSE)</f>
        <v>#N/A</v>
      </c>
      <c r="C1175" s="154" t="s">
        <v>2514</v>
      </c>
      <c r="D1175" s="20" t="e">
        <f t="shared" si="18"/>
        <v>#N/A</v>
      </c>
      <c r="E1175" s="9"/>
      <c r="F1175" s="10" t="e" cm="1">
        <f t="array" aca="1" ref="F11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5" s="10"/>
      <c r="I1175" s="12"/>
      <c r="J1175" s="12"/>
      <c r="K1175" s="61"/>
      <c r="L1175" s="233"/>
      <c r="M1175" s="10">
        <f ca="1">IF(ISBLANK(K1175), TODAY()-(I1175), Table27[[#This Row],[Effectiveness Review &amp; date deemed effective]]-Table27[[#This Row],[PTO initialized date]])</f>
        <v>46067</v>
      </c>
    </row>
    <row r="1176" spans="1:13" ht="18">
      <c r="A1176" s="9"/>
      <c r="B1176" s="18" t="e">
        <f>VLOOKUP(Table27[[#This Row],[Location 
(drop-down)]],'List source'!D$2:E$71,2,FALSE)</f>
        <v>#N/A</v>
      </c>
      <c r="C1176" s="154" t="s">
        <v>2515</v>
      </c>
      <c r="D1176" s="20" t="e">
        <f t="shared" si="18"/>
        <v>#N/A</v>
      </c>
      <c r="E1176" s="9"/>
      <c r="F1176" s="10" t="e" cm="1">
        <f t="array" aca="1" ref="F11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6" s="10"/>
      <c r="I1176" s="12"/>
      <c r="J1176" s="12"/>
      <c r="K1176" s="61"/>
      <c r="L1176" s="233"/>
      <c r="M1176" s="10">
        <f ca="1">IF(ISBLANK(K1176), TODAY()-(I1176), Table27[[#This Row],[Effectiveness Review &amp; date deemed effective]]-Table27[[#This Row],[PTO initialized date]])</f>
        <v>46067</v>
      </c>
    </row>
    <row r="1177" spans="1:13" ht="18">
      <c r="A1177" s="9"/>
      <c r="B1177" s="18" t="e">
        <f>VLOOKUP(Table27[[#This Row],[Location 
(drop-down)]],'List source'!D$2:E$71,2,FALSE)</f>
        <v>#N/A</v>
      </c>
      <c r="C1177" s="154" t="s">
        <v>2516</v>
      </c>
      <c r="D1177" s="20" t="e">
        <f t="shared" si="18"/>
        <v>#N/A</v>
      </c>
      <c r="E1177" s="9"/>
      <c r="F1177" s="10" t="e" cm="1">
        <f t="array" aca="1" ref="F11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7" s="10"/>
      <c r="I1177" s="12"/>
      <c r="J1177" s="12"/>
      <c r="K1177" s="61"/>
      <c r="L1177" s="233"/>
      <c r="M1177" s="10">
        <f ca="1">IF(ISBLANK(K1177), TODAY()-(I1177), Table27[[#This Row],[Effectiveness Review &amp; date deemed effective]]-Table27[[#This Row],[PTO initialized date]])</f>
        <v>46067</v>
      </c>
    </row>
    <row r="1178" spans="1:13" ht="18">
      <c r="A1178" s="9"/>
      <c r="B1178" s="18" t="e">
        <f>VLOOKUP(Table27[[#This Row],[Location 
(drop-down)]],'List source'!D$2:E$71,2,FALSE)</f>
        <v>#N/A</v>
      </c>
      <c r="C1178" s="154" t="s">
        <v>2517</v>
      </c>
      <c r="D1178" s="20" t="e">
        <f t="shared" si="18"/>
        <v>#N/A</v>
      </c>
      <c r="E1178" s="9"/>
      <c r="F1178" s="10" t="e" cm="1">
        <f t="array" aca="1" ref="F11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8" s="10"/>
      <c r="I1178" s="12"/>
      <c r="J1178" s="12"/>
      <c r="K1178" s="61"/>
      <c r="L1178" s="233"/>
      <c r="M1178" s="10">
        <f ca="1">IF(ISBLANK(K1178), TODAY()-(I1178), Table27[[#This Row],[Effectiveness Review &amp; date deemed effective]]-Table27[[#This Row],[PTO initialized date]])</f>
        <v>46067</v>
      </c>
    </row>
    <row r="1179" spans="1:13" ht="18">
      <c r="A1179" s="9"/>
      <c r="B1179" s="18" t="e">
        <f>VLOOKUP(Table27[[#This Row],[Location 
(drop-down)]],'List source'!D$2:E$71,2,FALSE)</f>
        <v>#N/A</v>
      </c>
      <c r="C1179" s="154" t="s">
        <v>2518</v>
      </c>
      <c r="D1179" s="20" t="e">
        <f t="shared" si="18"/>
        <v>#N/A</v>
      </c>
      <c r="E1179" s="9"/>
      <c r="F1179" s="10" t="e" cm="1">
        <f t="array" aca="1" ref="F11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79" s="10"/>
      <c r="I1179" s="12"/>
      <c r="J1179" s="12"/>
      <c r="K1179" s="61"/>
      <c r="L1179" s="233"/>
      <c r="M1179" s="10">
        <f ca="1">IF(ISBLANK(K1179), TODAY()-(I1179), Table27[[#This Row],[Effectiveness Review &amp; date deemed effective]]-Table27[[#This Row],[PTO initialized date]])</f>
        <v>46067</v>
      </c>
    </row>
    <row r="1180" spans="1:13" ht="18">
      <c r="A1180" s="9"/>
      <c r="B1180" s="18" t="e">
        <f>VLOOKUP(Table27[[#This Row],[Location 
(drop-down)]],'List source'!D$2:E$71,2,FALSE)</f>
        <v>#N/A</v>
      </c>
      <c r="C1180" s="154" t="s">
        <v>2519</v>
      </c>
      <c r="D1180" s="20" t="e">
        <f t="shared" si="18"/>
        <v>#N/A</v>
      </c>
      <c r="E1180" s="9"/>
      <c r="F1180" s="10" t="e" cm="1">
        <f t="array" aca="1" ref="F11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0" s="10"/>
      <c r="I1180" s="12"/>
      <c r="J1180" s="12"/>
      <c r="K1180" s="61"/>
      <c r="L1180" s="233"/>
      <c r="M1180" s="10">
        <f ca="1">IF(ISBLANK(K1180), TODAY()-(I1180), Table27[[#This Row],[Effectiveness Review &amp; date deemed effective]]-Table27[[#This Row],[PTO initialized date]])</f>
        <v>46067</v>
      </c>
    </row>
    <row r="1181" spans="1:13" ht="18">
      <c r="A1181" s="9"/>
      <c r="B1181" s="18" t="e">
        <f>VLOOKUP(Table27[[#This Row],[Location 
(drop-down)]],'List source'!D$2:E$71,2,FALSE)</f>
        <v>#N/A</v>
      </c>
      <c r="C1181" s="154" t="s">
        <v>2520</v>
      </c>
      <c r="D1181" s="20" t="e">
        <f t="shared" si="18"/>
        <v>#N/A</v>
      </c>
      <c r="E1181" s="9"/>
      <c r="F1181" s="10" t="e" cm="1">
        <f t="array" aca="1" ref="F11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1" s="10"/>
      <c r="I1181" s="12"/>
      <c r="J1181" s="12"/>
      <c r="K1181" s="61"/>
      <c r="L1181" s="233"/>
      <c r="M1181" s="10">
        <f ca="1">IF(ISBLANK(K1181), TODAY()-(I1181), Table27[[#This Row],[Effectiveness Review &amp; date deemed effective]]-Table27[[#This Row],[PTO initialized date]])</f>
        <v>46067</v>
      </c>
    </row>
    <row r="1182" spans="1:13" ht="18">
      <c r="A1182" s="9"/>
      <c r="B1182" s="18" t="e">
        <f>VLOOKUP(Table27[[#This Row],[Location 
(drop-down)]],'List source'!D$2:E$71,2,FALSE)</f>
        <v>#N/A</v>
      </c>
      <c r="C1182" s="154" t="s">
        <v>2521</v>
      </c>
      <c r="D1182" s="20" t="e">
        <f t="shared" si="18"/>
        <v>#N/A</v>
      </c>
      <c r="E1182" s="9"/>
      <c r="F1182" s="10" t="e" cm="1">
        <f t="array" aca="1" ref="F11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2" s="10"/>
      <c r="I1182" s="12"/>
      <c r="J1182" s="12"/>
      <c r="K1182" s="61"/>
      <c r="L1182" s="233"/>
      <c r="M1182" s="10">
        <f ca="1">IF(ISBLANK(K1182), TODAY()-(I1182), Table27[[#This Row],[Effectiveness Review &amp; date deemed effective]]-Table27[[#This Row],[PTO initialized date]])</f>
        <v>46067</v>
      </c>
    </row>
    <row r="1183" spans="1:13" ht="18">
      <c r="A1183" s="9"/>
      <c r="B1183" s="18" t="e">
        <f>VLOOKUP(Table27[[#This Row],[Location 
(drop-down)]],'List source'!D$2:E$71,2,FALSE)</f>
        <v>#N/A</v>
      </c>
      <c r="C1183" s="154" t="s">
        <v>2522</v>
      </c>
      <c r="D1183" s="20" t="e">
        <f t="shared" si="18"/>
        <v>#N/A</v>
      </c>
      <c r="E1183" s="9"/>
      <c r="F1183" s="10" t="e" cm="1">
        <f t="array" aca="1" ref="F11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3" s="10"/>
      <c r="I1183" s="12"/>
      <c r="J1183" s="12"/>
      <c r="K1183" s="61"/>
      <c r="L1183" s="233"/>
      <c r="M1183" s="10">
        <f ca="1">IF(ISBLANK(K1183), TODAY()-(I1183), Table27[[#This Row],[Effectiveness Review &amp; date deemed effective]]-Table27[[#This Row],[PTO initialized date]])</f>
        <v>46067</v>
      </c>
    </row>
    <row r="1184" spans="1:13" ht="18">
      <c r="A1184" s="9"/>
      <c r="B1184" s="18" t="e">
        <f>VLOOKUP(Table27[[#This Row],[Location 
(drop-down)]],'List source'!D$2:E$71,2,FALSE)</f>
        <v>#N/A</v>
      </c>
      <c r="C1184" s="154" t="s">
        <v>2523</v>
      </c>
      <c r="D1184" s="20" t="e">
        <f t="shared" si="18"/>
        <v>#N/A</v>
      </c>
      <c r="E1184" s="9"/>
      <c r="F1184" s="10" t="e" cm="1">
        <f t="array" aca="1" ref="F11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4" s="10"/>
      <c r="I1184" s="12"/>
      <c r="J1184" s="12"/>
      <c r="K1184" s="61"/>
      <c r="L1184" s="233"/>
      <c r="M1184" s="10">
        <f ca="1">IF(ISBLANK(K1184), TODAY()-(I1184), Table27[[#This Row],[Effectiveness Review &amp; date deemed effective]]-Table27[[#This Row],[PTO initialized date]])</f>
        <v>46067</v>
      </c>
    </row>
    <row r="1185" spans="1:13" ht="18">
      <c r="A1185" s="9"/>
      <c r="B1185" s="18" t="e">
        <f>VLOOKUP(Table27[[#This Row],[Location 
(drop-down)]],'List source'!D$2:E$71,2,FALSE)</f>
        <v>#N/A</v>
      </c>
      <c r="C1185" s="154" t="s">
        <v>2524</v>
      </c>
      <c r="D1185" s="20" t="e">
        <f t="shared" si="18"/>
        <v>#N/A</v>
      </c>
      <c r="E1185" s="9"/>
      <c r="F1185" s="10" t="e" cm="1">
        <f t="array" aca="1" ref="F11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5" s="10"/>
      <c r="I1185" s="12"/>
      <c r="J1185" s="12"/>
      <c r="K1185" s="61"/>
      <c r="L1185" s="233"/>
      <c r="M1185" s="10">
        <f ca="1">IF(ISBLANK(K1185), TODAY()-(I1185), Table27[[#This Row],[Effectiveness Review &amp; date deemed effective]]-Table27[[#This Row],[PTO initialized date]])</f>
        <v>46067</v>
      </c>
    </row>
    <row r="1186" spans="1:13" ht="18">
      <c r="A1186" s="9"/>
      <c r="B1186" s="18" t="e">
        <f>VLOOKUP(Table27[[#This Row],[Location 
(drop-down)]],'List source'!D$2:E$71,2,FALSE)</f>
        <v>#N/A</v>
      </c>
      <c r="C1186" s="154" t="s">
        <v>2525</v>
      </c>
      <c r="D1186" s="20" t="e">
        <f t="shared" si="18"/>
        <v>#N/A</v>
      </c>
      <c r="E1186" s="9"/>
      <c r="F1186" s="10" t="e" cm="1">
        <f t="array" aca="1" ref="F11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6" s="10"/>
      <c r="I1186" s="12"/>
      <c r="J1186" s="12"/>
      <c r="K1186" s="61"/>
      <c r="L1186" s="233"/>
      <c r="M1186" s="10">
        <f ca="1">IF(ISBLANK(K1186), TODAY()-(I1186), Table27[[#This Row],[Effectiveness Review &amp; date deemed effective]]-Table27[[#This Row],[PTO initialized date]])</f>
        <v>46067</v>
      </c>
    </row>
    <row r="1187" spans="1:13" ht="18">
      <c r="A1187" s="9"/>
      <c r="B1187" s="18" t="e">
        <f>VLOOKUP(Table27[[#This Row],[Location 
(drop-down)]],'List source'!D$2:E$71,2,FALSE)</f>
        <v>#N/A</v>
      </c>
      <c r="C1187" s="154" t="s">
        <v>2526</v>
      </c>
      <c r="D1187" s="20" t="e">
        <f t="shared" si="18"/>
        <v>#N/A</v>
      </c>
      <c r="E1187" s="9"/>
      <c r="F1187" s="10" t="e" cm="1">
        <f t="array" aca="1" ref="F11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7" s="10"/>
      <c r="I1187" s="12"/>
      <c r="J1187" s="12"/>
      <c r="K1187" s="61"/>
      <c r="L1187" s="233"/>
      <c r="M1187" s="10">
        <f ca="1">IF(ISBLANK(K1187), TODAY()-(I1187), Table27[[#This Row],[Effectiveness Review &amp; date deemed effective]]-Table27[[#This Row],[PTO initialized date]])</f>
        <v>46067</v>
      </c>
    </row>
    <row r="1188" spans="1:13" ht="18">
      <c r="A1188" s="9"/>
      <c r="B1188" s="18" t="e">
        <f>VLOOKUP(Table27[[#This Row],[Location 
(drop-down)]],'List source'!D$2:E$71,2,FALSE)</f>
        <v>#N/A</v>
      </c>
      <c r="C1188" s="154" t="s">
        <v>2527</v>
      </c>
      <c r="D1188" s="20" t="e">
        <f t="shared" si="18"/>
        <v>#N/A</v>
      </c>
      <c r="E1188" s="9"/>
      <c r="F1188" s="10" t="e" cm="1">
        <f t="array" aca="1" ref="F11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8" s="10"/>
      <c r="I1188" s="12"/>
      <c r="J1188" s="12"/>
      <c r="K1188" s="61"/>
      <c r="L1188" s="233"/>
      <c r="M1188" s="10">
        <f ca="1">IF(ISBLANK(K1188), TODAY()-(I1188), Table27[[#This Row],[Effectiveness Review &amp; date deemed effective]]-Table27[[#This Row],[PTO initialized date]])</f>
        <v>46067</v>
      </c>
    </row>
    <row r="1189" spans="1:13" ht="18">
      <c r="A1189" s="9"/>
      <c r="B1189" s="18" t="e">
        <f>VLOOKUP(Table27[[#This Row],[Location 
(drop-down)]],'List source'!D$2:E$71,2,FALSE)</f>
        <v>#N/A</v>
      </c>
      <c r="C1189" s="154" t="s">
        <v>2528</v>
      </c>
      <c r="D1189" s="20" t="e">
        <f t="shared" si="18"/>
        <v>#N/A</v>
      </c>
      <c r="E1189" s="9"/>
      <c r="F1189" s="10" t="e" cm="1">
        <f t="array" aca="1" ref="F11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89" s="10"/>
      <c r="I1189" s="12"/>
      <c r="J1189" s="12"/>
      <c r="K1189" s="61"/>
      <c r="L1189" s="233"/>
      <c r="M1189" s="10">
        <f ca="1">IF(ISBLANK(K1189), TODAY()-(I1189), Table27[[#This Row],[Effectiveness Review &amp; date deemed effective]]-Table27[[#This Row],[PTO initialized date]])</f>
        <v>46067</v>
      </c>
    </row>
    <row r="1190" spans="1:13" ht="18">
      <c r="A1190" s="9"/>
      <c r="B1190" s="18" t="e">
        <f>VLOOKUP(Table27[[#This Row],[Location 
(drop-down)]],'List source'!D$2:E$71,2,FALSE)</f>
        <v>#N/A</v>
      </c>
      <c r="C1190" s="154" t="s">
        <v>2529</v>
      </c>
      <c r="D1190" s="20" t="e">
        <f t="shared" si="18"/>
        <v>#N/A</v>
      </c>
      <c r="E1190" s="9"/>
      <c r="F1190" s="10" t="e" cm="1">
        <f t="array" aca="1" ref="F11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0" s="10"/>
      <c r="I1190" s="12"/>
      <c r="J1190" s="12"/>
      <c r="K1190" s="61"/>
      <c r="L1190" s="233"/>
      <c r="M1190" s="10">
        <f ca="1">IF(ISBLANK(K1190), TODAY()-(I1190), Table27[[#This Row],[Effectiveness Review &amp; date deemed effective]]-Table27[[#This Row],[PTO initialized date]])</f>
        <v>46067</v>
      </c>
    </row>
    <row r="1191" spans="1:13" ht="18">
      <c r="A1191" s="9"/>
      <c r="B1191" s="18" t="e">
        <f>VLOOKUP(Table27[[#This Row],[Location 
(drop-down)]],'List source'!D$2:E$71,2,FALSE)</f>
        <v>#N/A</v>
      </c>
      <c r="C1191" s="154" t="s">
        <v>2530</v>
      </c>
      <c r="D1191" s="20" t="e">
        <f t="shared" si="18"/>
        <v>#N/A</v>
      </c>
      <c r="E1191" s="9"/>
      <c r="F1191" s="10" t="e" cm="1">
        <f t="array" aca="1" ref="F11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1" s="10"/>
      <c r="I1191" s="12"/>
      <c r="J1191" s="12"/>
      <c r="K1191" s="61"/>
      <c r="L1191" s="233"/>
      <c r="M1191" s="10">
        <f ca="1">IF(ISBLANK(K1191), TODAY()-(I1191), Table27[[#This Row],[Effectiveness Review &amp; date deemed effective]]-Table27[[#This Row],[PTO initialized date]])</f>
        <v>46067</v>
      </c>
    </row>
    <row r="1192" spans="1:13" ht="18">
      <c r="A1192" s="9"/>
      <c r="B1192" s="18" t="e">
        <f>VLOOKUP(Table27[[#This Row],[Location 
(drop-down)]],'List source'!D$2:E$71,2,FALSE)</f>
        <v>#N/A</v>
      </c>
      <c r="C1192" s="154" t="s">
        <v>2531</v>
      </c>
      <c r="D1192" s="20" t="e">
        <f t="shared" si="18"/>
        <v>#N/A</v>
      </c>
      <c r="E1192" s="9"/>
      <c r="F1192" s="10" t="e" cm="1">
        <f t="array" aca="1" ref="F11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2" s="10"/>
      <c r="I1192" s="12"/>
      <c r="J1192" s="12"/>
      <c r="K1192" s="61"/>
      <c r="L1192" s="233"/>
      <c r="M1192" s="10">
        <f ca="1">IF(ISBLANK(K1192), TODAY()-(I1192), Table27[[#This Row],[Effectiveness Review &amp; date deemed effective]]-Table27[[#This Row],[PTO initialized date]])</f>
        <v>46067</v>
      </c>
    </row>
    <row r="1193" spans="1:13" ht="18">
      <c r="A1193" s="9"/>
      <c r="B1193" s="18" t="e">
        <f>VLOOKUP(Table27[[#This Row],[Location 
(drop-down)]],'List source'!D$2:E$71,2,FALSE)</f>
        <v>#N/A</v>
      </c>
      <c r="C1193" s="154" t="s">
        <v>2532</v>
      </c>
      <c r="D1193" s="20" t="e">
        <f t="shared" si="18"/>
        <v>#N/A</v>
      </c>
      <c r="E1193" s="9"/>
      <c r="F1193" s="10" t="e" cm="1">
        <f t="array" aca="1" ref="F11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3" s="10"/>
      <c r="I1193" s="12"/>
      <c r="J1193" s="12"/>
      <c r="K1193" s="61"/>
      <c r="L1193" s="233"/>
      <c r="M1193" s="10">
        <f ca="1">IF(ISBLANK(K1193), TODAY()-(I1193), Table27[[#This Row],[Effectiveness Review &amp; date deemed effective]]-Table27[[#This Row],[PTO initialized date]])</f>
        <v>46067</v>
      </c>
    </row>
    <row r="1194" spans="1:13" ht="18">
      <c r="A1194" s="9"/>
      <c r="B1194" s="18" t="e">
        <f>VLOOKUP(Table27[[#This Row],[Location 
(drop-down)]],'List source'!D$2:E$71,2,FALSE)</f>
        <v>#N/A</v>
      </c>
      <c r="C1194" s="154" t="s">
        <v>2533</v>
      </c>
      <c r="D1194" s="20" t="e">
        <f t="shared" si="18"/>
        <v>#N/A</v>
      </c>
      <c r="E1194" s="9"/>
      <c r="F1194" s="10" t="e" cm="1">
        <f t="array" aca="1" ref="F11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4" s="10"/>
      <c r="I1194" s="12"/>
      <c r="J1194" s="12"/>
      <c r="K1194" s="61"/>
      <c r="L1194" s="233"/>
      <c r="M1194" s="10">
        <f ca="1">IF(ISBLANK(K1194), TODAY()-(I1194), Table27[[#This Row],[Effectiveness Review &amp; date deemed effective]]-Table27[[#This Row],[PTO initialized date]])</f>
        <v>46067</v>
      </c>
    </row>
    <row r="1195" spans="1:13" ht="18">
      <c r="A1195" s="9"/>
      <c r="B1195" s="18" t="e">
        <f>VLOOKUP(Table27[[#This Row],[Location 
(drop-down)]],'List source'!D$2:E$71,2,FALSE)</f>
        <v>#N/A</v>
      </c>
      <c r="C1195" s="154" t="s">
        <v>2534</v>
      </c>
      <c r="D1195" s="20" t="e">
        <f t="shared" si="18"/>
        <v>#N/A</v>
      </c>
      <c r="E1195" s="9"/>
      <c r="F1195" s="10" t="e" cm="1">
        <f t="array" aca="1" ref="F11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5" s="10"/>
      <c r="I1195" s="12"/>
      <c r="J1195" s="12"/>
      <c r="K1195" s="61"/>
      <c r="L1195" s="233"/>
      <c r="M1195" s="10">
        <f ca="1">IF(ISBLANK(K1195), TODAY()-(I1195), Table27[[#This Row],[Effectiveness Review &amp; date deemed effective]]-Table27[[#This Row],[PTO initialized date]])</f>
        <v>46067</v>
      </c>
    </row>
    <row r="1196" spans="1:13" ht="18">
      <c r="A1196" s="9"/>
      <c r="B1196" s="18" t="e">
        <f>VLOOKUP(Table27[[#This Row],[Location 
(drop-down)]],'List source'!D$2:E$71,2,FALSE)</f>
        <v>#N/A</v>
      </c>
      <c r="C1196" s="154" t="s">
        <v>2535</v>
      </c>
      <c r="D1196" s="20" t="e">
        <f t="shared" si="18"/>
        <v>#N/A</v>
      </c>
      <c r="E1196" s="9"/>
      <c r="F1196" s="10" t="e" cm="1">
        <f t="array" aca="1" ref="F11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6" s="10"/>
      <c r="I1196" s="12"/>
      <c r="J1196" s="12"/>
      <c r="K1196" s="61"/>
      <c r="L1196" s="233"/>
      <c r="M1196" s="10">
        <f ca="1">IF(ISBLANK(K1196), TODAY()-(I1196), Table27[[#This Row],[Effectiveness Review &amp; date deemed effective]]-Table27[[#This Row],[PTO initialized date]])</f>
        <v>46067</v>
      </c>
    </row>
    <row r="1197" spans="1:13" ht="18">
      <c r="A1197" s="9"/>
      <c r="B1197" s="18" t="e">
        <f>VLOOKUP(Table27[[#This Row],[Location 
(drop-down)]],'List source'!D$2:E$71,2,FALSE)</f>
        <v>#N/A</v>
      </c>
      <c r="C1197" s="154" t="s">
        <v>2536</v>
      </c>
      <c r="D1197" s="20" t="e">
        <f t="shared" si="18"/>
        <v>#N/A</v>
      </c>
      <c r="E1197" s="9"/>
      <c r="F1197" s="10" t="e" cm="1">
        <f t="array" aca="1" ref="F11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7" s="10"/>
      <c r="I1197" s="12"/>
      <c r="J1197" s="12"/>
      <c r="K1197" s="61"/>
      <c r="L1197" s="233"/>
      <c r="M1197" s="10">
        <f ca="1">IF(ISBLANK(K1197), TODAY()-(I1197), Table27[[#This Row],[Effectiveness Review &amp; date deemed effective]]-Table27[[#This Row],[PTO initialized date]])</f>
        <v>46067</v>
      </c>
    </row>
    <row r="1198" spans="1:13" ht="18">
      <c r="A1198" s="9"/>
      <c r="B1198" s="18" t="e">
        <f>VLOOKUP(Table27[[#This Row],[Location 
(drop-down)]],'List source'!D$2:E$71,2,FALSE)</f>
        <v>#N/A</v>
      </c>
      <c r="C1198" s="154" t="s">
        <v>2537</v>
      </c>
      <c r="D1198" s="20" t="e">
        <f t="shared" si="18"/>
        <v>#N/A</v>
      </c>
      <c r="E1198" s="9"/>
      <c r="F1198" s="10" t="e" cm="1">
        <f t="array" aca="1" ref="F11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8" s="10"/>
      <c r="I1198" s="12"/>
      <c r="J1198" s="12"/>
      <c r="K1198" s="61"/>
      <c r="L1198" s="233"/>
      <c r="M1198" s="10">
        <f ca="1">IF(ISBLANK(K1198), TODAY()-(I1198), Table27[[#This Row],[Effectiveness Review &amp; date deemed effective]]-Table27[[#This Row],[PTO initialized date]])</f>
        <v>46067</v>
      </c>
    </row>
    <row r="1199" spans="1:13" ht="18">
      <c r="A1199" s="68"/>
      <c r="B1199" s="18" t="e">
        <f>VLOOKUP(Table27[[#This Row],[Location 
(drop-down)]],'List source'!D$2:E$71,2,FALSE)</f>
        <v>#N/A</v>
      </c>
      <c r="C1199" s="154" t="s">
        <v>2538</v>
      </c>
      <c r="D1199" s="20" t="e">
        <f t="shared" si="18"/>
        <v>#N/A</v>
      </c>
      <c r="E1199" s="68"/>
      <c r="F1199" s="10" t="e" cm="1">
        <f t="array" aca="1" ref="F11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1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199" s="72"/>
      <c r="I1199" s="70"/>
      <c r="J1199" s="70"/>
      <c r="K1199" s="71"/>
      <c r="L1199" s="296"/>
      <c r="M1199" s="10">
        <f ca="1">IF(ISBLANK(K1199), TODAY()-(I1199), Table27[[#This Row],[Effectiveness Review &amp; date deemed effective]]-Table27[[#This Row],[PTO initialized date]])</f>
        <v>46067</v>
      </c>
    </row>
    <row r="1200" spans="1:13" ht="18">
      <c r="A1200" s="9"/>
      <c r="B1200" s="18" t="e">
        <f>VLOOKUP(Table27[[#This Row],[Location 
(drop-down)]],'List source'!D$2:E$71,2,FALSE)</f>
        <v>#N/A</v>
      </c>
      <c r="C1200" s="154" t="s">
        <v>2539</v>
      </c>
      <c r="D1200" s="20" t="e">
        <f t="shared" si="18"/>
        <v>#N/A</v>
      </c>
      <c r="E1200" s="9"/>
      <c r="F1200" s="10" t="e" cm="1">
        <f t="array" aca="1" ref="F12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0" s="10"/>
      <c r="I1200" s="12"/>
      <c r="J1200" s="12"/>
      <c r="K1200" s="61"/>
      <c r="L1200" s="233"/>
      <c r="M1200" s="10">
        <f ca="1">IF(ISBLANK(K1200), TODAY()-(I1200), Table27[[#This Row],[Effectiveness Review &amp; date deemed effective]]-Table27[[#This Row],[PTO initialized date]])</f>
        <v>46067</v>
      </c>
    </row>
    <row r="1201" spans="1:13" ht="18">
      <c r="A1201" s="9"/>
      <c r="B1201" s="18" t="e">
        <f>VLOOKUP(Table27[[#This Row],[Location 
(drop-down)]],'List source'!D$2:E$71,2,FALSE)</f>
        <v>#N/A</v>
      </c>
      <c r="C1201" s="154" t="s">
        <v>2540</v>
      </c>
      <c r="D1201" s="20" t="e">
        <f t="shared" si="18"/>
        <v>#N/A</v>
      </c>
      <c r="E1201" s="9"/>
      <c r="F1201" s="10" t="e" cm="1">
        <f t="array" aca="1" ref="F12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1" s="10"/>
      <c r="I1201" s="12"/>
      <c r="J1201" s="12"/>
      <c r="K1201" s="61"/>
      <c r="L1201" s="233"/>
      <c r="M1201" s="10">
        <f ca="1">IF(ISBLANK(K1201), TODAY()-(I1201), Table27[[#This Row],[Effectiveness Review &amp; date deemed effective]]-Table27[[#This Row],[PTO initialized date]])</f>
        <v>46067</v>
      </c>
    </row>
    <row r="1202" spans="1:13" ht="18">
      <c r="A1202" s="9"/>
      <c r="B1202" s="18" t="e">
        <f>VLOOKUP(Table27[[#This Row],[Location 
(drop-down)]],'List source'!D$2:E$71,2,FALSE)</f>
        <v>#N/A</v>
      </c>
      <c r="C1202" s="154" t="s">
        <v>2541</v>
      </c>
      <c r="D1202" s="20" t="e">
        <f t="shared" si="18"/>
        <v>#N/A</v>
      </c>
      <c r="E1202" s="9"/>
      <c r="F1202" s="10" t="e" cm="1">
        <f t="array" aca="1" ref="F12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2" s="10"/>
      <c r="I1202" s="12"/>
      <c r="J1202" s="12"/>
      <c r="K1202" s="61"/>
      <c r="L1202" s="233"/>
      <c r="M1202" s="10">
        <f ca="1">IF(ISBLANK(K1202), TODAY()-(I1202), Table27[[#This Row],[Effectiveness Review &amp; date deemed effective]]-Table27[[#This Row],[PTO initialized date]])</f>
        <v>46067</v>
      </c>
    </row>
    <row r="1203" spans="1:13" ht="18">
      <c r="A1203" s="9"/>
      <c r="B1203" s="18" t="e">
        <f>VLOOKUP(Table27[[#This Row],[Location 
(drop-down)]],'List source'!D$2:E$71,2,FALSE)</f>
        <v>#N/A</v>
      </c>
      <c r="C1203" s="154" t="s">
        <v>2542</v>
      </c>
      <c r="D1203" s="20" t="e">
        <f t="shared" si="18"/>
        <v>#N/A</v>
      </c>
      <c r="E1203" s="9"/>
      <c r="F1203" s="10" t="e" cm="1">
        <f t="array" aca="1" ref="F12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3" s="10"/>
      <c r="I1203" s="12"/>
      <c r="J1203" s="12"/>
      <c r="K1203" s="61"/>
      <c r="L1203" s="233"/>
      <c r="M1203" s="10">
        <f ca="1">IF(ISBLANK(K1203), TODAY()-(I1203), Table27[[#This Row],[Effectiveness Review &amp; date deemed effective]]-Table27[[#This Row],[PTO initialized date]])</f>
        <v>46067</v>
      </c>
    </row>
    <row r="1204" spans="1:13" ht="18">
      <c r="A1204" s="9"/>
      <c r="B1204" s="18" t="e">
        <f>VLOOKUP(Table27[[#This Row],[Location 
(drop-down)]],'List source'!D$2:E$71,2,FALSE)</f>
        <v>#N/A</v>
      </c>
      <c r="C1204" s="154" t="s">
        <v>2543</v>
      </c>
      <c r="D1204" s="20" t="e">
        <f t="shared" si="18"/>
        <v>#N/A</v>
      </c>
      <c r="E1204" s="9"/>
      <c r="F1204" s="10" t="e" cm="1">
        <f t="array" aca="1" ref="F12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4" s="10"/>
      <c r="I1204" s="12"/>
      <c r="J1204" s="12"/>
      <c r="K1204" s="61"/>
      <c r="L1204" s="233"/>
      <c r="M1204" s="10">
        <f ca="1">IF(ISBLANK(K1204), TODAY()-(I1204), Table27[[#This Row],[Effectiveness Review &amp; date deemed effective]]-Table27[[#This Row],[PTO initialized date]])</f>
        <v>46067</v>
      </c>
    </row>
    <row r="1205" spans="1:13" ht="18">
      <c r="A1205" s="9"/>
      <c r="B1205" s="18" t="e">
        <f>VLOOKUP(Table27[[#This Row],[Location 
(drop-down)]],'List source'!D$2:E$71,2,FALSE)</f>
        <v>#N/A</v>
      </c>
      <c r="C1205" s="154" t="s">
        <v>2544</v>
      </c>
      <c r="D1205" s="20" t="e">
        <f t="shared" si="18"/>
        <v>#N/A</v>
      </c>
      <c r="E1205" s="9"/>
      <c r="F1205" s="10" t="e" cm="1">
        <f t="array" aca="1" ref="F12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5" s="10"/>
      <c r="I1205" s="12"/>
      <c r="J1205" s="12"/>
      <c r="K1205" s="61"/>
      <c r="L1205" s="233"/>
      <c r="M1205" s="10">
        <f ca="1">IF(ISBLANK(K1205), TODAY()-(I1205), Table27[[#This Row],[Effectiveness Review &amp; date deemed effective]]-Table27[[#This Row],[PTO initialized date]])</f>
        <v>46067</v>
      </c>
    </row>
    <row r="1206" spans="1:13" ht="18">
      <c r="A1206" s="9"/>
      <c r="B1206" s="18" t="e">
        <f>VLOOKUP(Table27[[#This Row],[Location 
(drop-down)]],'List source'!D$2:E$71,2,FALSE)</f>
        <v>#N/A</v>
      </c>
      <c r="C1206" s="154" t="s">
        <v>2545</v>
      </c>
      <c r="D1206" s="20" t="e">
        <f t="shared" si="18"/>
        <v>#N/A</v>
      </c>
      <c r="E1206" s="9"/>
      <c r="F1206" s="10" t="e" cm="1">
        <f t="array" aca="1" ref="F12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6" s="10"/>
      <c r="I1206" s="12"/>
      <c r="J1206" s="12"/>
      <c r="K1206" s="61"/>
      <c r="L1206" s="233"/>
      <c r="M1206" s="10">
        <f ca="1">IF(ISBLANK(K1206), TODAY()-(I1206), Table27[[#This Row],[Effectiveness Review &amp; date deemed effective]]-Table27[[#This Row],[PTO initialized date]])</f>
        <v>46067</v>
      </c>
    </row>
    <row r="1207" spans="1:13" ht="18">
      <c r="A1207" s="9"/>
      <c r="B1207" s="18" t="e">
        <f>VLOOKUP(Table27[[#This Row],[Location 
(drop-down)]],'List source'!D$2:E$71,2,FALSE)</f>
        <v>#N/A</v>
      </c>
      <c r="C1207" s="154" t="s">
        <v>2546</v>
      </c>
      <c r="D1207" s="20" t="e">
        <f t="shared" si="18"/>
        <v>#N/A</v>
      </c>
      <c r="E1207" s="9"/>
      <c r="F1207" s="10" t="e" cm="1">
        <f t="array" aca="1" ref="F12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7" s="10"/>
      <c r="I1207" s="12"/>
      <c r="J1207" s="12"/>
      <c r="K1207" s="61"/>
      <c r="L1207" s="233"/>
      <c r="M1207" s="10">
        <f ca="1">IF(ISBLANK(K1207), TODAY()-(I1207), Table27[[#This Row],[Effectiveness Review &amp; date deemed effective]]-Table27[[#This Row],[PTO initialized date]])</f>
        <v>46067</v>
      </c>
    </row>
    <row r="1208" spans="1:13" ht="18">
      <c r="A1208" s="9"/>
      <c r="B1208" s="18" t="e">
        <f>VLOOKUP(Table27[[#This Row],[Location 
(drop-down)]],'List source'!D$2:E$71,2,FALSE)</f>
        <v>#N/A</v>
      </c>
      <c r="C1208" s="154" t="s">
        <v>2547</v>
      </c>
      <c r="D1208" s="20" t="e">
        <f t="shared" si="18"/>
        <v>#N/A</v>
      </c>
      <c r="E1208" s="9"/>
      <c r="F1208" s="10" t="e" cm="1">
        <f t="array" aca="1" ref="F12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8" s="10"/>
      <c r="I1208" s="12"/>
      <c r="J1208" s="12"/>
      <c r="K1208" s="61"/>
      <c r="L1208" s="233"/>
      <c r="M1208" s="10">
        <f ca="1">IF(ISBLANK(K1208), TODAY()-(I1208), Table27[[#This Row],[Effectiveness Review &amp; date deemed effective]]-Table27[[#This Row],[PTO initialized date]])</f>
        <v>46067</v>
      </c>
    </row>
    <row r="1209" spans="1:13" ht="18">
      <c r="A1209" s="9"/>
      <c r="B1209" s="18" t="e">
        <f>VLOOKUP(Table27[[#This Row],[Location 
(drop-down)]],'List source'!D$2:E$71,2,FALSE)</f>
        <v>#N/A</v>
      </c>
      <c r="C1209" s="154" t="s">
        <v>2548</v>
      </c>
      <c r="D1209" s="20" t="e">
        <f t="shared" si="18"/>
        <v>#N/A</v>
      </c>
      <c r="E1209" s="9"/>
      <c r="F1209" s="10" t="e" cm="1">
        <f t="array" aca="1" ref="F12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09" s="10"/>
      <c r="I1209" s="12"/>
      <c r="J1209" s="12"/>
      <c r="K1209" s="61"/>
      <c r="L1209" s="233"/>
      <c r="M1209" s="10">
        <f ca="1">IF(ISBLANK(K1209), TODAY()-(I1209), Table27[[#This Row],[Effectiveness Review &amp; date deemed effective]]-Table27[[#This Row],[PTO initialized date]])</f>
        <v>46067</v>
      </c>
    </row>
    <row r="1210" spans="1:13" ht="18">
      <c r="A1210" s="9"/>
      <c r="B1210" s="18" t="e">
        <f>VLOOKUP(Table27[[#This Row],[Location 
(drop-down)]],'List source'!D$2:E$71,2,FALSE)</f>
        <v>#N/A</v>
      </c>
      <c r="C1210" s="154" t="s">
        <v>2549</v>
      </c>
      <c r="D1210" s="20" t="e">
        <f t="shared" si="18"/>
        <v>#N/A</v>
      </c>
      <c r="E1210" s="9"/>
      <c r="F1210" s="10" t="e" cm="1">
        <f t="array" aca="1" ref="F12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0" s="10"/>
      <c r="I1210" s="12"/>
      <c r="J1210" s="12"/>
      <c r="K1210" s="61"/>
      <c r="L1210" s="233"/>
      <c r="M1210" s="10">
        <f ca="1">IF(ISBLANK(K1210), TODAY()-(I1210), Table27[[#This Row],[Effectiveness Review &amp; date deemed effective]]-Table27[[#This Row],[PTO initialized date]])</f>
        <v>46067</v>
      </c>
    </row>
    <row r="1211" spans="1:13" ht="18">
      <c r="A1211" s="9"/>
      <c r="B1211" s="18" t="e">
        <f>VLOOKUP(Table27[[#This Row],[Location 
(drop-down)]],'List source'!D$2:E$71,2,FALSE)</f>
        <v>#N/A</v>
      </c>
      <c r="C1211" s="154" t="s">
        <v>2550</v>
      </c>
      <c r="D1211" s="20" t="e">
        <f t="shared" si="18"/>
        <v>#N/A</v>
      </c>
      <c r="E1211" s="9"/>
      <c r="F1211" s="10" t="e" cm="1">
        <f t="array" aca="1" ref="F12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1" s="10"/>
      <c r="I1211" s="12"/>
      <c r="J1211" s="12"/>
      <c r="K1211" s="61"/>
      <c r="L1211" s="233"/>
      <c r="M1211" s="10">
        <f ca="1">IF(ISBLANK(K1211), TODAY()-(I1211), Table27[[#This Row],[Effectiveness Review &amp; date deemed effective]]-Table27[[#This Row],[PTO initialized date]])</f>
        <v>46067</v>
      </c>
    </row>
    <row r="1212" spans="1:13" ht="18">
      <c r="A1212" s="9"/>
      <c r="B1212" s="18" t="e">
        <f>VLOOKUP(Table27[[#This Row],[Location 
(drop-down)]],'List source'!D$2:E$71,2,FALSE)</f>
        <v>#N/A</v>
      </c>
      <c r="C1212" s="154" t="s">
        <v>2551</v>
      </c>
      <c r="D1212" s="20" t="e">
        <f t="shared" si="18"/>
        <v>#N/A</v>
      </c>
      <c r="E1212" s="9"/>
      <c r="F1212" s="10" t="e" cm="1">
        <f t="array" aca="1" ref="F12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2" s="10"/>
      <c r="I1212" s="12"/>
      <c r="J1212" s="12"/>
      <c r="K1212" s="61"/>
      <c r="L1212" s="233"/>
      <c r="M1212" s="10">
        <f ca="1">IF(ISBLANK(K1212), TODAY()-(I1212), Table27[[#This Row],[Effectiveness Review &amp; date deemed effective]]-Table27[[#This Row],[PTO initialized date]])</f>
        <v>46067</v>
      </c>
    </row>
    <row r="1213" spans="1:13" ht="18">
      <c r="A1213" s="9"/>
      <c r="B1213" s="18" t="e">
        <f>VLOOKUP(Table27[[#This Row],[Location 
(drop-down)]],'List source'!D$2:E$71,2,FALSE)</f>
        <v>#N/A</v>
      </c>
      <c r="C1213" s="154" t="s">
        <v>2552</v>
      </c>
      <c r="D1213" s="20" t="e">
        <f t="shared" si="18"/>
        <v>#N/A</v>
      </c>
      <c r="E1213" s="9"/>
      <c r="F1213" s="10" t="e" cm="1">
        <f t="array" aca="1" ref="F12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3" s="10"/>
      <c r="I1213" s="12"/>
      <c r="J1213" s="12"/>
      <c r="K1213" s="61"/>
      <c r="L1213" s="233"/>
      <c r="M1213" s="10">
        <f ca="1">IF(ISBLANK(K1213), TODAY()-(I1213), Table27[[#This Row],[Effectiveness Review &amp; date deemed effective]]-Table27[[#This Row],[PTO initialized date]])</f>
        <v>46067</v>
      </c>
    </row>
    <row r="1214" spans="1:13" ht="18">
      <c r="A1214" s="9"/>
      <c r="B1214" s="18" t="e">
        <f>VLOOKUP(Table27[[#This Row],[Location 
(drop-down)]],'List source'!D$2:E$71,2,FALSE)</f>
        <v>#N/A</v>
      </c>
      <c r="C1214" s="154" t="s">
        <v>2553</v>
      </c>
      <c r="D1214" s="20" t="e">
        <f t="shared" si="18"/>
        <v>#N/A</v>
      </c>
      <c r="E1214" s="9"/>
      <c r="F1214" s="10" t="e" cm="1">
        <f t="array" aca="1" ref="F12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4" s="10"/>
      <c r="I1214" s="12"/>
      <c r="J1214" s="12"/>
      <c r="K1214" s="61"/>
      <c r="L1214" s="233"/>
      <c r="M1214" s="10">
        <f ca="1">IF(ISBLANK(K1214), TODAY()-(I1214), Table27[[#This Row],[Effectiveness Review &amp; date deemed effective]]-Table27[[#This Row],[PTO initialized date]])</f>
        <v>46067</v>
      </c>
    </row>
    <row r="1215" spans="1:13" ht="18">
      <c r="A1215" s="9"/>
      <c r="B1215" s="18" t="e">
        <f>VLOOKUP(Table27[[#This Row],[Location 
(drop-down)]],'List source'!D$2:E$71,2,FALSE)</f>
        <v>#N/A</v>
      </c>
      <c r="C1215" s="154" t="s">
        <v>2554</v>
      </c>
      <c r="D1215" s="20" t="e">
        <f t="shared" si="18"/>
        <v>#N/A</v>
      </c>
      <c r="E1215" s="9"/>
      <c r="F1215" s="10" t="e" cm="1">
        <f t="array" aca="1" ref="F12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5" s="10"/>
      <c r="I1215" s="12"/>
      <c r="J1215" s="12"/>
      <c r="K1215" s="61"/>
      <c r="L1215" s="233"/>
      <c r="M1215" s="10">
        <f ca="1">IF(ISBLANK(K1215), TODAY()-(I1215), Table27[[#This Row],[Effectiveness Review &amp; date deemed effective]]-Table27[[#This Row],[PTO initialized date]])</f>
        <v>46067</v>
      </c>
    </row>
    <row r="1216" spans="1:13" ht="18">
      <c r="A1216" s="9"/>
      <c r="B1216" s="18" t="e">
        <f>VLOOKUP(Table27[[#This Row],[Location 
(drop-down)]],'List source'!D$2:E$71,2,FALSE)</f>
        <v>#N/A</v>
      </c>
      <c r="C1216" s="154" t="s">
        <v>2555</v>
      </c>
      <c r="D1216" s="20" t="e">
        <f t="shared" si="18"/>
        <v>#N/A</v>
      </c>
      <c r="E1216" s="9"/>
      <c r="F1216" s="10" t="e" cm="1">
        <f t="array" aca="1" ref="F12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6" s="10"/>
      <c r="I1216" s="12"/>
      <c r="J1216" s="12"/>
      <c r="K1216" s="61"/>
      <c r="L1216" s="233"/>
      <c r="M1216" s="10">
        <f ca="1">IF(ISBLANK(K1216), TODAY()-(I1216), Table27[[#This Row],[Effectiveness Review &amp; date deemed effective]]-Table27[[#This Row],[PTO initialized date]])</f>
        <v>46067</v>
      </c>
    </row>
    <row r="1217" spans="1:13" ht="18">
      <c r="A1217" s="9"/>
      <c r="B1217" s="18" t="e">
        <f>VLOOKUP(Table27[[#This Row],[Location 
(drop-down)]],'List source'!D$2:E$71,2,FALSE)</f>
        <v>#N/A</v>
      </c>
      <c r="C1217" s="154" t="s">
        <v>2556</v>
      </c>
      <c r="D1217" s="20" t="e">
        <f t="shared" si="18"/>
        <v>#N/A</v>
      </c>
      <c r="E1217" s="9"/>
      <c r="F1217" s="10" t="e" cm="1">
        <f t="array" aca="1" ref="F12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7" s="10"/>
      <c r="I1217" s="12"/>
      <c r="J1217" s="12"/>
      <c r="K1217" s="61"/>
      <c r="L1217" s="233"/>
      <c r="M1217" s="10">
        <f ca="1">IF(ISBLANK(K1217), TODAY()-(I1217), Table27[[#This Row],[Effectiveness Review &amp; date deemed effective]]-Table27[[#This Row],[PTO initialized date]])</f>
        <v>46067</v>
      </c>
    </row>
    <row r="1218" spans="1:13" ht="18">
      <c r="A1218" s="9"/>
      <c r="B1218" s="18" t="e">
        <f>VLOOKUP(Table27[[#This Row],[Location 
(drop-down)]],'List source'!D$2:E$71,2,FALSE)</f>
        <v>#N/A</v>
      </c>
      <c r="C1218" s="154" t="s">
        <v>2557</v>
      </c>
      <c r="D1218" s="20" t="e">
        <f t="shared" ref="D1218:D1281" si="19">"PTO" &amp; C1218 &amp; "-" &amp; B1218 &amp; "-" &amp; "26"</f>
        <v>#N/A</v>
      </c>
      <c r="E1218" s="9"/>
      <c r="F1218" s="10" t="e" cm="1">
        <f t="array" aca="1" ref="F12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8" s="10"/>
      <c r="I1218" s="12"/>
      <c r="J1218" s="12"/>
      <c r="K1218" s="61"/>
      <c r="L1218" s="233"/>
      <c r="M1218" s="10">
        <f ca="1">IF(ISBLANK(K1218), TODAY()-(I1218), Table27[[#This Row],[Effectiveness Review &amp; date deemed effective]]-Table27[[#This Row],[PTO initialized date]])</f>
        <v>46067</v>
      </c>
    </row>
    <row r="1219" spans="1:13" ht="18">
      <c r="A1219" s="9"/>
      <c r="B1219" s="18" t="e">
        <f>VLOOKUP(Table27[[#This Row],[Location 
(drop-down)]],'List source'!D$2:E$71,2,FALSE)</f>
        <v>#N/A</v>
      </c>
      <c r="C1219" s="154" t="s">
        <v>2558</v>
      </c>
      <c r="D1219" s="20" t="e">
        <f t="shared" si="19"/>
        <v>#N/A</v>
      </c>
      <c r="E1219" s="9"/>
      <c r="F1219" s="10" t="e" cm="1">
        <f t="array" aca="1" ref="F12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19" s="10"/>
      <c r="I1219" s="12"/>
      <c r="J1219" s="12"/>
      <c r="K1219" s="61"/>
      <c r="L1219" s="233"/>
      <c r="M1219" s="10">
        <f ca="1">IF(ISBLANK(K1219), TODAY()-(I1219), Table27[[#This Row],[Effectiveness Review &amp; date deemed effective]]-Table27[[#This Row],[PTO initialized date]])</f>
        <v>46067</v>
      </c>
    </row>
    <row r="1220" spans="1:13" ht="18">
      <c r="A1220" s="9"/>
      <c r="B1220" s="18" t="e">
        <f>VLOOKUP(Table27[[#This Row],[Location 
(drop-down)]],'List source'!D$2:E$71,2,FALSE)</f>
        <v>#N/A</v>
      </c>
      <c r="C1220" s="154" t="s">
        <v>2559</v>
      </c>
      <c r="D1220" s="20" t="e">
        <f t="shared" si="19"/>
        <v>#N/A</v>
      </c>
      <c r="E1220" s="9"/>
      <c r="F1220" s="10" t="e" cm="1">
        <f t="array" aca="1" ref="F12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0" s="10"/>
      <c r="I1220" s="12"/>
      <c r="J1220" s="12"/>
      <c r="K1220" s="61"/>
      <c r="L1220" s="233"/>
      <c r="M1220" s="10">
        <f ca="1">IF(ISBLANK(K1220), TODAY()-(I1220), Table27[[#This Row],[Effectiveness Review &amp; date deemed effective]]-Table27[[#This Row],[PTO initialized date]])</f>
        <v>46067</v>
      </c>
    </row>
    <row r="1221" spans="1:13" ht="18">
      <c r="A1221" s="9"/>
      <c r="B1221" s="18" t="e">
        <f>VLOOKUP(Table27[[#This Row],[Location 
(drop-down)]],'List source'!D$2:E$71,2,FALSE)</f>
        <v>#N/A</v>
      </c>
      <c r="C1221" s="154" t="s">
        <v>2560</v>
      </c>
      <c r="D1221" s="20" t="e">
        <f t="shared" si="19"/>
        <v>#N/A</v>
      </c>
      <c r="E1221" s="9"/>
      <c r="F1221" s="10" t="e" cm="1">
        <f t="array" aca="1" ref="F12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1" s="10"/>
      <c r="I1221" s="12"/>
      <c r="J1221" s="12"/>
      <c r="K1221" s="61"/>
      <c r="L1221" s="233"/>
      <c r="M1221" s="10">
        <f ca="1">IF(ISBLANK(K1221), TODAY()-(I1221), Table27[[#This Row],[Effectiveness Review &amp; date deemed effective]]-Table27[[#This Row],[PTO initialized date]])</f>
        <v>46067</v>
      </c>
    </row>
    <row r="1222" spans="1:13" ht="18">
      <c r="A1222" s="9"/>
      <c r="B1222" s="18" t="e">
        <f>VLOOKUP(Table27[[#This Row],[Location 
(drop-down)]],'List source'!D$2:E$71,2,FALSE)</f>
        <v>#N/A</v>
      </c>
      <c r="C1222" s="154" t="s">
        <v>2561</v>
      </c>
      <c r="D1222" s="20" t="e">
        <f t="shared" si="19"/>
        <v>#N/A</v>
      </c>
      <c r="E1222" s="9"/>
      <c r="F1222" s="10" t="e" cm="1">
        <f t="array" aca="1" ref="F12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2" s="10"/>
      <c r="I1222" s="12"/>
      <c r="J1222" s="12"/>
      <c r="K1222" s="61"/>
      <c r="L1222" s="233"/>
      <c r="M1222" s="10">
        <f ca="1">IF(ISBLANK(K1222), TODAY()-(I1222), Table27[[#This Row],[Effectiveness Review &amp; date deemed effective]]-Table27[[#This Row],[PTO initialized date]])</f>
        <v>46067</v>
      </c>
    </row>
    <row r="1223" spans="1:13" ht="18">
      <c r="A1223" s="9"/>
      <c r="B1223" s="18" t="e">
        <f>VLOOKUP(Table27[[#This Row],[Location 
(drop-down)]],'List source'!D$2:E$71,2,FALSE)</f>
        <v>#N/A</v>
      </c>
      <c r="C1223" s="154" t="s">
        <v>2562</v>
      </c>
      <c r="D1223" s="20" t="e">
        <f t="shared" si="19"/>
        <v>#N/A</v>
      </c>
      <c r="E1223" s="9"/>
      <c r="F1223" s="10" t="e" cm="1">
        <f t="array" aca="1" ref="F12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3" s="10"/>
      <c r="I1223" s="12"/>
      <c r="J1223" s="12"/>
      <c r="K1223" s="61"/>
      <c r="L1223" s="233"/>
      <c r="M1223" s="10">
        <f ca="1">IF(ISBLANK(K1223), TODAY()-(I1223), Table27[[#This Row],[Effectiveness Review &amp; date deemed effective]]-Table27[[#This Row],[PTO initialized date]])</f>
        <v>46067</v>
      </c>
    </row>
    <row r="1224" spans="1:13" ht="18">
      <c r="A1224" s="9"/>
      <c r="B1224" s="18" t="e">
        <f>VLOOKUP(Table27[[#This Row],[Location 
(drop-down)]],'List source'!D$2:E$71,2,FALSE)</f>
        <v>#N/A</v>
      </c>
      <c r="C1224" s="154" t="s">
        <v>2563</v>
      </c>
      <c r="D1224" s="20" t="e">
        <f t="shared" si="19"/>
        <v>#N/A</v>
      </c>
      <c r="E1224" s="9"/>
      <c r="F1224" s="10" t="e" cm="1">
        <f t="array" aca="1" ref="F12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4" s="10"/>
      <c r="I1224" s="12"/>
      <c r="J1224" s="12"/>
      <c r="K1224" s="61"/>
      <c r="L1224" s="233"/>
      <c r="M1224" s="10">
        <f ca="1">IF(ISBLANK(K1224), TODAY()-(I1224), Table27[[#This Row],[Effectiveness Review &amp; date deemed effective]]-Table27[[#This Row],[PTO initialized date]])</f>
        <v>46067</v>
      </c>
    </row>
    <row r="1225" spans="1:13" ht="18">
      <c r="A1225" s="9"/>
      <c r="B1225" s="18" t="e">
        <f>VLOOKUP(Table27[[#This Row],[Location 
(drop-down)]],'List source'!D$2:E$71,2,FALSE)</f>
        <v>#N/A</v>
      </c>
      <c r="C1225" s="154" t="s">
        <v>2564</v>
      </c>
      <c r="D1225" s="20" t="e">
        <f t="shared" si="19"/>
        <v>#N/A</v>
      </c>
      <c r="E1225" s="9"/>
      <c r="F1225" s="10" t="e" cm="1">
        <f t="array" aca="1" ref="F12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5" s="10"/>
      <c r="I1225" s="12"/>
      <c r="J1225" s="12"/>
      <c r="K1225" s="61"/>
      <c r="L1225" s="233"/>
      <c r="M1225" s="10">
        <f ca="1">IF(ISBLANK(K1225), TODAY()-(I1225), Table27[[#This Row],[Effectiveness Review &amp; date deemed effective]]-Table27[[#This Row],[PTO initialized date]])</f>
        <v>46067</v>
      </c>
    </row>
    <row r="1226" spans="1:13" ht="18">
      <c r="A1226" s="9"/>
      <c r="B1226" s="18" t="e">
        <f>VLOOKUP(Table27[[#This Row],[Location 
(drop-down)]],'List source'!D$2:E$71,2,FALSE)</f>
        <v>#N/A</v>
      </c>
      <c r="C1226" s="154" t="s">
        <v>2565</v>
      </c>
      <c r="D1226" s="20" t="e">
        <f t="shared" si="19"/>
        <v>#N/A</v>
      </c>
      <c r="E1226" s="9"/>
      <c r="F1226" s="10" t="e" cm="1">
        <f t="array" aca="1" ref="F12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6" s="10"/>
      <c r="I1226" s="12"/>
      <c r="J1226" s="12"/>
      <c r="K1226" s="61"/>
      <c r="L1226" s="233"/>
      <c r="M1226" s="10">
        <f ca="1">IF(ISBLANK(K1226), TODAY()-(I1226), Table27[[#This Row],[Effectiveness Review &amp; date deemed effective]]-Table27[[#This Row],[PTO initialized date]])</f>
        <v>46067</v>
      </c>
    </row>
    <row r="1227" spans="1:13" ht="18">
      <c r="A1227" s="9"/>
      <c r="B1227" s="18" t="e">
        <f>VLOOKUP(Table27[[#This Row],[Location 
(drop-down)]],'List source'!D$2:E$71,2,FALSE)</f>
        <v>#N/A</v>
      </c>
      <c r="C1227" s="154" t="s">
        <v>2566</v>
      </c>
      <c r="D1227" s="20" t="e">
        <f t="shared" si="19"/>
        <v>#N/A</v>
      </c>
      <c r="E1227" s="9"/>
      <c r="F1227" s="10" t="e" cm="1">
        <f t="array" aca="1" ref="F12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7" s="10"/>
      <c r="I1227" s="12"/>
      <c r="J1227" s="12"/>
      <c r="K1227" s="61"/>
      <c r="L1227" s="233"/>
      <c r="M1227" s="10">
        <f ca="1">IF(ISBLANK(K1227), TODAY()-(I1227), Table27[[#This Row],[Effectiveness Review &amp; date deemed effective]]-Table27[[#This Row],[PTO initialized date]])</f>
        <v>46067</v>
      </c>
    </row>
    <row r="1228" spans="1:13" ht="18">
      <c r="A1228" s="9"/>
      <c r="B1228" s="18" t="e">
        <f>VLOOKUP(Table27[[#This Row],[Location 
(drop-down)]],'List source'!D$2:E$71,2,FALSE)</f>
        <v>#N/A</v>
      </c>
      <c r="C1228" s="154" t="s">
        <v>2567</v>
      </c>
      <c r="D1228" s="20" t="e">
        <f t="shared" si="19"/>
        <v>#N/A</v>
      </c>
      <c r="E1228" s="9"/>
      <c r="F1228" s="10" t="e" cm="1">
        <f t="array" aca="1" ref="F12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8" s="10"/>
      <c r="I1228" s="12"/>
      <c r="J1228" s="12"/>
      <c r="K1228" s="61"/>
      <c r="L1228" s="233"/>
      <c r="M1228" s="10">
        <f ca="1">IF(ISBLANK(K1228), TODAY()-(I1228), Table27[[#This Row],[Effectiveness Review &amp; date deemed effective]]-Table27[[#This Row],[PTO initialized date]])</f>
        <v>46067</v>
      </c>
    </row>
    <row r="1229" spans="1:13" ht="18">
      <c r="A1229" s="9"/>
      <c r="B1229" s="18" t="e">
        <f>VLOOKUP(Table27[[#This Row],[Location 
(drop-down)]],'List source'!D$2:E$71,2,FALSE)</f>
        <v>#N/A</v>
      </c>
      <c r="C1229" s="154" t="s">
        <v>2568</v>
      </c>
      <c r="D1229" s="20" t="e">
        <f t="shared" si="19"/>
        <v>#N/A</v>
      </c>
      <c r="E1229" s="9"/>
      <c r="F1229" s="10" t="e" cm="1">
        <f t="array" aca="1" ref="F12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29" s="10"/>
      <c r="I1229" s="12"/>
      <c r="J1229" s="12"/>
      <c r="K1229" s="61"/>
      <c r="L1229" s="233"/>
      <c r="M1229" s="10">
        <f ca="1">IF(ISBLANK(K1229), TODAY()-(I1229), Table27[[#This Row],[Effectiveness Review &amp; date deemed effective]]-Table27[[#This Row],[PTO initialized date]])</f>
        <v>46067</v>
      </c>
    </row>
    <row r="1230" spans="1:13" ht="18">
      <c r="A1230" s="9"/>
      <c r="B1230" s="18" t="e">
        <f>VLOOKUP(Table27[[#This Row],[Location 
(drop-down)]],'List source'!D$2:E$71,2,FALSE)</f>
        <v>#N/A</v>
      </c>
      <c r="C1230" s="154" t="s">
        <v>2569</v>
      </c>
      <c r="D1230" s="20" t="e">
        <f t="shared" si="19"/>
        <v>#N/A</v>
      </c>
      <c r="E1230" s="9"/>
      <c r="F1230" s="10" t="e" cm="1">
        <f t="array" aca="1" ref="F12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0" s="10"/>
      <c r="I1230" s="12"/>
      <c r="J1230" s="12"/>
      <c r="K1230" s="61"/>
      <c r="L1230" s="233"/>
      <c r="M1230" s="10">
        <f ca="1">IF(ISBLANK(K1230), TODAY()-(I1230), Table27[[#This Row],[Effectiveness Review &amp; date deemed effective]]-Table27[[#This Row],[PTO initialized date]])</f>
        <v>46067</v>
      </c>
    </row>
    <row r="1231" spans="1:13" ht="18">
      <c r="A1231" s="9"/>
      <c r="B1231" s="18" t="e">
        <f>VLOOKUP(Table27[[#This Row],[Location 
(drop-down)]],'List source'!D$2:E$71,2,FALSE)</f>
        <v>#N/A</v>
      </c>
      <c r="C1231" s="154" t="s">
        <v>2570</v>
      </c>
      <c r="D1231" s="20" t="e">
        <f t="shared" si="19"/>
        <v>#N/A</v>
      </c>
      <c r="E1231" s="9"/>
      <c r="F1231" s="10" t="e" cm="1">
        <f t="array" aca="1" ref="F12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1" s="10"/>
      <c r="I1231" s="12"/>
      <c r="J1231" s="12"/>
      <c r="K1231" s="61"/>
      <c r="L1231" s="233"/>
      <c r="M1231" s="10">
        <f ca="1">IF(ISBLANK(K1231), TODAY()-(I1231), Table27[[#This Row],[Effectiveness Review &amp; date deemed effective]]-Table27[[#This Row],[PTO initialized date]])</f>
        <v>46067</v>
      </c>
    </row>
    <row r="1232" spans="1:13" ht="18">
      <c r="A1232" s="9"/>
      <c r="B1232" s="18" t="e">
        <f>VLOOKUP(Table27[[#This Row],[Location 
(drop-down)]],'List source'!D$2:E$71,2,FALSE)</f>
        <v>#N/A</v>
      </c>
      <c r="C1232" s="154" t="s">
        <v>2571</v>
      </c>
      <c r="D1232" s="20" t="e">
        <f t="shared" si="19"/>
        <v>#N/A</v>
      </c>
      <c r="E1232" s="9"/>
      <c r="F1232" s="10" t="e" cm="1">
        <f t="array" aca="1" ref="F12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2" s="10"/>
      <c r="I1232" s="12"/>
      <c r="J1232" s="12"/>
      <c r="K1232" s="61"/>
      <c r="L1232" s="233"/>
      <c r="M1232" s="10">
        <f ca="1">IF(ISBLANK(K1232), TODAY()-(I1232), Table27[[#This Row],[Effectiveness Review &amp; date deemed effective]]-Table27[[#This Row],[PTO initialized date]])</f>
        <v>46067</v>
      </c>
    </row>
    <row r="1233" spans="1:13" ht="18">
      <c r="A1233" s="9"/>
      <c r="B1233" s="18" t="e">
        <f>VLOOKUP(Table27[[#This Row],[Location 
(drop-down)]],'List source'!D$2:E$71,2,FALSE)</f>
        <v>#N/A</v>
      </c>
      <c r="C1233" s="154" t="s">
        <v>2572</v>
      </c>
      <c r="D1233" s="20" t="e">
        <f t="shared" si="19"/>
        <v>#N/A</v>
      </c>
      <c r="E1233" s="9"/>
      <c r="F1233" s="10" t="e" cm="1">
        <f t="array" aca="1" ref="F12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3" s="10"/>
      <c r="I1233" s="12"/>
      <c r="J1233" s="12"/>
      <c r="K1233" s="61"/>
      <c r="L1233" s="233"/>
      <c r="M1233" s="10">
        <f ca="1">IF(ISBLANK(K1233), TODAY()-(I1233), Table27[[#This Row],[Effectiveness Review &amp; date deemed effective]]-Table27[[#This Row],[PTO initialized date]])</f>
        <v>46067</v>
      </c>
    </row>
    <row r="1234" spans="1:13" ht="18">
      <c r="A1234" s="9"/>
      <c r="B1234" s="18" t="e">
        <f>VLOOKUP(Table27[[#This Row],[Location 
(drop-down)]],'List source'!D$2:E$71,2,FALSE)</f>
        <v>#N/A</v>
      </c>
      <c r="C1234" s="154" t="s">
        <v>2573</v>
      </c>
      <c r="D1234" s="20" t="e">
        <f t="shared" si="19"/>
        <v>#N/A</v>
      </c>
      <c r="E1234" s="9"/>
      <c r="F1234" s="10" t="e" cm="1">
        <f t="array" aca="1" ref="F12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4" s="10"/>
      <c r="I1234" s="12"/>
      <c r="J1234" s="12"/>
      <c r="K1234" s="61"/>
      <c r="L1234" s="233"/>
      <c r="M1234" s="10">
        <f ca="1">IF(ISBLANK(K1234), TODAY()-(I1234), Table27[[#This Row],[Effectiveness Review &amp; date deemed effective]]-Table27[[#This Row],[PTO initialized date]])</f>
        <v>46067</v>
      </c>
    </row>
    <row r="1235" spans="1:13" ht="18">
      <c r="A1235" s="9"/>
      <c r="B1235" s="18" t="e">
        <f>VLOOKUP(Table27[[#This Row],[Location 
(drop-down)]],'List source'!D$2:E$71,2,FALSE)</f>
        <v>#N/A</v>
      </c>
      <c r="C1235" s="154" t="s">
        <v>2574</v>
      </c>
      <c r="D1235" s="20" t="e">
        <f t="shared" si="19"/>
        <v>#N/A</v>
      </c>
      <c r="E1235" s="9"/>
      <c r="F1235" s="10" t="e" cm="1">
        <f t="array" aca="1" ref="F12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5" s="10"/>
      <c r="I1235" s="12"/>
      <c r="J1235" s="12"/>
      <c r="K1235" s="61"/>
      <c r="L1235" s="233"/>
      <c r="M1235" s="10">
        <f ca="1">IF(ISBLANK(K1235), TODAY()-(I1235), Table27[[#This Row],[Effectiveness Review &amp; date deemed effective]]-Table27[[#This Row],[PTO initialized date]])</f>
        <v>46067</v>
      </c>
    </row>
    <row r="1236" spans="1:13" ht="18">
      <c r="A1236" s="9"/>
      <c r="B1236" s="18" t="e">
        <f>VLOOKUP(Table27[[#This Row],[Location 
(drop-down)]],'List source'!D$2:E$71,2,FALSE)</f>
        <v>#N/A</v>
      </c>
      <c r="C1236" s="154" t="s">
        <v>2575</v>
      </c>
      <c r="D1236" s="20" t="e">
        <f t="shared" si="19"/>
        <v>#N/A</v>
      </c>
      <c r="E1236" s="9"/>
      <c r="F1236" s="10" t="e" cm="1">
        <f t="array" aca="1" ref="F12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6" s="10"/>
      <c r="I1236" s="12"/>
      <c r="J1236" s="12"/>
      <c r="K1236" s="61"/>
      <c r="L1236" s="233"/>
      <c r="M1236" s="10">
        <f ca="1">IF(ISBLANK(K1236), TODAY()-(I1236), Table27[[#This Row],[Effectiveness Review &amp; date deemed effective]]-Table27[[#This Row],[PTO initialized date]])</f>
        <v>46067</v>
      </c>
    </row>
    <row r="1237" spans="1:13" ht="18">
      <c r="A1237" s="9"/>
      <c r="B1237" s="18" t="e">
        <f>VLOOKUP(Table27[[#This Row],[Location 
(drop-down)]],'List source'!D$2:E$71,2,FALSE)</f>
        <v>#N/A</v>
      </c>
      <c r="C1237" s="154" t="s">
        <v>2576</v>
      </c>
      <c r="D1237" s="20" t="e">
        <f t="shared" si="19"/>
        <v>#N/A</v>
      </c>
      <c r="E1237" s="9"/>
      <c r="F1237" s="10" t="e" cm="1">
        <f t="array" aca="1" ref="F12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7" s="10"/>
      <c r="I1237" s="12"/>
      <c r="J1237" s="12"/>
      <c r="K1237" s="61"/>
      <c r="L1237" s="233"/>
      <c r="M1237" s="10">
        <f ca="1">IF(ISBLANK(K1237), TODAY()-(I1237), Table27[[#This Row],[Effectiveness Review &amp; date deemed effective]]-Table27[[#This Row],[PTO initialized date]])</f>
        <v>46067</v>
      </c>
    </row>
    <row r="1238" spans="1:13" ht="18">
      <c r="A1238" s="9"/>
      <c r="B1238" s="18" t="e">
        <f>VLOOKUP(Table27[[#This Row],[Location 
(drop-down)]],'List source'!D$2:E$71,2,FALSE)</f>
        <v>#N/A</v>
      </c>
      <c r="C1238" s="154" t="s">
        <v>2577</v>
      </c>
      <c r="D1238" s="20" t="e">
        <f t="shared" si="19"/>
        <v>#N/A</v>
      </c>
      <c r="E1238" s="9"/>
      <c r="F1238" s="10" t="e" cm="1">
        <f t="array" aca="1" ref="F12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8" s="10"/>
      <c r="I1238" s="12"/>
      <c r="J1238" s="12"/>
      <c r="K1238" s="61"/>
      <c r="L1238" s="233"/>
      <c r="M1238" s="10">
        <f ca="1">IF(ISBLANK(K1238), TODAY()-(I1238), Table27[[#This Row],[Effectiveness Review &amp; date deemed effective]]-Table27[[#This Row],[PTO initialized date]])</f>
        <v>46067</v>
      </c>
    </row>
    <row r="1239" spans="1:13" ht="18">
      <c r="A1239" s="9"/>
      <c r="B1239" s="18" t="e">
        <f>VLOOKUP(Table27[[#This Row],[Location 
(drop-down)]],'List source'!D$2:E$71,2,FALSE)</f>
        <v>#N/A</v>
      </c>
      <c r="C1239" s="154" t="s">
        <v>2578</v>
      </c>
      <c r="D1239" s="20" t="e">
        <f t="shared" si="19"/>
        <v>#N/A</v>
      </c>
      <c r="E1239" s="9"/>
      <c r="F1239" s="10" t="e" cm="1">
        <f t="array" aca="1" ref="F12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39" s="10"/>
      <c r="I1239" s="12"/>
      <c r="J1239" s="12"/>
      <c r="K1239" s="61"/>
      <c r="L1239" s="233"/>
      <c r="M1239" s="10">
        <f ca="1">IF(ISBLANK(K1239), TODAY()-(I1239), Table27[[#This Row],[Effectiveness Review &amp; date deemed effective]]-Table27[[#This Row],[PTO initialized date]])</f>
        <v>46067</v>
      </c>
    </row>
    <row r="1240" spans="1:13" ht="18">
      <c r="A1240" s="9"/>
      <c r="B1240" s="18" t="e">
        <f>VLOOKUP(Table27[[#This Row],[Location 
(drop-down)]],'List source'!D$2:E$71,2,FALSE)</f>
        <v>#N/A</v>
      </c>
      <c r="C1240" s="154" t="s">
        <v>2579</v>
      </c>
      <c r="D1240" s="20" t="e">
        <f t="shared" si="19"/>
        <v>#N/A</v>
      </c>
      <c r="E1240" s="9"/>
      <c r="F1240" s="10" t="e" cm="1">
        <f t="array" aca="1" ref="F12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0" s="10"/>
      <c r="I1240" s="12"/>
      <c r="J1240" s="12"/>
      <c r="K1240" s="61"/>
      <c r="L1240" s="233"/>
      <c r="M1240" s="10">
        <f ca="1">IF(ISBLANK(K1240), TODAY()-(I1240), Table27[[#This Row],[Effectiveness Review &amp; date deemed effective]]-Table27[[#This Row],[PTO initialized date]])</f>
        <v>46067</v>
      </c>
    </row>
    <row r="1241" spans="1:13" ht="18">
      <c r="A1241" s="9"/>
      <c r="B1241" s="18" t="e">
        <f>VLOOKUP(Table27[[#This Row],[Location 
(drop-down)]],'List source'!D$2:E$71,2,FALSE)</f>
        <v>#N/A</v>
      </c>
      <c r="C1241" s="154" t="s">
        <v>2580</v>
      </c>
      <c r="D1241" s="20" t="e">
        <f t="shared" si="19"/>
        <v>#N/A</v>
      </c>
      <c r="E1241" s="9"/>
      <c r="F1241" s="10" t="e" cm="1">
        <f t="array" aca="1" ref="F12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1" s="10"/>
      <c r="I1241" s="12"/>
      <c r="J1241" s="12"/>
      <c r="K1241" s="61"/>
      <c r="L1241" s="233"/>
      <c r="M1241" s="10">
        <f ca="1">IF(ISBLANK(K1241), TODAY()-(I1241), Table27[[#This Row],[Effectiveness Review &amp; date deemed effective]]-Table27[[#This Row],[PTO initialized date]])</f>
        <v>46067</v>
      </c>
    </row>
    <row r="1242" spans="1:13" ht="18">
      <c r="A1242" s="9"/>
      <c r="B1242" s="18" t="e">
        <f>VLOOKUP(Table27[[#This Row],[Location 
(drop-down)]],'List source'!D$2:E$71,2,FALSE)</f>
        <v>#N/A</v>
      </c>
      <c r="C1242" s="154" t="s">
        <v>2581</v>
      </c>
      <c r="D1242" s="20" t="e">
        <f t="shared" si="19"/>
        <v>#N/A</v>
      </c>
      <c r="E1242" s="9"/>
      <c r="F1242" s="10" t="e" cm="1">
        <f t="array" aca="1" ref="F12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2" s="10"/>
      <c r="I1242" s="12"/>
      <c r="J1242" s="12"/>
      <c r="K1242" s="61"/>
      <c r="L1242" s="233"/>
      <c r="M1242" s="10">
        <f ca="1">IF(ISBLANK(K1242), TODAY()-(I1242), Table27[[#This Row],[Effectiveness Review &amp; date deemed effective]]-Table27[[#This Row],[PTO initialized date]])</f>
        <v>46067</v>
      </c>
    </row>
    <row r="1243" spans="1:13" ht="18">
      <c r="A1243" s="9"/>
      <c r="B1243" s="18" t="e">
        <f>VLOOKUP(Table27[[#This Row],[Location 
(drop-down)]],'List source'!D$2:E$71,2,FALSE)</f>
        <v>#N/A</v>
      </c>
      <c r="C1243" s="154" t="s">
        <v>2582</v>
      </c>
      <c r="D1243" s="20" t="e">
        <f t="shared" si="19"/>
        <v>#N/A</v>
      </c>
      <c r="E1243" s="9"/>
      <c r="F1243" s="10" t="e" cm="1">
        <f t="array" aca="1" ref="F12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3" s="10"/>
      <c r="I1243" s="12"/>
      <c r="J1243" s="12"/>
      <c r="K1243" s="61"/>
      <c r="L1243" s="233"/>
      <c r="M1243" s="10">
        <f ca="1">IF(ISBLANK(K1243), TODAY()-(I1243), Table27[[#This Row],[Effectiveness Review &amp; date deemed effective]]-Table27[[#This Row],[PTO initialized date]])</f>
        <v>46067</v>
      </c>
    </row>
    <row r="1244" spans="1:13" ht="18">
      <c r="A1244" s="9"/>
      <c r="B1244" s="18" t="e">
        <f>VLOOKUP(Table27[[#This Row],[Location 
(drop-down)]],'List source'!D$2:E$71,2,FALSE)</f>
        <v>#N/A</v>
      </c>
      <c r="C1244" s="154" t="s">
        <v>2583</v>
      </c>
      <c r="D1244" s="20" t="e">
        <f t="shared" si="19"/>
        <v>#N/A</v>
      </c>
      <c r="E1244" s="9"/>
      <c r="F1244" s="10" t="e" cm="1">
        <f t="array" aca="1" ref="F12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4" s="10"/>
      <c r="I1244" s="12"/>
      <c r="J1244" s="12"/>
      <c r="K1244" s="61"/>
      <c r="L1244" s="233"/>
      <c r="M1244" s="10">
        <f ca="1">IF(ISBLANK(K1244), TODAY()-(I1244), Table27[[#This Row],[Effectiveness Review &amp; date deemed effective]]-Table27[[#This Row],[PTO initialized date]])</f>
        <v>46067</v>
      </c>
    </row>
    <row r="1245" spans="1:13" ht="18">
      <c r="A1245" s="9"/>
      <c r="B1245" s="18" t="e">
        <f>VLOOKUP(Table27[[#This Row],[Location 
(drop-down)]],'List source'!D$2:E$71,2,FALSE)</f>
        <v>#N/A</v>
      </c>
      <c r="C1245" s="154" t="s">
        <v>2584</v>
      </c>
      <c r="D1245" s="20" t="e">
        <f t="shared" si="19"/>
        <v>#N/A</v>
      </c>
      <c r="E1245" s="9"/>
      <c r="F1245" s="10" t="e" cm="1">
        <f t="array" aca="1" ref="F12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5" s="10"/>
      <c r="I1245" s="12"/>
      <c r="J1245" s="12"/>
      <c r="K1245" s="61"/>
      <c r="L1245" s="233"/>
      <c r="M1245" s="10">
        <f ca="1">IF(ISBLANK(K1245), TODAY()-(I1245), Table27[[#This Row],[Effectiveness Review &amp; date deemed effective]]-Table27[[#This Row],[PTO initialized date]])</f>
        <v>46067</v>
      </c>
    </row>
    <row r="1246" spans="1:13" ht="18">
      <c r="A1246" s="9"/>
      <c r="B1246" s="18" t="e">
        <f>VLOOKUP(Table27[[#This Row],[Location 
(drop-down)]],'List source'!D$2:E$71,2,FALSE)</f>
        <v>#N/A</v>
      </c>
      <c r="C1246" s="154" t="s">
        <v>2585</v>
      </c>
      <c r="D1246" s="20" t="e">
        <f t="shared" si="19"/>
        <v>#N/A</v>
      </c>
      <c r="E1246" s="9"/>
      <c r="F1246" s="10" t="e" cm="1">
        <f t="array" aca="1" ref="F12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6" s="10"/>
      <c r="I1246" s="12"/>
      <c r="J1246" s="12"/>
      <c r="K1246" s="61"/>
      <c r="L1246" s="233"/>
      <c r="M1246" s="10">
        <f ca="1">IF(ISBLANK(K1246), TODAY()-(I1246), Table27[[#This Row],[Effectiveness Review &amp; date deemed effective]]-Table27[[#This Row],[PTO initialized date]])</f>
        <v>46067</v>
      </c>
    </row>
    <row r="1247" spans="1:13" ht="18">
      <c r="A1247" s="9"/>
      <c r="B1247" s="18" t="e">
        <f>VLOOKUP(Table27[[#This Row],[Location 
(drop-down)]],'List source'!D$2:E$71,2,FALSE)</f>
        <v>#N/A</v>
      </c>
      <c r="C1247" s="154" t="s">
        <v>2586</v>
      </c>
      <c r="D1247" s="20" t="e">
        <f t="shared" si="19"/>
        <v>#N/A</v>
      </c>
      <c r="E1247" s="9"/>
      <c r="F1247" s="10" t="e" cm="1">
        <f t="array" aca="1" ref="F12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7" s="10"/>
      <c r="I1247" s="12"/>
      <c r="J1247" s="12"/>
      <c r="K1247" s="61"/>
      <c r="L1247" s="233"/>
      <c r="M1247" s="10">
        <f ca="1">IF(ISBLANK(K1247), TODAY()-(I1247), Table27[[#This Row],[Effectiveness Review &amp; date deemed effective]]-Table27[[#This Row],[PTO initialized date]])</f>
        <v>46067</v>
      </c>
    </row>
    <row r="1248" spans="1:13" ht="18">
      <c r="A1248" s="9"/>
      <c r="B1248" s="18" t="e">
        <f>VLOOKUP(Table27[[#This Row],[Location 
(drop-down)]],'List source'!D$2:E$71,2,FALSE)</f>
        <v>#N/A</v>
      </c>
      <c r="C1248" s="154" t="s">
        <v>2587</v>
      </c>
      <c r="D1248" s="20" t="e">
        <f t="shared" si="19"/>
        <v>#N/A</v>
      </c>
      <c r="E1248" s="9"/>
      <c r="F1248" s="10" t="e" cm="1">
        <f t="array" aca="1" ref="F12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8" s="10"/>
      <c r="I1248" s="12"/>
      <c r="J1248" s="12"/>
      <c r="K1248" s="61"/>
      <c r="L1248" s="233"/>
      <c r="M1248" s="10">
        <f ca="1">IF(ISBLANK(K1248), TODAY()-(I1248), Table27[[#This Row],[Effectiveness Review &amp; date deemed effective]]-Table27[[#This Row],[PTO initialized date]])</f>
        <v>46067</v>
      </c>
    </row>
    <row r="1249" spans="1:13" ht="18">
      <c r="A1249" s="9"/>
      <c r="B1249" s="18" t="e">
        <f>VLOOKUP(Table27[[#This Row],[Location 
(drop-down)]],'List source'!D$2:E$71,2,FALSE)</f>
        <v>#N/A</v>
      </c>
      <c r="C1249" s="154" t="s">
        <v>2588</v>
      </c>
      <c r="D1249" s="20" t="e">
        <f t="shared" si="19"/>
        <v>#N/A</v>
      </c>
      <c r="E1249" s="9"/>
      <c r="F1249" s="10" t="e" cm="1">
        <f t="array" aca="1" ref="F12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49" s="10"/>
      <c r="I1249" s="12"/>
      <c r="J1249" s="12"/>
      <c r="K1249" s="61"/>
      <c r="L1249" s="233"/>
      <c r="M1249" s="10">
        <f ca="1">IF(ISBLANK(K1249), TODAY()-(I1249), Table27[[#This Row],[Effectiveness Review &amp; date deemed effective]]-Table27[[#This Row],[PTO initialized date]])</f>
        <v>46067</v>
      </c>
    </row>
    <row r="1250" spans="1:13" ht="18">
      <c r="A1250" s="9"/>
      <c r="B1250" s="18" t="e">
        <f>VLOOKUP(Table27[[#This Row],[Location 
(drop-down)]],'List source'!D$2:E$71,2,FALSE)</f>
        <v>#N/A</v>
      </c>
      <c r="C1250" s="154" t="s">
        <v>2589</v>
      </c>
      <c r="D1250" s="20" t="e">
        <f t="shared" si="19"/>
        <v>#N/A</v>
      </c>
      <c r="E1250" s="9"/>
      <c r="F1250" s="10" t="e" cm="1">
        <f t="array" aca="1" ref="F12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0" s="10"/>
      <c r="I1250" s="12"/>
      <c r="J1250" s="12"/>
      <c r="K1250" s="61"/>
      <c r="L1250" s="233"/>
      <c r="M1250" s="10">
        <f ca="1">IF(ISBLANK(K1250), TODAY()-(I1250), Table27[[#This Row],[Effectiveness Review &amp; date deemed effective]]-Table27[[#This Row],[PTO initialized date]])</f>
        <v>46067</v>
      </c>
    </row>
    <row r="1251" spans="1:13" ht="18">
      <c r="A1251" s="9"/>
      <c r="B1251" s="18" t="e">
        <f>VLOOKUP(Table27[[#This Row],[Location 
(drop-down)]],'List source'!D$2:E$71,2,FALSE)</f>
        <v>#N/A</v>
      </c>
      <c r="C1251" s="154" t="s">
        <v>2590</v>
      </c>
      <c r="D1251" s="20" t="e">
        <f t="shared" si="19"/>
        <v>#N/A</v>
      </c>
      <c r="E1251" s="9"/>
      <c r="F1251" s="10" t="e" cm="1">
        <f t="array" aca="1" ref="F12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1" s="10"/>
      <c r="I1251" s="12"/>
      <c r="J1251" s="12"/>
      <c r="K1251" s="61"/>
      <c r="L1251" s="233"/>
      <c r="M1251" s="10">
        <f ca="1">IF(ISBLANK(K1251), TODAY()-(I1251), Table27[[#This Row],[Effectiveness Review &amp; date deemed effective]]-Table27[[#This Row],[PTO initialized date]])</f>
        <v>46067</v>
      </c>
    </row>
    <row r="1252" spans="1:13" ht="18">
      <c r="A1252" s="9"/>
      <c r="B1252" s="18" t="e">
        <f>VLOOKUP(Table27[[#This Row],[Location 
(drop-down)]],'List source'!D$2:E$71,2,FALSE)</f>
        <v>#N/A</v>
      </c>
      <c r="C1252" s="154" t="s">
        <v>2591</v>
      </c>
      <c r="D1252" s="20" t="e">
        <f t="shared" si="19"/>
        <v>#N/A</v>
      </c>
      <c r="E1252" s="9"/>
      <c r="F1252" s="10" t="e" cm="1">
        <f t="array" aca="1" ref="F12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2" s="10"/>
      <c r="I1252" s="12"/>
      <c r="J1252" s="12"/>
      <c r="K1252" s="61"/>
      <c r="L1252" s="233"/>
      <c r="M1252" s="10">
        <f ca="1">IF(ISBLANK(K1252), TODAY()-(I1252), Table27[[#This Row],[Effectiveness Review &amp; date deemed effective]]-Table27[[#This Row],[PTO initialized date]])</f>
        <v>46067</v>
      </c>
    </row>
    <row r="1253" spans="1:13" ht="18">
      <c r="A1253" s="9"/>
      <c r="B1253" s="18" t="e">
        <f>VLOOKUP(Table27[[#This Row],[Location 
(drop-down)]],'List source'!D$2:E$71,2,FALSE)</f>
        <v>#N/A</v>
      </c>
      <c r="C1253" s="154" t="s">
        <v>2592</v>
      </c>
      <c r="D1253" s="20" t="e">
        <f t="shared" si="19"/>
        <v>#N/A</v>
      </c>
      <c r="E1253" s="9"/>
      <c r="F1253" s="10" t="e" cm="1">
        <f t="array" aca="1" ref="F12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3" s="10"/>
      <c r="I1253" s="12"/>
      <c r="J1253" s="12"/>
      <c r="K1253" s="61"/>
      <c r="L1253" s="233"/>
      <c r="M1253" s="10">
        <f ca="1">IF(ISBLANK(K1253), TODAY()-(I1253), Table27[[#This Row],[Effectiveness Review &amp; date deemed effective]]-Table27[[#This Row],[PTO initialized date]])</f>
        <v>46067</v>
      </c>
    </row>
    <row r="1254" spans="1:13" ht="18">
      <c r="A1254" s="9"/>
      <c r="B1254" s="18" t="e">
        <f>VLOOKUP(Table27[[#This Row],[Location 
(drop-down)]],'List source'!D$2:E$71,2,FALSE)</f>
        <v>#N/A</v>
      </c>
      <c r="C1254" s="154" t="s">
        <v>2593</v>
      </c>
      <c r="D1254" s="20" t="e">
        <f t="shared" si="19"/>
        <v>#N/A</v>
      </c>
      <c r="E1254" s="9"/>
      <c r="F1254" s="10" t="e" cm="1">
        <f t="array" aca="1" ref="F12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4" s="10"/>
      <c r="I1254" s="12"/>
      <c r="J1254" s="12"/>
      <c r="K1254" s="61"/>
      <c r="L1254" s="233"/>
      <c r="M1254" s="10">
        <f ca="1">IF(ISBLANK(K1254), TODAY()-(I1254), Table27[[#This Row],[Effectiveness Review &amp; date deemed effective]]-Table27[[#This Row],[PTO initialized date]])</f>
        <v>46067</v>
      </c>
    </row>
    <row r="1255" spans="1:13" ht="18">
      <c r="A1255" s="9"/>
      <c r="B1255" s="18" t="e">
        <f>VLOOKUP(Table27[[#This Row],[Location 
(drop-down)]],'List source'!D$2:E$71,2,FALSE)</f>
        <v>#N/A</v>
      </c>
      <c r="C1255" s="154" t="s">
        <v>2594</v>
      </c>
      <c r="D1255" s="20" t="e">
        <f t="shared" si="19"/>
        <v>#N/A</v>
      </c>
      <c r="E1255" s="9"/>
      <c r="F1255" s="10" t="e" cm="1">
        <f t="array" aca="1" ref="F12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5" s="10"/>
      <c r="I1255" s="12"/>
      <c r="J1255" s="12"/>
      <c r="K1255" s="61"/>
      <c r="L1255" s="233"/>
      <c r="M1255" s="10">
        <f ca="1">IF(ISBLANK(K1255), TODAY()-(I1255), Table27[[#This Row],[Effectiveness Review &amp; date deemed effective]]-Table27[[#This Row],[PTO initialized date]])</f>
        <v>46067</v>
      </c>
    </row>
    <row r="1256" spans="1:13" ht="18">
      <c r="A1256" s="9"/>
      <c r="B1256" s="18" t="e">
        <f>VLOOKUP(Table27[[#This Row],[Location 
(drop-down)]],'List source'!D$2:E$71,2,FALSE)</f>
        <v>#N/A</v>
      </c>
      <c r="C1256" s="154" t="s">
        <v>2595</v>
      </c>
      <c r="D1256" s="20" t="e">
        <f t="shared" si="19"/>
        <v>#N/A</v>
      </c>
      <c r="E1256" s="9"/>
      <c r="F1256" s="10" t="e" cm="1">
        <f t="array" aca="1" ref="F12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6" s="10"/>
      <c r="I1256" s="12"/>
      <c r="J1256" s="12"/>
      <c r="K1256" s="61"/>
      <c r="L1256" s="233"/>
      <c r="M1256" s="10">
        <f ca="1">IF(ISBLANK(K1256), TODAY()-(I1256), Table27[[#This Row],[Effectiveness Review &amp; date deemed effective]]-Table27[[#This Row],[PTO initialized date]])</f>
        <v>46067</v>
      </c>
    </row>
    <row r="1257" spans="1:13" ht="18">
      <c r="A1257" s="9"/>
      <c r="B1257" s="18" t="e">
        <f>VLOOKUP(Table27[[#This Row],[Location 
(drop-down)]],'List source'!D$2:E$71,2,FALSE)</f>
        <v>#N/A</v>
      </c>
      <c r="C1257" s="154" t="s">
        <v>2596</v>
      </c>
      <c r="D1257" s="20" t="e">
        <f t="shared" si="19"/>
        <v>#N/A</v>
      </c>
      <c r="E1257" s="9"/>
      <c r="F1257" s="10" t="e" cm="1">
        <f t="array" aca="1" ref="F12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7" s="10"/>
      <c r="I1257" s="12"/>
      <c r="J1257" s="12"/>
      <c r="K1257" s="61"/>
      <c r="L1257" s="233"/>
      <c r="M1257" s="10">
        <f ca="1">IF(ISBLANK(K1257), TODAY()-(I1257), Table27[[#This Row],[Effectiveness Review &amp; date deemed effective]]-Table27[[#This Row],[PTO initialized date]])</f>
        <v>46067</v>
      </c>
    </row>
    <row r="1258" spans="1:13" ht="18">
      <c r="A1258" s="9"/>
      <c r="B1258" s="18" t="e">
        <f>VLOOKUP(Table27[[#This Row],[Location 
(drop-down)]],'List source'!D$2:E$71,2,FALSE)</f>
        <v>#N/A</v>
      </c>
      <c r="C1258" s="154" t="s">
        <v>2597</v>
      </c>
      <c r="D1258" s="20" t="e">
        <f t="shared" si="19"/>
        <v>#N/A</v>
      </c>
      <c r="E1258" s="9"/>
      <c r="F1258" s="10" t="e" cm="1">
        <f t="array" aca="1" ref="F12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8" s="10"/>
      <c r="I1258" s="12"/>
      <c r="J1258" s="12"/>
      <c r="K1258" s="61"/>
      <c r="L1258" s="233"/>
      <c r="M1258" s="10">
        <f ca="1">IF(ISBLANK(K1258), TODAY()-(I1258), Table27[[#This Row],[Effectiveness Review &amp; date deemed effective]]-Table27[[#This Row],[PTO initialized date]])</f>
        <v>46067</v>
      </c>
    </row>
    <row r="1259" spans="1:13" ht="18">
      <c r="A1259" s="9"/>
      <c r="B1259" s="18" t="e">
        <f>VLOOKUP(Table27[[#This Row],[Location 
(drop-down)]],'List source'!D$2:E$71,2,FALSE)</f>
        <v>#N/A</v>
      </c>
      <c r="C1259" s="154" t="s">
        <v>2598</v>
      </c>
      <c r="D1259" s="20" t="e">
        <f t="shared" si="19"/>
        <v>#N/A</v>
      </c>
      <c r="E1259" s="9"/>
      <c r="F1259" s="10" t="e" cm="1">
        <f t="array" aca="1" ref="F12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59" s="10"/>
      <c r="I1259" s="12"/>
      <c r="J1259" s="12"/>
      <c r="K1259" s="61"/>
      <c r="L1259" s="233"/>
      <c r="M1259" s="10">
        <f ca="1">IF(ISBLANK(K1259), TODAY()-(I1259), Table27[[#This Row],[Effectiveness Review &amp; date deemed effective]]-Table27[[#This Row],[PTO initialized date]])</f>
        <v>46067</v>
      </c>
    </row>
    <row r="1260" spans="1:13" ht="18">
      <c r="A1260" s="9"/>
      <c r="B1260" s="18" t="e">
        <f>VLOOKUP(Table27[[#This Row],[Location 
(drop-down)]],'List source'!D$2:E$71,2,FALSE)</f>
        <v>#N/A</v>
      </c>
      <c r="C1260" s="154" t="s">
        <v>2599</v>
      </c>
      <c r="D1260" s="20" t="e">
        <f t="shared" si="19"/>
        <v>#N/A</v>
      </c>
      <c r="E1260" s="9"/>
      <c r="F1260" s="10" t="e" cm="1">
        <f t="array" aca="1" ref="F12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0" s="10"/>
      <c r="I1260" s="12"/>
      <c r="J1260" s="12"/>
      <c r="K1260" s="61"/>
      <c r="L1260" s="233"/>
      <c r="M1260" s="10">
        <f ca="1">IF(ISBLANK(K1260), TODAY()-(I1260), Table27[[#This Row],[Effectiveness Review &amp; date deemed effective]]-Table27[[#This Row],[PTO initialized date]])</f>
        <v>46067</v>
      </c>
    </row>
    <row r="1261" spans="1:13" ht="18">
      <c r="A1261" s="9"/>
      <c r="B1261" s="18" t="e">
        <f>VLOOKUP(Table27[[#This Row],[Location 
(drop-down)]],'List source'!D$2:E$71,2,FALSE)</f>
        <v>#N/A</v>
      </c>
      <c r="C1261" s="154" t="s">
        <v>2600</v>
      </c>
      <c r="D1261" s="20" t="e">
        <f t="shared" si="19"/>
        <v>#N/A</v>
      </c>
      <c r="E1261" s="9"/>
      <c r="F1261" s="10" t="e" cm="1">
        <f t="array" aca="1" ref="F12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1" s="10"/>
      <c r="I1261" s="12"/>
      <c r="J1261" s="12"/>
      <c r="K1261" s="61"/>
      <c r="L1261" s="233"/>
      <c r="M1261" s="10">
        <f ca="1">IF(ISBLANK(K1261), TODAY()-(I1261), Table27[[#This Row],[Effectiveness Review &amp; date deemed effective]]-Table27[[#This Row],[PTO initialized date]])</f>
        <v>46067</v>
      </c>
    </row>
    <row r="1262" spans="1:13" ht="18">
      <c r="A1262" s="9"/>
      <c r="B1262" s="18" t="e">
        <f>VLOOKUP(Table27[[#This Row],[Location 
(drop-down)]],'List source'!D$2:E$71,2,FALSE)</f>
        <v>#N/A</v>
      </c>
      <c r="C1262" s="154" t="s">
        <v>2601</v>
      </c>
      <c r="D1262" s="20" t="e">
        <f t="shared" si="19"/>
        <v>#N/A</v>
      </c>
      <c r="E1262" s="9"/>
      <c r="F1262" s="10" t="e" cm="1">
        <f t="array" aca="1" ref="F12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2" s="10"/>
      <c r="I1262" s="12"/>
      <c r="J1262" s="12"/>
      <c r="K1262" s="61"/>
      <c r="L1262" s="233"/>
      <c r="M1262" s="10">
        <f ca="1">IF(ISBLANK(K1262), TODAY()-(I1262), Table27[[#This Row],[Effectiveness Review &amp; date deemed effective]]-Table27[[#This Row],[PTO initialized date]])</f>
        <v>46067</v>
      </c>
    </row>
    <row r="1263" spans="1:13" ht="18">
      <c r="A1263" s="9"/>
      <c r="B1263" s="18" t="e">
        <f>VLOOKUP(Table27[[#This Row],[Location 
(drop-down)]],'List source'!D$2:E$71,2,FALSE)</f>
        <v>#N/A</v>
      </c>
      <c r="C1263" s="154" t="s">
        <v>2602</v>
      </c>
      <c r="D1263" s="20" t="e">
        <f t="shared" si="19"/>
        <v>#N/A</v>
      </c>
      <c r="E1263" s="9"/>
      <c r="F1263" s="10" t="e" cm="1">
        <f t="array" aca="1" ref="F12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3" s="10"/>
      <c r="I1263" s="12"/>
      <c r="J1263" s="12"/>
      <c r="K1263" s="61"/>
      <c r="L1263" s="233"/>
      <c r="M1263" s="10">
        <f ca="1">IF(ISBLANK(K1263), TODAY()-(I1263), Table27[[#This Row],[Effectiveness Review &amp; date deemed effective]]-Table27[[#This Row],[PTO initialized date]])</f>
        <v>46067</v>
      </c>
    </row>
    <row r="1264" spans="1:13" ht="18">
      <c r="A1264" s="9"/>
      <c r="B1264" s="18" t="e">
        <f>VLOOKUP(Table27[[#This Row],[Location 
(drop-down)]],'List source'!D$2:E$71,2,FALSE)</f>
        <v>#N/A</v>
      </c>
      <c r="C1264" s="154" t="s">
        <v>2603</v>
      </c>
      <c r="D1264" s="20" t="e">
        <f t="shared" si="19"/>
        <v>#N/A</v>
      </c>
      <c r="E1264" s="9"/>
      <c r="F1264" s="10" t="e" cm="1">
        <f t="array" aca="1" ref="F12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4" s="10"/>
      <c r="I1264" s="12"/>
      <c r="J1264" s="12"/>
      <c r="K1264" s="61"/>
      <c r="L1264" s="233"/>
      <c r="M1264" s="10">
        <f ca="1">IF(ISBLANK(K1264), TODAY()-(I1264), Table27[[#This Row],[Effectiveness Review &amp; date deemed effective]]-Table27[[#This Row],[PTO initialized date]])</f>
        <v>46067</v>
      </c>
    </row>
    <row r="1265" spans="1:13" ht="18">
      <c r="A1265" s="9"/>
      <c r="B1265" s="18" t="e">
        <f>VLOOKUP(Table27[[#This Row],[Location 
(drop-down)]],'List source'!D$2:E$71,2,FALSE)</f>
        <v>#N/A</v>
      </c>
      <c r="C1265" s="154" t="s">
        <v>2604</v>
      </c>
      <c r="D1265" s="20" t="e">
        <f t="shared" si="19"/>
        <v>#N/A</v>
      </c>
      <c r="E1265" s="9"/>
      <c r="F1265" s="10" t="e" cm="1">
        <f t="array" aca="1" ref="F12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5" s="10"/>
      <c r="I1265" s="12"/>
      <c r="J1265" s="12"/>
      <c r="K1265" s="61"/>
      <c r="L1265" s="233"/>
      <c r="M1265" s="10">
        <f ca="1">IF(ISBLANK(K1265), TODAY()-(I1265), Table27[[#This Row],[Effectiveness Review &amp; date deemed effective]]-Table27[[#This Row],[PTO initialized date]])</f>
        <v>46067</v>
      </c>
    </row>
    <row r="1266" spans="1:13" ht="18">
      <c r="A1266" s="9"/>
      <c r="B1266" s="18" t="e">
        <f>VLOOKUP(Table27[[#This Row],[Location 
(drop-down)]],'List source'!D$2:E$71,2,FALSE)</f>
        <v>#N/A</v>
      </c>
      <c r="C1266" s="154" t="s">
        <v>2605</v>
      </c>
      <c r="D1266" s="20" t="e">
        <f t="shared" si="19"/>
        <v>#N/A</v>
      </c>
      <c r="E1266" s="9"/>
      <c r="F1266" s="10" t="e" cm="1">
        <f t="array" aca="1" ref="F12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6" s="10"/>
      <c r="I1266" s="12"/>
      <c r="J1266" s="12"/>
      <c r="K1266" s="61"/>
      <c r="L1266" s="233"/>
      <c r="M1266" s="10">
        <f ca="1">IF(ISBLANK(K1266), TODAY()-(I1266), Table27[[#This Row],[Effectiveness Review &amp; date deemed effective]]-Table27[[#This Row],[PTO initialized date]])</f>
        <v>46067</v>
      </c>
    </row>
    <row r="1267" spans="1:13" ht="18">
      <c r="A1267" s="9"/>
      <c r="B1267" s="18" t="e">
        <f>VLOOKUP(Table27[[#This Row],[Location 
(drop-down)]],'List source'!D$2:E$71,2,FALSE)</f>
        <v>#N/A</v>
      </c>
      <c r="C1267" s="154" t="s">
        <v>2606</v>
      </c>
      <c r="D1267" s="20" t="e">
        <f t="shared" si="19"/>
        <v>#N/A</v>
      </c>
      <c r="E1267" s="9"/>
      <c r="F1267" s="10" t="e" cm="1">
        <f t="array" aca="1" ref="F12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7" s="10"/>
      <c r="I1267" s="12"/>
      <c r="J1267" s="12"/>
      <c r="K1267" s="61"/>
      <c r="L1267" s="233"/>
      <c r="M1267" s="10">
        <f ca="1">IF(ISBLANK(K1267), TODAY()-(I1267), Table27[[#This Row],[Effectiveness Review &amp; date deemed effective]]-Table27[[#This Row],[PTO initialized date]])</f>
        <v>46067</v>
      </c>
    </row>
    <row r="1268" spans="1:13" ht="18">
      <c r="A1268" s="9"/>
      <c r="B1268" s="18" t="e">
        <f>VLOOKUP(Table27[[#This Row],[Location 
(drop-down)]],'List source'!D$2:E$71,2,FALSE)</f>
        <v>#N/A</v>
      </c>
      <c r="C1268" s="154" t="s">
        <v>2607</v>
      </c>
      <c r="D1268" s="20" t="e">
        <f t="shared" si="19"/>
        <v>#N/A</v>
      </c>
      <c r="E1268" s="9"/>
      <c r="F1268" s="10" t="e" cm="1">
        <f t="array" aca="1" ref="F12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8" s="10"/>
      <c r="I1268" s="12"/>
      <c r="J1268" s="12"/>
      <c r="K1268" s="61"/>
      <c r="L1268" s="233"/>
      <c r="M1268" s="10">
        <f ca="1">IF(ISBLANK(K1268), TODAY()-(I1268), Table27[[#This Row],[Effectiveness Review &amp; date deemed effective]]-Table27[[#This Row],[PTO initialized date]])</f>
        <v>46067</v>
      </c>
    </row>
    <row r="1269" spans="1:13" ht="18">
      <c r="A1269" s="9"/>
      <c r="B1269" s="18" t="e">
        <f>VLOOKUP(Table27[[#This Row],[Location 
(drop-down)]],'List source'!D$2:E$71,2,FALSE)</f>
        <v>#N/A</v>
      </c>
      <c r="C1269" s="154" t="s">
        <v>2608</v>
      </c>
      <c r="D1269" s="20" t="e">
        <f t="shared" si="19"/>
        <v>#N/A</v>
      </c>
      <c r="E1269" s="9"/>
      <c r="F1269" s="10" t="e" cm="1">
        <f t="array" aca="1" ref="F12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69" s="10"/>
      <c r="I1269" s="12"/>
      <c r="J1269" s="12"/>
      <c r="K1269" s="61"/>
      <c r="L1269" s="233"/>
      <c r="M1269" s="10">
        <f ca="1">IF(ISBLANK(K1269), TODAY()-(I1269), Table27[[#This Row],[Effectiveness Review &amp; date deemed effective]]-Table27[[#This Row],[PTO initialized date]])</f>
        <v>46067</v>
      </c>
    </row>
    <row r="1270" spans="1:13" ht="18">
      <c r="A1270" s="9"/>
      <c r="B1270" s="18" t="e">
        <f>VLOOKUP(Table27[[#This Row],[Location 
(drop-down)]],'List source'!D$2:E$71,2,FALSE)</f>
        <v>#N/A</v>
      </c>
      <c r="C1270" s="154" t="s">
        <v>2609</v>
      </c>
      <c r="D1270" s="20" t="e">
        <f t="shared" si="19"/>
        <v>#N/A</v>
      </c>
      <c r="E1270" s="9"/>
      <c r="F1270" s="10" t="e" cm="1">
        <f t="array" aca="1" ref="F12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0" s="10"/>
      <c r="I1270" s="12"/>
      <c r="J1270" s="12"/>
      <c r="K1270" s="61"/>
      <c r="L1270" s="233"/>
      <c r="M1270" s="10">
        <f ca="1">IF(ISBLANK(K1270), TODAY()-(I1270), Table27[[#This Row],[Effectiveness Review &amp; date deemed effective]]-Table27[[#This Row],[PTO initialized date]])</f>
        <v>46067</v>
      </c>
    </row>
    <row r="1271" spans="1:13" ht="18">
      <c r="A1271" s="9"/>
      <c r="B1271" s="18" t="e">
        <f>VLOOKUP(Table27[[#This Row],[Location 
(drop-down)]],'List source'!D$2:E$71,2,FALSE)</f>
        <v>#N/A</v>
      </c>
      <c r="C1271" s="154" t="s">
        <v>2610</v>
      </c>
      <c r="D1271" s="20" t="e">
        <f t="shared" si="19"/>
        <v>#N/A</v>
      </c>
      <c r="E1271" s="9"/>
      <c r="F1271" s="10" t="e" cm="1">
        <f t="array" aca="1" ref="F12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1" s="10"/>
      <c r="I1271" s="12"/>
      <c r="J1271" s="12"/>
      <c r="K1271" s="61"/>
      <c r="L1271" s="233"/>
      <c r="M1271" s="10">
        <f ca="1">IF(ISBLANK(K1271), TODAY()-(I1271), Table27[[#This Row],[Effectiveness Review &amp; date deemed effective]]-Table27[[#This Row],[PTO initialized date]])</f>
        <v>46067</v>
      </c>
    </row>
    <row r="1272" spans="1:13" ht="18">
      <c r="A1272" s="9"/>
      <c r="B1272" s="18" t="e">
        <f>VLOOKUP(Table27[[#This Row],[Location 
(drop-down)]],'List source'!D$2:E$71,2,FALSE)</f>
        <v>#N/A</v>
      </c>
      <c r="C1272" s="154" t="s">
        <v>2611</v>
      </c>
      <c r="D1272" s="20" t="e">
        <f t="shared" si="19"/>
        <v>#N/A</v>
      </c>
      <c r="E1272" s="9"/>
      <c r="F1272" s="10" t="e" cm="1">
        <f t="array" aca="1" ref="F12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2" s="10"/>
      <c r="I1272" s="12"/>
      <c r="J1272" s="12"/>
      <c r="K1272" s="61"/>
      <c r="L1272" s="233"/>
      <c r="M1272" s="10">
        <f ca="1">IF(ISBLANK(K1272), TODAY()-(I1272), Table27[[#This Row],[Effectiveness Review &amp; date deemed effective]]-Table27[[#This Row],[PTO initialized date]])</f>
        <v>46067</v>
      </c>
    </row>
    <row r="1273" spans="1:13" ht="18">
      <c r="A1273" s="9"/>
      <c r="B1273" s="18" t="e">
        <f>VLOOKUP(Table27[[#This Row],[Location 
(drop-down)]],'List source'!D$2:E$71,2,FALSE)</f>
        <v>#N/A</v>
      </c>
      <c r="C1273" s="154" t="s">
        <v>2612</v>
      </c>
      <c r="D1273" s="20" t="e">
        <f t="shared" si="19"/>
        <v>#N/A</v>
      </c>
      <c r="E1273" s="9"/>
      <c r="F1273" s="10" t="e" cm="1">
        <f t="array" aca="1" ref="F12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3" s="10"/>
      <c r="I1273" s="12"/>
      <c r="J1273" s="12"/>
      <c r="K1273" s="61"/>
      <c r="L1273" s="233"/>
      <c r="M1273" s="10">
        <f ca="1">IF(ISBLANK(K1273), TODAY()-(I1273), Table27[[#This Row],[Effectiveness Review &amp; date deemed effective]]-Table27[[#This Row],[PTO initialized date]])</f>
        <v>46067</v>
      </c>
    </row>
    <row r="1274" spans="1:13" ht="18">
      <c r="A1274" s="9"/>
      <c r="B1274" s="18" t="e">
        <f>VLOOKUP(Table27[[#This Row],[Location 
(drop-down)]],'List source'!D$2:E$71,2,FALSE)</f>
        <v>#N/A</v>
      </c>
      <c r="C1274" s="154" t="s">
        <v>2613</v>
      </c>
      <c r="D1274" s="20" t="e">
        <f t="shared" si="19"/>
        <v>#N/A</v>
      </c>
      <c r="E1274" s="9"/>
      <c r="F1274" s="10" t="e" cm="1">
        <f t="array" aca="1" ref="F12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4" s="10"/>
      <c r="I1274" s="12"/>
      <c r="J1274" s="12"/>
      <c r="K1274" s="61"/>
      <c r="L1274" s="233"/>
      <c r="M1274" s="10">
        <f ca="1">IF(ISBLANK(K1274), TODAY()-(I1274), Table27[[#This Row],[Effectiveness Review &amp; date deemed effective]]-Table27[[#This Row],[PTO initialized date]])</f>
        <v>46067</v>
      </c>
    </row>
    <row r="1275" spans="1:13" ht="18">
      <c r="A1275" s="9"/>
      <c r="B1275" s="18" t="e">
        <f>VLOOKUP(Table27[[#This Row],[Location 
(drop-down)]],'List source'!D$2:E$71,2,FALSE)</f>
        <v>#N/A</v>
      </c>
      <c r="C1275" s="154" t="s">
        <v>2614</v>
      </c>
      <c r="D1275" s="20" t="e">
        <f t="shared" si="19"/>
        <v>#N/A</v>
      </c>
      <c r="E1275" s="9"/>
      <c r="F1275" s="10" t="e" cm="1">
        <f t="array" aca="1" ref="F12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5" s="10"/>
      <c r="I1275" s="12"/>
      <c r="J1275" s="12"/>
      <c r="K1275" s="61"/>
      <c r="L1275" s="233"/>
      <c r="M1275" s="10">
        <f ca="1">IF(ISBLANK(K1275), TODAY()-(I1275), Table27[[#This Row],[Effectiveness Review &amp; date deemed effective]]-Table27[[#This Row],[PTO initialized date]])</f>
        <v>46067</v>
      </c>
    </row>
    <row r="1276" spans="1:13" ht="18">
      <c r="A1276" s="9"/>
      <c r="B1276" s="18" t="e">
        <f>VLOOKUP(Table27[[#This Row],[Location 
(drop-down)]],'List source'!D$2:E$71,2,FALSE)</f>
        <v>#N/A</v>
      </c>
      <c r="C1276" s="154" t="s">
        <v>2615</v>
      </c>
      <c r="D1276" s="20" t="e">
        <f t="shared" si="19"/>
        <v>#N/A</v>
      </c>
      <c r="E1276" s="9"/>
      <c r="F1276" s="10" t="e" cm="1">
        <f t="array" aca="1" ref="F12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6" s="10"/>
      <c r="I1276" s="12"/>
      <c r="J1276" s="12"/>
      <c r="K1276" s="61"/>
      <c r="L1276" s="233"/>
      <c r="M1276" s="10">
        <f ca="1">IF(ISBLANK(K1276), TODAY()-(I1276), Table27[[#This Row],[Effectiveness Review &amp; date deemed effective]]-Table27[[#This Row],[PTO initialized date]])</f>
        <v>46067</v>
      </c>
    </row>
    <row r="1277" spans="1:13" ht="18">
      <c r="A1277" s="9"/>
      <c r="B1277" s="18" t="e">
        <f>VLOOKUP(Table27[[#This Row],[Location 
(drop-down)]],'List source'!D$2:E$71,2,FALSE)</f>
        <v>#N/A</v>
      </c>
      <c r="C1277" s="154" t="s">
        <v>2616</v>
      </c>
      <c r="D1277" s="20" t="e">
        <f t="shared" si="19"/>
        <v>#N/A</v>
      </c>
      <c r="E1277" s="9"/>
      <c r="F1277" s="10" t="e" cm="1">
        <f t="array" aca="1" ref="F12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7" s="10"/>
      <c r="I1277" s="12"/>
      <c r="J1277" s="12"/>
      <c r="K1277" s="61"/>
      <c r="L1277" s="233"/>
      <c r="M1277" s="10">
        <f ca="1">IF(ISBLANK(K1277), TODAY()-(I1277), Table27[[#This Row],[Effectiveness Review &amp; date deemed effective]]-Table27[[#This Row],[PTO initialized date]])</f>
        <v>46067</v>
      </c>
    </row>
    <row r="1278" spans="1:13" ht="18">
      <c r="A1278" s="9"/>
      <c r="B1278" s="18" t="e">
        <f>VLOOKUP(Table27[[#This Row],[Location 
(drop-down)]],'List source'!D$2:E$71,2,FALSE)</f>
        <v>#N/A</v>
      </c>
      <c r="C1278" s="154" t="s">
        <v>2617</v>
      </c>
      <c r="D1278" s="20" t="e">
        <f t="shared" si="19"/>
        <v>#N/A</v>
      </c>
      <c r="E1278" s="9"/>
      <c r="F1278" s="10" t="e" cm="1">
        <f t="array" aca="1" ref="F12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8" s="10"/>
      <c r="I1278" s="12"/>
      <c r="J1278" s="12"/>
      <c r="K1278" s="61"/>
      <c r="L1278" s="233"/>
      <c r="M1278" s="10">
        <f ca="1">IF(ISBLANK(K1278), TODAY()-(I1278), Table27[[#This Row],[Effectiveness Review &amp; date deemed effective]]-Table27[[#This Row],[PTO initialized date]])</f>
        <v>46067</v>
      </c>
    </row>
    <row r="1279" spans="1:13" ht="18">
      <c r="A1279" s="9"/>
      <c r="B1279" s="18" t="e">
        <f>VLOOKUP(Table27[[#This Row],[Location 
(drop-down)]],'List source'!D$2:E$71,2,FALSE)</f>
        <v>#N/A</v>
      </c>
      <c r="C1279" s="154" t="s">
        <v>2618</v>
      </c>
      <c r="D1279" s="20" t="e">
        <f t="shared" si="19"/>
        <v>#N/A</v>
      </c>
      <c r="E1279" s="9"/>
      <c r="F1279" s="10" t="e" cm="1">
        <f t="array" aca="1" ref="F12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79" s="10"/>
      <c r="I1279" s="12"/>
      <c r="J1279" s="12"/>
      <c r="K1279" s="61"/>
      <c r="L1279" s="233"/>
      <c r="M1279" s="10">
        <f ca="1">IF(ISBLANK(K1279), TODAY()-(I1279), Table27[[#This Row],[Effectiveness Review &amp; date deemed effective]]-Table27[[#This Row],[PTO initialized date]])</f>
        <v>46067</v>
      </c>
    </row>
    <row r="1280" spans="1:13" ht="18">
      <c r="A1280" s="9"/>
      <c r="B1280" s="18" t="e">
        <f>VLOOKUP(Table27[[#This Row],[Location 
(drop-down)]],'List source'!D$2:E$71,2,FALSE)</f>
        <v>#N/A</v>
      </c>
      <c r="C1280" s="154" t="s">
        <v>2619</v>
      </c>
      <c r="D1280" s="20" t="e">
        <f t="shared" si="19"/>
        <v>#N/A</v>
      </c>
      <c r="E1280" s="9"/>
      <c r="F1280" s="10" t="e" cm="1">
        <f t="array" aca="1" ref="F12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0" s="10"/>
      <c r="I1280" s="12"/>
      <c r="J1280" s="12"/>
      <c r="K1280" s="61"/>
      <c r="L1280" s="233"/>
      <c r="M1280" s="10">
        <f ca="1">IF(ISBLANK(K1280), TODAY()-(I1280), Table27[[#This Row],[Effectiveness Review &amp; date deemed effective]]-Table27[[#This Row],[PTO initialized date]])</f>
        <v>46067</v>
      </c>
    </row>
    <row r="1281" spans="1:13" ht="18">
      <c r="A1281" s="9"/>
      <c r="B1281" s="18" t="e">
        <f>VLOOKUP(Table27[[#This Row],[Location 
(drop-down)]],'List source'!D$2:E$71,2,FALSE)</f>
        <v>#N/A</v>
      </c>
      <c r="C1281" s="154" t="s">
        <v>2620</v>
      </c>
      <c r="D1281" s="20" t="e">
        <f t="shared" si="19"/>
        <v>#N/A</v>
      </c>
      <c r="E1281" s="9"/>
      <c r="F1281" s="10" t="e" cm="1">
        <f t="array" aca="1" ref="F12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1" s="10"/>
      <c r="I1281" s="12"/>
      <c r="J1281" s="12"/>
      <c r="K1281" s="61"/>
      <c r="L1281" s="233"/>
      <c r="M1281" s="10">
        <f ca="1">IF(ISBLANK(K1281), TODAY()-(I1281), Table27[[#This Row],[Effectiveness Review &amp; date deemed effective]]-Table27[[#This Row],[PTO initialized date]])</f>
        <v>46067</v>
      </c>
    </row>
    <row r="1282" spans="1:13" ht="18">
      <c r="A1282" s="9"/>
      <c r="B1282" s="18" t="e">
        <f>VLOOKUP(Table27[[#This Row],[Location 
(drop-down)]],'List source'!D$2:E$71,2,FALSE)</f>
        <v>#N/A</v>
      </c>
      <c r="C1282" s="154" t="s">
        <v>2621</v>
      </c>
      <c r="D1282" s="20" t="e">
        <f t="shared" ref="D1282:D1345" si="20">"PTO" &amp; C1282 &amp; "-" &amp; B1282 &amp; "-" &amp; "26"</f>
        <v>#N/A</v>
      </c>
      <c r="E1282" s="9"/>
      <c r="F1282" s="10" t="e" cm="1">
        <f t="array" aca="1" ref="F12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2" s="10"/>
      <c r="I1282" s="12"/>
      <c r="J1282" s="12"/>
      <c r="K1282" s="61"/>
      <c r="L1282" s="233"/>
      <c r="M1282" s="10">
        <f ca="1">IF(ISBLANK(K1282), TODAY()-(I1282), Table27[[#This Row],[Effectiveness Review &amp; date deemed effective]]-Table27[[#This Row],[PTO initialized date]])</f>
        <v>46067</v>
      </c>
    </row>
    <row r="1283" spans="1:13" ht="18">
      <c r="A1283" s="9"/>
      <c r="B1283" s="18" t="e">
        <f>VLOOKUP(Table27[[#This Row],[Location 
(drop-down)]],'List source'!D$2:E$71,2,FALSE)</f>
        <v>#N/A</v>
      </c>
      <c r="C1283" s="154" t="s">
        <v>2622</v>
      </c>
      <c r="D1283" s="20" t="e">
        <f t="shared" si="20"/>
        <v>#N/A</v>
      </c>
      <c r="E1283" s="9"/>
      <c r="F1283" s="10" t="e" cm="1">
        <f t="array" aca="1" ref="F12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3" s="10"/>
      <c r="I1283" s="12"/>
      <c r="J1283" s="12"/>
      <c r="K1283" s="61"/>
      <c r="L1283" s="233"/>
      <c r="M1283" s="10">
        <f ca="1">IF(ISBLANK(K1283), TODAY()-(I1283), Table27[[#This Row],[Effectiveness Review &amp; date deemed effective]]-Table27[[#This Row],[PTO initialized date]])</f>
        <v>46067</v>
      </c>
    </row>
    <row r="1284" spans="1:13" ht="18">
      <c r="A1284" s="9"/>
      <c r="B1284" s="18" t="e">
        <f>VLOOKUP(Table27[[#This Row],[Location 
(drop-down)]],'List source'!D$2:E$71,2,FALSE)</f>
        <v>#N/A</v>
      </c>
      <c r="C1284" s="154" t="s">
        <v>2623</v>
      </c>
      <c r="D1284" s="20" t="e">
        <f t="shared" si="20"/>
        <v>#N/A</v>
      </c>
      <c r="E1284" s="9"/>
      <c r="F1284" s="10" t="e" cm="1">
        <f t="array" aca="1" ref="F12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4" s="10"/>
      <c r="I1284" s="12"/>
      <c r="J1284" s="12"/>
      <c r="K1284" s="61"/>
      <c r="L1284" s="233"/>
      <c r="M1284" s="10">
        <f ca="1">IF(ISBLANK(K1284), TODAY()-(I1284), Table27[[#This Row],[Effectiveness Review &amp; date deemed effective]]-Table27[[#This Row],[PTO initialized date]])</f>
        <v>46067</v>
      </c>
    </row>
    <row r="1285" spans="1:13" ht="18">
      <c r="A1285" s="9"/>
      <c r="B1285" s="18" t="e">
        <f>VLOOKUP(Table27[[#This Row],[Location 
(drop-down)]],'List source'!D$2:E$71,2,FALSE)</f>
        <v>#N/A</v>
      </c>
      <c r="C1285" s="154" t="s">
        <v>2624</v>
      </c>
      <c r="D1285" s="20" t="e">
        <f t="shared" si="20"/>
        <v>#N/A</v>
      </c>
      <c r="E1285" s="9"/>
      <c r="F1285" s="10" t="e" cm="1">
        <f t="array" aca="1" ref="F12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5" s="10"/>
      <c r="I1285" s="12"/>
      <c r="J1285" s="12"/>
      <c r="K1285" s="61"/>
      <c r="L1285" s="233"/>
      <c r="M1285" s="10">
        <f ca="1">IF(ISBLANK(K1285), TODAY()-(I1285), Table27[[#This Row],[Effectiveness Review &amp; date deemed effective]]-Table27[[#This Row],[PTO initialized date]])</f>
        <v>46067</v>
      </c>
    </row>
    <row r="1286" spans="1:13" ht="18">
      <c r="A1286" s="9"/>
      <c r="B1286" s="18" t="e">
        <f>VLOOKUP(Table27[[#This Row],[Location 
(drop-down)]],'List source'!D$2:E$71,2,FALSE)</f>
        <v>#N/A</v>
      </c>
      <c r="C1286" s="154" t="s">
        <v>2625</v>
      </c>
      <c r="D1286" s="20" t="e">
        <f t="shared" si="20"/>
        <v>#N/A</v>
      </c>
      <c r="E1286" s="9"/>
      <c r="F1286" s="10" t="e" cm="1">
        <f t="array" aca="1" ref="F12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6" s="10"/>
      <c r="I1286" s="12"/>
      <c r="J1286" s="12"/>
      <c r="K1286" s="61"/>
      <c r="L1286" s="233"/>
      <c r="M1286" s="10">
        <f ca="1">IF(ISBLANK(K1286), TODAY()-(I1286), Table27[[#This Row],[Effectiveness Review &amp; date deemed effective]]-Table27[[#This Row],[PTO initialized date]])</f>
        <v>46067</v>
      </c>
    </row>
    <row r="1287" spans="1:13" ht="18">
      <c r="A1287" s="9"/>
      <c r="B1287" s="18" t="e">
        <f>VLOOKUP(Table27[[#This Row],[Location 
(drop-down)]],'List source'!D$2:E$71,2,FALSE)</f>
        <v>#N/A</v>
      </c>
      <c r="C1287" s="154" t="s">
        <v>2626</v>
      </c>
      <c r="D1287" s="20" t="e">
        <f t="shared" si="20"/>
        <v>#N/A</v>
      </c>
      <c r="E1287" s="9"/>
      <c r="F1287" s="10" t="e" cm="1">
        <f t="array" aca="1" ref="F12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7" s="10"/>
      <c r="I1287" s="12"/>
      <c r="J1287" s="12"/>
      <c r="K1287" s="61"/>
      <c r="L1287" s="233"/>
      <c r="M1287" s="10">
        <f ca="1">IF(ISBLANK(K1287), TODAY()-(I1287), Table27[[#This Row],[Effectiveness Review &amp; date deemed effective]]-Table27[[#This Row],[PTO initialized date]])</f>
        <v>46067</v>
      </c>
    </row>
    <row r="1288" spans="1:13" ht="18">
      <c r="A1288" s="9"/>
      <c r="B1288" s="18" t="e">
        <f>VLOOKUP(Table27[[#This Row],[Location 
(drop-down)]],'List source'!D$2:E$71,2,FALSE)</f>
        <v>#N/A</v>
      </c>
      <c r="C1288" s="154" t="s">
        <v>2627</v>
      </c>
      <c r="D1288" s="20" t="e">
        <f t="shared" si="20"/>
        <v>#N/A</v>
      </c>
      <c r="E1288" s="9"/>
      <c r="F1288" s="10" t="e" cm="1">
        <f t="array" aca="1" ref="F12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8" s="10"/>
      <c r="I1288" s="12"/>
      <c r="J1288" s="12"/>
      <c r="K1288" s="61"/>
      <c r="L1288" s="233"/>
      <c r="M1288" s="10">
        <f ca="1">IF(ISBLANK(K1288), TODAY()-(I1288), Table27[[#This Row],[Effectiveness Review &amp; date deemed effective]]-Table27[[#This Row],[PTO initialized date]])</f>
        <v>46067</v>
      </c>
    </row>
    <row r="1289" spans="1:13" ht="18">
      <c r="A1289" s="9"/>
      <c r="B1289" s="18" t="e">
        <f>VLOOKUP(Table27[[#This Row],[Location 
(drop-down)]],'List source'!D$2:E$71,2,FALSE)</f>
        <v>#N/A</v>
      </c>
      <c r="C1289" s="154" t="s">
        <v>2628</v>
      </c>
      <c r="D1289" s="20" t="e">
        <f t="shared" si="20"/>
        <v>#N/A</v>
      </c>
      <c r="E1289" s="9"/>
      <c r="F1289" s="10" t="e" cm="1">
        <f t="array" aca="1" ref="F12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89" s="10"/>
      <c r="I1289" s="12"/>
      <c r="J1289" s="12"/>
      <c r="K1289" s="61"/>
      <c r="L1289" s="233"/>
      <c r="M1289" s="10">
        <f ca="1">IF(ISBLANK(K1289), TODAY()-(I1289), Table27[[#This Row],[Effectiveness Review &amp; date deemed effective]]-Table27[[#This Row],[PTO initialized date]])</f>
        <v>46067</v>
      </c>
    </row>
    <row r="1290" spans="1:13" ht="18">
      <c r="A1290" s="9"/>
      <c r="B1290" s="18" t="e">
        <f>VLOOKUP(Table27[[#This Row],[Location 
(drop-down)]],'List source'!D$2:E$71,2,FALSE)</f>
        <v>#N/A</v>
      </c>
      <c r="C1290" s="154" t="s">
        <v>2629</v>
      </c>
      <c r="D1290" s="20" t="e">
        <f t="shared" si="20"/>
        <v>#N/A</v>
      </c>
      <c r="E1290" s="9"/>
      <c r="F1290" s="10" t="e" cm="1">
        <f t="array" aca="1" ref="F12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0" s="10"/>
      <c r="I1290" s="12"/>
      <c r="J1290" s="12"/>
      <c r="K1290" s="61"/>
      <c r="L1290" s="233"/>
      <c r="M1290" s="10">
        <f ca="1">IF(ISBLANK(K1290), TODAY()-(I1290), Table27[[#This Row],[Effectiveness Review &amp; date deemed effective]]-Table27[[#This Row],[PTO initialized date]])</f>
        <v>46067</v>
      </c>
    </row>
    <row r="1291" spans="1:13" ht="18">
      <c r="A1291" s="9"/>
      <c r="B1291" s="18" t="e">
        <f>VLOOKUP(Table27[[#This Row],[Location 
(drop-down)]],'List source'!D$2:E$71,2,FALSE)</f>
        <v>#N/A</v>
      </c>
      <c r="C1291" s="154" t="s">
        <v>2630</v>
      </c>
      <c r="D1291" s="20" t="e">
        <f t="shared" si="20"/>
        <v>#N/A</v>
      </c>
      <c r="E1291" s="9"/>
      <c r="F1291" s="10" t="e" cm="1">
        <f t="array" aca="1" ref="F12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1" s="10"/>
      <c r="I1291" s="12"/>
      <c r="J1291" s="12"/>
      <c r="K1291" s="61"/>
      <c r="L1291" s="233"/>
      <c r="M1291" s="10">
        <f ca="1">IF(ISBLANK(K1291), TODAY()-(I1291), Table27[[#This Row],[Effectiveness Review &amp; date deemed effective]]-Table27[[#This Row],[PTO initialized date]])</f>
        <v>46067</v>
      </c>
    </row>
    <row r="1292" spans="1:13" ht="18">
      <c r="A1292" s="9"/>
      <c r="B1292" s="18" t="e">
        <f>VLOOKUP(Table27[[#This Row],[Location 
(drop-down)]],'List source'!D$2:E$71,2,FALSE)</f>
        <v>#N/A</v>
      </c>
      <c r="C1292" s="154" t="s">
        <v>2631</v>
      </c>
      <c r="D1292" s="20" t="e">
        <f t="shared" si="20"/>
        <v>#N/A</v>
      </c>
      <c r="E1292" s="9"/>
      <c r="F1292" s="10" t="e" cm="1">
        <f t="array" aca="1" ref="F12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2" s="10"/>
      <c r="I1292" s="12"/>
      <c r="J1292" s="12"/>
      <c r="K1292" s="61"/>
      <c r="L1292" s="233"/>
      <c r="M1292" s="10">
        <f ca="1">IF(ISBLANK(K1292), TODAY()-(I1292), Table27[[#This Row],[Effectiveness Review &amp; date deemed effective]]-Table27[[#This Row],[PTO initialized date]])</f>
        <v>46067</v>
      </c>
    </row>
    <row r="1293" spans="1:13" ht="18">
      <c r="A1293" s="9"/>
      <c r="B1293" s="18" t="e">
        <f>VLOOKUP(Table27[[#This Row],[Location 
(drop-down)]],'List source'!D$2:E$71,2,FALSE)</f>
        <v>#N/A</v>
      </c>
      <c r="C1293" s="154" t="s">
        <v>2632</v>
      </c>
      <c r="D1293" s="20" t="e">
        <f t="shared" si="20"/>
        <v>#N/A</v>
      </c>
      <c r="E1293" s="9"/>
      <c r="F1293" s="10" t="e" cm="1">
        <f t="array" aca="1" ref="F12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3" s="10"/>
      <c r="I1293" s="12"/>
      <c r="J1293" s="12"/>
      <c r="K1293" s="61"/>
      <c r="L1293" s="233"/>
      <c r="M1293" s="10">
        <f ca="1">IF(ISBLANK(K1293), TODAY()-(I1293), Table27[[#This Row],[Effectiveness Review &amp; date deemed effective]]-Table27[[#This Row],[PTO initialized date]])</f>
        <v>46067</v>
      </c>
    </row>
    <row r="1294" spans="1:13" ht="18">
      <c r="A1294" s="9"/>
      <c r="B1294" s="18" t="e">
        <f>VLOOKUP(Table27[[#This Row],[Location 
(drop-down)]],'List source'!D$2:E$71,2,FALSE)</f>
        <v>#N/A</v>
      </c>
      <c r="C1294" s="154" t="s">
        <v>2633</v>
      </c>
      <c r="D1294" s="20" t="e">
        <f t="shared" si="20"/>
        <v>#N/A</v>
      </c>
      <c r="E1294" s="9"/>
      <c r="F1294" s="10" t="e" cm="1">
        <f t="array" aca="1" ref="F12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4" s="10"/>
      <c r="I1294" s="12"/>
      <c r="J1294" s="12"/>
      <c r="K1294" s="61"/>
      <c r="L1294" s="233"/>
      <c r="M1294" s="10">
        <f ca="1">IF(ISBLANK(K1294), TODAY()-(I1294), Table27[[#This Row],[Effectiveness Review &amp; date deemed effective]]-Table27[[#This Row],[PTO initialized date]])</f>
        <v>46067</v>
      </c>
    </row>
    <row r="1295" spans="1:13" ht="18">
      <c r="A1295" s="9"/>
      <c r="B1295" s="18" t="e">
        <f>VLOOKUP(Table27[[#This Row],[Location 
(drop-down)]],'List source'!D$2:E$71,2,FALSE)</f>
        <v>#N/A</v>
      </c>
      <c r="C1295" s="154" t="s">
        <v>2634</v>
      </c>
      <c r="D1295" s="20" t="e">
        <f t="shared" si="20"/>
        <v>#N/A</v>
      </c>
      <c r="E1295" s="9"/>
      <c r="F1295" s="10" t="e" cm="1">
        <f t="array" aca="1" ref="F12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5" s="10"/>
      <c r="I1295" s="12"/>
      <c r="J1295" s="12"/>
      <c r="K1295" s="61"/>
      <c r="L1295" s="233"/>
      <c r="M1295" s="10">
        <f ca="1">IF(ISBLANK(K1295), TODAY()-(I1295), Table27[[#This Row],[Effectiveness Review &amp; date deemed effective]]-Table27[[#This Row],[PTO initialized date]])</f>
        <v>46067</v>
      </c>
    </row>
    <row r="1296" spans="1:13" ht="18">
      <c r="A1296" s="9"/>
      <c r="B1296" s="18" t="e">
        <f>VLOOKUP(Table27[[#This Row],[Location 
(drop-down)]],'List source'!D$2:E$71,2,FALSE)</f>
        <v>#N/A</v>
      </c>
      <c r="C1296" s="154" t="s">
        <v>2635</v>
      </c>
      <c r="D1296" s="20" t="e">
        <f t="shared" si="20"/>
        <v>#N/A</v>
      </c>
      <c r="E1296" s="9"/>
      <c r="F1296" s="10" t="e" cm="1">
        <f t="array" aca="1" ref="F12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6" s="10"/>
      <c r="I1296" s="12"/>
      <c r="J1296" s="12"/>
      <c r="K1296" s="61"/>
      <c r="L1296" s="233"/>
      <c r="M1296" s="10">
        <f ca="1">IF(ISBLANK(K1296), TODAY()-(I1296), Table27[[#This Row],[Effectiveness Review &amp; date deemed effective]]-Table27[[#This Row],[PTO initialized date]])</f>
        <v>46067</v>
      </c>
    </row>
    <row r="1297" spans="1:13" ht="18">
      <c r="A1297" s="9"/>
      <c r="B1297" s="18" t="e">
        <f>VLOOKUP(Table27[[#This Row],[Location 
(drop-down)]],'List source'!D$2:E$71,2,FALSE)</f>
        <v>#N/A</v>
      </c>
      <c r="C1297" s="154" t="s">
        <v>2636</v>
      </c>
      <c r="D1297" s="20" t="e">
        <f t="shared" si="20"/>
        <v>#N/A</v>
      </c>
      <c r="E1297" s="9"/>
      <c r="F1297" s="10" t="e" cm="1">
        <f t="array" aca="1" ref="F12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7" s="10"/>
      <c r="I1297" s="12"/>
      <c r="J1297" s="12"/>
      <c r="K1297" s="61"/>
      <c r="L1297" s="233"/>
      <c r="M1297" s="10">
        <f ca="1">IF(ISBLANK(K1297), TODAY()-(I1297), Table27[[#This Row],[Effectiveness Review &amp; date deemed effective]]-Table27[[#This Row],[PTO initialized date]])</f>
        <v>46067</v>
      </c>
    </row>
    <row r="1298" spans="1:13" ht="18">
      <c r="A1298" s="9"/>
      <c r="B1298" s="18" t="e">
        <f>VLOOKUP(Table27[[#This Row],[Location 
(drop-down)]],'List source'!D$2:E$71,2,FALSE)</f>
        <v>#N/A</v>
      </c>
      <c r="C1298" s="154" t="s">
        <v>2637</v>
      </c>
      <c r="D1298" s="20" t="e">
        <f t="shared" si="20"/>
        <v>#N/A</v>
      </c>
      <c r="E1298" s="9"/>
      <c r="F1298" s="10" t="e" cm="1">
        <f t="array" aca="1" ref="F12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8" s="10"/>
      <c r="I1298" s="12"/>
      <c r="J1298" s="12"/>
      <c r="K1298" s="61"/>
      <c r="L1298" s="233"/>
      <c r="M1298" s="10">
        <f ca="1">IF(ISBLANK(K1298), TODAY()-(I1298), Table27[[#This Row],[Effectiveness Review &amp; date deemed effective]]-Table27[[#This Row],[PTO initialized date]])</f>
        <v>46067</v>
      </c>
    </row>
    <row r="1299" spans="1:13" ht="18">
      <c r="A1299" s="9"/>
      <c r="B1299" s="18" t="e">
        <f>VLOOKUP(Table27[[#This Row],[Location 
(drop-down)]],'List source'!D$2:E$71,2,FALSE)</f>
        <v>#N/A</v>
      </c>
      <c r="C1299" s="154" t="s">
        <v>2638</v>
      </c>
      <c r="D1299" s="20" t="e">
        <f t="shared" si="20"/>
        <v>#N/A</v>
      </c>
      <c r="E1299" s="9"/>
      <c r="F1299" s="10" t="e" cm="1">
        <f t="array" aca="1" ref="F12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2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299" s="10"/>
      <c r="I1299" s="12"/>
      <c r="J1299" s="12"/>
      <c r="K1299" s="61"/>
      <c r="L1299" s="233"/>
      <c r="M1299" s="10">
        <f ca="1">IF(ISBLANK(K1299), TODAY()-(I1299), Table27[[#This Row],[Effectiveness Review &amp; date deemed effective]]-Table27[[#This Row],[PTO initialized date]])</f>
        <v>46067</v>
      </c>
    </row>
    <row r="1300" spans="1:13" ht="18">
      <c r="A1300" s="9"/>
      <c r="B1300" s="18" t="e">
        <f>VLOOKUP(Table27[[#This Row],[Location 
(drop-down)]],'List source'!D$2:E$71,2,FALSE)</f>
        <v>#N/A</v>
      </c>
      <c r="C1300" s="154" t="s">
        <v>2639</v>
      </c>
      <c r="D1300" s="20" t="e">
        <f t="shared" si="20"/>
        <v>#N/A</v>
      </c>
      <c r="E1300" s="9"/>
      <c r="F1300" s="10" t="e" cm="1">
        <f t="array" aca="1" ref="F13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0" s="10"/>
      <c r="I1300" s="12"/>
      <c r="J1300" s="12"/>
      <c r="K1300" s="61"/>
      <c r="L1300" s="233"/>
      <c r="M1300" s="10">
        <f ca="1">IF(ISBLANK(K1300), TODAY()-(I1300), Table27[[#This Row],[Effectiveness Review &amp; date deemed effective]]-Table27[[#This Row],[PTO initialized date]])</f>
        <v>46067</v>
      </c>
    </row>
    <row r="1301" spans="1:13" ht="18">
      <c r="A1301" s="68"/>
      <c r="B1301" s="18" t="e">
        <f>VLOOKUP(Table27[[#This Row],[Location 
(drop-down)]],'List source'!D$2:E$71,2,FALSE)</f>
        <v>#N/A</v>
      </c>
      <c r="C1301" s="154" t="s">
        <v>2640</v>
      </c>
      <c r="D1301" s="20" t="e">
        <f t="shared" si="20"/>
        <v>#N/A</v>
      </c>
      <c r="E1301" s="68"/>
      <c r="F1301" s="10" t="e" cm="1">
        <f t="array" aca="1" ref="F13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1" s="72"/>
      <c r="I1301" s="70"/>
      <c r="J1301" s="70"/>
      <c r="K1301" s="71"/>
      <c r="L1301" s="296"/>
      <c r="M1301" s="10">
        <f ca="1">IF(ISBLANK(K1301), TODAY()-(I1301), Table27[[#This Row],[Effectiveness Review &amp; date deemed effective]]-Table27[[#This Row],[PTO initialized date]])</f>
        <v>46067</v>
      </c>
    </row>
    <row r="1302" spans="1:13" ht="18">
      <c r="A1302" s="68"/>
      <c r="B1302" s="18" t="e">
        <f>VLOOKUP(Table27[[#This Row],[Location 
(drop-down)]],'List source'!D$2:E$71,2,FALSE)</f>
        <v>#N/A</v>
      </c>
      <c r="C1302" s="154" t="s">
        <v>2641</v>
      </c>
      <c r="D1302" s="20" t="e">
        <f t="shared" si="20"/>
        <v>#N/A</v>
      </c>
      <c r="E1302" s="68"/>
      <c r="F1302" s="10" t="e" cm="1">
        <f t="array" aca="1" ref="F13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2" s="72"/>
      <c r="I1302" s="70"/>
      <c r="J1302" s="70"/>
      <c r="K1302" s="71"/>
      <c r="L1302" s="296"/>
      <c r="M1302" s="10">
        <f ca="1">IF(ISBLANK(K1302), TODAY()-(I1302), Table27[[#This Row],[Effectiveness Review &amp; date deemed effective]]-Table27[[#This Row],[PTO initialized date]])</f>
        <v>46067</v>
      </c>
    </row>
    <row r="1303" spans="1:13" ht="18">
      <c r="A1303" s="68"/>
      <c r="B1303" s="18" t="e">
        <f>VLOOKUP(Table27[[#This Row],[Location 
(drop-down)]],'List source'!D$2:E$71,2,FALSE)</f>
        <v>#N/A</v>
      </c>
      <c r="C1303" s="154" t="s">
        <v>2642</v>
      </c>
      <c r="D1303" s="20" t="e">
        <f t="shared" si="20"/>
        <v>#N/A</v>
      </c>
      <c r="E1303" s="68"/>
      <c r="F1303" s="10" t="e" cm="1">
        <f t="array" aca="1" ref="F13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3" s="72"/>
      <c r="I1303" s="70"/>
      <c r="J1303" s="70"/>
      <c r="K1303" s="71"/>
      <c r="L1303" s="296"/>
      <c r="M1303" s="10">
        <f ca="1">IF(ISBLANK(K1303), TODAY()-(I1303), Table27[[#This Row],[Effectiveness Review &amp; date deemed effective]]-Table27[[#This Row],[PTO initialized date]])</f>
        <v>46067</v>
      </c>
    </row>
    <row r="1304" spans="1:13" ht="18">
      <c r="A1304" s="68"/>
      <c r="B1304" s="18" t="e">
        <f>VLOOKUP(Table27[[#This Row],[Location 
(drop-down)]],'List source'!D$2:E$71,2,FALSE)</f>
        <v>#N/A</v>
      </c>
      <c r="C1304" s="154" t="s">
        <v>2643</v>
      </c>
      <c r="D1304" s="20" t="e">
        <f t="shared" si="20"/>
        <v>#N/A</v>
      </c>
      <c r="E1304" s="68"/>
      <c r="F1304" s="10" t="e" cm="1">
        <f t="array" aca="1" ref="F13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4" s="72"/>
      <c r="I1304" s="70"/>
      <c r="J1304" s="70"/>
      <c r="K1304" s="71"/>
      <c r="L1304" s="296"/>
      <c r="M1304" s="10">
        <f ca="1">IF(ISBLANK(K1304), TODAY()-(I1304), Table27[[#This Row],[Effectiveness Review &amp; date deemed effective]]-Table27[[#This Row],[PTO initialized date]])</f>
        <v>46067</v>
      </c>
    </row>
    <row r="1305" spans="1:13" ht="18">
      <c r="A1305" s="68"/>
      <c r="B1305" s="18" t="e">
        <f>VLOOKUP(Table27[[#This Row],[Location 
(drop-down)]],'List source'!D$2:E$71,2,FALSE)</f>
        <v>#N/A</v>
      </c>
      <c r="C1305" s="154" t="s">
        <v>2644</v>
      </c>
      <c r="D1305" s="20" t="e">
        <f t="shared" si="20"/>
        <v>#N/A</v>
      </c>
      <c r="E1305" s="68"/>
      <c r="F1305" s="10" t="e" cm="1">
        <f t="array" aca="1" ref="F13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5" s="72"/>
      <c r="I1305" s="70"/>
      <c r="J1305" s="70"/>
      <c r="K1305" s="71"/>
      <c r="L1305" s="296"/>
      <c r="M1305" s="10">
        <f ca="1">IF(ISBLANK(K1305), TODAY()-(I1305), Table27[[#This Row],[Effectiveness Review &amp; date deemed effective]]-Table27[[#This Row],[PTO initialized date]])</f>
        <v>46067</v>
      </c>
    </row>
    <row r="1306" spans="1:13" ht="18">
      <c r="A1306" s="68"/>
      <c r="B1306" s="18" t="e">
        <f>VLOOKUP(Table27[[#This Row],[Location 
(drop-down)]],'List source'!D$2:E$71,2,FALSE)</f>
        <v>#N/A</v>
      </c>
      <c r="C1306" s="154" t="s">
        <v>2645</v>
      </c>
      <c r="D1306" s="20" t="e">
        <f t="shared" si="20"/>
        <v>#N/A</v>
      </c>
      <c r="E1306" s="68"/>
      <c r="F1306" s="10" t="e" cm="1">
        <f t="array" aca="1" ref="F13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6" s="72"/>
      <c r="I1306" s="70"/>
      <c r="J1306" s="70"/>
      <c r="K1306" s="71"/>
      <c r="L1306" s="296"/>
      <c r="M1306" s="10">
        <f ca="1">IF(ISBLANK(K1306), TODAY()-(I1306), Table27[[#This Row],[Effectiveness Review &amp; date deemed effective]]-Table27[[#This Row],[PTO initialized date]])</f>
        <v>46067</v>
      </c>
    </row>
    <row r="1307" spans="1:13" ht="18">
      <c r="A1307" s="68"/>
      <c r="B1307" s="18" t="e">
        <f>VLOOKUP(Table27[[#This Row],[Location 
(drop-down)]],'List source'!D$2:E$71,2,FALSE)</f>
        <v>#N/A</v>
      </c>
      <c r="C1307" s="154" t="s">
        <v>2646</v>
      </c>
      <c r="D1307" s="20" t="e">
        <f t="shared" si="20"/>
        <v>#N/A</v>
      </c>
      <c r="E1307" s="68"/>
      <c r="F1307" s="10" t="e" cm="1">
        <f t="array" aca="1" ref="F13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7" s="72"/>
      <c r="I1307" s="70"/>
      <c r="J1307" s="70"/>
      <c r="K1307" s="71"/>
      <c r="L1307" s="296"/>
      <c r="M1307" s="10">
        <f ca="1">IF(ISBLANK(K1307), TODAY()-(I1307), Table27[[#This Row],[Effectiveness Review &amp; date deemed effective]]-Table27[[#This Row],[PTO initialized date]])</f>
        <v>46067</v>
      </c>
    </row>
    <row r="1308" spans="1:13" ht="18">
      <c r="A1308" s="68"/>
      <c r="B1308" s="18" t="e">
        <f>VLOOKUP(Table27[[#This Row],[Location 
(drop-down)]],'List source'!D$2:E$71,2,FALSE)</f>
        <v>#N/A</v>
      </c>
      <c r="C1308" s="154" t="s">
        <v>2647</v>
      </c>
      <c r="D1308" s="20" t="e">
        <f t="shared" si="20"/>
        <v>#N/A</v>
      </c>
      <c r="E1308" s="68"/>
      <c r="F1308" s="10" t="e" cm="1">
        <f t="array" aca="1" ref="F13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8" s="72"/>
      <c r="I1308" s="70"/>
      <c r="J1308" s="70"/>
      <c r="K1308" s="71"/>
      <c r="L1308" s="296"/>
      <c r="M1308" s="10">
        <f ca="1">IF(ISBLANK(K1308), TODAY()-(I1308), Table27[[#This Row],[Effectiveness Review &amp; date deemed effective]]-Table27[[#This Row],[PTO initialized date]])</f>
        <v>46067</v>
      </c>
    </row>
    <row r="1309" spans="1:13" ht="18">
      <c r="A1309" s="68"/>
      <c r="B1309" s="18" t="e">
        <f>VLOOKUP(Table27[[#This Row],[Location 
(drop-down)]],'List source'!D$2:E$71,2,FALSE)</f>
        <v>#N/A</v>
      </c>
      <c r="C1309" s="154" t="s">
        <v>2648</v>
      </c>
      <c r="D1309" s="20" t="e">
        <f t="shared" si="20"/>
        <v>#N/A</v>
      </c>
      <c r="E1309" s="68"/>
      <c r="F1309" s="10" t="e" cm="1">
        <f t="array" aca="1" ref="F13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09" s="72"/>
      <c r="I1309" s="70"/>
      <c r="J1309" s="70"/>
      <c r="K1309" s="71"/>
      <c r="L1309" s="296"/>
      <c r="M1309" s="10">
        <f ca="1">IF(ISBLANK(K1309), TODAY()-(I1309), Table27[[#This Row],[Effectiveness Review &amp; date deemed effective]]-Table27[[#This Row],[PTO initialized date]])</f>
        <v>46067</v>
      </c>
    </row>
    <row r="1310" spans="1:13" ht="18">
      <c r="A1310" s="68"/>
      <c r="B1310" s="18" t="e">
        <f>VLOOKUP(Table27[[#This Row],[Location 
(drop-down)]],'List source'!D$2:E$71,2,FALSE)</f>
        <v>#N/A</v>
      </c>
      <c r="C1310" s="154" t="s">
        <v>2649</v>
      </c>
      <c r="D1310" s="20" t="e">
        <f t="shared" si="20"/>
        <v>#N/A</v>
      </c>
      <c r="E1310" s="68"/>
      <c r="F1310" s="10" t="e" cm="1">
        <f t="array" aca="1" ref="F13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0" s="72"/>
      <c r="I1310" s="70"/>
      <c r="J1310" s="70"/>
      <c r="K1310" s="71"/>
      <c r="L1310" s="296"/>
      <c r="M1310" s="10">
        <f ca="1">IF(ISBLANK(K1310), TODAY()-(I1310), Table27[[#This Row],[Effectiveness Review &amp; date deemed effective]]-Table27[[#This Row],[PTO initialized date]])</f>
        <v>46067</v>
      </c>
    </row>
    <row r="1311" spans="1:13" ht="18">
      <c r="A1311" s="68"/>
      <c r="B1311" s="18" t="e">
        <f>VLOOKUP(Table27[[#This Row],[Location 
(drop-down)]],'List source'!D$2:E$71,2,FALSE)</f>
        <v>#N/A</v>
      </c>
      <c r="C1311" s="154" t="s">
        <v>2650</v>
      </c>
      <c r="D1311" s="20" t="e">
        <f t="shared" si="20"/>
        <v>#N/A</v>
      </c>
      <c r="E1311" s="68"/>
      <c r="F1311" s="10" t="e" cm="1">
        <f t="array" aca="1" ref="F13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1" s="72"/>
      <c r="I1311" s="70"/>
      <c r="J1311" s="70"/>
      <c r="K1311" s="71"/>
      <c r="L1311" s="296"/>
      <c r="M1311" s="10">
        <f ca="1">IF(ISBLANK(K1311), TODAY()-(I1311), Table27[[#This Row],[Effectiveness Review &amp; date deemed effective]]-Table27[[#This Row],[PTO initialized date]])</f>
        <v>46067</v>
      </c>
    </row>
    <row r="1312" spans="1:13" ht="18">
      <c r="A1312" s="68"/>
      <c r="B1312" s="18" t="e">
        <f>VLOOKUP(Table27[[#This Row],[Location 
(drop-down)]],'List source'!D$2:E$71,2,FALSE)</f>
        <v>#N/A</v>
      </c>
      <c r="C1312" s="154" t="s">
        <v>2651</v>
      </c>
      <c r="D1312" s="20" t="e">
        <f t="shared" si="20"/>
        <v>#N/A</v>
      </c>
      <c r="E1312" s="68"/>
      <c r="F1312" s="10" t="e" cm="1">
        <f t="array" aca="1" ref="F13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2" s="72"/>
      <c r="I1312" s="70"/>
      <c r="J1312" s="70"/>
      <c r="K1312" s="71"/>
      <c r="L1312" s="296"/>
      <c r="M1312" s="10">
        <f ca="1">IF(ISBLANK(K1312), TODAY()-(I1312), Table27[[#This Row],[Effectiveness Review &amp; date deemed effective]]-Table27[[#This Row],[PTO initialized date]])</f>
        <v>46067</v>
      </c>
    </row>
    <row r="1313" spans="1:13" ht="18">
      <c r="A1313" s="68"/>
      <c r="B1313" s="18" t="e">
        <f>VLOOKUP(Table27[[#This Row],[Location 
(drop-down)]],'List source'!D$2:E$71,2,FALSE)</f>
        <v>#N/A</v>
      </c>
      <c r="C1313" s="154" t="s">
        <v>2652</v>
      </c>
      <c r="D1313" s="20" t="e">
        <f t="shared" si="20"/>
        <v>#N/A</v>
      </c>
      <c r="E1313" s="68"/>
      <c r="F1313" s="10" t="e" cm="1">
        <f t="array" aca="1" ref="F13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3" s="72"/>
      <c r="I1313" s="70"/>
      <c r="J1313" s="70"/>
      <c r="K1313" s="71"/>
      <c r="L1313" s="296"/>
      <c r="M1313" s="10">
        <f ca="1">IF(ISBLANK(K1313), TODAY()-(I1313), Table27[[#This Row],[Effectiveness Review &amp; date deemed effective]]-Table27[[#This Row],[PTO initialized date]])</f>
        <v>46067</v>
      </c>
    </row>
    <row r="1314" spans="1:13" ht="18">
      <c r="A1314" s="68"/>
      <c r="B1314" s="18" t="e">
        <f>VLOOKUP(Table27[[#This Row],[Location 
(drop-down)]],'List source'!D$2:E$71,2,FALSE)</f>
        <v>#N/A</v>
      </c>
      <c r="C1314" s="154" t="s">
        <v>2653</v>
      </c>
      <c r="D1314" s="20" t="e">
        <f t="shared" si="20"/>
        <v>#N/A</v>
      </c>
      <c r="E1314" s="68"/>
      <c r="F1314" s="10" t="e" cm="1">
        <f t="array" aca="1" ref="F13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4" s="72"/>
      <c r="I1314" s="70"/>
      <c r="J1314" s="70"/>
      <c r="K1314" s="71"/>
      <c r="L1314" s="296"/>
      <c r="M1314" s="10">
        <f ca="1">IF(ISBLANK(K1314), TODAY()-(I1314), Table27[[#This Row],[Effectiveness Review &amp; date deemed effective]]-Table27[[#This Row],[PTO initialized date]])</f>
        <v>46067</v>
      </c>
    </row>
    <row r="1315" spans="1:13" ht="18">
      <c r="A1315" s="68"/>
      <c r="B1315" s="18" t="e">
        <f>VLOOKUP(Table27[[#This Row],[Location 
(drop-down)]],'List source'!D$2:E$71,2,FALSE)</f>
        <v>#N/A</v>
      </c>
      <c r="C1315" s="154" t="s">
        <v>2654</v>
      </c>
      <c r="D1315" s="20" t="e">
        <f t="shared" si="20"/>
        <v>#N/A</v>
      </c>
      <c r="E1315" s="68"/>
      <c r="F1315" s="10" t="e" cm="1">
        <f t="array" aca="1" ref="F13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5" s="72"/>
      <c r="I1315" s="70"/>
      <c r="J1315" s="70"/>
      <c r="K1315" s="71"/>
      <c r="L1315" s="296"/>
      <c r="M1315" s="10">
        <f ca="1">IF(ISBLANK(K1315), TODAY()-(I1315), Table27[[#This Row],[Effectiveness Review &amp; date deemed effective]]-Table27[[#This Row],[PTO initialized date]])</f>
        <v>46067</v>
      </c>
    </row>
    <row r="1316" spans="1:13" ht="18">
      <c r="A1316" s="68"/>
      <c r="B1316" s="18" t="e">
        <f>VLOOKUP(Table27[[#This Row],[Location 
(drop-down)]],'List source'!D$2:E$71,2,FALSE)</f>
        <v>#N/A</v>
      </c>
      <c r="C1316" s="154" t="s">
        <v>2655</v>
      </c>
      <c r="D1316" s="20" t="e">
        <f t="shared" si="20"/>
        <v>#N/A</v>
      </c>
      <c r="E1316" s="68"/>
      <c r="F1316" s="10" t="e" cm="1">
        <f t="array" aca="1" ref="F13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6" s="72"/>
      <c r="I1316" s="70"/>
      <c r="J1316" s="70"/>
      <c r="K1316" s="71"/>
      <c r="L1316" s="296"/>
      <c r="M1316" s="10">
        <f ca="1">IF(ISBLANK(K1316), TODAY()-(I1316), Table27[[#This Row],[Effectiveness Review &amp; date deemed effective]]-Table27[[#This Row],[PTO initialized date]])</f>
        <v>46067</v>
      </c>
    </row>
    <row r="1317" spans="1:13" ht="18">
      <c r="A1317" s="68"/>
      <c r="B1317" s="18" t="e">
        <f>VLOOKUP(Table27[[#This Row],[Location 
(drop-down)]],'List source'!D$2:E$71,2,FALSE)</f>
        <v>#N/A</v>
      </c>
      <c r="C1317" s="154" t="s">
        <v>2656</v>
      </c>
      <c r="D1317" s="20" t="e">
        <f t="shared" si="20"/>
        <v>#N/A</v>
      </c>
      <c r="E1317" s="68"/>
      <c r="F1317" s="10" t="e" cm="1">
        <f t="array" aca="1" ref="F13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7" s="72"/>
      <c r="I1317" s="70"/>
      <c r="J1317" s="70"/>
      <c r="K1317" s="71"/>
      <c r="L1317" s="296"/>
      <c r="M1317" s="10">
        <f ca="1">IF(ISBLANK(K1317), TODAY()-(I1317), Table27[[#This Row],[Effectiveness Review &amp; date deemed effective]]-Table27[[#This Row],[PTO initialized date]])</f>
        <v>46067</v>
      </c>
    </row>
    <row r="1318" spans="1:13" ht="18">
      <c r="A1318" s="68"/>
      <c r="B1318" s="18" t="e">
        <f>VLOOKUP(Table27[[#This Row],[Location 
(drop-down)]],'List source'!D$2:E$71,2,FALSE)</f>
        <v>#N/A</v>
      </c>
      <c r="C1318" s="154" t="s">
        <v>2657</v>
      </c>
      <c r="D1318" s="20" t="e">
        <f t="shared" si="20"/>
        <v>#N/A</v>
      </c>
      <c r="E1318" s="68"/>
      <c r="F1318" s="10" t="e" cm="1">
        <f t="array" aca="1" ref="F13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8" s="72"/>
      <c r="I1318" s="70"/>
      <c r="J1318" s="70"/>
      <c r="K1318" s="71"/>
      <c r="L1318" s="296"/>
      <c r="M1318" s="10">
        <f ca="1">IF(ISBLANK(K1318), TODAY()-(I1318), Table27[[#This Row],[Effectiveness Review &amp; date deemed effective]]-Table27[[#This Row],[PTO initialized date]])</f>
        <v>46067</v>
      </c>
    </row>
    <row r="1319" spans="1:13" ht="18">
      <c r="A1319" s="68"/>
      <c r="B1319" s="18" t="e">
        <f>VLOOKUP(Table27[[#This Row],[Location 
(drop-down)]],'List source'!D$2:E$71,2,FALSE)</f>
        <v>#N/A</v>
      </c>
      <c r="C1319" s="154" t="s">
        <v>2658</v>
      </c>
      <c r="D1319" s="20" t="e">
        <f t="shared" si="20"/>
        <v>#N/A</v>
      </c>
      <c r="E1319" s="68"/>
      <c r="F1319" s="10" t="e" cm="1">
        <f t="array" aca="1" ref="F13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19" s="72"/>
      <c r="I1319" s="70"/>
      <c r="J1319" s="70"/>
      <c r="K1319" s="71"/>
      <c r="L1319" s="296"/>
      <c r="M1319" s="10">
        <f ca="1">IF(ISBLANK(K1319), TODAY()-(I1319), Table27[[#This Row],[Effectiveness Review &amp; date deemed effective]]-Table27[[#This Row],[PTO initialized date]])</f>
        <v>46067</v>
      </c>
    </row>
    <row r="1320" spans="1:13" ht="18">
      <c r="A1320" s="68"/>
      <c r="B1320" s="18" t="e">
        <f>VLOOKUP(Table27[[#This Row],[Location 
(drop-down)]],'List source'!D$2:E$71,2,FALSE)</f>
        <v>#N/A</v>
      </c>
      <c r="C1320" s="154" t="s">
        <v>2659</v>
      </c>
      <c r="D1320" s="20" t="e">
        <f t="shared" si="20"/>
        <v>#N/A</v>
      </c>
      <c r="E1320" s="68"/>
      <c r="F1320" s="10" t="e" cm="1">
        <f t="array" aca="1" ref="F13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0" s="72"/>
      <c r="I1320" s="70"/>
      <c r="J1320" s="70"/>
      <c r="K1320" s="71"/>
      <c r="L1320" s="296"/>
      <c r="M1320" s="10">
        <f ca="1">IF(ISBLANK(K1320), TODAY()-(I1320), Table27[[#This Row],[Effectiveness Review &amp; date deemed effective]]-Table27[[#This Row],[PTO initialized date]])</f>
        <v>46067</v>
      </c>
    </row>
    <row r="1321" spans="1:13" ht="18">
      <c r="A1321" s="68"/>
      <c r="B1321" s="18" t="e">
        <f>VLOOKUP(Table27[[#This Row],[Location 
(drop-down)]],'List source'!D$2:E$71,2,FALSE)</f>
        <v>#N/A</v>
      </c>
      <c r="C1321" s="154" t="s">
        <v>2660</v>
      </c>
      <c r="D1321" s="20" t="e">
        <f t="shared" si="20"/>
        <v>#N/A</v>
      </c>
      <c r="E1321" s="68"/>
      <c r="F1321" s="10" t="e" cm="1">
        <f t="array" aca="1" ref="F13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1" s="72"/>
      <c r="I1321" s="70"/>
      <c r="J1321" s="70"/>
      <c r="K1321" s="71"/>
      <c r="L1321" s="296"/>
      <c r="M1321" s="10">
        <f ca="1">IF(ISBLANK(K1321), TODAY()-(I1321), Table27[[#This Row],[Effectiveness Review &amp; date deemed effective]]-Table27[[#This Row],[PTO initialized date]])</f>
        <v>46067</v>
      </c>
    </row>
    <row r="1322" spans="1:13" ht="18">
      <c r="A1322" s="68"/>
      <c r="B1322" s="18" t="e">
        <f>VLOOKUP(Table27[[#This Row],[Location 
(drop-down)]],'List source'!D$2:E$71,2,FALSE)</f>
        <v>#N/A</v>
      </c>
      <c r="C1322" s="154" t="s">
        <v>2661</v>
      </c>
      <c r="D1322" s="20" t="e">
        <f t="shared" si="20"/>
        <v>#N/A</v>
      </c>
      <c r="E1322" s="68"/>
      <c r="F1322" s="10" t="e" cm="1">
        <f t="array" aca="1" ref="F13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2" s="72"/>
      <c r="I1322" s="70"/>
      <c r="J1322" s="70"/>
      <c r="K1322" s="71"/>
      <c r="L1322" s="296"/>
      <c r="M1322" s="10">
        <f ca="1">IF(ISBLANK(K1322), TODAY()-(I1322), Table27[[#This Row],[Effectiveness Review &amp; date deemed effective]]-Table27[[#This Row],[PTO initialized date]])</f>
        <v>46067</v>
      </c>
    </row>
    <row r="1323" spans="1:13" ht="18">
      <c r="A1323" s="68"/>
      <c r="B1323" s="18" t="e">
        <f>VLOOKUP(Table27[[#This Row],[Location 
(drop-down)]],'List source'!D$2:E$71,2,FALSE)</f>
        <v>#N/A</v>
      </c>
      <c r="C1323" s="154" t="s">
        <v>2662</v>
      </c>
      <c r="D1323" s="20" t="e">
        <f t="shared" si="20"/>
        <v>#N/A</v>
      </c>
      <c r="E1323" s="68"/>
      <c r="F1323" s="10" t="e" cm="1">
        <f t="array" aca="1" ref="F13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3" s="72"/>
      <c r="I1323" s="70"/>
      <c r="J1323" s="70"/>
      <c r="K1323" s="71"/>
      <c r="L1323" s="296"/>
      <c r="M1323" s="10">
        <f ca="1">IF(ISBLANK(K1323), TODAY()-(I1323), Table27[[#This Row],[Effectiveness Review &amp; date deemed effective]]-Table27[[#This Row],[PTO initialized date]])</f>
        <v>46067</v>
      </c>
    </row>
    <row r="1324" spans="1:13" ht="18">
      <c r="A1324" s="68"/>
      <c r="B1324" s="18" t="e">
        <f>VLOOKUP(Table27[[#This Row],[Location 
(drop-down)]],'List source'!D$2:E$71,2,FALSE)</f>
        <v>#N/A</v>
      </c>
      <c r="C1324" s="154" t="s">
        <v>2663</v>
      </c>
      <c r="D1324" s="20" t="e">
        <f t="shared" si="20"/>
        <v>#N/A</v>
      </c>
      <c r="E1324" s="68"/>
      <c r="F1324" s="10" t="e" cm="1">
        <f t="array" aca="1" ref="F13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4" s="72"/>
      <c r="I1324" s="70"/>
      <c r="J1324" s="70"/>
      <c r="K1324" s="71"/>
      <c r="L1324" s="296"/>
      <c r="M1324" s="10">
        <f ca="1">IF(ISBLANK(K1324), TODAY()-(I1324), Table27[[#This Row],[Effectiveness Review &amp; date deemed effective]]-Table27[[#This Row],[PTO initialized date]])</f>
        <v>46067</v>
      </c>
    </row>
    <row r="1325" spans="1:13" ht="18">
      <c r="A1325" s="68"/>
      <c r="B1325" s="18" t="e">
        <f>VLOOKUP(Table27[[#This Row],[Location 
(drop-down)]],'List source'!D$2:E$71,2,FALSE)</f>
        <v>#N/A</v>
      </c>
      <c r="C1325" s="154" t="s">
        <v>2664</v>
      </c>
      <c r="D1325" s="20" t="e">
        <f t="shared" si="20"/>
        <v>#N/A</v>
      </c>
      <c r="E1325" s="68"/>
      <c r="F1325" s="10" t="e" cm="1">
        <f t="array" aca="1" ref="F13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5" s="72"/>
      <c r="I1325" s="70"/>
      <c r="J1325" s="70"/>
      <c r="K1325" s="71"/>
      <c r="L1325" s="296"/>
      <c r="M1325" s="10">
        <f ca="1">IF(ISBLANK(K1325), TODAY()-(I1325), Table27[[#This Row],[Effectiveness Review &amp; date deemed effective]]-Table27[[#This Row],[PTO initialized date]])</f>
        <v>46067</v>
      </c>
    </row>
    <row r="1326" spans="1:13" ht="18">
      <c r="A1326" s="68"/>
      <c r="B1326" s="18" t="e">
        <f>VLOOKUP(Table27[[#This Row],[Location 
(drop-down)]],'List source'!D$2:E$71,2,FALSE)</f>
        <v>#N/A</v>
      </c>
      <c r="C1326" s="154" t="s">
        <v>2665</v>
      </c>
      <c r="D1326" s="20" t="e">
        <f t="shared" si="20"/>
        <v>#N/A</v>
      </c>
      <c r="E1326" s="68"/>
      <c r="F1326" s="10" t="e" cm="1">
        <f t="array" aca="1" ref="F13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6" s="72"/>
      <c r="I1326" s="70"/>
      <c r="J1326" s="70"/>
      <c r="K1326" s="71"/>
      <c r="L1326" s="296"/>
      <c r="M1326" s="10">
        <f ca="1">IF(ISBLANK(K1326), TODAY()-(I1326), Table27[[#This Row],[Effectiveness Review &amp; date deemed effective]]-Table27[[#This Row],[PTO initialized date]])</f>
        <v>46067</v>
      </c>
    </row>
    <row r="1327" spans="1:13" ht="18">
      <c r="A1327" s="68"/>
      <c r="B1327" s="18" t="e">
        <f>VLOOKUP(Table27[[#This Row],[Location 
(drop-down)]],'List source'!D$2:E$71,2,FALSE)</f>
        <v>#N/A</v>
      </c>
      <c r="C1327" s="154" t="s">
        <v>2666</v>
      </c>
      <c r="D1327" s="20" t="e">
        <f t="shared" si="20"/>
        <v>#N/A</v>
      </c>
      <c r="E1327" s="68"/>
      <c r="F1327" s="10" t="e" cm="1">
        <f t="array" aca="1" ref="F13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7" s="72"/>
      <c r="I1327" s="70"/>
      <c r="J1327" s="70"/>
      <c r="K1327" s="71"/>
      <c r="L1327" s="296"/>
      <c r="M1327" s="10">
        <f ca="1">IF(ISBLANK(K1327), TODAY()-(I1327), Table27[[#This Row],[Effectiveness Review &amp; date deemed effective]]-Table27[[#This Row],[PTO initialized date]])</f>
        <v>46067</v>
      </c>
    </row>
    <row r="1328" spans="1:13" ht="18">
      <c r="A1328" s="68"/>
      <c r="B1328" s="18" t="e">
        <f>VLOOKUP(Table27[[#This Row],[Location 
(drop-down)]],'List source'!D$2:E$71,2,FALSE)</f>
        <v>#N/A</v>
      </c>
      <c r="C1328" s="154" t="s">
        <v>2667</v>
      </c>
      <c r="D1328" s="20" t="e">
        <f t="shared" si="20"/>
        <v>#N/A</v>
      </c>
      <c r="E1328" s="68"/>
      <c r="F1328" s="10" t="e" cm="1">
        <f t="array" aca="1" ref="F13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8" s="72"/>
      <c r="I1328" s="70"/>
      <c r="J1328" s="70"/>
      <c r="K1328" s="71"/>
      <c r="L1328" s="296"/>
      <c r="M1328" s="10">
        <f ca="1">IF(ISBLANK(K1328), TODAY()-(I1328), Table27[[#This Row],[Effectiveness Review &amp; date deemed effective]]-Table27[[#This Row],[PTO initialized date]])</f>
        <v>46067</v>
      </c>
    </row>
    <row r="1329" spans="1:13" ht="18">
      <c r="A1329" s="68"/>
      <c r="B1329" s="18" t="e">
        <f>VLOOKUP(Table27[[#This Row],[Location 
(drop-down)]],'List source'!D$2:E$71,2,FALSE)</f>
        <v>#N/A</v>
      </c>
      <c r="C1329" s="154" t="s">
        <v>2668</v>
      </c>
      <c r="D1329" s="20" t="e">
        <f t="shared" si="20"/>
        <v>#N/A</v>
      </c>
      <c r="E1329" s="68"/>
      <c r="F1329" s="10" t="e" cm="1">
        <f t="array" aca="1" ref="F13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29" s="72"/>
      <c r="I1329" s="70"/>
      <c r="J1329" s="70"/>
      <c r="K1329" s="71"/>
      <c r="L1329" s="296"/>
      <c r="M1329" s="10">
        <f ca="1">IF(ISBLANK(K1329), TODAY()-(I1329), Table27[[#This Row],[Effectiveness Review &amp; date deemed effective]]-Table27[[#This Row],[PTO initialized date]])</f>
        <v>46067</v>
      </c>
    </row>
    <row r="1330" spans="1:13" ht="18">
      <c r="A1330" s="68"/>
      <c r="B1330" s="18" t="e">
        <f>VLOOKUP(Table27[[#This Row],[Location 
(drop-down)]],'List source'!D$2:E$71,2,FALSE)</f>
        <v>#N/A</v>
      </c>
      <c r="C1330" s="154" t="s">
        <v>2669</v>
      </c>
      <c r="D1330" s="20" t="e">
        <f t="shared" si="20"/>
        <v>#N/A</v>
      </c>
      <c r="E1330" s="68"/>
      <c r="F1330" s="10" t="e" cm="1">
        <f t="array" aca="1" ref="F13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0" s="72"/>
      <c r="I1330" s="70"/>
      <c r="J1330" s="70"/>
      <c r="K1330" s="71"/>
      <c r="L1330" s="296"/>
      <c r="M1330" s="10">
        <f ca="1">IF(ISBLANK(K1330), TODAY()-(I1330), Table27[[#This Row],[Effectiveness Review &amp; date deemed effective]]-Table27[[#This Row],[PTO initialized date]])</f>
        <v>46067</v>
      </c>
    </row>
    <row r="1331" spans="1:13" ht="18">
      <c r="A1331" s="68"/>
      <c r="B1331" s="18" t="e">
        <f>VLOOKUP(Table27[[#This Row],[Location 
(drop-down)]],'List source'!D$2:E$71,2,FALSE)</f>
        <v>#N/A</v>
      </c>
      <c r="C1331" s="154" t="s">
        <v>2670</v>
      </c>
      <c r="D1331" s="20" t="e">
        <f t="shared" si="20"/>
        <v>#N/A</v>
      </c>
      <c r="E1331" s="68"/>
      <c r="F1331" s="10" t="e" cm="1">
        <f t="array" aca="1" ref="F13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1" s="72"/>
      <c r="I1331" s="70"/>
      <c r="J1331" s="70"/>
      <c r="K1331" s="71"/>
      <c r="L1331" s="296"/>
      <c r="M1331" s="10">
        <f ca="1">IF(ISBLANK(K1331), TODAY()-(I1331), Table27[[#This Row],[Effectiveness Review &amp; date deemed effective]]-Table27[[#This Row],[PTO initialized date]])</f>
        <v>46067</v>
      </c>
    </row>
    <row r="1332" spans="1:13" ht="18">
      <c r="A1332" s="68"/>
      <c r="B1332" s="18" t="e">
        <f>VLOOKUP(Table27[[#This Row],[Location 
(drop-down)]],'List source'!D$2:E$71,2,FALSE)</f>
        <v>#N/A</v>
      </c>
      <c r="C1332" s="154" t="s">
        <v>2671</v>
      </c>
      <c r="D1332" s="20" t="e">
        <f t="shared" si="20"/>
        <v>#N/A</v>
      </c>
      <c r="E1332" s="68"/>
      <c r="F1332" s="10" t="e" cm="1">
        <f t="array" aca="1" ref="F13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2" s="72"/>
      <c r="I1332" s="70"/>
      <c r="J1332" s="70"/>
      <c r="K1332" s="71"/>
      <c r="L1332" s="296"/>
      <c r="M1332" s="10">
        <f ca="1">IF(ISBLANK(K1332), TODAY()-(I1332), Table27[[#This Row],[Effectiveness Review &amp; date deemed effective]]-Table27[[#This Row],[PTO initialized date]])</f>
        <v>46067</v>
      </c>
    </row>
    <row r="1333" spans="1:13" ht="18">
      <c r="A1333" s="68"/>
      <c r="B1333" s="18" t="e">
        <f>VLOOKUP(Table27[[#This Row],[Location 
(drop-down)]],'List source'!D$2:E$71,2,FALSE)</f>
        <v>#N/A</v>
      </c>
      <c r="C1333" s="154" t="s">
        <v>2672</v>
      </c>
      <c r="D1333" s="20" t="e">
        <f t="shared" si="20"/>
        <v>#N/A</v>
      </c>
      <c r="E1333" s="68"/>
      <c r="F1333" s="10" t="e" cm="1">
        <f t="array" aca="1" ref="F13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3" s="72"/>
      <c r="I1333" s="70"/>
      <c r="J1333" s="70"/>
      <c r="K1333" s="71"/>
      <c r="L1333" s="296"/>
      <c r="M1333" s="10">
        <f ca="1">IF(ISBLANK(K1333), TODAY()-(I1333), Table27[[#This Row],[Effectiveness Review &amp; date deemed effective]]-Table27[[#This Row],[PTO initialized date]])</f>
        <v>46067</v>
      </c>
    </row>
    <row r="1334" spans="1:13" ht="18">
      <c r="A1334" s="68"/>
      <c r="B1334" s="18" t="e">
        <f>VLOOKUP(Table27[[#This Row],[Location 
(drop-down)]],'List source'!D$2:E$71,2,FALSE)</f>
        <v>#N/A</v>
      </c>
      <c r="C1334" s="154" t="s">
        <v>2673</v>
      </c>
      <c r="D1334" s="20" t="e">
        <f t="shared" si="20"/>
        <v>#N/A</v>
      </c>
      <c r="E1334" s="68"/>
      <c r="F1334" s="10" t="e" cm="1">
        <f t="array" aca="1" ref="F13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4" s="72"/>
      <c r="I1334" s="70"/>
      <c r="J1334" s="70"/>
      <c r="K1334" s="71"/>
      <c r="L1334" s="296"/>
      <c r="M1334" s="10">
        <f ca="1">IF(ISBLANK(K1334), TODAY()-(I1334), Table27[[#This Row],[Effectiveness Review &amp; date deemed effective]]-Table27[[#This Row],[PTO initialized date]])</f>
        <v>46067</v>
      </c>
    </row>
    <row r="1335" spans="1:13" ht="18">
      <c r="A1335" s="68"/>
      <c r="B1335" s="18" t="e">
        <f>VLOOKUP(Table27[[#This Row],[Location 
(drop-down)]],'List source'!D$2:E$71,2,FALSE)</f>
        <v>#N/A</v>
      </c>
      <c r="C1335" s="154" t="s">
        <v>2674</v>
      </c>
      <c r="D1335" s="20" t="e">
        <f t="shared" si="20"/>
        <v>#N/A</v>
      </c>
      <c r="E1335" s="68"/>
      <c r="F1335" s="10" t="e" cm="1">
        <f t="array" aca="1" ref="F13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5" s="72"/>
      <c r="I1335" s="70"/>
      <c r="J1335" s="70"/>
      <c r="K1335" s="71"/>
      <c r="L1335" s="296"/>
      <c r="M1335" s="10">
        <f ca="1">IF(ISBLANK(K1335), TODAY()-(I1335), Table27[[#This Row],[Effectiveness Review &amp; date deemed effective]]-Table27[[#This Row],[PTO initialized date]])</f>
        <v>46067</v>
      </c>
    </row>
    <row r="1336" spans="1:13" ht="18">
      <c r="A1336" s="68"/>
      <c r="B1336" s="18" t="e">
        <f>VLOOKUP(Table27[[#This Row],[Location 
(drop-down)]],'List source'!D$2:E$71,2,FALSE)</f>
        <v>#N/A</v>
      </c>
      <c r="C1336" s="154" t="s">
        <v>2675</v>
      </c>
      <c r="D1336" s="20" t="e">
        <f t="shared" si="20"/>
        <v>#N/A</v>
      </c>
      <c r="E1336" s="68"/>
      <c r="F1336" s="10" t="e" cm="1">
        <f t="array" aca="1" ref="F13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6" s="72"/>
      <c r="I1336" s="70"/>
      <c r="J1336" s="70"/>
      <c r="K1336" s="71"/>
      <c r="L1336" s="296"/>
      <c r="M1336" s="10">
        <f ca="1">IF(ISBLANK(K1336), TODAY()-(I1336), Table27[[#This Row],[Effectiveness Review &amp; date deemed effective]]-Table27[[#This Row],[PTO initialized date]])</f>
        <v>46067</v>
      </c>
    </row>
    <row r="1337" spans="1:13" ht="18">
      <c r="A1337" s="68"/>
      <c r="B1337" s="18" t="e">
        <f>VLOOKUP(Table27[[#This Row],[Location 
(drop-down)]],'List source'!D$2:E$71,2,FALSE)</f>
        <v>#N/A</v>
      </c>
      <c r="C1337" s="154" t="s">
        <v>2676</v>
      </c>
      <c r="D1337" s="20" t="e">
        <f t="shared" si="20"/>
        <v>#N/A</v>
      </c>
      <c r="E1337" s="68"/>
      <c r="F1337" s="10" t="e" cm="1">
        <f t="array" aca="1" ref="F13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7" s="72"/>
      <c r="I1337" s="70"/>
      <c r="J1337" s="70"/>
      <c r="K1337" s="71"/>
      <c r="L1337" s="296"/>
      <c r="M1337" s="10">
        <f ca="1">IF(ISBLANK(K1337), TODAY()-(I1337), Table27[[#This Row],[Effectiveness Review &amp; date deemed effective]]-Table27[[#This Row],[PTO initialized date]])</f>
        <v>46067</v>
      </c>
    </row>
    <row r="1338" spans="1:13" ht="18">
      <c r="A1338" s="68"/>
      <c r="B1338" s="18" t="e">
        <f>VLOOKUP(Table27[[#This Row],[Location 
(drop-down)]],'List source'!D$2:E$71,2,FALSE)</f>
        <v>#N/A</v>
      </c>
      <c r="C1338" s="154" t="s">
        <v>2677</v>
      </c>
      <c r="D1338" s="20" t="e">
        <f t="shared" si="20"/>
        <v>#N/A</v>
      </c>
      <c r="E1338" s="68"/>
      <c r="F1338" s="10" t="e" cm="1">
        <f t="array" aca="1" ref="F13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8" s="72"/>
      <c r="I1338" s="70"/>
      <c r="J1338" s="70"/>
      <c r="K1338" s="71"/>
      <c r="L1338" s="296"/>
      <c r="M1338" s="10">
        <f ca="1">IF(ISBLANK(K1338), TODAY()-(I1338), Table27[[#This Row],[Effectiveness Review &amp; date deemed effective]]-Table27[[#This Row],[PTO initialized date]])</f>
        <v>46067</v>
      </c>
    </row>
    <row r="1339" spans="1:13" ht="18">
      <c r="A1339" s="68"/>
      <c r="B1339" s="18" t="e">
        <f>VLOOKUP(Table27[[#This Row],[Location 
(drop-down)]],'List source'!D$2:E$71,2,FALSE)</f>
        <v>#N/A</v>
      </c>
      <c r="C1339" s="154" t="s">
        <v>2678</v>
      </c>
      <c r="D1339" s="20" t="e">
        <f t="shared" si="20"/>
        <v>#N/A</v>
      </c>
      <c r="E1339" s="68"/>
      <c r="F1339" s="10" t="e" cm="1">
        <f t="array" aca="1" ref="F13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39" s="72"/>
      <c r="I1339" s="70"/>
      <c r="J1339" s="70"/>
      <c r="K1339" s="71"/>
      <c r="L1339" s="296"/>
      <c r="M1339" s="10">
        <f ca="1">IF(ISBLANK(K1339), TODAY()-(I1339), Table27[[#This Row],[Effectiveness Review &amp; date deemed effective]]-Table27[[#This Row],[PTO initialized date]])</f>
        <v>46067</v>
      </c>
    </row>
    <row r="1340" spans="1:13" ht="18">
      <c r="A1340" s="68"/>
      <c r="B1340" s="18" t="e">
        <f>VLOOKUP(Table27[[#This Row],[Location 
(drop-down)]],'List source'!D$2:E$71,2,FALSE)</f>
        <v>#N/A</v>
      </c>
      <c r="C1340" s="154" t="s">
        <v>2679</v>
      </c>
      <c r="D1340" s="20" t="e">
        <f t="shared" si="20"/>
        <v>#N/A</v>
      </c>
      <c r="E1340" s="68"/>
      <c r="F1340" s="10" t="e" cm="1">
        <f t="array" aca="1" ref="F13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0" s="72"/>
      <c r="I1340" s="70"/>
      <c r="J1340" s="70"/>
      <c r="K1340" s="71"/>
      <c r="L1340" s="296"/>
      <c r="M1340" s="10">
        <f ca="1">IF(ISBLANK(K1340), TODAY()-(I1340), Table27[[#This Row],[Effectiveness Review &amp; date deemed effective]]-Table27[[#This Row],[PTO initialized date]])</f>
        <v>46067</v>
      </c>
    </row>
    <row r="1341" spans="1:13" ht="18">
      <c r="A1341" s="68"/>
      <c r="B1341" s="18" t="e">
        <f>VLOOKUP(Table27[[#This Row],[Location 
(drop-down)]],'List source'!D$2:E$71,2,FALSE)</f>
        <v>#N/A</v>
      </c>
      <c r="C1341" s="154" t="s">
        <v>2680</v>
      </c>
      <c r="D1341" s="20" t="e">
        <f t="shared" si="20"/>
        <v>#N/A</v>
      </c>
      <c r="E1341" s="68"/>
      <c r="F1341" s="10" t="e" cm="1">
        <f t="array" aca="1" ref="F13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1" s="72"/>
      <c r="I1341" s="70"/>
      <c r="J1341" s="70"/>
      <c r="K1341" s="71"/>
      <c r="L1341" s="296"/>
      <c r="M1341" s="10">
        <f ca="1">IF(ISBLANK(K1341), TODAY()-(I1341), Table27[[#This Row],[Effectiveness Review &amp; date deemed effective]]-Table27[[#This Row],[PTO initialized date]])</f>
        <v>46067</v>
      </c>
    </row>
    <row r="1342" spans="1:13" ht="18">
      <c r="A1342" s="68"/>
      <c r="B1342" s="18" t="e">
        <f>VLOOKUP(Table27[[#This Row],[Location 
(drop-down)]],'List source'!D$2:E$71,2,FALSE)</f>
        <v>#N/A</v>
      </c>
      <c r="C1342" s="154" t="s">
        <v>2681</v>
      </c>
      <c r="D1342" s="20" t="e">
        <f t="shared" si="20"/>
        <v>#N/A</v>
      </c>
      <c r="E1342" s="68"/>
      <c r="F1342" s="10" t="e" cm="1">
        <f t="array" aca="1" ref="F13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2" s="72"/>
      <c r="I1342" s="70"/>
      <c r="J1342" s="70"/>
      <c r="K1342" s="71"/>
      <c r="L1342" s="296"/>
      <c r="M1342" s="10">
        <f ca="1">IF(ISBLANK(K1342), TODAY()-(I1342), Table27[[#This Row],[Effectiveness Review &amp; date deemed effective]]-Table27[[#This Row],[PTO initialized date]])</f>
        <v>46067</v>
      </c>
    </row>
    <row r="1343" spans="1:13" ht="18">
      <c r="A1343" s="68"/>
      <c r="B1343" s="18" t="e">
        <f>VLOOKUP(Table27[[#This Row],[Location 
(drop-down)]],'List source'!D$2:E$71,2,FALSE)</f>
        <v>#N/A</v>
      </c>
      <c r="C1343" s="154" t="s">
        <v>2682</v>
      </c>
      <c r="D1343" s="20" t="e">
        <f t="shared" si="20"/>
        <v>#N/A</v>
      </c>
      <c r="E1343" s="68"/>
      <c r="F1343" s="10" t="e" cm="1">
        <f t="array" aca="1" ref="F13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3" s="72"/>
      <c r="I1343" s="70"/>
      <c r="J1343" s="70"/>
      <c r="K1343" s="71"/>
      <c r="L1343" s="296"/>
      <c r="M1343" s="10">
        <f ca="1">IF(ISBLANK(K1343), TODAY()-(I1343), Table27[[#This Row],[Effectiveness Review &amp; date deemed effective]]-Table27[[#This Row],[PTO initialized date]])</f>
        <v>46067</v>
      </c>
    </row>
    <row r="1344" spans="1:13" ht="18">
      <c r="A1344" s="68"/>
      <c r="B1344" s="18" t="e">
        <f>VLOOKUP(Table27[[#This Row],[Location 
(drop-down)]],'List source'!D$2:E$71,2,FALSE)</f>
        <v>#N/A</v>
      </c>
      <c r="C1344" s="154" t="s">
        <v>2683</v>
      </c>
      <c r="D1344" s="20" t="e">
        <f t="shared" si="20"/>
        <v>#N/A</v>
      </c>
      <c r="E1344" s="68"/>
      <c r="F1344" s="10" t="e" cm="1">
        <f t="array" aca="1" ref="F13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4" s="72"/>
      <c r="I1344" s="70"/>
      <c r="J1344" s="70"/>
      <c r="K1344" s="71"/>
      <c r="L1344" s="296"/>
      <c r="M1344" s="10">
        <f ca="1">IF(ISBLANK(K1344), TODAY()-(I1344), Table27[[#This Row],[Effectiveness Review &amp; date deemed effective]]-Table27[[#This Row],[PTO initialized date]])</f>
        <v>46067</v>
      </c>
    </row>
    <row r="1345" spans="1:13" ht="18">
      <c r="A1345" s="68"/>
      <c r="B1345" s="18" t="e">
        <f>VLOOKUP(Table27[[#This Row],[Location 
(drop-down)]],'List source'!D$2:E$71,2,FALSE)</f>
        <v>#N/A</v>
      </c>
      <c r="C1345" s="154" t="s">
        <v>2684</v>
      </c>
      <c r="D1345" s="20" t="e">
        <f t="shared" si="20"/>
        <v>#N/A</v>
      </c>
      <c r="E1345" s="68"/>
      <c r="F1345" s="10" t="e" cm="1">
        <f t="array" aca="1" ref="F13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5" s="72"/>
      <c r="I1345" s="70"/>
      <c r="J1345" s="70"/>
      <c r="K1345" s="71"/>
      <c r="L1345" s="296"/>
      <c r="M1345" s="10">
        <f ca="1">IF(ISBLANK(K1345), TODAY()-(I1345), Table27[[#This Row],[Effectiveness Review &amp; date deemed effective]]-Table27[[#This Row],[PTO initialized date]])</f>
        <v>46067</v>
      </c>
    </row>
    <row r="1346" spans="1:13" ht="18">
      <c r="A1346" s="68"/>
      <c r="B1346" s="18" t="e">
        <f>VLOOKUP(Table27[[#This Row],[Location 
(drop-down)]],'List source'!D$2:E$71,2,FALSE)</f>
        <v>#N/A</v>
      </c>
      <c r="C1346" s="154" t="s">
        <v>2685</v>
      </c>
      <c r="D1346" s="20" t="e">
        <f t="shared" ref="D1346:D1409" si="21">"PTO" &amp; C1346 &amp; "-" &amp; B1346 &amp; "-" &amp; "26"</f>
        <v>#N/A</v>
      </c>
      <c r="E1346" s="68"/>
      <c r="F1346" s="10" t="e" cm="1">
        <f t="array" aca="1" ref="F13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6" s="72"/>
      <c r="I1346" s="70"/>
      <c r="J1346" s="70"/>
      <c r="K1346" s="71"/>
      <c r="L1346" s="296"/>
      <c r="M1346" s="10">
        <f ca="1">IF(ISBLANK(K1346), TODAY()-(I1346), Table27[[#This Row],[Effectiveness Review &amp; date deemed effective]]-Table27[[#This Row],[PTO initialized date]])</f>
        <v>46067</v>
      </c>
    </row>
    <row r="1347" spans="1:13" ht="18">
      <c r="A1347" s="68"/>
      <c r="B1347" s="18" t="e">
        <f>VLOOKUP(Table27[[#This Row],[Location 
(drop-down)]],'List source'!D$2:E$71,2,FALSE)</f>
        <v>#N/A</v>
      </c>
      <c r="C1347" s="154" t="s">
        <v>2686</v>
      </c>
      <c r="D1347" s="20" t="e">
        <f t="shared" si="21"/>
        <v>#N/A</v>
      </c>
      <c r="E1347" s="68"/>
      <c r="F1347" s="10" t="e" cm="1">
        <f t="array" aca="1" ref="F13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7" s="72"/>
      <c r="I1347" s="70"/>
      <c r="J1347" s="70"/>
      <c r="K1347" s="71"/>
      <c r="L1347" s="296"/>
      <c r="M1347" s="10">
        <f ca="1">IF(ISBLANK(K1347), TODAY()-(I1347), Table27[[#This Row],[Effectiveness Review &amp; date deemed effective]]-Table27[[#This Row],[PTO initialized date]])</f>
        <v>46067</v>
      </c>
    </row>
    <row r="1348" spans="1:13" ht="18">
      <c r="A1348" s="68"/>
      <c r="B1348" s="18" t="e">
        <f>VLOOKUP(Table27[[#This Row],[Location 
(drop-down)]],'List source'!D$2:E$71,2,FALSE)</f>
        <v>#N/A</v>
      </c>
      <c r="C1348" s="154" t="s">
        <v>2687</v>
      </c>
      <c r="D1348" s="20" t="e">
        <f t="shared" si="21"/>
        <v>#N/A</v>
      </c>
      <c r="E1348" s="68"/>
      <c r="F1348" s="10" t="e" cm="1">
        <f t="array" aca="1" ref="F13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8" s="72"/>
      <c r="I1348" s="70"/>
      <c r="J1348" s="70"/>
      <c r="K1348" s="71"/>
      <c r="L1348" s="296"/>
      <c r="M1348" s="10">
        <f ca="1">IF(ISBLANK(K1348), TODAY()-(I1348), Table27[[#This Row],[Effectiveness Review &amp; date deemed effective]]-Table27[[#This Row],[PTO initialized date]])</f>
        <v>46067</v>
      </c>
    </row>
    <row r="1349" spans="1:13" ht="18">
      <c r="A1349" s="68"/>
      <c r="B1349" s="18" t="e">
        <f>VLOOKUP(Table27[[#This Row],[Location 
(drop-down)]],'List source'!D$2:E$71,2,FALSE)</f>
        <v>#N/A</v>
      </c>
      <c r="C1349" s="154" t="s">
        <v>2688</v>
      </c>
      <c r="D1349" s="20" t="e">
        <f t="shared" si="21"/>
        <v>#N/A</v>
      </c>
      <c r="E1349" s="68"/>
      <c r="F1349" s="10" t="e" cm="1">
        <f t="array" aca="1" ref="F13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49" s="72"/>
      <c r="I1349" s="70"/>
      <c r="J1349" s="70"/>
      <c r="K1349" s="71"/>
      <c r="L1349" s="296"/>
      <c r="M1349" s="10">
        <f ca="1">IF(ISBLANK(K1349), TODAY()-(I1349), Table27[[#This Row],[Effectiveness Review &amp; date deemed effective]]-Table27[[#This Row],[PTO initialized date]])</f>
        <v>46067</v>
      </c>
    </row>
    <row r="1350" spans="1:13" ht="18">
      <c r="A1350" s="68"/>
      <c r="B1350" s="18" t="e">
        <f>VLOOKUP(Table27[[#This Row],[Location 
(drop-down)]],'List source'!D$2:E$71,2,FALSE)</f>
        <v>#N/A</v>
      </c>
      <c r="C1350" s="154" t="s">
        <v>2689</v>
      </c>
      <c r="D1350" s="20" t="e">
        <f t="shared" si="21"/>
        <v>#N/A</v>
      </c>
      <c r="E1350" s="68"/>
      <c r="F1350" s="10" t="e" cm="1">
        <f t="array" aca="1" ref="F13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0" s="72"/>
      <c r="I1350" s="70"/>
      <c r="J1350" s="70"/>
      <c r="K1350" s="71"/>
      <c r="L1350" s="296"/>
      <c r="M1350" s="10">
        <f ca="1">IF(ISBLANK(K1350), TODAY()-(I1350), Table27[[#This Row],[Effectiveness Review &amp; date deemed effective]]-Table27[[#This Row],[PTO initialized date]])</f>
        <v>46067</v>
      </c>
    </row>
    <row r="1351" spans="1:13" ht="18">
      <c r="A1351" s="68"/>
      <c r="B1351" s="18" t="e">
        <f>VLOOKUP(Table27[[#This Row],[Location 
(drop-down)]],'List source'!D$2:E$71,2,FALSE)</f>
        <v>#N/A</v>
      </c>
      <c r="C1351" s="154" t="s">
        <v>2690</v>
      </c>
      <c r="D1351" s="20" t="e">
        <f t="shared" si="21"/>
        <v>#N/A</v>
      </c>
      <c r="E1351" s="68"/>
      <c r="F1351" s="10" t="e" cm="1">
        <f t="array" aca="1" ref="F13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1" s="72"/>
      <c r="I1351" s="70"/>
      <c r="J1351" s="70"/>
      <c r="K1351" s="71"/>
      <c r="L1351" s="296"/>
      <c r="M1351" s="10">
        <f ca="1">IF(ISBLANK(K1351), TODAY()-(I1351), Table27[[#This Row],[Effectiveness Review &amp; date deemed effective]]-Table27[[#This Row],[PTO initialized date]])</f>
        <v>46067</v>
      </c>
    </row>
    <row r="1352" spans="1:13" ht="18">
      <c r="A1352" s="68"/>
      <c r="B1352" s="18" t="e">
        <f>VLOOKUP(Table27[[#This Row],[Location 
(drop-down)]],'List source'!D$2:E$71,2,FALSE)</f>
        <v>#N/A</v>
      </c>
      <c r="C1352" s="154" t="s">
        <v>2691</v>
      </c>
      <c r="D1352" s="20" t="e">
        <f t="shared" si="21"/>
        <v>#N/A</v>
      </c>
      <c r="E1352" s="68"/>
      <c r="F1352" s="10" t="e" cm="1">
        <f t="array" aca="1" ref="F13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2" s="72"/>
      <c r="I1352" s="70"/>
      <c r="J1352" s="70"/>
      <c r="K1352" s="71"/>
      <c r="L1352" s="296"/>
      <c r="M1352" s="10">
        <f ca="1">IF(ISBLANK(K1352), TODAY()-(I1352), Table27[[#This Row],[Effectiveness Review &amp; date deemed effective]]-Table27[[#This Row],[PTO initialized date]])</f>
        <v>46067</v>
      </c>
    </row>
    <row r="1353" spans="1:13" ht="18">
      <c r="A1353" s="68"/>
      <c r="B1353" s="18" t="e">
        <f>VLOOKUP(Table27[[#This Row],[Location 
(drop-down)]],'List source'!D$2:E$71,2,FALSE)</f>
        <v>#N/A</v>
      </c>
      <c r="C1353" s="154" t="s">
        <v>2692</v>
      </c>
      <c r="D1353" s="20" t="e">
        <f t="shared" si="21"/>
        <v>#N/A</v>
      </c>
      <c r="E1353" s="68"/>
      <c r="F1353" s="10" t="e" cm="1">
        <f t="array" aca="1" ref="F13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3" s="72"/>
      <c r="I1353" s="70"/>
      <c r="J1353" s="70"/>
      <c r="K1353" s="71"/>
      <c r="L1353" s="296"/>
      <c r="M1353" s="10">
        <f ca="1">IF(ISBLANK(K1353), TODAY()-(I1353), Table27[[#This Row],[Effectiveness Review &amp; date deemed effective]]-Table27[[#This Row],[PTO initialized date]])</f>
        <v>46067</v>
      </c>
    </row>
    <row r="1354" spans="1:13" ht="18">
      <c r="A1354" s="68"/>
      <c r="B1354" s="18" t="e">
        <f>VLOOKUP(Table27[[#This Row],[Location 
(drop-down)]],'List source'!D$2:E$71,2,FALSE)</f>
        <v>#N/A</v>
      </c>
      <c r="C1354" s="154" t="s">
        <v>2693</v>
      </c>
      <c r="D1354" s="20" t="e">
        <f t="shared" si="21"/>
        <v>#N/A</v>
      </c>
      <c r="E1354" s="68"/>
      <c r="F1354" s="10" t="e" cm="1">
        <f t="array" aca="1" ref="F13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4" s="72"/>
      <c r="I1354" s="70"/>
      <c r="J1354" s="70"/>
      <c r="K1354" s="71"/>
      <c r="L1354" s="296"/>
      <c r="M1354" s="10">
        <f ca="1">IF(ISBLANK(K1354), TODAY()-(I1354), Table27[[#This Row],[Effectiveness Review &amp; date deemed effective]]-Table27[[#This Row],[PTO initialized date]])</f>
        <v>46067</v>
      </c>
    </row>
    <row r="1355" spans="1:13" ht="18">
      <c r="A1355" s="68"/>
      <c r="B1355" s="18" t="e">
        <f>VLOOKUP(Table27[[#This Row],[Location 
(drop-down)]],'List source'!D$2:E$71,2,FALSE)</f>
        <v>#N/A</v>
      </c>
      <c r="C1355" s="154" t="s">
        <v>2694</v>
      </c>
      <c r="D1355" s="20" t="e">
        <f t="shared" si="21"/>
        <v>#N/A</v>
      </c>
      <c r="E1355" s="68"/>
      <c r="F1355" s="10" t="e" cm="1">
        <f t="array" aca="1" ref="F13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5" s="72"/>
      <c r="I1355" s="70"/>
      <c r="J1355" s="70"/>
      <c r="K1355" s="71"/>
      <c r="L1355" s="296"/>
      <c r="M1355" s="10">
        <f ca="1">IF(ISBLANK(K1355), TODAY()-(I1355), Table27[[#This Row],[Effectiveness Review &amp; date deemed effective]]-Table27[[#This Row],[PTO initialized date]])</f>
        <v>46067</v>
      </c>
    </row>
    <row r="1356" spans="1:13" ht="18">
      <c r="A1356" s="68"/>
      <c r="B1356" s="18" t="e">
        <f>VLOOKUP(Table27[[#This Row],[Location 
(drop-down)]],'List source'!D$2:E$71,2,FALSE)</f>
        <v>#N/A</v>
      </c>
      <c r="C1356" s="154" t="s">
        <v>2695</v>
      </c>
      <c r="D1356" s="20" t="e">
        <f t="shared" si="21"/>
        <v>#N/A</v>
      </c>
      <c r="E1356" s="68"/>
      <c r="F1356" s="10" t="e" cm="1">
        <f t="array" aca="1" ref="F13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6" s="72"/>
      <c r="I1356" s="70"/>
      <c r="J1356" s="70"/>
      <c r="K1356" s="71"/>
      <c r="L1356" s="296"/>
      <c r="M1356" s="10">
        <f ca="1">IF(ISBLANK(K1356), TODAY()-(I1356), Table27[[#This Row],[Effectiveness Review &amp; date deemed effective]]-Table27[[#This Row],[PTO initialized date]])</f>
        <v>46067</v>
      </c>
    </row>
    <row r="1357" spans="1:13" ht="18">
      <c r="A1357" s="68"/>
      <c r="B1357" s="18" t="e">
        <f>VLOOKUP(Table27[[#This Row],[Location 
(drop-down)]],'List source'!D$2:E$71,2,FALSE)</f>
        <v>#N/A</v>
      </c>
      <c r="C1357" s="154" t="s">
        <v>2696</v>
      </c>
      <c r="D1357" s="20" t="e">
        <f t="shared" si="21"/>
        <v>#N/A</v>
      </c>
      <c r="E1357" s="68"/>
      <c r="F1357" s="10" t="e" cm="1">
        <f t="array" aca="1" ref="F13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7" s="72"/>
      <c r="I1357" s="70"/>
      <c r="J1357" s="70"/>
      <c r="K1357" s="71"/>
      <c r="L1357" s="296"/>
      <c r="M1357" s="10">
        <f ca="1">IF(ISBLANK(K1357), TODAY()-(I1357), Table27[[#This Row],[Effectiveness Review &amp; date deemed effective]]-Table27[[#This Row],[PTO initialized date]])</f>
        <v>46067</v>
      </c>
    </row>
    <row r="1358" spans="1:13" ht="18">
      <c r="A1358" s="68"/>
      <c r="B1358" s="18" t="e">
        <f>VLOOKUP(Table27[[#This Row],[Location 
(drop-down)]],'List source'!D$2:E$71,2,FALSE)</f>
        <v>#N/A</v>
      </c>
      <c r="C1358" s="154" t="s">
        <v>2697</v>
      </c>
      <c r="D1358" s="20" t="e">
        <f t="shared" si="21"/>
        <v>#N/A</v>
      </c>
      <c r="E1358" s="68"/>
      <c r="F1358" s="10" t="e" cm="1">
        <f t="array" aca="1" ref="F13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8" s="72"/>
      <c r="I1358" s="70"/>
      <c r="J1358" s="70"/>
      <c r="K1358" s="71"/>
      <c r="L1358" s="296"/>
      <c r="M1358" s="10">
        <f ca="1">IF(ISBLANK(K1358), TODAY()-(I1358), Table27[[#This Row],[Effectiveness Review &amp; date deemed effective]]-Table27[[#This Row],[PTO initialized date]])</f>
        <v>46067</v>
      </c>
    </row>
    <row r="1359" spans="1:13" ht="18">
      <c r="A1359" s="68"/>
      <c r="B1359" s="18" t="e">
        <f>VLOOKUP(Table27[[#This Row],[Location 
(drop-down)]],'List source'!D$2:E$71,2,FALSE)</f>
        <v>#N/A</v>
      </c>
      <c r="C1359" s="154" t="s">
        <v>2698</v>
      </c>
      <c r="D1359" s="20" t="e">
        <f t="shared" si="21"/>
        <v>#N/A</v>
      </c>
      <c r="E1359" s="68"/>
      <c r="F1359" s="10" t="e" cm="1">
        <f t="array" aca="1" ref="F13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59" s="72"/>
      <c r="I1359" s="70"/>
      <c r="J1359" s="70"/>
      <c r="K1359" s="71"/>
      <c r="L1359" s="296"/>
      <c r="M1359" s="10">
        <f ca="1">IF(ISBLANK(K1359), TODAY()-(I1359), Table27[[#This Row],[Effectiveness Review &amp; date deemed effective]]-Table27[[#This Row],[PTO initialized date]])</f>
        <v>46067</v>
      </c>
    </row>
    <row r="1360" spans="1:13" ht="18">
      <c r="A1360" s="68"/>
      <c r="B1360" s="18" t="e">
        <f>VLOOKUP(Table27[[#This Row],[Location 
(drop-down)]],'List source'!D$2:E$71,2,FALSE)</f>
        <v>#N/A</v>
      </c>
      <c r="C1360" s="154" t="s">
        <v>2699</v>
      </c>
      <c r="D1360" s="20" t="e">
        <f t="shared" si="21"/>
        <v>#N/A</v>
      </c>
      <c r="E1360" s="68"/>
      <c r="F1360" s="10" t="e" cm="1">
        <f t="array" aca="1" ref="F13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0" s="72"/>
      <c r="I1360" s="70"/>
      <c r="J1360" s="70"/>
      <c r="K1360" s="71"/>
      <c r="L1360" s="296"/>
      <c r="M1360" s="10">
        <f ca="1">IF(ISBLANK(K1360), TODAY()-(I1360), Table27[[#This Row],[Effectiveness Review &amp; date deemed effective]]-Table27[[#This Row],[PTO initialized date]])</f>
        <v>46067</v>
      </c>
    </row>
    <row r="1361" spans="1:13" ht="18">
      <c r="A1361" s="68"/>
      <c r="B1361" s="18" t="e">
        <f>VLOOKUP(Table27[[#This Row],[Location 
(drop-down)]],'List source'!D$2:E$71,2,FALSE)</f>
        <v>#N/A</v>
      </c>
      <c r="C1361" s="154" t="s">
        <v>2700</v>
      </c>
      <c r="D1361" s="20" t="e">
        <f t="shared" si="21"/>
        <v>#N/A</v>
      </c>
      <c r="E1361" s="68"/>
      <c r="F1361" s="10" t="e" cm="1">
        <f t="array" aca="1" ref="F13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1" s="72"/>
      <c r="I1361" s="70"/>
      <c r="J1361" s="70"/>
      <c r="K1361" s="71"/>
      <c r="L1361" s="296"/>
      <c r="M1361" s="10">
        <f ca="1">IF(ISBLANK(K1361), TODAY()-(I1361), Table27[[#This Row],[Effectiveness Review &amp; date deemed effective]]-Table27[[#This Row],[PTO initialized date]])</f>
        <v>46067</v>
      </c>
    </row>
    <row r="1362" spans="1:13" ht="18">
      <c r="A1362" s="68"/>
      <c r="B1362" s="18" t="e">
        <f>VLOOKUP(Table27[[#This Row],[Location 
(drop-down)]],'List source'!D$2:E$71,2,FALSE)</f>
        <v>#N/A</v>
      </c>
      <c r="C1362" s="154" t="s">
        <v>2701</v>
      </c>
      <c r="D1362" s="20" t="e">
        <f t="shared" si="21"/>
        <v>#N/A</v>
      </c>
      <c r="E1362" s="68"/>
      <c r="F1362" s="10" t="e" cm="1">
        <f t="array" aca="1" ref="F13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2" s="72"/>
      <c r="I1362" s="70"/>
      <c r="J1362" s="70"/>
      <c r="K1362" s="71"/>
      <c r="L1362" s="296"/>
      <c r="M1362" s="10">
        <f ca="1">IF(ISBLANK(K1362), TODAY()-(I1362), Table27[[#This Row],[Effectiveness Review &amp; date deemed effective]]-Table27[[#This Row],[PTO initialized date]])</f>
        <v>46067</v>
      </c>
    </row>
    <row r="1363" spans="1:13" ht="18">
      <c r="A1363" s="68"/>
      <c r="B1363" s="18" t="e">
        <f>VLOOKUP(Table27[[#This Row],[Location 
(drop-down)]],'List source'!D$2:E$71,2,FALSE)</f>
        <v>#N/A</v>
      </c>
      <c r="C1363" s="154" t="s">
        <v>2702</v>
      </c>
      <c r="D1363" s="20" t="e">
        <f t="shared" si="21"/>
        <v>#N/A</v>
      </c>
      <c r="E1363" s="68"/>
      <c r="F1363" s="10" t="e" cm="1">
        <f t="array" aca="1" ref="F13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3" s="72"/>
      <c r="I1363" s="70"/>
      <c r="J1363" s="70"/>
      <c r="K1363" s="71"/>
      <c r="L1363" s="296"/>
      <c r="M1363" s="10">
        <f ca="1">IF(ISBLANK(K1363), TODAY()-(I1363), Table27[[#This Row],[Effectiveness Review &amp; date deemed effective]]-Table27[[#This Row],[PTO initialized date]])</f>
        <v>46067</v>
      </c>
    </row>
    <row r="1364" spans="1:13" ht="18">
      <c r="A1364" s="68"/>
      <c r="B1364" s="18" t="e">
        <f>VLOOKUP(Table27[[#This Row],[Location 
(drop-down)]],'List source'!D$2:E$71,2,FALSE)</f>
        <v>#N/A</v>
      </c>
      <c r="C1364" s="154" t="s">
        <v>2703</v>
      </c>
      <c r="D1364" s="20" t="e">
        <f t="shared" si="21"/>
        <v>#N/A</v>
      </c>
      <c r="E1364" s="68"/>
      <c r="F1364" s="10" t="e" cm="1">
        <f t="array" aca="1" ref="F13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4" s="72"/>
      <c r="I1364" s="70"/>
      <c r="J1364" s="70"/>
      <c r="K1364" s="71"/>
      <c r="L1364" s="296"/>
      <c r="M1364" s="10">
        <f ca="1">IF(ISBLANK(K1364), TODAY()-(I1364), Table27[[#This Row],[Effectiveness Review &amp; date deemed effective]]-Table27[[#This Row],[PTO initialized date]])</f>
        <v>46067</v>
      </c>
    </row>
    <row r="1365" spans="1:13" ht="18">
      <c r="A1365" s="68"/>
      <c r="B1365" s="18" t="e">
        <f>VLOOKUP(Table27[[#This Row],[Location 
(drop-down)]],'List source'!D$2:E$71,2,FALSE)</f>
        <v>#N/A</v>
      </c>
      <c r="C1365" s="154" t="s">
        <v>2704</v>
      </c>
      <c r="D1365" s="20" t="e">
        <f t="shared" si="21"/>
        <v>#N/A</v>
      </c>
      <c r="E1365" s="68"/>
      <c r="F1365" s="10" t="e" cm="1">
        <f t="array" aca="1" ref="F13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5" s="72"/>
      <c r="I1365" s="70"/>
      <c r="J1365" s="70"/>
      <c r="K1365" s="71"/>
      <c r="L1365" s="296"/>
      <c r="M1365" s="10">
        <f ca="1">IF(ISBLANK(K1365), TODAY()-(I1365), Table27[[#This Row],[Effectiveness Review &amp; date deemed effective]]-Table27[[#This Row],[PTO initialized date]])</f>
        <v>46067</v>
      </c>
    </row>
    <row r="1366" spans="1:13" ht="18">
      <c r="A1366" s="68"/>
      <c r="B1366" s="18" t="e">
        <f>VLOOKUP(Table27[[#This Row],[Location 
(drop-down)]],'List source'!D$2:E$71,2,FALSE)</f>
        <v>#N/A</v>
      </c>
      <c r="C1366" s="154" t="s">
        <v>2705</v>
      </c>
      <c r="D1366" s="20" t="e">
        <f t="shared" si="21"/>
        <v>#N/A</v>
      </c>
      <c r="E1366" s="68"/>
      <c r="F1366" s="10" t="e" cm="1">
        <f t="array" aca="1" ref="F13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6" s="72"/>
      <c r="I1366" s="70"/>
      <c r="J1366" s="70"/>
      <c r="K1366" s="71"/>
      <c r="L1366" s="296"/>
      <c r="M1366" s="10">
        <f ca="1">IF(ISBLANK(K1366), TODAY()-(I1366), Table27[[#This Row],[Effectiveness Review &amp; date deemed effective]]-Table27[[#This Row],[PTO initialized date]])</f>
        <v>46067</v>
      </c>
    </row>
    <row r="1367" spans="1:13" ht="18">
      <c r="A1367" s="68"/>
      <c r="B1367" s="18" t="e">
        <f>VLOOKUP(Table27[[#This Row],[Location 
(drop-down)]],'List source'!D$2:E$71,2,FALSE)</f>
        <v>#N/A</v>
      </c>
      <c r="C1367" s="154" t="s">
        <v>2706</v>
      </c>
      <c r="D1367" s="20" t="e">
        <f t="shared" si="21"/>
        <v>#N/A</v>
      </c>
      <c r="E1367" s="68"/>
      <c r="F1367" s="10" t="e" cm="1">
        <f t="array" aca="1" ref="F13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7" s="72"/>
      <c r="I1367" s="70"/>
      <c r="J1367" s="70"/>
      <c r="K1367" s="71"/>
      <c r="L1367" s="296"/>
      <c r="M1367" s="10">
        <f ca="1">IF(ISBLANK(K1367), TODAY()-(I1367), Table27[[#This Row],[Effectiveness Review &amp; date deemed effective]]-Table27[[#This Row],[PTO initialized date]])</f>
        <v>46067</v>
      </c>
    </row>
    <row r="1368" spans="1:13" ht="18">
      <c r="A1368" s="68"/>
      <c r="B1368" s="18" t="e">
        <f>VLOOKUP(Table27[[#This Row],[Location 
(drop-down)]],'List source'!D$2:E$71,2,FALSE)</f>
        <v>#N/A</v>
      </c>
      <c r="C1368" s="154" t="s">
        <v>2707</v>
      </c>
      <c r="D1368" s="20" t="e">
        <f t="shared" si="21"/>
        <v>#N/A</v>
      </c>
      <c r="E1368" s="68"/>
      <c r="F1368" s="10" t="e" cm="1">
        <f t="array" aca="1" ref="F13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8" s="72"/>
      <c r="I1368" s="70"/>
      <c r="J1368" s="70"/>
      <c r="K1368" s="71"/>
      <c r="L1368" s="296"/>
      <c r="M1368" s="10">
        <f ca="1">IF(ISBLANK(K1368), TODAY()-(I1368), Table27[[#This Row],[Effectiveness Review &amp; date deemed effective]]-Table27[[#This Row],[PTO initialized date]])</f>
        <v>46067</v>
      </c>
    </row>
    <row r="1369" spans="1:13" ht="18">
      <c r="A1369" s="68"/>
      <c r="B1369" s="18" t="e">
        <f>VLOOKUP(Table27[[#This Row],[Location 
(drop-down)]],'List source'!D$2:E$71,2,FALSE)</f>
        <v>#N/A</v>
      </c>
      <c r="C1369" s="154" t="s">
        <v>2708</v>
      </c>
      <c r="D1369" s="20" t="e">
        <f t="shared" si="21"/>
        <v>#N/A</v>
      </c>
      <c r="E1369" s="68"/>
      <c r="F1369" s="10" t="e" cm="1">
        <f t="array" aca="1" ref="F13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69" s="72"/>
      <c r="I1369" s="70"/>
      <c r="J1369" s="70"/>
      <c r="K1369" s="71"/>
      <c r="L1369" s="296"/>
      <c r="M1369" s="10">
        <f ca="1">IF(ISBLANK(K1369), TODAY()-(I1369), Table27[[#This Row],[Effectiveness Review &amp; date deemed effective]]-Table27[[#This Row],[PTO initialized date]])</f>
        <v>46067</v>
      </c>
    </row>
    <row r="1370" spans="1:13" ht="18">
      <c r="A1370" s="68"/>
      <c r="B1370" s="18" t="e">
        <f>VLOOKUP(Table27[[#This Row],[Location 
(drop-down)]],'List source'!D$2:E$71,2,FALSE)</f>
        <v>#N/A</v>
      </c>
      <c r="C1370" s="154" t="s">
        <v>2709</v>
      </c>
      <c r="D1370" s="20" t="e">
        <f t="shared" si="21"/>
        <v>#N/A</v>
      </c>
      <c r="E1370" s="68"/>
      <c r="F1370" s="10" t="e" cm="1">
        <f t="array" aca="1" ref="F13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0" s="72"/>
      <c r="I1370" s="70"/>
      <c r="J1370" s="70"/>
      <c r="K1370" s="71"/>
      <c r="L1370" s="296"/>
      <c r="M1370" s="10">
        <f ca="1">IF(ISBLANK(K1370), TODAY()-(I1370), Table27[[#This Row],[Effectiveness Review &amp; date deemed effective]]-Table27[[#This Row],[PTO initialized date]])</f>
        <v>46067</v>
      </c>
    </row>
    <row r="1371" spans="1:13" ht="18">
      <c r="A1371" s="68"/>
      <c r="B1371" s="18" t="e">
        <f>VLOOKUP(Table27[[#This Row],[Location 
(drop-down)]],'List source'!D$2:E$71,2,FALSE)</f>
        <v>#N/A</v>
      </c>
      <c r="C1371" s="154" t="s">
        <v>2710</v>
      </c>
      <c r="D1371" s="20" t="e">
        <f t="shared" si="21"/>
        <v>#N/A</v>
      </c>
      <c r="E1371" s="68"/>
      <c r="F1371" s="10" t="e" cm="1">
        <f t="array" aca="1" ref="F13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1" s="72"/>
      <c r="I1371" s="70"/>
      <c r="J1371" s="70"/>
      <c r="K1371" s="71"/>
      <c r="L1371" s="296"/>
      <c r="M1371" s="10">
        <f ca="1">IF(ISBLANK(K1371), TODAY()-(I1371), Table27[[#This Row],[Effectiveness Review &amp; date deemed effective]]-Table27[[#This Row],[PTO initialized date]])</f>
        <v>46067</v>
      </c>
    </row>
    <row r="1372" spans="1:13" ht="18">
      <c r="A1372" s="68"/>
      <c r="B1372" s="18" t="e">
        <f>VLOOKUP(Table27[[#This Row],[Location 
(drop-down)]],'List source'!D$2:E$71,2,FALSE)</f>
        <v>#N/A</v>
      </c>
      <c r="C1372" s="154" t="s">
        <v>2711</v>
      </c>
      <c r="D1372" s="20" t="e">
        <f t="shared" si="21"/>
        <v>#N/A</v>
      </c>
      <c r="E1372" s="68"/>
      <c r="F1372" s="10" t="e" cm="1">
        <f t="array" aca="1" ref="F13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2" s="72"/>
      <c r="I1372" s="70"/>
      <c r="J1372" s="70"/>
      <c r="K1372" s="71"/>
      <c r="L1372" s="296"/>
      <c r="M1372" s="10">
        <f ca="1">IF(ISBLANK(K1372), TODAY()-(I1372), Table27[[#This Row],[Effectiveness Review &amp; date deemed effective]]-Table27[[#This Row],[PTO initialized date]])</f>
        <v>46067</v>
      </c>
    </row>
    <row r="1373" spans="1:13" ht="18">
      <c r="A1373" s="68"/>
      <c r="B1373" s="18" t="e">
        <f>VLOOKUP(Table27[[#This Row],[Location 
(drop-down)]],'List source'!D$2:E$71,2,FALSE)</f>
        <v>#N/A</v>
      </c>
      <c r="C1373" s="154" t="s">
        <v>2712</v>
      </c>
      <c r="D1373" s="20" t="e">
        <f t="shared" si="21"/>
        <v>#N/A</v>
      </c>
      <c r="E1373" s="68"/>
      <c r="F1373" s="10" t="e" cm="1">
        <f t="array" aca="1" ref="F13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3" s="72"/>
      <c r="I1373" s="70"/>
      <c r="J1373" s="70"/>
      <c r="K1373" s="71"/>
      <c r="L1373" s="296"/>
      <c r="M1373" s="10">
        <f ca="1">IF(ISBLANK(K1373), TODAY()-(I1373), Table27[[#This Row],[Effectiveness Review &amp; date deemed effective]]-Table27[[#This Row],[PTO initialized date]])</f>
        <v>46067</v>
      </c>
    </row>
    <row r="1374" spans="1:13" ht="18">
      <c r="A1374" s="68"/>
      <c r="B1374" s="18" t="e">
        <f>VLOOKUP(Table27[[#This Row],[Location 
(drop-down)]],'List source'!D$2:E$71,2,FALSE)</f>
        <v>#N/A</v>
      </c>
      <c r="C1374" s="154" t="s">
        <v>2713</v>
      </c>
      <c r="D1374" s="20" t="e">
        <f t="shared" si="21"/>
        <v>#N/A</v>
      </c>
      <c r="E1374" s="68"/>
      <c r="F1374" s="10" t="e" cm="1">
        <f t="array" aca="1" ref="F13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4" s="72"/>
      <c r="I1374" s="70"/>
      <c r="J1374" s="70"/>
      <c r="K1374" s="71"/>
      <c r="L1374" s="296"/>
      <c r="M1374" s="10">
        <f ca="1">IF(ISBLANK(K1374), TODAY()-(I1374), Table27[[#This Row],[Effectiveness Review &amp; date deemed effective]]-Table27[[#This Row],[PTO initialized date]])</f>
        <v>46067</v>
      </c>
    </row>
    <row r="1375" spans="1:13" ht="18">
      <c r="A1375" s="68"/>
      <c r="B1375" s="18" t="e">
        <f>VLOOKUP(Table27[[#This Row],[Location 
(drop-down)]],'List source'!D$2:E$71,2,FALSE)</f>
        <v>#N/A</v>
      </c>
      <c r="C1375" s="154" t="s">
        <v>2714</v>
      </c>
      <c r="D1375" s="20" t="e">
        <f t="shared" si="21"/>
        <v>#N/A</v>
      </c>
      <c r="E1375" s="68"/>
      <c r="F1375" s="10" t="e" cm="1">
        <f t="array" aca="1" ref="F13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5" s="72"/>
      <c r="I1375" s="70"/>
      <c r="J1375" s="70"/>
      <c r="K1375" s="71"/>
      <c r="L1375" s="296"/>
      <c r="M1375" s="10">
        <f ca="1">IF(ISBLANK(K1375), TODAY()-(I1375), Table27[[#This Row],[Effectiveness Review &amp; date deemed effective]]-Table27[[#This Row],[PTO initialized date]])</f>
        <v>46067</v>
      </c>
    </row>
    <row r="1376" spans="1:13" ht="18">
      <c r="A1376" s="68"/>
      <c r="B1376" s="18" t="e">
        <f>VLOOKUP(Table27[[#This Row],[Location 
(drop-down)]],'List source'!D$2:E$71,2,FALSE)</f>
        <v>#N/A</v>
      </c>
      <c r="C1376" s="154" t="s">
        <v>2715</v>
      </c>
      <c r="D1376" s="20" t="e">
        <f t="shared" si="21"/>
        <v>#N/A</v>
      </c>
      <c r="E1376" s="68"/>
      <c r="F1376" s="10" t="e" cm="1">
        <f t="array" aca="1" ref="F13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6" s="72"/>
      <c r="I1376" s="70"/>
      <c r="J1376" s="70"/>
      <c r="K1376" s="71"/>
      <c r="L1376" s="296"/>
      <c r="M1376" s="10">
        <f ca="1">IF(ISBLANK(K1376), TODAY()-(I1376), Table27[[#This Row],[Effectiveness Review &amp; date deemed effective]]-Table27[[#This Row],[PTO initialized date]])</f>
        <v>46067</v>
      </c>
    </row>
    <row r="1377" spans="1:13" ht="18">
      <c r="A1377" s="68"/>
      <c r="B1377" s="18" t="e">
        <f>VLOOKUP(Table27[[#This Row],[Location 
(drop-down)]],'List source'!D$2:E$71,2,FALSE)</f>
        <v>#N/A</v>
      </c>
      <c r="C1377" s="154" t="s">
        <v>2716</v>
      </c>
      <c r="D1377" s="20" t="e">
        <f t="shared" si="21"/>
        <v>#N/A</v>
      </c>
      <c r="E1377" s="68"/>
      <c r="F1377" s="10" t="e" cm="1">
        <f t="array" aca="1" ref="F13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7" s="72"/>
      <c r="I1377" s="70"/>
      <c r="J1377" s="70"/>
      <c r="K1377" s="71"/>
      <c r="L1377" s="296"/>
      <c r="M1377" s="10">
        <f ca="1">IF(ISBLANK(K1377), TODAY()-(I1377), Table27[[#This Row],[Effectiveness Review &amp; date deemed effective]]-Table27[[#This Row],[PTO initialized date]])</f>
        <v>46067</v>
      </c>
    </row>
    <row r="1378" spans="1:13" ht="18">
      <c r="A1378" s="68"/>
      <c r="B1378" s="18" t="e">
        <f>VLOOKUP(Table27[[#This Row],[Location 
(drop-down)]],'List source'!D$2:E$71,2,FALSE)</f>
        <v>#N/A</v>
      </c>
      <c r="C1378" s="154" t="s">
        <v>2717</v>
      </c>
      <c r="D1378" s="20" t="e">
        <f t="shared" si="21"/>
        <v>#N/A</v>
      </c>
      <c r="E1378" s="68"/>
      <c r="F1378" s="10" t="e" cm="1">
        <f t="array" aca="1" ref="F13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8" s="72"/>
      <c r="I1378" s="70"/>
      <c r="J1378" s="70"/>
      <c r="K1378" s="71"/>
      <c r="L1378" s="296"/>
      <c r="M1378" s="10">
        <f ca="1">IF(ISBLANK(K1378), TODAY()-(I1378), Table27[[#This Row],[Effectiveness Review &amp; date deemed effective]]-Table27[[#This Row],[PTO initialized date]])</f>
        <v>46067</v>
      </c>
    </row>
    <row r="1379" spans="1:13" ht="18">
      <c r="A1379" s="68"/>
      <c r="B1379" s="18" t="e">
        <f>VLOOKUP(Table27[[#This Row],[Location 
(drop-down)]],'List source'!D$2:E$71,2,FALSE)</f>
        <v>#N/A</v>
      </c>
      <c r="C1379" s="154" t="s">
        <v>2718</v>
      </c>
      <c r="D1379" s="20" t="e">
        <f t="shared" si="21"/>
        <v>#N/A</v>
      </c>
      <c r="E1379" s="68"/>
      <c r="F1379" s="10" t="e" cm="1">
        <f t="array" aca="1" ref="F13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79" s="72"/>
      <c r="I1379" s="70"/>
      <c r="J1379" s="70"/>
      <c r="K1379" s="71"/>
      <c r="L1379" s="296"/>
      <c r="M1379" s="10">
        <f ca="1">IF(ISBLANK(K1379), TODAY()-(I1379), Table27[[#This Row],[Effectiveness Review &amp; date deemed effective]]-Table27[[#This Row],[PTO initialized date]])</f>
        <v>46067</v>
      </c>
    </row>
    <row r="1380" spans="1:13" ht="18">
      <c r="A1380" s="68"/>
      <c r="B1380" s="18" t="e">
        <f>VLOOKUP(Table27[[#This Row],[Location 
(drop-down)]],'List source'!D$2:E$71,2,FALSE)</f>
        <v>#N/A</v>
      </c>
      <c r="C1380" s="154" t="s">
        <v>2719</v>
      </c>
      <c r="D1380" s="20" t="e">
        <f t="shared" si="21"/>
        <v>#N/A</v>
      </c>
      <c r="E1380" s="68"/>
      <c r="F1380" s="10" t="e" cm="1">
        <f t="array" aca="1" ref="F13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0" s="72"/>
      <c r="I1380" s="70"/>
      <c r="J1380" s="70"/>
      <c r="K1380" s="71"/>
      <c r="L1380" s="296"/>
      <c r="M1380" s="10">
        <f ca="1">IF(ISBLANK(K1380), TODAY()-(I1380), Table27[[#This Row],[Effectiveness Review &amp; date deemed effective]]-Table27[[#This Row],[PTO initialized date]])</f>
        <v>46067</v>
      </c>
    </row>
    <row r="1381" spans="1:13" ht="18">
      <c r="A1381" s="68"/>
      <c r="B1381" s="18" t="e">
        <f>VLOOKUP(Table27[[#This Row],[Location 
(drop-down)]],'List source'!D$2:E$71,2,FALSE)</f>
        <v>#N/A</v>
      </c>
      <c r="C1381" s="154" t="s">
        <v>2720</v>
      </c>
      <c r="D1381" s="20" t="e">
        <f t="shared" si="21"/>
        <v>#N/A</v>
      </c>
      <c r="E1381" s="68"/>
      <c r="F1381" s="10" t="e" cm="1">
        <f t="array" aca="1" ref="F13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1" s="72"/>
      <c r="I1381" s="70"/>
      <c r="J1381" s="70"/>
      <c r="K1381" s="71"/>
      <c r="L1381" s="296"/>
      <c r="M1381" s="10">
        <f ca="1">IF(ISBLANK(K1381), TODAY()-(I1381), Table27[[#This Row],[Effectiveness Review &amp; date deemed effective]]-Table27[[#This Row],[PTO initialized date]])</f>
        <v>46067</v>
      </c>
    </row>
    <row r="1382" spans="1:13" ht="18">
      <c r="A1382" s="68"/>
      <c r="B1382" s="18" t="e">
        <f>VLOOKUP(Table27[[#This Row],[Location 
(drop-down)]],'List source'!D$2:E$71,2,FALSE)</f>
        <v>#N/A</v>
      </c>
      <c r="C1382" s="154" t="s">
        <v>2721</v>
      </c>
      <c r="D1382" s="20" t="e">
        <f t="shared" si="21"/>
        <v>#N/A</v>
      </c>
      <c r="E1382" s="68"/>
      <c r="F1382" s="10" t="e" cm="1">
        <f t="array" aca="1" ref="F13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2" s="72"/>
      <c r="I1382" s="70"/>
      <c r="J1382" s="70"/>
      <c r="K1382" s="71"/>
      <c r="L1382" s="296"/>
      <c r="M1382" s="10">
        <f ca="1">IF(ISBLANK(K1382), TODAY()-(I1382), Table27[[#This Row],[Effectiveness Review &amp; date deemed effective]]-Table27[[#This Row],[PTO initialized date]])</f>
        <v>46067</v>
      </c>
    </row>
    <row r="1383" spans="1:13" ht="18">
      <c r="A1383" s="68"/>
      <c r="B1383" s="18" t="e">
        <f>VLOOKUP(Table27[[#This Row],[Location 
(drop-down)]],'List source'!D$2:E$71,2,FALSE)</f>
        <v>#N/A</v>
      </c>
      <c r="C1383" s="154" t="s">
        <v>2722</v>
      </c>
      <c r="D1383" s="20" t="e">
        <f t="shared" si="21"/>
        <v>#N/A</v>
      </c>
      <c r="E1383" s="68"/>
      <c r="F1383" s="10" t="e" cm="1">
        <f t="array" aca="1" ref="F13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3" s="72"/>
      <c r="I1383" s="70"/>
      <c r="J1383" s="70"/>
      <c r="K1383" s="71"/>
      <c r="L1383" s="296"/>
      <c r="M1383" s="10">
        <f ca="1">IF(ISBLANK(K1383), TODAY()-(I1383), Table27[[#This Row],[Effectiveness Review &amp; date deemed effective]]-Table27[[#This Row],[PTO initialized date]])</f>
        <v>46067</v>
      </c>
    </row>
    <row r="1384" spans="1:13" ht="18">
      <c r="A1384" s="68"/>
      <c r="B1384" s="18" t="e">
        <f>VLOOKUP(Table27[[#This Row],[Location 
(drop-down)]],'List source'!D$2:E$71,2,FALSE)</f>
        <v>#N/A</v>
      </c>
      <c r="C1384" s="154" t="s">
        <v>2723</v>
      </c>
      <c r="D1384" s="20" t="e">
        <f t="shared" si="21"/>
        <v>#N/A</v>
      </c>
      <c r="E1384" s="68"/>
      <c r="F1384" s="10" t="e" cm="1">
        <f t="array" aca="1" ref="F13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4" s="72"/>
      <c r="I1384" s="70"/>
      <c r="J1384" s="70"/>
      <c r="K1384" s="71"/>
      <c r="L1384" s="296"/>
      <c r="M1384" s="10">
        <f ca="1">IF(ISBLANK(K1384), TODAY()-(I1384), Table27[[#This Row],[Effectiveness Review &amp; date deemed effective]]-Table27[[#This Row],[PTO initialized date]])</f>
        <v>46067</v>
      </c>
    </row>
    <row r="1385" spans="1:13" ht="18">
      <c r="A1385" s="68"/>
      <c r="B1385" s="18" t="e">
        <f>VLOOKUP(Table27[[#This Row],[Location 
(drop-down)]],'List source'!D$2:E$71,2,FALSE)</f>
        <v>#N/A</v>
      </c>
      <c r="C1385" s="154" t="s">
        <v>2724</v>
      </c>
      <c r="D1385" s="20" t="e">
        <f t="shared" si="21"/>
        <v>#N/A</v>
      </c>
      <c r="E1385" s="68"/>
      <c r="F1385" s="10" t="e" cm="1">
        <f t="array" aca="1" ref="F13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5" s="72"/>
      <c r="I1385" s="70"/>
      <c r="J1385" s="70"/>
      <c r="K1385" s="71"/>
      <c r="L1385" s="296"/>
      <c r="M1385" s="10">
        <f ca="1">IF(ISBLANK(K1385), TODAY()-(I1385), Table27[[#This Row],[Effectiveness Review &amp; date deemed effective]]-Table27[[#This Row],[PTO initialized date]])</f>
        <v>46067</v>
      </c>
    </row>
    <row r="1386" spans="1:13" ht="18">
      <c r="A1386" s="68"/>
      <c r="B1386" s="18" t="e">
        <f>VLOOKUP(Table27[[#This Row],[Location 
(drop-down)]],'List source'!D$2:E$71,2,FALSE)</f>
        <v>#N/A</v>
      </c>
      <c r="C1386" s="154" t="s">
        <v>2725</v>
      </c>
      <c r="D1386" s="20" t="e">
        <f t="shared" si="21"/>
        <v>#N/A</v>
      </c>
      <c r="E1386" s="68"/>
      <c r="F1386" s="10" t="e" cm="1">
        <f t="array" aca="1" ref="F13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6" s="72"/>
      <c r="I1386" s="70"/>
      <c r="J1386" s="70"/>
      <c r="K1386" s="71"/>
      <c r="L1386" s="296"/>
      <c r="M1386" s="10">
        <f ca="1">IF(ISBLANK(K1386), TODAY()-(I1386), Table27[[#This Row],[Effectiveness Review &amp; date deemed effective]]-Table27[[#This Row],[PTO initialized date]])</f>
        <v>46067</v>
      </c>
    </row>
    <row r="1387" spans="1:13" ht="18">
      <c r="A1387" s="68"/>
      <c r="B1387" s="18" t="e">
        <f>VLOOKUP(Table27[[#This Row],[Location 
(drop-down)]],'List source'!D$2:E$71,2,FALSE)</f>
        <v>#N/A</v>
      </c>
      <c r="C1387" s="154" t="s">
        <v>2726</v>
      </c>
      <c r="D1387" s="20" t="e">
        <f t="shared" si="21"/>
        <v>#N/A</v>
      </c>
      <c r="E1387" s="68"/>
      <c r="F1387" s="10" t="e" cm="1">
        <f t="array" aca="1" ref="F13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7" s="72"/>
      <c r="I1387" s="70"/>
      <c r="J1387" s="70"/>
      <c r="K1387" s="71"/>
      <c r="L1387" s="296"/>
      <c r="M1387" s="10">
        <f ca="1">IF(ISBLANK(K1387), TODAY()-(I1387), Table27[[#This Row],[Effectiveness Review &amp; date deemed effective]]-Table27[[#This Row],[PTO initialized date]])</f>
        <v>46067</v>
      </c>
    </row>
    <row r="1388" spans="1:13" ht="18">
      <c r="A1388" s="68"/>
      <c r="B1388" s="18" t="e">
        <f>VLOOKUP(Table27[[#This Row],[Location 
(drop-down)]],'List source'!D$2:E$71,2,FALSE)</f>
        <v>#N/A</v>
      </c>
      <c r="C1388" s="154" t="s">
        <v>2727</v>
      </c>
      <c r="D1388" s="20" t="e">
        <f t="shared" si="21"/>
        <v>#N/A</v>
      </c>
      <c r="E1388" s="68"/>
      <c r="F1388" s="10" t="e" cm="1">
        <f t="array" aca="1" ref="F13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8" s="72"/>
      <c r="I1388" s="70"/>
      <c r="J1388" s="70"/>
      <c r="K1388" s="71"/>
      <c r="L1388" s="296"/>
      <c r="M1388" s="10">
        <f ca="1">IF(ISBLANK(K1388), TODAY()-(I1388), Table27[[#This Row],[Effectiveness Review &amp; date deemed effective]]-Table27[[#This Row],[PTO initialized date]])</f>
        <v>46067</v>
      </c>
    </row>
    <row r="1389" spans="1:13" ht="18">
      <c r="A1389" s="68"/>
      <c r="B1389" s="18" t="e">
        <f>VLOOKUP(Table27[[#This Row],[Location 
(drop-down)]],'List source'!D$2:E$71,2,FALSE)</f>
        <v>#N/A</v>
      </c>
      <c r="C1389" s="154" t="s">
        <v>2728</v>
      </c>
      <c r="D1389" s="20" t="e">
        <f t="shared" si="21"/>
        <v>#N/A</v>
      </c>
      <c r="E1389" s="68"/>
      <c r="F1389" s="10" t="e" cm="1">
        <f t="array" aca="1" ref="F13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89" s="72"/>
      <c r="I1389" s="70"/>
      <c r="J1389" s="70"/>
      <c r="K1389" s="71"/>
      <c r="L1389" s="296"/>
      <c r="M1389" s="10">
        <f ca="1">IF(ISBLANK(K1389), TODAY()-(I1389), Table27[[#This Row],[Effectiveness Review &amp; date deemed effective]]-Table27[[#This Row],[PTO initialized date]])</f>
        <v>46067</v>
      </c>
    </row>
    <row r="1390" spans="1:13" ht="18">
      <c r="A1390" s="68"/>
      <c r="B1390" s="18" t="e">
        <f>VLOOKUP(Table27[[#This Row],[Location 
(drop-down)]],'List source'!D$2:E$71,2,FALSE)</f>
        <v>#N/A</v>
      </c>
      <c r="C1390" s="154" t="s">
        <v>2729</v>
      </c>
      <c r="D1390" s="20" t="e">
        <f t="shared" si="21"/>
        <v>#N/A</v>
      </c>
      <c r="E1390" s="68"/>
      <c r="F1390" s="10" t="e" cm="1">
        <f t="array" aca="1" ref="F13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0" s="72"/>
      <c r="I1390" s="70"/>
      <c r="J1390" s="70"/>
      <c r="K1390" s="71"/>
      <c r="L1390" s="296"/>
      <c r="M1390" s="10">
        <f ca="1">IF(ISBLANK(K1390), TODAY()-(I1390), Table27[[#This Row],[Effectiveness Review &amp; date deemed effective]]-Table27[[#This Row],[PTO initialized date]])</f>
        <v>46067</v>
      </c>
    </row>
    <row r="1391" spans="1:13" ht="18">
      <c r="A1391" s="68"/>
      <c r="B1391" s="18" t="e">
        <f>VLOOKUP(Table27[[#This Row],[Location 
(drop-down)]],'List source'!D$2:E$71,2,FALSE)</f>
        <v>#N/A</v>
      </c>
      <c r="C1391" s="154" t="s">
        <v>2730</v>
      </c>
      <c r="D1391" s="20" t="e">
        <f t="shared" si="21"/>
        <v>#N/A</v>
      </c>
      <c r="E1391" s="68"/>
      <c r="F1391" s="10" t="e" cm="1">
        <f t="array" aca="1" ref="F13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1" s="72"/>
      <c r="I1391" s="70"/>
      <c r="J1391" s="70"/>
      <c r="K1391" s="71"/>
      <c r="L1391" s="296"/>
      <c r="M1391" s="10">
        <f ca="1">IF(ISBLANK(K1391), TODAY()-(I1391), Table27[[#This Row],[Effectiveness Review &amp; date deemed effective]]-Table27[[#This Row],[PTO initialized date]])</f>
        <v>46067</v>
      </c>
    </row>
    <row r="1392" spans="1:13" ht="18">
      <c r="A1392" s="68"/>
      <c r="B1392" s="18" t="e">
        <f>VLOOKUP(Table27[[#This Row],[Location 
(drop-down)]],'List source'!D$2:E$71,2,FALSE)</f>
        <v>#N/A</v>
      </c>
      <c r="C1392" s="154" t="s">
        <v>2731</v>
      </c>
      <c r="D1392" s="20" t="e">
        <f t="shared" si="21"/>
        <v>#N/A</v>
      </c>
      <c r="E1392" s="68"/>
      <c r="F1392" s="10" t="e" cm="1">
        <f t="array" aca="1" ref="F13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2" s="72"/>
      <c r="I1392" s="70"/>
      <c r="J1392" s="70"/>
      <c r="K1392" s="71"/>
      <c r="L1392" s="296"/>
      <c r="M1392" s="10">
        <f ca="1">IF(ISBLANK(K1392), TODAY()-(I1392), Table27[[#This Row],[Effectiveness Review &amp; date deemed effective]]-Table27[[#This Row],[PTO initialized date]])</f>
        <v>46067</v>
      </c>
    </row>
    <row r="1393" spans="1:13" ht="18">
      <c r="A1393" s="68"/>
      <c r="B1393" s="18" t="e">
        <f>VLOOKUP(Table27[[#This Row],[Location 
(drop-down)]],'List source'!D$2:E$71,2,FALSE)</f>
        <v>#N/A</v>
      </c>
      <c r="C1393" s="154" t="s">
        <v>2732</v>
      </c>
      <c r="D1393" s="20" t="e">
        <f t="shared" si="21"/>
        <v>#N/A</v>
      </c>
      <c r="E1393" s="68"/>
      <c r="F1393" s="10" t="e" cm="1">
        <f t="array" aca="1" ref="F13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3" s="72"/>
      <c r="I1393" s="70"/>
      <c r="J1393" s="70"/>
      <c r="K1393" s="71"/>
      <c r="L1393" s="296"/>
      <c r="M1393" s="10">
        <f ca="1">IF(ISBLANK(K1393), TODAY()-(I1393), Table27[[#This Row],[Effectiveness Review &amp; date deemed effective]]-Table27[[#This Row],[PTO initialized date]])</f>
        <v>46067</v>
      </c>
    </row>
    <row r="1394" spans="1:13" ht="18">
      <c r="A1394" s="68"/>
      <c r="B1394" s="18" t="e">
        <f>VLOOKUP(Table27[[#This Row],[Location 
(drop-down)]],'List source'!D$2:E$71,2,FALSE)</f>
        <v>#N/A</v>
      </c>
      <c r="C1394" s="154" t="s">
        <v>2733</v>
      </c>
      <c r="D1394" s="20" t="e">
        <f t="shared" si="21"/>
        <v>#N/A</v>
      </c>
      <c r="E1394" s="68"/>
      <c r="F1394" s="10" t="e" cm="1">
        <f t="array" aca="1" ref="F13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4" s="72"/>
      <c r="I1394" s="70"/>
      <c r="J1394" s="70"/>
      <c r="K1394" s="71"/>
      <c r="L1394" s="296"/>
      <c r="M1394" s="10">
        <f ca="1">IF(ISBLANK(K1394), TODAY()-(I1394), Table27[[#This Row],[Effectiveness Review &amp; date deemed effective]]-Table27[[#This Row],[PTO initialized date]])</f>
        <v>46067</v>
      </c>
    </row>
    <row r="1395" spans="1:13" ht="18">
      <c r="A1395" s="68"/>
      <c r="B1395" s="18" t="e">
        <f>VLOOKUP(Table27[[#This Row],[Location 
(drop-down)]],'List source'!D$2:E$71,2,FALSE)</f>
        <v>#N/A</v>
      </c>
      <c r="C1395" s="154" t="s">
        <v>2734</v>
      </c>
      <c r="D1395" s="20" t="e">
        <f t="shared" si="21"/>
        <v>#N/A</v>
      </c>
      <c r="E1395" s="68"/>
      <c r="F1395" s="10" t="e" cm="1">
        <f t="array" aca="1" ref="F13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5" s="72"/>
      <c r="I1395" s="70"/>
      <c r="J1395" s="70"/>
      <c r="K1395" s="71"/>
      <c r="L1395" s="296"/>
      <c r="M1395" s="10">
        <f ca="1">IF(ISBLANK(K1395), TODAY()-(I1395), Table27[[#This Row],[Effectiveness Review &amp; date deemed effective]]-Table27[[#This Row],[PTO initialized date]])</f>
        <v>46067</v>
      </c>
    </row>
    <row r="1396" spans="1:13" ht="18">
      <c r="A1396" s="68"/>
      <c r="B1396" s="18" t="e">
        <f>VLOOKUP(Table27[[#This Row],[Location 
(drop-down)]],'List source'!D$2:E$71,2,FALSE)</f>
        <v>#N/A</v>
      </c>
      <c r="C1396" s="154" t="s">
        <v>2735</v>
      </c>
      <c r="D1396" s="20" t="e">
        <f t="shared" si="21"/>
        <v>#N/A</v>
      </c>
      <c r="E1396" s="68"/>
      <c r="F1396" s="10" t="e" cm="1">
        <f t="array" aca="1" ref="F13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6" s="72"/>
      <c r="I1396" s="70"/>
      <c r="J1396" s="70"/>
      <c r="K1396" s="71"/>
      <c r="L1396" s="296"/>
      <c r="M1396" s="10">
        <f ca="1">IF(ISBLANK(K1396), TODAY()-(I1396), Table27[[#This Row],[Effectiveness Review &amp; date deemed effective]]-Table27[[#This Row],[PTO initialized date]])</f>
        <v>46067</v>
      </c>
    </row>
    <row r="1397" spans="1:13" ht="18">
      <c r="A1397" s="68"/>
      <c r="B1397" s="18" t="e">
        <f>VLOOKUP(Table27[[#This Row],[Location 
(drop-down)]],'List source'!D$2:E$71,2,FALSE)</f>
        <v>#N/A</v>
      </c>
      <c r="C1397" s="154" t="s">
        <v>2736</v>
      </c>
      <c r="D1397" s="20" t="e">
        <f t="shared" si="21"/>
        <v>#N/A</v>
      </c>
      <c r="E1397" s="68"/>
      <c r="F1397" s="10" t="e" cm="1">
        <f t="array" aca="1" ref="F13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7" s="72"/>
      <c r="I1397" s="70"/>
      <c r="J1397" s="70"/>
      <c r="K1397" s="71"/>
      <c r="L1397" s="296"/>
      <c r="M1397" s="10">
        <f ca="1">IF(ISBLANK(K1397), TODAY()-(I1397), Table27[[#This Row],[Effectiveness Review &amp; date deemed effective]]-Table27[[#This Row],[PTO initialized date]])</f>
        <v>46067</v>
      </c>
    </row>
    <row r="1398" spans="1:13" ht="18">
      <c r="A1398" s="68"/>
      <c r="B1398" s="18" t="e">
        <f>VLOOKUP(Table27[[#This Row],[Location 
(drop-down)]],'List source'!D$2:E$71,2,FALSE)</f>
        <v>#N/A</v>
      </c>
      <c r="C1398" s="154" t="s">
        <v>2737</v>
      </c>
      <c r="D1398" s="20" t="e">
        <f t="shared" si="21"/>
        <v>#N/A</v>
      </c>
      <c r="E1398" s="68"/>
      <c r="F1398" s="10" t="e" cm="1">
        <f t="array" aca="1" ref="F13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8" s="72"/>
      <c r="I1398" s="70"/>
      <c r="J1398" s="70"/>
      <c r="K1398" s="71"/>
      <c r="L1398" s="296"/>
      <c r="M1398" s="10">
        <f ca="1">IF(ISBLANK(K1398), TODAY()-(I1398), Table27[[#This Row],[Effectiveness Review &amp; date deemed effective]]-Table27[[#This Row],[PTO initialized date]])</f>
        <v>46067</v>
      </c>
    </row>
    <row r="1399" spans="1:13" ht="18">
      <c r="A1399" s="68"/>
      <c r="B1399" s="18" t="e">
        <f>VLOOKUP(Table27[[#This Row],[Location 
(drop-down)]],'List source'!D$2:E$71,2,FALSE)</f>
        <v>#N/A</v>
      </c>
      <c r="C1399" s="154" t="s">
        <v>2738</v>
      </c>
      <c r="D1399" s="20" t="e">
        <f t="shared" si="21"/>
        <v>#N/A</v>
      </c>
      <c r="E1399" s="68"/>
      <c r="F1399" s="10" t="e" cm="1">
        <f t="array" aca="1" ref="F13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3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399" s="72"/>
      <c r="I1399" s="70"/>
      <c r="J1399" s="70"/>
      <c r="K1399" s="71"/>
      <c r="L1399" s="296"/>
      <c r="M1399" s="10">
        <f ca="1">IF(ISBLANK(K1399), TODAY()-(I1399), Table27[[#This Row],[Effectiveness Review &amp; date deemed effective]]-Table27[[#This Row],[PTO initialized date]])</f>
        <v>46067</v>
      </c>
    </row>
    <row r="1400" spans="1:13" ht="18">
      <c r="A1400" s="68"/>
      <c r="B1400" s="18" t="e">
        <f>VLOOKUP(Table27[[#This Row],[Location 
(drop-down)]],'List source'!D$2:E$71,2,FALSE)</f>
        <v>#N/A</v>
      </c>
      <c r="C1400" s="154" t="s">
        <v>2739</v>
      </c>
      <c r="D1400" s="20" t="e">
        <f t="shared" si="21"/>
        <v>#N/A</v>
      </c>
      <c r="E1400" s="68"/>
      <c r="F1400" s="10" t="e" cm="1">
        <f t="array" aca="1" ref="F14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0" s="72"/>
      <c r="I1400" s="70"/>
      <c r="J1400" s="70"/>
      <c r="K1400" s="71"/>
      <c r="L1400" s="296"/>
      <c r="M1400" s="10">
        <f ca="1">IF(ISBLANK(K1400), TODAY()-(I1400), Table27[[#This Row],[Effectiveness Review &amp; date deemed effective]]-Table27[[#This Row],[PTO initialized date]])</f>
        <v>46067</v>
      </c>
    </row>
    <row r="1401" spans="1:13" ht="18">
      <c r="A1401" s="68"/>
      <c r="B1401" s="18" t="e">
        <f>VLOOKUP(Table27[[#This Row],[Location 
(drop-down)]],'List source'!D$2:E$71,2,FALSE)</f>
        <v>#N/A</v>
      </c>
      <c r="C1401" s="154" t="s">
        <v>2740</v>
      </c>
      <c r="D1401" s="20" t="e">
        <f t="shared" si="21"/>
        <v>#N/A</v>
      </c>
      <c r="E1401" s="68"/>
      <c r="F1401" s="10" t="e" cm="1">
        <f t="array" aca="1" ref="F14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1" s="72"/>
      <c r="I1401" s="70"/>
      <c r="J1401" s="70"/>
      <c r="K1401" s="71"/>
      <c r="L1401" s="296"/>
      <c r="M1401" s="10">
        <f ca="1">IF(ISBLANK(K1401), TODAY()-(I1401), Table27[[#This Row],[Effectiveness Review &amp; date deemed effective]]-Table27[[#This Row],[PTO initialized date]])</f>
        <v>46067</v>
      </c>
    </row>
    <row r="1402" spans="1:13" ht="18">
      <c r="A1402" s="68"/>
      <c r="B1402" s="18" t="e">
        <f>VLOOKUP(Table27[[#This Row],[Location 
(drop-down)]],'List source'!D$2:E$71,2,FALSE)</f>
        <v>#N/A</v>
      </c>
      <c r="C1402" s="154" t="s">
        <v>2741</v>
      </c>
      <c r="D1402" s="20" t="e">
        <f t="shared" si="21"/>
        <v>#N/A</v>
      </c>
      <c r="E1402" s="68"/>
      <c r="F1402" s="10" t="e" cm="1">
        <f t="array" aca="1" ref="F14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2" s="72"/>
      <c r="I1402" s="70"/>
      <c r="J1402" s="70"/>
      <c r="K1402" s="71"/>
      <c r="L1402" s="296"/>
      <c r="M1402" s="10">
        <f ca="1">IF(ISBLANK(K1402), TODAY()-(I1402), Table27[[#This Row],[Effectiveness Review &amp; date deemed effective]]-Table27[[#This Row],[PTO initialized date]])</f>
        <v>46067</v>
      </c>
    </row>
    <row r="1403" spans="1:13" ht="18">
      <c r="A1403" s="68"/>
      <c r="B1403" s="18" t="e">
        <f>VLOOKUP(Table27[[#This Row],[Location 
(drop-down)]],'List source'!D$2:E$71,2,FALSE)</f>
        <v>#N/A</v>
      </c>
      <c r="C1403" s="154" t="s">
        <v>2742</v>
      </c>
      <c r="D1403" s="20" t="e">
        <f t="shared" si="21"/>
        <v>#N/A</v>
      </c>
      <c r="E1403" s="68"/>
      <c r="F1403" s="10" t="e" cm="1">
        <f t="array" aca="1" ref="F140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3" s="72"/>
      <c r="I1403" s="70"/>
      <c r="J1403" s="70"/>
      <c r="K1403" s="71"/>
      <c r="L1403" s="296"/>
      <c r="M1403" s="10">
        <f ca="1">IF(ISBLANK(K1403), TODAY()-(I1403), Table27[[#This Row],[Effectiveness Review &amp; date deemed effective]]-Table27[[#This Row],[PTO initialized date]])</f>
        <v>46067</v>
      </c>
    </row>
    <row r="1404" spans="1:13" ht="18">
      <c r="A1404" s="68"/>
      <c r="B1404" s="18" t="e">
        <f>VLOOKUP(Table27[[#This Row],[Location 
(drop-down)]],'List source'!D$2:E$71,2,FALSE)</f>
        <v>#N/A</v>
      </c>
      <c r="C1404" s="154" t="s">
        <v>2743</v>
      </c>
      <c r="D1404" s="20" t="e">
        <f t="shared" si="21"/>
        <v>#N/A</v>
      </c>
      <c r="E1404" s="68"/>
      <c r="F1404" s="10" t="e" cm="1">
        <f t="array" aca="1" ref="F140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4" s="72"/>
      <c r="I1404" s="70"/>
      <c r="J1404" s="70"/>
      <c r="K1404" s="71"/>
      <c r="L1404" s="296"/>
      <c r="M1404" s="10">
        <f ca="1">IF(ISBLANK(K1404), TODAY()-(I1404), Table27[[#This Row],[Effectiveness Review &amp; date deemed effective]]-Table27[[#This Row],[PTO initialized date]])</f>
        <v>46067</v>
      </c>
    </row>
    <row r="1405" spans="1:13" ht="18">
      <c r="A1405" s="68"/>
      <c r="B1405" s="18" t="e">
        <f>VLOOKUP(Table27[[#This Row],[Location 
(drop-down)]],'List source'!D$2:E$71,2,FALSE)</f>
        <v>#N/A</v>
      </c>
      <c r="C1405" s="154" t="s">
        <v>2744</v>
      </c>
      <c r="D1405" s="20" t="e">
        <f t="shared" si="21"/>
        <v>#N/A</v>
      </c>
      <c r="E1405" s="68"/>
      <c r="F1405" s="10" t="e" cm="1">
        <f t="array" aca="1" ref="F140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5" s="72"/>
      <c r="I1405" s="70"/>
      <c r="J1405" s="70"/>
      <c r="K1405" s="71"/>
      <c r="L1405" s="296"/>
      <c r="M1405" s="10">
        <f ca="1">IF(ISBLANK(K1405), TODAY()-(I1405), Table27[[#This Row],[Effectiveness Review &amp; date deemed effective]]-Table27[[#This Row],[PTO initialized date]])</f>
        <v>46067</v>
      </c>
    </row>
    <row r="1406" spans="1:13" ht="18">
      <c r="A1406" s="68"/>
      <c r="B1406" s="18" t="e">
        <f>VLOOKUP(Table27[[#This Row],[Location 
(drop-down)]],'List source'!D$2:E$71,2,FALSE)</f>
        <v>#N/A</v>
      </c>
      <c r="C1406" s="154" t="s">
        <v>2745</v>
      </c>
      <c r="D1406" s="20" t="e">
        <f t="shared" si="21"/>
        <v>#N/A</v>
      </c>
      <c r="E1406" s="68"/>
      <c r="F1406" s="10" t="e" cm="1">
        <f t="array" aca="1" ref="F140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6" s="72"/>
      <c r="I1406" s="70"/>
      <c r="J1406" s="70"/>
      <c r="K1406" s="71"/>
      <c r="L1406" s="296"/>
      <c r="M1406" s="10">
        <f ca="1">IF(ISBLANK(K1406), TODAY()-(I1406), Table27[[#This Row],[Effectiveness Review &amp; date deemed effective]]-Table27[[#This Row],[PTO initialized date]])</f>
        <v>46067</v>
      </c>
    </row>
    <row r="1407" spans="1:13" ht="18">
      <c r="A1407" s="68"/>
      <c r="B1407" s="18" t="e">
        <f>VLOOKUP(Table27[[#This Row],[Location 
(drop-down)]],'List source'!D$2:E$71,2,FALSE)</f>
        <v>#N/A</v>
      </c>
      <c r="C1407" s="154" t="s">
        <v>2746</v>
      </c>
      <c r="D1407" s="20" t="e">
        <f t="shared" si="21"/>
        <v>#N/A</v>
      </c>
      <c r="E1407" s="68"/>
      <c r="F1407" s="10" t="e" cm="1">
        <f t="array" aca="1" ref="F140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7" s="72"/>
      <c r="I1407" s="70"/>
      <c r="J1407" s="70"/>
      <c r="K1407" s="71"/>
      <c r="L1407" s="296"/>
      <c r="M1407" s="10">
        <f ca="1">IF(ISBLANK(K1407), TODAY()-(I1407), Table27[[#This Row],[Effectiveness Review &amp; date deemed effective]]-Table27[[#This Row],[PTO initialized date]])</f>
        <v>46067</v>
      </c>
    </row>
    <row r="1408" spans="1:13" ht="18">
      <c r="A1408" s="68"/>
      <c r="B1408" s="18" t="e">
        <f>VLOOKUP(Table27[[#This Row],[Location 
(drop-down)]],'List source'!D$2:E$71,2,FALSE)</f>
        <v>#N/A</v>
      </c>
      <c r="C1408" s="154" t="s">
        <v>2747</v>
      </c>
      <c r="D1408" s="20" t="e">
        <f t="shared" si="21"/>
        <v>#N/A</v>
      </c>
      <c r="E1408" s="68"/>
      <c r="F1408" s="10" t="e" cm="1">
        <f t="array" aca="1" ref="F140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8" s="72"/>
      <c r="I1408" s="70"/>
      <c r="J1408" s="70"/>
      <c r="K1408" s="71"/>
      <c r="L1408" s="296"/>
      <c r="M1408" s="10">
        <f ca="1">IF(ISBLANK(K1408), TODAY()-(I1408), Table27[[#This Row],[Effectiveness Review &amp; date deemed effective]]-Table27[[#This Row],[PTO initialized date]])</f>
        <v>46067</v>
      </c>
    </row>
    <row r="1409" spans="1:13" ht="18">
      <c r="A1409" s="68"/>
      <c r="B1409" s="18" t="e">
        <f>VLOOKUP(Table27[[#This Row],[Location 
(drop-down)]],'List source'!D$2:E$71,2,FALSE)</f>
        <v>#N/A</v>
      </c>
      <c r="C1409" s="154" t="s">
        <v>2748</v>
      </c>
      <c r="D1409" s="20" t="e">
        <f t="shared" si="21"/>
        <v>#N/A</v>
      </c>
      <c r="E1409" s="68"/>
      <c r="F1409" s="10" t="e" cm="1">
        <f t="array" aca="1" ref="F140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0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09" s="72"/>
      <c r="I1409" s="70"/>
      <c r="J1409" s="70"/>
      <c r="K1409" s="71"/>
      <c r="L1409" s="296"/>
      <c r="M1409" s="10">
        <f ca="1">IF(ISBLANK(K1409), TODAY()-(I1409), Table27[[#This Row],[Effectiveness Review &amp; date deemed effective]]-Table27[[#This Row],[PTO initialized date]])</f>
        <v>46067</v>
      </c>
    </row>
    <row r="1410" spans="1:13" ht="18">
      <c r="A1410" s="68"/>
      <c r="B1410" s="18" t="e">
        <f>VLOOKUP(Table27[[#This Row],[Location 
(drop-down)]],'List source'!D$2:E$71,2,FALSE)</f>
        <v>#N/A</v>
      </c>
      <c r="C1410" s="154" t="s">
        <v>2749</v>
      </c>
      <c r="D1410" s="20" t="e">
        <f t="shared" ref="D1410:D1473" si="22">"PTO" &amp; C1410 &amp; "-" &amp; B1410 &amp; "-" &amp; "26"</f>
        <v>#N/A</v>
      </c>
      <c r="E1410" s="68"/>
      <c r="F1410" s="10" t="e" cm="1">
        <f t="array" aca="1" ref="F141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0" s="72"/>
      <c r="I1410" s="70"/>
      <c r="J1410" s="70"/>
      <c r="K1410" s="71"/>
      <c r="L1410" s="296"/>
      <c r="M1410" s="10">
        <f ca="1">IF(ISBLANK(K1410), TODAY()-(I1410), Table27[[#This Row],[Effectiveness Review &amp; date deemed effective]]-Table27[[#This Row],[PTO initialized date]])</f>
        <v>46067</v>
      </c>
    </row>
    <row r="1411" spans="1:13" ht="18">
      <c r="A1411" s="68"/>
      <c r="B1411" s="18" t="e">
        <f>VLOOKUP(Table27[[#This Row],[Location 
(drop-down)]],'List source'!D$2:E$71,2,FALSE)</f>
        <v>#N/A</v>
      </c>
      <c r="C1411" s="154" t="s">
        <v>2750</v>
      </c>
      <c r="D1411" s="20" t="e">
        <f t="shared" si="22"/>
        <v>#N/A</v>
      </c>
      <c r="E1411" s="68"/>
      <c r="F1411" s="10" t="e" cm="1">
        <f t="array" aca="1" ref="F141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1" s="72"/>
      <c r="I1411" s="70"/>
      <c r="J1411" s="70"/>
      <c r="K1411" s="71"/>
      <c r="L1411" s="296"/>
      <c r="M1411" s="10">
        <f ca="1">IF(ISBLANK(K1411), TODAY()-(I1411), Table27[[#This Row],[Effectiveness Review &amp; date deemed effective]]-Table27[[#This Row],[PTO initialized date]])</f>
        <v>46067</v>
      </c>
    </row>
    <row r="1412" spans="1:13" ht="18">
      <c r="A1412" s="68"/>
      <c r="B1412" s="18" t="e">
        <f>VLOOKUP(Table27[[#This Row],[Location 
(drop-down)]],'List source'!D$2:E$71,2,FALSE)</f>
        <v>#N/A</v>
      </c>
      <c r="C1412" s="154" t="s">
        <v>2751</v>
      </c>
      <c r="D1412" s="20" t="e">
        <f t="shared" si="22"/>
        <v>#N/A</v>
      </c>
      <c r="E1412" s="68"/>
      <c r="F1412" s="10" t="e" cm="1">
        <f t="array" aca="1" ref="F141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2" s="72"/>
      <c r="I1412" s="70"/>
      <c r="J1412" s="70"/>
      <c r="K1412" s="71"/>
      <c r="L1412" s="296"/>
      <c r="M1412" s="10">
        <f ca="1">IF(ISBLANK(K1412), TODAY()-(I1412), Table27[[#This Row],[Effectiveness Review &amp; date deemed effective]]-Table27[[#This Row],[PTO initialized date]])</f>
        <v>46067</v>
      </c>
    </row>
    <row r="1413" spans="1:13" ht="18">
      <c r="A1413" s="68"/>
      <c r="B1413" s="18" t="e">
        <f>VLOOKUP(Table27[[#This Row],[Location 
(drop-down)]],'List source'!D$2:E$71,2,FALSE)</f>
        <v>#N/A</v>
      </c>
      <c r="C1413" s="154" t="s">
        <v>2752</v>
      </c>
      <c r="D1413" s="20" t="e">
        <f t="shared" si="22"/>
        <v>#N/A</v>
      </c>
      <c r="E1413" s="68"/>
      <c r="F1413" s="10" t="e" cm="1">
        <f t="array" aca="1" ref="F141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3" s="72"/>
      <c r="I1413" s="70"/>
      <c r="J1413" s="70"/>
      <c r="K1413" s="71"/>
      <c r="L1413" s="296"/>
      <c r="M1413" s="10">
        <f ca="1">IF(ISBLANK(K1413), TODAY()-(I1413), Table27[[#This Row],[Effectiveness Review &amp; date deemed effective]]-Table27[[#This Row],[PTO initialized date]])</f>
        <v>46067</v>
      </c>
    </row>
    <row r="1414" spans="1:13" ht="18">
      <c r="A1414" s="68"/>
      <c r="B1414" s="18" t="e">
        <f>VLOOKUP(Table27[[#This Row],[Location 
(drop-down)]],'List source'!D$2:E$71,2,FALSE)</f>
        <v>#N/A</v>
      </c>
      <c r="C1414" s="154" t="s">
        <v>2753</v>
      </c>
      <c r="D1414" s="20" t="e">
        <f t="shared" si="22"/>
        <v>#N/A</v>
      </c>
      <c r="E1414" s="68"/>
      <c r="F1414" s="10" t="e" cm="1">
        <f t="array" aca="1" ref="F141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4" s="72"/>
      <c r="I1414" s="70"/>
      <c r="J1414" s="70"/>
      <c r="K1414" s="71"/>
      <c r="L1414" s="296"/>
      <c r="M1414" s="10">
        <f ca="1">IF(ISBLANK(K1414), TODAY()-(I1414), Table27[[#This Row],[Effectiveness Review &amp; date deemed effective]]-Table27[[#This Row],[PTO initialized date]])</f>
        <v>46067</v>
      </c>
    </row>
    <row r="1415" spans="1:13" ht="18">
      <c r="A1415" s="68"/>
      <c r="B1415" s="18" t="e">
        <f>VLOOKUP(Table27[[#This Row],[Location 
(drop-down)]],'List source'!D$2:E$71,2,FALSE)</f>
        <v>#N/A</v>
      </c>
      <c r="C1415" s="154" t="s">
        <v>2754</v>
      </c>
      <c r="D1415" s="20" t="e">
        <f t="shared" si="22"/>
        <v>#N/A</v>
      </c>
      <c r="E1415" s="68"/>
      <c r="F1415" s="10" t="e" cm="1">
        <f t="array" aca="1" ref="F141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5" s="72"/>
      <c r="I1415" s="70"/>
      <c r="J1415" s="70"/>
      <c r="K1415" s="71"/>
      <c r="L1415" s="296"/>
      <c r="M1415" s="10">
        <f ca="1">IF(ISBLANK(K1415), TODAY()-(I1415), Table27[[#This Row],[Effectiveness Review &amp; date deemed effective]]-Table27[[#This Row],[PTO initialized date]])</f>
        <v>46067</v>
      </c>
    </row>
    <row r="1416" spans="1:13" ht="18">
      <c r="A1416" s="68"/>
      <c r="B1416" s="18" t="e">
        <f>VLOOKUP(Table27[[#This Row],[Location 
(drop-down)]],'List source'!D$2:E$71,2,FALSE)</f>
        <v>#N/A</v>
      </c>
      <c r="C1416" s="154" t="s">
        <v>2755</v>
      </c>
      <c r="D1416" s="20" t="e">
        <f t="shared" si="22"/>
        <v>#N/A</v>
      </c>
      <c r="E1416" s="68"/>
      <c r="F1416" s="10" t="e" cm="1">
        <f t="array" aca="1" ref="F141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6" s="72"/>
      <c r="I1416" s="70"/>
      <c r="J1416" s="70"/>
      <c r="K1416" s="71"/>
      <c r="L1416" s="296"/>
      <c r="M1416" s="10">
        <f ca="1">IF(ISBLANK(K1416), TODAY()-(I1416), Table27[[#This Row],[Effectiveness Review &amp; date deemed effective]]-Table27[[#This Row],[PTO initialized date]])</f>
        <v>46067</v>
      </c>
    </row>
    <row r="1417" spans="1:13" ht="18">
      <c r="A1417" s="68"/>
      <c r="B1417" s="18" t="e">
        <f>VLOOKUP(Table27[[#This Row],[Location 
(drop-down)]],'List source'!D$2:E$71,2,FALSE)</f>
        <v>#N/A</v>
      </c>
      <c r="C1417" s="154" t="s">
        <v>2756</v>
      </c>
      <c r="D1417" s="20" t="e">
        <f t="shared" si="22"/>
        <v>#N/A</v>
      </c>
      <c r="E1417" s="68"/>
      <c r="F1417" s="10" t="e" cm="1">
        <f t="array" aca="1" ref="F141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7" s="72"/>
      <c r="I1417" s="70"/>
      <c r="J1417" s="70"/>
      <c r="K1417" s="71"/>
      <c r="L1417" s="296"/>
      <c r="M1417" s="10">
        <f ca="1">IF(ISBLANK(K1417), TODAY()-(I1417), Table27[[#This Row],[Effectiveness Review &amp; date deemed effective]]-Table27[[#This Row],[PTO initialized date]])</f>
        <v>46067</v>
      </c>
    </row>
    <row r="1418" spans="1:13" ht="18">
      <c r="A1418" s="68"/>
      <c r="B1418" s="18" t="e">
        <f>VLOOKUP(Table27[[#This Row],[Location 
(drop-down)]],'List source'!D$2:E$71,2,FALSE)</f>
        <v>#N/A</v>
      </c>
      <c r="C1418" s="154" t="s">
        <v>2757</v>
      </c>
      <c r="D1418" s="20" t="e">
        <f t="shared" si="22"/>
        <v>#N/A</v>
      </c>
      <c r="E1418" s="68"/>
      <c r="F1418" s="10" t="e" cm="1">
        <f t="array" aca="1" ref="F141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8" s="72"/>
      <c r="I1418" s="70"/>
      <c r="J1418" s="70"/>
      <c r="K1418" s="71"/>
      <c r="L1418" s="296"/>
      <c r="M1418" s="10">
        <f ca="1">IF(ISBLANK(K1418), TODAY()-(I1418), Table27[[#This Row],[Effectiveness Review &amp; date deemed effective]]-Table27[[#This Row],[PTO initialized date]])</f>
        <v>46067</v>
      </c>
    </row>
    <row r="1419" spans="1:13" ht="18">
      <c r="A1419" s="68"/>
      <c r="B1419" s="18" t="e">
        <f>VLOOKUP(Table27[[#This Row],[Location 
(drop-down)]],'List source'!D$2:E$71,2,FALSE)</f>
        <v>#N/A</v>
      </c>
      <c r="C1419" s="154" t="s">
        <v>2758</v>
      </c>
      <c r="D1419" s="20" t="e">
        <f t="shared" si="22"/>
        <v>#N/A</v>
      </c>
      <c r="E1419" s="68"/>
      <c r="F1419" s="10" t="e" cm="1">
        <f t="array" aca="1" ref="F141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1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19" s="72"/>
      <c r="I1419" s="70"/>
      <c r="J1419" s="70"/>
      <c r="K1419" s="71"/>
      <c r="L1419" s="296"/>
      <c r="M1419" s="10">
        <f ca="1">IF(ISBLANK(K1419), TODAY()-(I1419), Table27[[#This Row],[Effectiveness Review &amp; date deemed effective]]-Table27[[#This Row],[PTO initialized date]])</f>
        <v>46067</v>
      </c>
    </row>
    <row r="1420" spans="1:13" ht="18">
      <c r="A1420" s="68"/>
      <c r="B1420" s="18" t="e">
        <f>VLOOKUP(Table27[[#This Row],[Location 
(drop-down)]],'List source'!D$2:E$71,2,FALSE)</f>
        <v>#N/A</v>
      </c>
      <c r="C1420" s="154" t="s">
        <v>2759</v>
      </c>
      <c r="D1420" s="20" t="e">
        <f t="shared" si="22"/>
        <v>#N/A</v>
      </c>
      <c r="E1420" s="68"/>
      <c r="F1420" s="10" t="e" cm="1">
        <f t="array" aca="1" ref="F142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0" s="72"/>
      <c r="I1420" s="70"/>
      <c r="J1420" s="70"/>
      <c r="K1420" s="71"/>
      <c r="L1420" s="296"/>
      <c r="M1420" s="10">
        <f ca="1">IF(ISBLANK(K1420), TODAY()-(I1420), Table27[[#This Row],[Effectiveness Review &amp; date deemed effective]]-Table27[[#This Row],[PTO initialized date]])</f>
        <v>46067</v>
      </c>
    </row>
    <row r="1421" spans="1:13" ht="18">
      <c r="A1421" s="68"/>
      <c r="B1421" s="18" t="e">
        <f>VLOOKUP(Table27[[#This Row],[Location 
(drop-down)]],'List source'!D$2:E$71,2,FALSE)</f>
        <v>#N/A</v>
      </c>
      <c r="C1421" s="154" t="s">
        <v>2760</v>
      </c>
      <c r="D1421" s="20" t="e">
        <f t="shared" si="22"/>
        <v>#N/A</v>
      </c>
      <c r="E1421" s="68"/>
      <c r="F1421" s="10" t="e" cm="1">
        <f t="array" aca="1" ref="F142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1" s="72"/>
      <c r="I1421" s="70"/>
      <c r="J1421" s="70"/>
      <c r="K1421" s="71"/>
      <c r="L1421" s="296"/>
      <c r="M1421" s="10">
        <f ca="1">IF(ISBLANK(K1421), TODAY()-(I1421), Table27[[#This Row],[Effectiveness Review &amp; date deemed effective]]-Table27[[#This Row],[PTO initialized date]])</f>
        <v>46067</v>
      </c>
    </row>
    <row r="1422" spans="1:13" ht="18">
      <c r="A1422" s="68"/>
      <c r="B1422" s="18" t="e">
        <f>VLOOKUP(Table27[[#This Row],[Location 
(drop-down)]],'List source'!D$2:E$71,2,FALSE)</f>
        <v>#N/A</v>
      </c>
      <c r="C1422" s="154" t="s">
        <v>2761</v>
      </c>
      <c r="D1422" s="20" t="e">
        <f t="shared" si="22"/>
        <v>#N/A</v>
      </c>
      <c r="E1422" s="68"/>
      <c r="F1422" s="10" t="e" cm="1">
        <f t="array" aca="1" ref="F142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2" s="72"/>
      <c r="I1422" s="70"/>
      <c r="J1422" s="70"/>
      <c r="K1422" s="71"/>
      <c r="L1422" s="296"/>
      <c r="M1422" s="10">
        <f ca="1">IF(ISBLANK(K1422), TODAY()-(I1422), Table27[[#This Row],[Effectiveness Review &amp; date deemed effective]]-Table27[[#This Row],[PTO initialized date]])</f>
        <v>46067</v>
      </c>
    </row>
    <row r="1423" spans="1:13" ht="18">
      <c r="A1423" s="68"/>
      <c r="B1423" s="18" t="e">
        <f>VLOOKUP(Table27[[#This Row],[Location 
(drop-down)]],'List source'!D$2:E$71,2,FALSE)</f>
        <v>#N/A</v>
      </c>
      <c r="C1423" s="154" t="s">
        <v>2762</v>
      </c>
      <c r="D1423" s="20" t="e">
        <f t="shared" si="22"/>
        <v>#N/A</v>
      </c>
      <c r="E1423" s="68"/>
      <c r="F1423" s="10" t="e" cm="1">
        <f t="array" aca="1" ref="F142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3" s="72"/>
      <c r="I1423" s="70"/>
      <c r="J1423" s="70"/>
      <c r="K1423" s="71"/>
      <c r="L1423" s="296"/>
      <c r="M1423" s="10">
        <f ca="1">IF(ISBLANK(K1423), TODAY()-(I1423), Table27[[#This Row],[Effectiveness Review &amp; date deemed effective]]-Table27[[#This Row],[PTO initialized date]])</f>
        <v>46067</v>
      </c>
    </row>
    <row r="1424" spans="1:13" ht="18">
      <c r="A1424" s="68"/>
      <c r="B1424" s="18" t="e">
        <f>VLOOKUP(Table27[[#This Row],[Location 
(drop-down)]],'List source'!D$2:E$71,2,FALSE)</f>
        <v>#N/A</v>
      </c>
      <c r="C1424" s="154" t="s">
        <v>2763</v>
      </c>
      <c r="D1424" s="20" t="e">
        <f t="shared" si="22"/>
        <v>#N/A</v>
      </c>
      <c r="E1424" s="68"/>
      <c r="F1424" s="10" t="e" cm="1">
        <f t="array" aca="1" ref="F142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4" s="72"/>
      <c r="I1424" s="70"/>
      <c r="J1424" s="70"/>
      <c r="K1424" s="71"/>
      <c r="L1424" s="296"/>
      <c r="M1424" s="10">
        <f ca="1">IF(ISBLANK(K1424), TODAY()-(I1424), Table27[[#This Row],[Effectiveness Review &amp; date deemed effective]]-Table27[[#This Row],[PTO initialized date]])</f>
        <v>46067</v>
      </c>
    </row>
    <row r="1425" spans="1:13" ht="18">
      <c r="A1425" s="68"/>
      <c r="B1425" s="18" t="e">
        <f>VLOOKUP(Table27[[#This Row],[Location 
(drop-down)]],'List source'!D$2:E$71,2,FALSE)</f>
        <v>#N/A</v>
      </c>
      <c r="C1425" s="154" t="s">
        <v>2764</v>
      </c>
      <c r="D1425" s="20" t="e">
        <f t="shared" si="22"/>
        <v>#N/A</v>
      </c>
      <c r="E1425" s="68"/>
      <c r="F1425" s="10" t="e" cm="1">
        <f t="array" aca="1" ref="F142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5" s="72"/>
      <c r="I1425" s="70"/>
      <c r="J1425" s="70"/>
      <c r="K1425" s="71"/>
      <c r="L1425" s="296"/>
      <c r="M1425" s="10">
        <f ca="1">IF(ISBLANK(K1425), TODAY()-(I1425), Table27[[#This Row],[Effectiveness Review &amp; date deemed effective]]-Table27[[#This Row],[PTO initialized date]])</f>
        <v>46067</v>
      </c>
    </row>
    <row r="1426" spans="1:13" ht="18">
      <c r="A1426" s="68"/>
      <c r="B1426" s="18" t="e">
        <f>VLOOKUP(Table27[[#This Row],[Location 
(drop-down)]],'List source'!D$2:E$71,2,FALSE)</f>
        <v>#N/A</v>
      </c>
      <c r="C1426" s="154" t="s">
        <v>2765</v>
      </c>
      <c r="D1426" s="20" t="e">
        <f t="shared" si="22"/>
        <v>#N/A</v>
      </c>
      <c r="E1426" s="68"/>
      <c r="F1426" s="10" t="e" cm="1">
        <f t="array" aca="1" ref="F142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6" s="72"/>
      <c r="I1426" s="70"/>
      <c r="J1426" s="70"/>
      <c r="K1426" s="71"/>
      <c r="L1426" s="296"/>
      <c r="M1426" s="10">
        <f ca="1">IF(ISBLANK(K1426), TODAY()-(I1426), Table27[[#This Row],[Effectiveness Review &amp; date deemed effective]]-Table27[[#This Row],[PTO initialized date]])</f>
        <v>46067</v>
      </c>
    </row>
    <row r="1427" spans="1:13" ht="18">
      <c r="A1427" s="68"/>
      <c r="B1427" s="18" t="e">
        <f>VLOOKUP(Table27[[#This Row],[Location 
(drop-down)]],'List source'!D$2:E$71,2,FALSE)</f>
        <v>#N/A</v>
      </c>
      <c r="C1427" s="154" t="s">
        <v>2766</v>
      </c>
      <c r="D1427" s="20" t="e">
        <f t="shared" si="22"/>
        <v>#N/A</v>
      </c>
      <c r="E1427" s="68"/>
      <c r="F1427" s="10" t="e" cm="1">
        <f t="array" aca="1" ref="F142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7" s="72"/>
      <c r="I1427" s="70"/>
      <c r="J1427" s="70"/>
      <c r="K1427" s="71"/>
      <c r="L1427" s="296"/>
      <c r="M1427" s="10">
        <f ca="1">IF(ISBLANK(K1427), TODAY()-(I1427), Table27[[#This Row],[Effectiveness Review &amp; date deemed effective]]-Table27[[#This Row],[PTO initialized date]])</f>
        <v>46067</v>
      </c>
    </row>
    <row r="1428" spans="1:13" ht="18">
      <c r="A1428" s="68"/>
      <c r="B1428" s="18" t="e">
        <f>VLOOKUP(Table27[[#This Row],[Location 
(drop-down)]],'List source'!D$2:E$71,2,FALSE)</f>
        <v>#N/A</v>
      </c>
      <c r="C1428" s="154" t="s">
        <v>2767</v>
      </c>
      <c r="D1428" s="20" t="e">
        <f t="shared" si="22"/>
        <v>#N/A</v>
      </c>
      <c r="E1428" s="68"/>
      <c r="F1428" s="10" t="e" cm="1">
        <f t="array" aca="1" ref="F142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8" s="72"/>
      <c r="I1428" s="70"/>
      <c r="J1428" s="70"/>
      <c r="K1428" s="71"/>
      <c r="L1428" s="296"/>
      <c r="M1428" s="10">
        <f ca="1">IF(ISBLANK(K1428), TODAY()-(I1428), Table27[[#This Row],[Effectiveness Review &amp; date deemed effective]]-Table27[[#This Row],[PTO initialized date]])</f>
        <v>46067</v>
      </c>
    </row>
    <row r="1429" spans="1:13" ht="18">
      <c r="A1429" s="68"/>
      <c r="B1429" s="18" t="e">
        <f>VLOOKUP(Table27[[#This Row],[Location 
(drop-down)]],'List source'!D$2:E$71,2,FALSE)</f>
        <v>#N/A</v>
      </c>
      <c r="C1429" s="154" t="s">
        <v>2768</v>
      </c>
      <c r="D1429" s="20" t="e">
        <f t="shared" si="22"/>
        <v>#N/A</v>
      </c>
      <c r="E1429" s="68"/>
      <c r="F1429" s="10" t="e" cm="1">
        <f t="array" aca="1" ref="F142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2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29" s="72"/>
      <c r="I1429" s="70"/>
      <c r="J1429" s="70"/>
      <c r="K1429" s="71"/>
      <c r="L1429" s="296"/>
      <c r="M1429" s="10">
        <f ca="1">IF(ISBLANK(K1429), TODAY()-(I1429), Table27[[#This Row],[Effectiveness Review &amp; date deemed effective]]-Table27[[#This Row],[PTO initialized date]])</f>
        <v>46067</v>
      </c>
    </row>
    <row r="1430" spans="1:13" ht="18">
      <c r="A1430" s="68"/>
      <c r="B1430" s="18" t="e">
        <f>VLOOKUP(Table27[[#This Row],[Location 
(drop-down)]],'List source'!D$2:E$71,2,FALSE)</f>
        <v>#N/A</v>
      </c>
      <c r="C1430" s="154" t="s">
        <v>2769</v>
      </c>
      <c r="D1430" s="20" t="e">
        <f t="shared" si="22"/>
        <v>#N/A</v>
      </c>
      <c r="E1430" s="68"/>
      <c r="F1430" s="10" t="e" cm="1">
        <f t="array" aca="1" ref="F143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0" s="72"/>
      <c r="I1430" s="70"/>
      <c r="J1430" s="70"/>
      <c r="K1430" s="71"/>
      <c r="L1430" s="296"/>
      <c r="M1430" s="10">
        <f ca="1">IF(ISBLANK(K1430), TODAY()-(I1430), Table27[[#This Row],[Effectiveness Review &amp; date deemed effective]]-Table27[[#This Row],[PTO initialized date]])</f>
        <v>46067</v>
      </c>
    </row>
    <row r="1431" spans="1:13" ht="18">
      <c r="A1431" s="68"/>
      <c r="B1431" s="18" t="e">
        <f>VLOOKUP(Table27[[#This Row],[Location 
(drop-down)]],'List source'!D$2:E$71,2,FALSE)</f>
        <v>#N/A</v>
      </c>
      <c r="C1431" s="154" t="s">
        <v>2770</v>
      </c>
      <c r="D1431" s="20" t="e">
        <f t="shared" si="22"/>
        <v>#N/A</v>
      </c>
      <c r="E1431" s="68"/>
      <c r="F1431" s="10" t="e" cm="1">
        <f t="array" aca="1" ref="F143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1" s="72"/>
      <c r="I1431" s="70"/>
      <c r="J1431" s="70"/>
      <c r="K1431" s="71"/>
      <c r="L1431" s="296"/>
      <c r="M1431" s="10">
        <f ca="1">IF(ISBLANK(K1431), TODAY()-(I1431), Table27[[#This Row],[Effectiveness Review &amp; date deemed effective]]-Table27[[#This Row],[PTO initialized date]])</f>
        <v>46067</v>
      </c>
    </row>
    <row r="1432" spans="1:13" ht="18">
      <c r="A1432" s="68"/>
      <c r="B1432" s="18" t="e">
        <f>VLOOKUP(Table27[[#This Row],[Location 
(drop-down)]],'List source'!D$2:E$71,2,FALSE)</f>
        <v>#N/A</v>
      </c>
      <c r="C1432" s="154" t="s">
        <v>2771</v>
      </c>
      <c r="D1432" s="20" t="e">
        <f t="shared" si="22"/>
        <v>#N/A</v>
      </c>
      <c r="E1432" s="68"/>
      <c r="F1432" s="10" t="e" cm="1">
        <f t="array" aca="1" ref="F143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2" s="72"/>
      <c r="I1432" s="70"/>
      <c r="J1432" s="70"/>
      <c r="K1432" s="71"/>
      <c r="L1432" s="296"/>
      <c r="M1432" s="10">
        <f ca="1">IF(ISBLANK(K1432), TODAY()-(I1432), Table27[[#This Row],[Effectiveness Review &amp; date deemed effective]]-Table27[[#This Row],[PTO initialized date]])</f>
        <v>46067</v>
      </c>
    </row>
    <row r="1433" spans="1:13" ht="18">
      <c r="A1433" s="68"/>
      <c r="B1433" s="18" t="e">
        <f>VLOOKUP(Table27[[#This Row],[Location 
(drop-down)]],'List source'!D$2:E$71,2,FALSE)</f>
        <v>#N/A</v>
      </c>
      <c r="C1433" s="154" t="s">
        <v>2772</v>
      </c>
      <c r="D1433" s="20" t="e">
        <f t="shared" si="22"/>
        <v>#N/A</v>
      </c>
      <c r="E1433" s="68"/>
      <c r="F1433" s="10" t="e" cm="1">
        <f t="array" aca="1" ref="F143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3" s="72"/>
      <c r="I1433" s="70"/>
      <c r="J1433" s="70"/>
      <c r="K1433" s="71"/>
      <c r="L1433" s="296"/>
      <c r="M1433" s="10">
        <f ca="1">IF(ISBLANK(K1433), TODAY()-(I1433), Table27[[#This Row],[Effectiveness Review &amp; date deemed effective]]-Table27[[#This Row],[PTO initialized date]])</f>
        <v>46067</v>
      </c>
    </row>
    <row r="1434" spans="1:13" ht="18">
      <c r="A1434" s="68"/>
      <c r="B1434" s="18" t="e">
        <f>VLOOKUP(Table27[[#This Row],[Location 
(drop-down)]],'List source'!D$2:E$71,2,FALSE)</f>
        <v>#N/A</v>
      </c>
      <c r="C1434" s="154" t="s">
        <v>2773</v>
      </c>
      <c r="D1434" s="20" t="e">
        <f t="shared" si="22"/>
        <v>#N/A</v>
      </c>
      <c r="E1434" s="68"/>
      <c r="F1434" s="10" t="e" cm="1">
        <f t="array" aca="1" ref="F143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4" s="72"/>
      <c r="I1434" s="70"/>
      <c r="J1434" s="70"/>
      <c r="K1434" s="71"/>
      <c r="L1434" s="296"/>
      <c r="M1434" s="10">
        <f ca="1">IF(ISBLANK(K1434), TODAY()-(I1434), Table27[[#This Row],[Effectiveness Review &amp; date deemed effective]]-Table27[[#This Row],[PTO initialized date]])</f>
        <v>46067</v>
      </c>
    </row>
    <row r="1435" spans="1:13" ht="18">
      <c r="A1435" s="68"/>
      <c r="B1435" s="18" t="e">
        <f>VLOOKUP(Table27[[#This Row],[Location 
(drop-down)]],'List source'!D$2:E$71,2,FALSE)</f>
        <v>#N/A</v>
      </c>
      <c r="C1435" s="154" t="s">
        <v>2774</v>
      </c>
      <c r="D1435" s="20" t="e">
        <f t="shared" si="22"/>
        <v>#N/A</v>
      </c>
      <c r="E1435" s="68"/>
      <c r="F1435" s="10" t="e" cm="1">
        <f t="array" aca="1" ref="F143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5" s="72"/>
      <c r="I1435" s="70"/>
      <c r="J1435" s="70"/>
      <c r="K1435" s="71"/>
      <c r="L1435" s="296"/>
      <c r="M1435" s="10">
        <f ca="1">IF(ISBLANK(K1435), TODAY()-(I1435), Table27[[#This Row],[Effectiveness Review &amp; date deemed effective]]-Table27[[#This Row],[PTO initialized date]])</f>
        <v>46067</v>
      </c>
    </row>
    <row r="1436" spans="1:13" ht="18">
      <c r="A1436" s="68"/>
      <c r="B1436" s="18" t="e">
        <f>VLOOKUP(Table27[[#This Row],[Location 
(drop-down)]],'List source'!D$2:E$71,2,FALSE)</f>
        <v>#N/A</v>
      </c>
      <c r="C1436" s="154" t="s">
        <v>2775</v>
      </c>
      <c r="D1436" s="20" t="e">
        <f t="shared" si="22"/>
        <v>#N/A</v>
      </c>
      <c r="E1436" s="68"/>
      <c r="F1436" s="10" t="e" cm="1">
        <f t="array" aca="1" ref="F143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6" s="72"/>
      <c r="I1436" s="70"/>
      <c r="J1436" s="70"/>
      <c r="K1436" s="71"/>
      <c r="L1436" s="296"/>
      <c r="M1436" s="10">
        <f ca="1">IF(ISBLANK(K1436), TODAY()-(I1436), Table27[[#This Row],[Effectiveness Review &amp; date deemed effective]]-Table27[[#This Row],[PTO initialized date]])</f>
        <v>46067</v>
      </c>
    </row>
    <row r="1437" spans="1:13" ht="18">
      <c r="A1437" s="68"/>
      <c r="B1437" s="18" t="e">
        <f>VLOOKUP(Table27[[#This Row],[Location 
(drop-down)]],'List source'!D$2:E$71,2,FALSE)</f>
        <v>#N/A</v>
      </c>
      <c r="C1437" s="154" t="s">
        <v>2776</v>
      </c>
      <c r="D1437" s="20" t="e">
        <f t="shared" si="22"/>
        <v>#N/A</v>
      </c>
      <c r="E1437" s="68"/>
      <c r="F1437" s="10" t="e" cm="1">
        <f t="array" aca="1" ref="F143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7" s="72"/>
      <c r="I1437" s="70"/>
      <c r="J1437" s="70"/>
      <c r="K1437" s="71"/>
      <c r="L1437" s="296"/>
      <c r="M1437" s="10">
        <f ca="1">IF(ISBLANK(K1437), TODAY()-(I1437), Table27[[#This Row],[Effectiveness Review &amp; date deemed effective]]-Table27[[#This Row],[PTO initialized date]])</f>
        <v>46067</v>
      </c>
    </row>
    <row r="1438" spans="1:13" ht="18">
      <c r="A1438" s="68"/>
      <c r="B1438" s="18" t="e">
        <f>VLOOKUP(Table27[[#This Row],[Location 
(drop-down)]],'List source'!D$2:E$71,2,FALSE)</f>
        <v>#N/A</v>
      </c>
      <c r="C1438" s="154" t="s">
        <v>2777</v>
      </c>
      <c r="D1438" s="20" t="e">
        <f t="shared" si="22"/>
        <v>#N/A</v>
      </c>
      <c r="E1438" s="68"/>
      <c r="F1438" s="10" t="e" cm="1">
        <f t="array" aca="1" ref="F143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8" s="72"/>
      <c r="I1438" s="70"/>
      <c r="J1438" s="70"/>
      <c r="K1438" s="71"/>
      <c r="L1438" s="296"/>
      <c r="M1438" s="10">
        <f ca="1">IF(ISBLANK(K1438), TODAY()-(I1438), Table27[[#This Row],[Effectiveness Review &amp; date deemed effective]]-Table27[[#This Row],[PTO initialized date]])</f>
        <v>46067</v>
      </c>
    </row>
    <row r="1439" spans="1:13" ht="18">
      <c r="A1439" s="68"/>
      <c r="B1439" s="18" t="e">
        <f>VLOOKUP(Table27[[#This Row],[Location 
(drop-down)]],'List source'!D$2:E$71,2,FALSE)</f>
        <v>#N/A</v>
      </c>
      <c r="C1439" s="154" t="s">
        <v>2778</v>
      </c>
      <c r="D1439" s="20" t="e">
        <f t="shared" si="22"/>
        <v>#N/A</v>
      </c>
      <c r="E1439" s="68"/>
      <c r="F1439" s="10" t="e" cm="1">
        <f t="array" aca="1" ref="F143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3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39" s="72"/>
      <c r="I1439" s="70"/>
      <c r="J1439" s="70"/>
      <c r="K1439" s="71"/>
      <c r="L1439" s="296"/>
      <c r="M1439" s="10">
        <f ca="1">IF(ISBLANK(K1439), TODAY()-(I1439), Table27[[#This Row],[Effectiveness Review &amp; date deemed effective]]-Table27[[#This Row],[PTO initialized date]])</f>
        <v>46067</v>
      </c>
    </row>
    <row r="1440" spans="1:13" ht="18">
      <c r="A1440" s="68"/>
      <c r="B1440" s="18" t="e">
        <f>VLOOKUP(Table27[[#This Row],[Location 
(drop-down)]],'List source'!D$2:E$71,2,FALSE)</f>
        <v>#N/A</v>
      </c>
      <c r="C1440" s="154" t="s">
        <v>2779</v>
      </c>
      <c r="D1440" s="20" t="e">
        <f t="shared" si="22"/>
        <v>#N/A</v>
      </c>
      <c r="E1440" s="68"/>
      <c r="F1440" s="10" t="e" cm="1">
        <f t="array" aca="1" ref="F144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0" s="72"/>
      <c r="I1440" s="70"/>
      <c r="J1440" s="70"/>
      <c r="K1440" s="71"/>
      <c r="L1440" s="296"/>
      <c r="M1440" s="10">
        <f ca="1">IF(ISBLANK(K1440), TODAY()-(I1440), Table27[[#This Row],[Effectiveness Review &amp; date deemed effective]]-Table27[[#This Row],[PTO initialized date]])</f>
        <v>46067</v>
      </c>
    </row>
    <row r="1441" spans="1:13" ht="18">
      <c r="A1441" s="68"/>
      <c r="B1441" s="18" t="e">
        <f>VLOOKUP(Table27[[#This Row],[Location 
(drop-down)]],'List source'!D$2:E$71,2,FALSE)</f>
        <v>#N/A</v>
      </c>
      <c r="C1441" s="154" t="s">
        <v>2780</v>
      </c>
      <c r="D1441" s="20" t="e">
        <f t="shared" si="22"/>
        <v>#N/A</v>
      </c>
      <c r="E1441" s="68"/>
      <c r="F1441" s="10" t="e" cm="1">
        <f t="array" aca="1" ref="F144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1" s="72"/>
      <c r="I1441" s="70"/>
      <c r="J1441" s="70"/>
      <c r="K1441" s="71"/>
      <c r="L1441" s="296"/>
      <c r="M1441" s="10">
        <f ca="1">IF(ISBLANK(K1441), TODAY()-(I1441), Table27[[#This Row],[Effectiveness Review &amp; date deemed effective]]-Table27[[#This Row],[PTO initialized date]])</f>
        <v>46067</v>
      </c>
    </row>
    <row r="1442" spans="1:13" ht="18">
      <c r="A1442" s="68"/>
      <c r="B1442" s="18" t="e">
        <f>VLOOKUP(Table27[[#This Row],[Location 
(drop-down)]],'List source'!D$2:E$71,2,FALSE)</f>
        <v>#N/A</v>
      </c>
      <c r="C1442" s="154" t="s">
        <v>2781</v>
      </c>
      <c r="D1442" s="20" t="e">
        <f t="shared" si="22"/>
        <v>#N/A</v>
      </c>
      <c r="E1442" s="68"/>
      <c r="F1442" s="10" t="e" cm="1">
        <f t="array" aca="1" ref="F144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2" s="72"/>
      <c r="I1442" s="70"/>
      <c r="J1442" s="70"/>
      <c r="K1442" s="71"/>
      <c r="L1442" s="296"/>
      <c r="M1442" s="10">
        <f ca="1">IF(ISBLANK(K1442), TODAY()-(I1442), Table27[[#This Row],[Effectiveness Review &amp; date deemed effective]]-Table27[[#This Row],[PTO initialized date]])</f>
        <v>46067</v>
      </c>
    </row>
    <row r="1443" spans="1:13" ht="18">
      <c r="A1443" s="68"/>
      <c r="B1443" s="18" t="e">
        <f>VLOOKUP(Table27[[#This Row],[Location 
(drop-down)]],'List source'!D$2:E$71,2,FALSE)</f>
        <v>#N/A</v>
      </c>
      <c r="C1443" s="154" t="s">
        <v>2782</v>
      </c>
      <c r="D1443" s="20" t="e">
        <f t="shared" si="22"/>
        <v>#N/A</v>
      </c>
      <c r="E1443" s="68"/>
      <c r="F1443" s="10" t="e" cm="1">
        <f t="array" aca="1" ref="F144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3" s="72"/>
      <c r="I1443" s="70"/>
      <c r="J1443" s="70"/>
      <c r="K1443" s="71"/>
      <c r="L1443" s="296"/>
      <c r="M1443" s="10">
        <f ca="1">IF(ISBLANK(K1443), TODAY()-(I1443), Table27[[#This Row],[Effectiveness Review &amp; date deemed effective]]-Table27[[#This Row],[PTO initialized date]])</f>
        <v>46067</v>
      </c>
    </row>
    <row r="1444" spans="1:13" ht="18">
      <c r="A1444" s="68"/>
      <c r="B1444" s="18" t="e">
        <f>VLOOKUP(Table27[[#This Row],[Location 
(drop-down)]],'List source'!D$2:E$71,2,FALSE)</f>
        <v>#N/A</v>
      </c>
      <c r="C1444" s="154" t="s">
        <v>2783</v>
      </c>
      <c r="D1444" s="20" t="e">
        <f t="shared" si="22"/>
        <v>#N/A</v>
      </c>
      <c r="E1444" s="68"/>
      <c r="F1444" s="10" t="e" cm="1">
        <f t="array" aca="1" ref="F144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4" s="72"/>
      <c r="I1444" s="70"/>
      <c r="J1444" s="70"/>
      <c r="K1444" s="71"/>
      <c r="L1444" s="296"/>
      <c r="M1444" s="10">
        <f ca="1">IF(ISBLANK(K1444), TODAY()-(I1444), Table27[[#This Row],[Effectiveness Review &amp; date deemed effective]]-Table27[[#This Row],[PTO initialized date]])</f>
        <v>46067</v>
      </c>
    </row>
    <row r="1445" spans="1:13" ht="18">
      <c r="A1445" s="68"/>
      <c r="B1445" s="18" t="e">
        <f>VLOOKUP(Table27[[#This Row],[Location 
(drop-down)]],'List source'!D$2:E$71,2,FALSE)</f>
        <v>#N/A</v>
      </c>
      <c r="C1445" s="154" t="s">
        <v>2784</v>
      </c>
      <c r="D1445" s="20" t="e">
        <f t="shared" si="22"/>
        <v>#N/A</v>
      </c>
      <c r="E1445" s="68"/>
      <c r="F1445" s="10" t="e" cm="1">
        <f t="array" aca="1" ref="F144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5" s="72"/>
      <c r="I1445" s="70"/>
      <c r="J1445" s="70"/>
      <c r="K1445" s="71"/>
      <c r="L1445" s="296"/>
      <c r="M1445" s="10">
        <f ca="1">IF(ISBLANK(K1445), TODAY()-(I1445), Table27[[#This Row],[Effectiveness Review &amp; date deemed effective]]-Table27[[#This Row],[PTO initialized date]])</f>
        <v>46067</v>
      </c>
    </row>
    <row r="1446" spans="1:13" ht="18">
      <c r="A1446" s="68"/>
      <c r="B1446" s="18" t="e">
        <f>VLOOKUP(Table27[[#This Row],[Location 
(drop-down)]],'List source'!D$2:E$71,2,FALSE)</f>
        <v>#N/A</v>
      </c>
      <c r="C1446" s="154" t="s">
        <v>2785</v>
      </c>
      <c r="D1446" s="20" t="e">
        <f t="shared" si="22"/>
        <v>#N/A</v>
      </c>
      <c r="E1446" s="68"/>
      <c r="F1446" s="10" t="e" cm="1">
        <f t="array" aca="1" ref="F144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6" s="72"/>
      <c r="I1446" s="70"/>
      <c r="J1446" s="70"/>
      <c r="K1446" s="71"/>
      <c r="L1446" s="296"/>
      <c r="M1446" s="10">
        <f ca="1">IF(ISBLANK(K1446), TODAY()-(I1446), Table27[[#This Row],[Effectiveness Review &amp; date deemed effective]]-Table27[[#This Row],[PTO initialized date]])</f>
        <v>46067</v>
      </c>
    </row>
    <row r="1447" spans="1:13" ht="18">
      <c r="A1447" s="68"/>
      <c r="B1447" s="18" t="e">
        <f>VLOOKUP(Table27[[#This Row],[Location 
(drop-down)]],'List source'!D$2:E$71,2,FALSE)</f>
        <v>#N/A</v>
      </c>
      <c r="C1447" s="154" t="s">
        <v>2786</v>
      </c>
      <c r="D1447" s="20" t="e">
        <f t="shared" si="22"/>
        <v>#N/A</v>
      </c>
      <c r="E1447" s="68"/>
      <c r="F1447" s="10" t="e" cm="1">
        <f t="array" aca="1" ref="F144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7" s="72"/>
      <c r="I1447" s="70"/>
      <c r="J1447" s="70"/>
      <c r="K1447" s="71"/>
      <c r="L1447" s="296"/>
      <c r="M1447" s="10">
        <f ca="1">IF(ISBLANK(K1447), TODAY()-(I1447), Table27[[#This Row],[Effectiveness Review &amp; date deemed effective]]-Table27[[#This Row],[PTO initialized date]])</f>
        <v>46067</v>
      </c>
    </row>
    <row r="1448" spans="1:13" ht="18">
      <c r="A1448" s="68"/>
      <c r="B1448" s="18" t="e">
        <f>VLOOKUP(Table27[[#This Row],[Location 
(drop-down)]],'List source'!D$2:E$71,2,FALSE)</f>
        <v>#N/A</v>
      </c>
      <c r="C1448" s="154" t="s">
        <v>2787</v>
      </c>
      <c r="D1448" s="20" t="e">
        <f t="shared" si="22"/>
        <v>#N/A</v>
      </c>
      <c r="E1448" s="68"/>
      <c r="F1448" s="10" t="e" cm="1">
        <f t="array" aca="1" ref="F144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8" s="72"/>
      <c r="I1448" s="70"/>
      <c r="J1448" s="70"/>
      <c r="K1448" s="71"/>
      <c r="L1448" s="296"/>
      <c r="M1448" s="10">
        <f ca="1">IF(ISBLANK(K1448), TODAY()-(I1448), Table27[[#This Row],[Effectiveness Review &amp; date deemed effective]]-Table27[[#This Row],[PTO initialized date]])</f>
        <v>46067</v>
      </c>
    </row>
    <row r="1449" spans="1:13" ht="18">
      <c r="A1449" s="68"/>
      <c r="B1449" s="18" t="e">
        <f>VLOOKUP(Table27[[#This Row],[Location 
(drop-down)]],'List source'!D$2:E$71,2,FALSE)</f>
        <v>#N/A</v>
      </c>
      <c r="C1449" s="154" t="s">
        <v>2788</v>
      </c>
      <c r="D1449" s="20" t="e">
        <f t="shared" si="22"/>
        <v>#N/A</v>
      </c>
      <c r="E1449" s="68"/>
      <c r="F1449" s="10" t="e" cm="1">
        <f t="array" aca="1" ref="F144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4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49" s="72"/>
      <c r="I1449" s="70"/>
      <c r="J1449" s="70"/>
      <c r="K1449" s="71"/>
      <c r="L1449" s="296"/>
      <c r="M1449" s="10">
        <f ca="1">IF(ISBLANK(K1449), TODAY()-(I1449), Table27[[#This Row],[Effectiveness Review &amp; date deemed effective]]-Table27[[#This Row],[PTO initialized date]])</f>
        <v>46067</v>
      </c>
    </row>
    <row r="1450" spans="1:13" ht="18">
      <c r="A1450" s="68"/>
      <c r="B1450" s="18" t="e">
        <f>VLOOKUP(Table27[[#This Row],[Location 
(drop-down)]],'List source'!D$2:E$71,2,FALSE)</f>
        <v>#N/A</v>
      </c>
      <c r="C1450" s="154" t="s">
        <v>2789</v>
      </c>
      <c r="D1450" s="20" t="e">
        <f t="shared" si="22"/>
        <v>#N/A</v>
      </c>
      <c r="E1450" s="68"/>
      <c r="F1450" s="10" t="e" cm="1">
        <f t="array" aca="1" ref="F145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0" s="72"/>
      <c r="I1450" s="70"/>
      <c r="J1450" s="70"/>
      <c r="K1450" s="71"/>
      <c r="L1450" s="296"/>
      <c r="M1450" s="10">
        <f ca="1">IF(ISBLANK(K1450), TODAY()-(I1450), Table27[[#This Row],[Effectiveness Review &amp; date deemed effective]]-Table27[[#This Row],[PTO initialized date]])</f>
        <v>46067</v>
      </c>
    </row>
    <row r="1451" spans="1:13" ht="18">
      <c r="A1451" s="68"/>
      <c r="B1451" s="18" t="e">
        <f>VLOOKUP(Table27[[#This Row],[Location 
(drop-down)]],'List source'!D$2:E$71,2,FALSE)</f>
        <v>#N/A</v>
      </c>
      <c r="C1451" s="154" t="s">
        <v>2790</v>
      </c>
      <c r="D1451" s="20" t="e">
        <f t="shared" si="22"/>
        <v>#N/A</v>
      </c>
      <c r="E1451" s="68"/>
      <c r="F1451" s="10" t="e" cm="1">
        <f t="array" aca="1" ref="F145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1" s="72"/>
      <c r="I1451" s="70"/>
      <c r="J1451" s="70"/>
      <c r="K1451" s="71"/>
      <c r="L1451" s="296"/>
      <c r="M1451" s="10">
        <f ca="1">IF(ISBLANK(K1451), TODAY()-(I1451), Table27[[#This Row],[Effectiveness Review &amp; date deemed effective]]-Table27[[#This Row],[PTO initialized date]])</f>
        <v>46067</v>
      </c>
    </row>
    <row r="1452" spans="1:13" ht="18">
      <c r="A1452" s="68"/>
      <c r="B1452" s="18" t="e">
        <f>VLOOKUP(Table27[[#This Row],[Location 
(drop-down)]],'List source'!D$2:E$71,2,FALSE)</f>
        <v>#N/A</v>
      </c>
      <c r="C1452" s="154" t="s">
        <v>2791</v>
      </c>
      <c r="D1452" s="20" t="e">
        <f t="shared" si="22"/>
        <v>#N/A</v>
      </c>
      <c r="E1452" s="68"/>
      <c r="F1452" s="10" t="e" cm="1">
        <f t="array" aca="1" ref="F145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2" s="72"/>
      <c r="I1452" s="70"/>
      <c r="J1452" s="70"/>
      <c r="K1452" s="71"/>
      <c r="L1452" s="296"/>
      <c r="M1452" s="10">
        <f ca="1">IF(ISBLANK(K1452), TODAY()-(I1452), Table27[[#This Row],[Effectiveness Review &amp; date deemed effective]]-Table27[[#This Row],[PTO initialized date]])</f>
        <v>46067</v>
      </c>
    </row>
    <row r="1453" spans="1:13" ht="18">
      <c r="A1453" s="68"/>
      <c r="B1453" s="18" t="e">
        <f>VLOOKUP(Table27[[#This Row],[Location 
(drop-down)]],'List source'!D$2:E$71,2,FALSE)</f>
        <v>#N/A</v>
      </c>
      <c r="C1453" s="154" t="s">
        <v>2792</v>
      </c>
      <c r="D1453" s="20" t="e">
        <f t="shared" si="22"/>
        <v>#N/A</v>
      </c>
      <c r="E1453" s="68"/>
      <c r="F1453" s="10" t="e" cm="1">
        <f t="array" aca="1" ref="F145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3" s="72"/>
      <c r="I1453" s="70"/>
      <c r="J1453" s="70"/>
      <c r="K1453" s="71"/>
      <c r="L1453" s="296"/>
      <c r="M1453" s="10">
        <f ca="1">IF(ISBLANK(K1453), TODAY()-(I1453), Table27[[#This Row],[Effectiveness Review &amp; date deemed effective]]-Table27[[#This Row],[PTO initialized date]])</f>
        <v>46067</v>
      </c>
    </row>
    <row r="1454" spans="1:13" ht="18">
      <c r="A1454" s="68"/>
      <c r="B1454" s="18" t="e">
        <f>VLOOKUP(Table27[[#This Row],[Location 
(drop-down)]],'List source'!D$2:E$71,2,FALSE)</f>
        <v>#N/A</v>
      </c>
      <c r="C1454" s="154" t="s">
        <v>2793</v>
      </c>
      <c r="D1454" s="20" t="e">
        <f t="shared" si="22"/>
        <v>#N/A</v>
      </c>
      <c r="E1454" s="68"/>
      <c r="F1454" s="10" t="e" cm="1">
        <f t="array" aca="1" ref="F145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4" s="72"/>
      <c r="I1454" s="70"/>
      <c r="J1454" s="70"/>
      <c r="K1454" s="71"/>
      <c r="L1454" s="296"/>
      <c r="M1454" s="10">
        <f ca="1">IF(ISBLANK(K1454), TODAY()-(I1454), Table27[[#This Row],[Effectiveness Review &amp; date deemed effective]]-Table27[[#This Row],[PTO initialized date]])</f>
        <v>46067</v>
      </c>
    </row>
    <row r="1455" spans="1:13" ht="18">
      <c r="A1455" s="68"/>
      <c r="B1455" s="18" t="e">
        <f>VLOOKUP(Table27[[#This Row],[Location 
(drop-down)]],'List source'!D$2:E$71,2,FALSE)</f>
        <v>#N/A</v>
      </c>
      <c r="C1455" s="154" t="s">
        <v>2794</v>
      </c>
      <c r="D1455" s="20" t="e">
        <f t="shared" si="22"/>
        <v>#N/A</v>
      </c>
      <c r="E1455" s="68"/>
      <c r="F1455" s="10" t="e" cm="1">
        <f t="array" aca="1" ref="F145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5" s="72"/>
      <c r="I1455" s="70"/>
      <c r="J1455" s="70"/>
      <c r="K1455" s="71"/>
      <c r="L1455" s="296"/>
      <c r="M1455" s="10">
        <f ca="1">IF(ISBLANK(K1455), TODAY()-(I1455), Table27[[#This Row],[Effectiveness Review &amp; date deemed effective]]-Table27[[#This Row],[PTO initialized date]])</f>
        <v>46067</v>
      </c>
    </row>
    <row r="1456" spans="1:13" ht="18">
      <c r="A1456" s="68"/>
      <c r="B1456" s="18" t="e">
        <f>VLOOKUP(Table27[[#This Row],[Location 
(drop-down)]],'List source'!D$2:E$71,2,FALSE)</f>
        <v>#N/A</v>
      </c>
      <c r="C1456" s="154" t="s">
        <v>2795</v>
      </c>
      <c r="D1456" s="20" t="e">
        <f t="shared" si="22"/>
        <v>#N/A</v>
      </c>
      <c r="E1456" s="68"/>
      <c r="F1456" s="10" t="e" cm="1">
        <f t="array" aca="1" ref="F145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6" s="72"/>
      <c r="I1456" s="70"/>
      <c r="J1456" s="70"/>
      <c r="K1456" s="71"/>
      <c r="L1456" s="296"/>
      <c r="M1456" s="10">
        <f ca="1">IF(ISBLANK(K1456), TODAY()-(I1456), Table27[[#This Row],[Effectiveness Review &amp; date deemed effective]]-Table27[[#This Row],[PTO initialized date]])</f>
        <v>46067</v>
      </c>
    </row>
    <row r="1457" spans="1:13" ht="18">
      <c r="A1457" s="68"/>
      <c r="B1457" s="18" t="e">
        <f>VLOOKUP(Table27[[#This Row],[Location 
(drop-down)]],'List source'!D$2:E$71,2,FALSE)</f>
        <v>#N/A</v>
      </c>
      <c r="C1457" s="154" t="s">
        <v>2796</v>
      </c>
      <c r="D1457" s="20" t="e">
        <f t="shared" si="22"/>
        <v>#N/A</v>
      </c>
      <c r="E1457" s="68"/>
      <c r="F1457" s="10" t="e" cm="1">
        <f t="array" aca="1" ref="F145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7" s="72"/>
      <c r="I1457" s="70"/>
      <c r="J1457" s="70"/>
      <c r="K1457" s="71"/>
      <c r="L1457" s="296"/>
      <c r="M1457" s="10">
        <f ca="1">IF(ISBLANK(K1457), TODAY()-(I1457), Table27[[#This Row],[Effectiveness Review &amp; date deemed effective]]-Table27[[#This Row],[PTO initialized date]])</f>
        <v>46067</v>
      </c>
    </row>
    <row r="1458" spans="1:13" ht="18">
      <c r="A1458" s="68"/>
      <c r="B1458" s="18" t="e">
        <f>VLOOKUP(Table27[[#This Row],[Location 
(drop-down)]],'List source'!D$2:E$71,2,FALSE)</f>
        <v>#N/A</v>
      </c>
      <c r="C1458" s="154" t="s">
        <v>2797</v>
      </c>
      <c r="D1458" s="20" t="e">
        <f t="shared" si="22"/>
        <v>#N/A</v>
      </c>
      <c r="E1458" s="68"/>
      <c r="F1458" s="10" t="e" cm="1">
        <f t="array" aca="1" ref="F145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8" s="72"/>
      <c r="I1458" s="70"/>
      <c r="J1458" s="70"/>
      <c r="K1458" s="71"/>
      <c r="L1458" s="296"/>
      <c r="M1458" s="10">
        <f ca="1">IF(ISBLANK(K1458), TODAY()-(I1458), Table27[[#This Row],[Effectiveness Review &amp; date deemed effective]]-Table27[[#This Row],[PTO initialized date]])</f>
        <v>46067</v>
      </c>
    </row>
    <row r="1459" spans="1:13" ht="18">
      <c r="A1459" s="68"/>
      <c r="B1459" s="18" t="e">
        <f>VLOOKUP(Table27[[#This Row],[Location 
(drop-down)]],'List source'!D$2:E$71,2,FALSE)</f>
        <v>#N/A</v>
      </c>
      <c r="C1459" s="154" t="s">
        <v>2798</v>
      </c>
      <c r="D1459" s="20" t="e">
        <f t="shared" si="22"/>
        <v>#N/A</v>
      </c>
      <c r="E1459" s="68"/>
      <c r="F1459" s="10" t="e" cm="1">
        <f t="array" aca="1" ref="F145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5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59" s="72"/>
      <c r="I1459" s="70"/>
      <c r="J1459" s="70"/>
      <c r="K1459" s="71"/>
      <c r="L1459" s="296"/>
      <c r="M1459" s="10">
        <f ca="1">IF(ISBLANK(K1459), TODAY()-(I1459), Table27[[#This Row],[Effectiveness Review &amp; date deemed effective]]-Table27[[#This Row],[PTO initialized date]])</f>
        <v>46067</v>
      </c>
    </row>
    <row r="1460" spans="1:13" ht="18">
      <c r="A1460" s="68"/>
      <c r="B1460" s="18" t="e">
        <f>VLOOKUP(Table27[[#This Row],[Location 
(drop-down)]],'List source'!D$2:E$71,2,FALSE)</f>
        <v>#N/A</v>
      </c>
      <c r="C1460" s="154" t="s">
        <v>2799</v>
      </c>
      <c r="D1460" s="20" t="e">
        <f t="shared" si="22"/>
        <v>#N/A</v>
      </c>
      <c r="E1460" s="68"/>
      <c r="F1460" s="10" t="e" cm="1">
        <f t="array" aca="1" ref="F146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0" s="72"/>
      <c r="I1460" s="70"/>
      <c r="J1460" s="70"/>
      <c r="K1460" s="71"/>
      <c r="L1460" s="296"/>
      <c r="M1460" s="10">
        <f ca="1">IF(ISBLANK(K1460), TODAY()-(I1460), Table27[[#This Row],[Effectiveness Review &amp; date deemed effective]]-Table27[[#This Row],[PTO initialized date]])</f>
        <v>46067</v>
      </c>
    </row>
    <row r="1461" spans="1:13" ht="18">
      <c r="A1461" s="68"/>
      <c r="B1461" s="18" t="e">
        <f>VLOOKUP(Table27[[#This Row],[Location 
(drop-down)]],'List source'!D$2:E$71,2,FALSE)</f>
        <v>#N/A</v>
      </c>
      <c r="C1461" s="154" t="s">
        <v>2800</v>
      </c>
      <c r="D1461" s="20" t="e">
        <f t="shared" si="22"/>
        <v>#N/A</v>
      </c>
      <c r="E1461" s="68"/>
      <c r="F1461" s="10" t="e" cm="1">
        <f t="array" aca="1" ref="F146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1" s="72"/>
      <c r="I1461" s="70"/>
      <c r="J1461" s="70"/>
      <c r="K1461" s="71"/>
      <c r="L1461" s="296"/>
      <c r="M1461" s="10">
        <f ca="1">IF(ISBLANK(K1461), TODAY()-(I1461), Table27[[#This Row],[Effectiveness Review &amp; date deemed effective]]-Table27[[#This Row],[PTO initialized date]])</f>
        <v>46067</v>
      </c>
    </row>
    <row r="1462" spans="1:13" ht="18">
      <c r="A1462" s="68"/>
      <c r="B1462" s="18" t="e">
        <f>VLOOKUP(Table27[[#This Row],[Location 
(drop-down)]],'List source'!D$2:E$71,2,FALSE)</f>
        <v>#N/A</v>
      </c>
      <c r="C1462" s="154" t="s">
        <v>2801</v>
      </c>
      <c r="D1462" s="20" t="e">
        <f t="shared" si="22"/>
        <v>#N/A</v>
      </c>
      <c r="E1462" s="68"/>
      <c r="F1462" s="10" t="e" cm="1">
        <f t="array" aca="1" ref="F146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2" s="72"/>
      <c r="I1462" s="70"/>
      <c r="J1462" s="70"/>
      <c r="K1462" s="71"/>
      <c r="L1462" s="296"/>
      <c r="M1462" s="10">
        <f ca="1">IF(ISBLANK(K1462), TODAY()-(I1462), Table27[[#This Row],[Effectiveness Review &amp; date deemed effective]]-Table27[[#This Row],[PTO initialized date]])</f>
        <v>46067</v>
      </c>
    </row>
    <row r="1463" spans="1:13" ht="18">
      <c r="A1463" s="68"/>
      <c r="B1463" s="18" t="e">
        <f>VLOOKUP(Table27[[#This Row],[Location 
(drop-down)]],'List source'!D$2:E$71,2,FALSE)</f>
        <v>#N/A</v>
      </c>
      <c r="C1463" s="154" t="s">
        <v>2802</v>
      </c>
      <c r="D1463" s="20" t="e">
        <f t="shared" si="22"/>
        <v>#N/A</v>
      </c>
      <c r="E1463" s="68"/>
      <c r="F1463" s="10" t="e" cm="1">
        <f t="array" aca="1" ref="F146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3" s="72"/>
      <c r="I1463" s="70"/>
      <c r="J1463" s="70"/>
      <c r="K1463" s="71"/>
      <c r="L1463" s="296"/>
      <c r="M1463" s="10">
        <f ca="1">IF(ISBLANK(K1463), TODAY()-(I1463), Table27[[#This Row],[Effectiveness Review &amp; date deemed effective]]-Table27[[#This Row],[PTO initialized date]])</f>
        <v>46067</v>
      </c>
    </row>
    <row r="1464" spans="1:13" ht="18">
      <c r="A1464" s="68"/>
      <c r="B1464" s="18" t="e">
        <f>VLOOKUP(Table27[[#This Row],[Location 
(drop-down)]],'List source'!D$2:E$71,2,FALSE)</f>
        <v>#N/A</v>
      </c>
      <c r="C1464" s="154" t="s">
        <v>2803</v>
      </c>
      <c r="D1464" s="20" t="e">
        <f t="shared" si="22"/>
        <v>#N/A</v>
      </c>
      <c r="E1464" s="68"/>
      <c r="F1464" s="10" t="e" cm="1">
        <f t="array" aca="1" ref="F146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4" s="72"/>
      <c r="I1464" s="70"/>
      <c r="J1464" s="70"/>
      <c r="K1464" s="71"/>
      <c r="L1464" s="296"/>
      <c r="M1464" s="10">
        <f ca="1">IF(ISBLANK(K1464), TODAY()-(I1464), Table27[[#This Row],[Effectiveness Review &amp; date deemed effective]]-Table27[[#This Row],[PTO initialized date]])</f>
        <v>46067</v>
      </c>
    </row>
    <row r="1465" spans="1:13" ht="18">
      <c r="A1465" s="68"/>
      <c r="B1465" s="18" t="e">
        <f>VLOOKUP(Table27[[#This Row],[Location 
(drop-down)]],'List source'!D$2:E$71,2,FALSE)</f>
        <v>#N/A</v>
      </c>
      <c r="C1465" s="154" t="s">
        <v>2804</v>
      </c>
      <c r="D1465" s="20" t="e">
        <f t="shared" si="22"/>
        <v>#N/A</v>
      </c>
      <c r="E1465" s="68"/>
      <c r="F1465" s="10" t="e" cm="1">
        <f t="array" aca="1" ref="F146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5" s="72"/>
      <c r="I1465" s="70"/>
      <c r="J1465" s="70"/>
      <c r="K1465" s="71"/>
      <c r="L1465" s="296"/>
      <c r="M1465" s="10">
        <f ca="1">IF(ISBLANK(K1465), TODAY()-(I1465), Table27[[#This Row],[Effectiveness Review &amp; date deemed effective]]-Table27[[#This Row],[PTO initialized date]])</f>
        <v>46067</v>
      </c>
    </row>
    <row r="1466" spans="1:13" ht="18">
      <c r="A1466" s="68"/>
      <c r="B1466" s="18" t="e">
        <f>VLOOKUP(Table27[[#This Row],[Location 
(drop-down)]],'List source'!D$2:E$71,2,FALSE)</f>
        <v>#N/A</v>
      </c>
      <c r="C1466" s="154" t="s">
        <v>2805</v>
      </c>
      <c r="D1466" s="20" t="e">
        <f t="shared" si="22"/>
        <v>#N/A</v>
      </c>
      <c r="E1466" s="68"/>
      <c r="F1466" s="10" t="e" cm="1">
        <f t="array" aca="1" ref="F146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6" s="72"/>
      <c r="I1466" s="70"/>
      <c r="J1466" s="70"/>
      <c r="K1466" s="71"/>
      <c r="L1466" s="296"/>
      <c r="M1466" s="10">
        <f ca="1">IF(ISBLANK(K1466), TODAY()-(I1466), Table27[[#This Row],[Effectiveness Review &amp; date deemed effective]]-Table27[[#This Row],[PTO initialized date]])</f>
        <v>46067</v>
      </c>
    </row>
    <row r="1467" spans="1:13" ht="18">
      <c r="A1467" s="68"/>
      <c r="B1467" s="18" t="e">
        <f>VLOOKUP(Table27[[#This Row],[Location 
(drop-down)]],'List source'!D$2:E$71,2,FALSE)</f>
        <v>#N/A</v>
      </c>
      <c r="C1467" s="154" t="s">
        <v>2806</v>
      </c>
      <c r="D1467" s="20" t="e">
        <f t="shared" si="22"/>
        <v>#N/A</v>
      </c>
      <c r="E1467" s="68"/>
      <c r="F1467" s="10" t="e" cm="1">
        <f t="array" aca="1" ref="F146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7" s="72"/>
      <c r="I1467" s="70"/>
      <c r="J1467" s="70"/>
      <c r="K1467" s="71"/>
      <c r="L1467" s="296"/>
      <c r="M1467" s="10">
        <f ca="1">IF(ISBLANK(K1467), TODAY()-(I1467), Table27[[#This Row],[Effectiveness Review &amp; date deemed effective]]-Table27[[#This Row],[PTO initialized date]])</f>
        <v>46067</v>
      </c>
    </row>
    <row r="1468" spans="1:13" ht="18">
      <c r="A1468" s="68"/>
      <c r="B1468" s="18" t="e">
        <f>VLOOKUP(Table27[[#This Row],[Location 
(drop-down)]],'List source'!D$2:E$71,2,FALSE)</f>
        <v>#N/A</v>
      </c>
      <c r="C1468" s="154" t="s">
        <v>2807</v>
      </c>
      <c r="D1468" s="20" t="e">
        <f t="shared" si="22"/>
        <v>#N/A</v>
      </c>
      <c r="E1468" s="68"/>
      <c r="F1468" s="10" t="e" cm="1">
        <f t="array" aca="1" ref="F146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8" s="72"/>
      <c r="I1468" s="70"/>
      <c r="J1468" s="70"/>
      <c r="K1468" s="71"/>
      <c r="L1468" s="296"/>
      <c r="M1468" s="10">
        <f ca="1">IF(ISBLANK(K1468), TODAY()-(I1468), Table27[[#This Row],[Effectiveness Review &amp; date deemed effective]]-Table27[[#This Row],[PTO initialized date]])</f>
        <v>46067</v>
      </c>
    </row>
    <row r="1469" spans="1:13" ht="18">
      <c r="A1469" s="68"/>
      <c r="B1469" s="18" t="e">
        <f>VLOOKUP(Table27[[#This Row],[Location 
(drop-down)]],'List source'!D$2:E$71,2,FALSE)</f>
        <v>#N/A</v>
      </c>
      <c r="C1469" s="154" t="s">
        <v>2808</v>
      </c>
      <c r="D1469" s="20" t="e">
        <f t="shared" si="22"/>
        <v>#N/A</v>
      </c>
      <c r="E1469" s="68"/>
      <c r="F1469" s="10" t="e" cm="1">
        <f t="array" aca="1" ref="F146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6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69" s="72"/>
      <c r="I1469" s="70"/>
      <c r="J1469" s="70"/>
      <c r="K1469" s="71"/>
      <c r="L1469" s="296"/>
      <c r="M1469" s="10">
        <f ca="1">IF(ISBLANK(K1469), TODAY()-(I1469), Table27[[#This Row],[Effectiveness Review &amp; date deemed effective]]-Table27[[#This Row],[PTO initialized date]])</f>
        <v>46067</v>
      </c>
    </row>
    <row r="1470" spans="1:13" ht="18">
      <c r="A1470" s="68"/>
      <c r="B1470" s="18" t="e">
        <f>VLOOKUP(Table27[[#This Row],[Location 
(drop-down)]],'List source'!D$2:E$71,2,FALSE)</f>
        <v>#N/A</v>
      </c>
      <c r="C1470" s="154" t="s">
        <v>2809</v>
      </c>
      <c r="D1470" s="20" t="e">
        <f t="shared" si="22"/>
        <v>#N/A</v>
      </c>
      <c r="E1470" s="68"/>
      <c r="F1470" s="10" t="e" cm="1">
        <f t="array" aca="1" ref="F147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0" s="72"/>
      <c r="I1470" s="70"/>
      <c r="J1470" s="70"/>
      <c r="K1470" s="71"/>
      <c r="L1470" s="296"/>
      <c r="M1470" s="10">
        <f ca="1">IF(ISBLANK(K1470), TODAY()-(I1470), Table27[[#This Row],[Effectiveness Review &amp; date deemed effective]]-Table27[[#This Row],[PTO initialized date]])</f>
        <v>46067</v>
      </c>
    </row>
    <row r="1471" spans="1:13" ht="18">
      <c r="A1471" s="68"/>
      <c r="B1471" s="18" t="e">
        <f>VLOOKUP(Table27[[#This Row],[Location 
(drop-down)]],'List source'!D$2:E$71,2,FALSE)</f>
        <v>#N/A</v>
      </c>
      <c r="C1471" s="154" t="s">
        <v>2810</v>
      </c>
      <c r="D1471" s="20" t="e">
        <f t="shared" si="22"/>
        <v>#N/A</v>
      </c>
      <c r="E1471" s="68"/>
      <c r="F1471" s="10" t="e" cm="1">
        <f t="array" aca="1" ref="F147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1" s="72"/>
      <c r="I1471" s="70"/>
      <c r="J1471" s="70"/>
      <c r="K1471" s="71"/>
      <c r="L1471" s="296"/>
      <c r="M1471" s="10">
        <f ca="1">IF(ISBLANK(K1471), TODAY()-(I1471), Table27[[#This Row],[Effectiveness Review &amp; date deemed effective]]-Table27[[#This Row],[PTO initialized date]])</f>
        <v>46067</v>
      </c>
    </row>
    <row r="1472" spans="1:13" ht="18">
      <c r="A1472" s="68"/>
      <c r="B1472" s="18" t="e">
        <f>VLOOKUP(Table27[[#This Row],[Location 
(drop-down)]],'List source'!D$2:E$71,2,FALSE)</f>
        <v>#N/A</v>
      </c>
      <c r="C1472" s="154" t="s">
        <v>2811</v>
      </c>
      <c r="D1472" s="20" t="e">
        <f t="shared" si="22"/>
        <v>#N/A</v>
      </c>
      <c r="E1472" s="68"/>
      <c r="F1472" s="10" t="e" cm="1">
        <f t="array" aca="1" ref="F147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2" s="72"/>
      <c r="I1472" s="70"/>
      <c r="J1472" s="70"/>
      <c r="K1472" s="71"/>
      <c r="L1472" s="296"/>
      <c r="M1472" s="10">
        <f ca="1">IF(ISBLANK(K1472), TODAY()-(I1472), Table27[[#This Row],[Effectiveness Review &amp; date deemed effective]]-Table27[[#This Row],[PTO initialized date]])</f>
        <v>46067</v>
      </c>
    </row>
    <row r="1473" spans="1:13" ht="18">
      <c r="A1473" s="68"/>
      <c r="B1473" s="18" t="e">
        <f>VLOOKUP(Table27[[#This Row],[Location 
(drop-down)]],'List source'!D$2:E$71,2,FALSE)</f>
        <v>#N/A</v>
      </c>
      <c r="C1473" s="154" t="s">
        <v>2812</v>
      </c>
      <c r="D1473" s="20" t="e">
        <f t="shared" si="22"/>
        <v>#N/A</v>
      </c>
      <c r="E1473" s="68"/>
      <c r="F1473" s="10" t="e" cm="1">
        <f t="array" aca="1" ref="F147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3" s="72"/>
      <c r="I1473" s="70"/>
      <c r="J1473" s="70"/>
      <c r="K1473" s="71"/>
      <c r="L1473" s="296"/>
      <c r="M1473" s="10">
        <f ca="1">IF(ISBLANK(K1473), TODAY()-(I1473), Table27[[#This Row],[Effectiveness Review &amp; date deemed effective]]-Table27[[#This Row],[PTO initialized date]])</f>
        <v>46067</v>
      </c>
    </row>
    <row r="1474" spans="1:13" ht="18">
      <c r="A1474" s="68"/>
      <c r="B1474" s="18" t="e">
        <f>VLOOKUP(Table27[[#This Row],[Location 
(drop-down)]],'List source'!D$2:E$71,2,FALSE)</f>
        <v>#N/A</v>
      </c>
      <c r="C1474" s="154" t="s">
        <v>2813</v>
      </c>
      <c r="D1474" s="20" t="e">
        <f t="shared" ref="D1474:D1502" si="23">"PTO" &amp; C1474 &amp; "-" &amp; B1474 &amp; "-" &amp; "26"</f>
        <v>#N/A</v>
      </c>
      <c r="E1474" s="68"/>
      <c r="F1474" s="10" t="e" cm="1">
        <f t="array" aca="1" ref="F147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4" s="72"/>
      <c r="I1474" s="70"/>
      <c r="J1474" s="70"/>
      <c r="K1474" s="71"/>
      <c r="L1474" s="296"/>
      <c r="M1474" s="10">
        <f ca="1">IF(ISBLANK(K1474), TODAY()-(I1474), Table27[[#This Row],[Effectiveness Review &amp; date deemed effective]]-Table27[[#This Row],[PTO initialized date]])</f>
        <v>46067</v>
      </c>
    </row>
    <row r="1475" spans="1:13" ht="18">
      <c r="A1475" s="68"/>
      <c r="B1475" s="18" t="e">
        <f>VLOOKUP(Table27[[#This Row],[Location 
(drop-down)]],'List source'!D$2:E$71,2,FALSE)</f>
        <v>#N/A</v>
      </c>
      <c r="C1475" s="154" t="s">
        <v>2814</v>
      </c>
      <c r="D1475" s="20" t="e">
        <f t="shared" si="23"/>
        <v>#N/A</v>
      </c>
      <c r="E1475" s="68"/>
      <c r="F1475" s="10" t="e" cm="1">
        <f t="array" aca="1" ref="F147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5" s="72"/>
      <c r="I1475" s="70"/>
      <c r="J1475" s="70"/>
      <c r="K1475" s="71"/>
      <c r="L1475" s="296"/>
      <c r="M1475" s="10">
        <f ca="1">IF(ISBLANK(K1475), TODAY()-(I1475), Table27[[#This Row],[Effectiveness Review &amp; date deemed effective]]-Table27[[#This Row],[PTO initialized date]])</f>
        <v>46067</v>
      </c>
    </row>
    <row r="1476" spans="1:13" ht="18">
      <c r="A1476" s="68"/>
      <c r="B1476" s="18" t="e">
        <f>VLOOKUP(Table27[[#This Row],[Location 
(drop-down)]],'List source'!D$2:E$71,2,FALSE)</f>
        <v>#N/A</v>
      </c>
      <c r="C1476" s="154" t="s">
        <v>2815</v>
      </c>
      <c r="D1476" s="20" t="e">
        <f t="shared" si="23"/>
        <v>#N/A</v>
      </c>
      <c r="E1476" s="68"/>
      <c r="F1476" s="10" t="e" cm="1">
        <f t="array" aca="1" ref="F147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6" s="72"/>
      <c r="I1476" s="70"/>
      <c r="J1476" s="70"/>
      <c r="K1476" s="71"/>
      <c r="L1476" s="296"/>
      <c r="M1476" s="10">
        <f ca="1">IF(ISBLANK(K1476), TODAY()-(I1476), Table27[[#This Row],[Effectiveness Review &amp; date deemed effective]]-Table27[[#This Row],[PTO initialized date]])</f>
        <v>46067</v>
      </c>
    </row>
    <row r="1477" spans="1:13" ht="18">
      <c r="A1477" s="68"/>
      <c r="B1477" s="18" t="e">
        <f>VLOOKUP(Table27[[#This Row],[Location 
(drop-down)]],'List source'!D$2:E$71,2,FALSE)</f>
        <v>#N/A</v>
      </c>
      <c r="C1477" s="154" t="s">
        <v>2816</v>
      </c>
      <c r="D1477" s="20" t="e">
        <f t="shared" si="23"/>
        <v>#N/A</v>
      </c>
      <c r="E1477" s="68"/>
      <c r="F1477" s="10" t="e" cm="1">
        <f t="array" aca="1" ref="F147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7" s="72"/>
      <c r="I1477" s="70"/>
      <c r="J1477" s="70"/>
      <c r="K1477" s="71"/>
      <c r="L1477" s="296"/>
      <c r="M1477" s="10">
        <f ca="1">IF(ISBLANK(K1477), TODAY()-(I1477), Table27[[#This Row],[Effectiveness Review &amp; date deemed effective]]-Table27[[#This Row],[PTO initialized date]])</f>
        <v>46067</v>
      </c>
    </row>
    <row r="1478" spans="1:13" ht="18">
      <c r="A1478" s="68"/>
      <c r="B1478" s="18" t="e">
        <f>VLOOKUP(Table27[[#This Row],[Location 
(drop-down)]],'List source'!D$2:E$71,2,FALSE)</f>
        <v>#N/A</v>
      </c>
      <c r="C1478" s="154" t="s">
        <v>2817</v>
      </c>
      <c r="D1478" s="20" t="e">
        <f t="shared" si="23"/>
        <v>#N/A</v>
      </c>
      <c r="E1478" s="68"/>
      <c r="F1478" s="10" t="e" cm="1">
        <f t="array" aca="1" ref="F147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8" s="72"/>
      <c r="I1478" s="70"/>
      <c r="J1478" s="70"/>
      <c r="K1478" s="71"/>
      <c r="L1478" s="296"/>
      <c r="M1478" s="10">
        <f ca="1">IF(ISBLANK(K1478), TODAY()-(I1478), Table27[[#This Row],[Effectiveness Review &amp; date deemed effective]]-Table27[[#This Row],[PTO initialized date]])</f>
        <v>46067</v>
      </c>
    </row>
    <row r="1479" spans="1:13" ht="18">
      <c r="A1479" s="68"/>
      <c r="B1479" s="18" t="e">
        <f>VLOOKUP(Table27[[#This Row],[Location 
(drop-down)]],'List source'!D$2:E$71,2,FALSE)</f>
        <v>#N/A</v>
      </c>
      <c r="C1479" s="154" t="s">
        <v>2818</v>
      </c>
      <c r="D1479" s="20" t="e">
        <f t="shared" si="23"/>
        <v>#N/A</v>
      </c>
      <c r="E1479" s="68"/>
      <c r="F1479" s="10" t="e" cm="1">
        <f t="array" aca="1" ref="F147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7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79" s="72"/>
      <c r="I1479" s="70"/>
      <c r="J1479" s="70"/>
      <c r="K1479" s="71"/>
      <c r="L1479" s="296"/>
      <c r="M1479" s="10">
        <f ca="1">IF(ISBLANK(K1479), TODAY()-(I1479), Table27[[#This Row],[Effectiveness Review &amp; date deemed effective]]-Table27[[#This Row],[PTO initialized date]])</f>
        <v>46067</v>
      </c>
    </row>
    <row r="1480" spans="1:13" ht="18">
      <c r="A1480" s="68"/>
      <c r="B1480" s="18" t="e">
        <f>VLOOKUP(Table27[[#This Row],[Location 
(drop-down)]],'List source'!D$2:E$71,2,FALSE)</f>
        <v>#N/A</v>
      </c>
      <c r="C1480" s="154" t="s">
        <v>2819</v>
      </c>
      <c r="D1480" s="20" t="e">
        <f t="shared" si="23"/>
        <v>#N/A</v>
      </c>
      <c r="E1480" s="68"/>
      <c r="F1480" s="10" t="e" cm="1">
        <f t="array" aca="1" ref="F148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0" s="72"/>
      <c r="I1480" s="70"/>
      <c r="J1480" s="70"/>
      <c r="K1480" s="71"/>
      <c r="L1480" s="296"/>
      <c r="M1480" s="10">
        <f ca="1">IF(ISBLANK(K1480), TODAY()-(I1480), Table27[[#This Row],[Effectiveness Review &amp; date deemed effective]]-Table27[[#This Row],[PTO initialized date]])</f>
        <v>46067</v>
      </c>
    </row>
    <row r="1481" spans="1:13" ht="18">
      <c r="A1481" s="68"/>
      <c r="B1481" s="18" t="e">
        <f>VLOOKUP(Table27[[#This Row],[Location 
(drop-down)]],'List source'!D$2:E$71,2,FALSE)</f>
        <v>#N/A</v>
      </c>
      <c r="C1481" s="154" t="s">
        <v>2820</v>
      </c>
      <c r="D1481" s="20" t="e">
        <f t="shared" si="23"/>
        <v>#N/A</v>
      </c>
      <c r="E1481" s="68"/>
      <c r="F1481" s="10" t="e" cm="1">
        <f t="array" aca="1" ref="F148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1" s="72"/>
      <c r="I1481" s="70"/>
      <c r="J1481" s="70"/>
      <c r="K1481" s="71"/>
      <c r="L1481" s="296"/>
      <c r="M1481" s="10">
        <f ca="1">IF(ISBLANK(K1481), TODAY()-(I1481), Table27[[#This Row],[Effectiveness Review &amp; date deemed effective]]-Table27[[#This Row],[PTO initialized date]])</f>
        <v>46067</v>
      </c>
    </row>
    <row r="1482" spans="1:13" ht="18">
      <c r="A1482" s="68"/>
      <c r="B1482" s="18" t="e">
        <f>VLOOKUP(Table27[[#This Row],[Location 
(drop-down)]],'List source'!D$2:E$71,2,FALSE)</f>
        <v>#N/A</v>
      </c>
      <c r="C1482" s="154" t="s">
        <v>2821</v>
      </c>
      <c r="D1482" s="20" t="e">
        <f t="shared" si="23"/>
        <v>#N/A</v>
      </c>
      <c r="E1482" s="68"/>
      <c r="F1482" s="10" t="e" cm="1">
        <f t="array" aca="1" ref="F148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2" s="72"/>
      <c r="I1482" s="70"/>
      <c r="J1482" s="70"/>
      <c r="K1482" s="71"/>
      <c r="L1482" s="296"/>
      <c r="M1482" s="10">
        <f ca="1">IF(ISBLANK(K1482), TODAY()-(I1482), Table27[[#This Row],[Effectiveness Review &amp; date deemed effective]]-Table27[[#This Row],[PTO initialized date]])</f>
        <v>46067</v>
      </c>
    </row>
    <row r="1483" spans="1:13" ht="18">
      <c r="A1483" s="68"/>
      <c r="B1483" s="18" t="e">
        <f>VLOOKUP(Table27[[#This Row],[Location 
(drop-down)]],'List source'!D$2:E$71,2,FALSE)</f>
        <v>#N/A</v>
      </c>
      <c r="C1483" s="154" t="s">
        <v>2822</v>
      </c>
      <c r="D1483" s="20" t="e">
        <f t="shared" si="23"/>
        <v>#N/A</v>
      </c>
      <c r="E1483" s="68"/>
      <c r="F1483" s="10" t="e" cm="1">
        <f t="array" aca="1" ref="F148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3" s="72"/>
      <c r="I1483" s="70"/>
      <c r="J1483" s="70"/>
      <c r="K1483" s="71"/>
      <c r="L1483" s="296"/>
      <c r="M1483" s="10">
        <f ca="1">IF(ISBLANK(K1483), TODAY()-(I1483), Table27[[#This Row],[Effectiveness Review &amp; date deemed effective]]-Table27[[#This Row],[PTO initialized date]])</f>
        <v>46067</v>
      </c>
    </row>
    <row r="1484" spans="1:13" ht="18">
      <c r="A1484" s="68"/>
      <c r="B1484" s="18" t="e">
        <f>VLOOKUP(Table27[[#This Row],[Location 
(drop-down)]],'List source'!D$2:E$71,2,FALSE)</f>
        <v>#N/A</v>
      </c>
      <c r="C1484" s="154" t="s">
        <v>2823</v>
      </c>
      <c r="D1484" s="20" t="e">
        <f t="shared" si="23"/>
        <v>#N/A</v>
      </c>
      <c r="E1484" s="68"/>
      <c r="F1484" s="10" t="e" cm="1">
        <f t="array" aca="1" ref="F148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4" s="72"/>
      <c r="I1484" s="70"/>
      <c r="J1484" s="70"/>
      <c r="K1484" s="71"/>
      <c r="L1484" s="296"/>
      <c r="M1484" s="10">
        <f ca="1">IF(ISBLANK(K1484), TODAY()-(I1484), Table27[[#This Row],[Effectiveness Review &amp; date deemed effective]]-Table27[[#This Row],[PTO initialized date]])</f>
        <v>46067</v>
      </c>
    </row>
    <row r="1485" spans="1:13" ht="18">
      <c r="A1485" s="68"/>
      <c r="B1485" s="18" t="e">
        <f>VLOOKUP(Table27[[#This Row],[Location 
(drop-down)]],'List source'!D$2:E$71,2,FALSE)</f>
        <v>#N/A</v>
      </c>
      <c r="C1485" s="154" t="s">
        <v>2824</v>
      </c>
      <c r="D1485" s="20" t="e">
        <f t="shared" si="23"/>
        <v>#N/A</v>
      </c>
      <c r="E1485" s="68"/>
      <c r="F1485" s="10" t="e" cm="1">
        <f t="array" aca="1" ref="F148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5" s="72"/>
      <c r="I1485" s="70"/>
      <c r="J1485" s="70"/>
      <c r="K1485" s="71"/>
      <c r="L1485" s="296"/>
      <c r="M1485" s="10">
        <f ca="1">IF(ISBLANK(K1485), TODAY()-(I1485), Table27[[#This Row],[Effectiveness Review &amp; date deemed effective]]-Table27[[#This Row],[PTO initialized date]])</f>
        <v>46067</v>
      </c>
    </row>
    <row r="1486" spans="1:13" ht="18">
      <c r="A1486" s="68"/>
      <c r="B1486" s="18" t="e">
        <f>VLOOKUP(Table27[[#This Row],[Location 
(drop-down)]],'List source'!D$2:E$71,2,FALSE)</f>
        <v>#N/A</v>
      </c>
      <c r="C1486" s="154" t="s">
        <v>2825</v>
      </c>
      <c r="D1486" s="20" t="e">
        <f t="shared" si="23"/>
        <v>#N/A</v>
      </c>
      <c r="E1486" s="68"/>
      <c r="F1486" s="10" t="e" cm="1">
        <f t="array" aca="1" ref="F148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6" s="72"/>
      <c r="I1486" s="70"/>
      <c r="J1486" s="70"/>
      <c r="K1486" s="71"/>
      <c r="L1486" s="296"/>
      <c r="M1486" s="10">
        <f ca="1">IF(ISBLANK(K1486), TODAY()-(I1486), Table27[[#This Row],[Effectiveness Review &amp; date deemed effective]]-Table27[[#This Row],[PTO initialized date]])</f>
        <v>46067</v>
      </c>
    </row>
    <row r="1487" spans="1:13" ht="18">
      <c r="A1487" s="68"/>
      <c r="B1487" s="18" t="e">
        <f>VLOOKUP(Table27[[#This Row],[Location 
(drop-down)]],'List source'!D$2:E$71,2,FALSE)</f>
        <v>#N/A</v>
      </c>
      <c r="C1487" s="154" t="s">
        <v>2826</v>
      </c>
      <c r="D1487" s="20" t="e">
        <f t="shared" si="23"/>
        <v>#N/A</v>
      </c>
      <c r="E1487" s="68"/>
      <c r="F1487" s="10" t="e" cm="1">
        <f t="array" aca="1" ref="F148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7" s="72"/>
      <c r="I1487" s="70"/>
      <c r="J1487" s="70"/>
      <c r="K1487" s="71"/>
      <c r="L1487" s="296"/>
      <c r="M1487" s="10">
        <f ca="1">IF(ISBLANK(K1487), TODAY()-(I1487), Table27[[#This Row],[Effectiveness Review &amp; date deemed effective]]-Table27[[#This Row],[PTO initialized date]])</f>
        <v>46067</v>
      </c>
    </row>
    <row r="1488" spans="1:13" ht="18">
      <c r="A1488" s="68"/>
      <c r="B1488" s="18" t="e">
        <f>VLOOKUP(Table27[[#This Row],[Location 
(drop-down)]],'List source'!D$2:E$71,2,FALSE)</f>
        <v>#N/A</v>
      </c>
      <c r="C1488" s="154" t="s">
        <v>2827</v>
      </c>
      <c r="D1488" s="20" t="e">
        <f t="shared" si="23"/>
        <v>#N/A</v>
      </c>
      <c r="E1488" s="68"/>
      <c r="F1488" s="10" t="e" cm="1">
        <f t="array" aca="1" ref="F148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8" s="72"/>
      <c r="I1488" s="70"/>
      <c r="J1488" s="70"/>
      <c r="K1488" s="71"/>
      <c r="L1488" s="296"/>
      <c r="M1488" s="10">
        <f ca="1">IF(ISBLANK(K1488), TODAY()-(I1488), Table27[[#This Row],[Effectiveness Review &amp; date deemed effective]]-Table27[[#This Row],[PTO initialized date]])</f>
        <v>46067</v>
      </c>
    </row>
    <row r="1489" spans="1:13" ht="18">
      <c r="A1489" s="68"/>
      <c r="B1489" s="18" t="e">
        <f>VLOOKUP(Table27[[#This Row],[Location 
(drop-down)]],'List source'!D$2:E$71,2,FALSE)</f>
        <v>#N/A</v>
      </c>
      <c r="C1489" s="154" t="s">
        <v>2828</v>
      </c>
      <c r="D1489" s="20" t="e">
        <f t="shared" si="23"/>
        <v>#N/A</v>
      </c>
      <c r="E1489" s="68"/>
      <c r="F1489" s="10" t="e" cm="1">
        <f t="array" aca="1" ref="F148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8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89" s="72"/>
      <c r="I1489" s="70"/>
      <c r="J1489" s="70"/>
      <c r="K1489" s="71"/>
      <c r="L1489" s="296"/>
      <c r="M1489" s="10">
        <f ca="1">IF(ISBLANK(K1489), TODAY()-(I1489), Table27[[#This Row],[Effectiveness Review &amp; date deemed effective]]-Table27[[#This Row],[PTO initialized date]])</f>
        <v>46067</v>
      </c>
    </row>
    <row r="1490" spans="1:13" ht="18">
      <c r="A1490" s="68"/>
      <c r="B1490" s="18" t="e">
        <f>VLOOKUP(Table27[[#This Row],[Location 
(drop-down)]],'List source'!D$2:E$71,2,FALSE)</f>
        <v>#N/A</v>
      </c>
      <c r="C1490" s="154" t="s">
        <v>2829</v>
      </c>
      <c r="D1490" s="20" t="e">
        <f t="shared" si="23"/>
        <v>#N/A</v>
      </c>
      <c r="E1490" s="68"/>
      <c r="F1490" s="10" t="e" cm="1">
        <f t="array" aca="1" ref="F149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0" s="72"/>
      <c r="I1490" s="70"/>
      <c r="J1490" s="70"/>
      <c r="K1490" s="71"/>
      <c r="L1490" s="296"/>
      <c r="M1490" s="10">
        <f ca="1">IF(ISBLANK(K1490), TODAY()-(I1490), Table27[[#This Row],[Effectiveness Review &amp; date deemed effective]]-Table27[[#This Row],[PTO initialized date]])</f>
        <v>46067</v>
      </c>
    </row>
    <row r="1491" spans="1:13" ht="18">
      <c r="A1491" s="68"/>
      <c r="B1491" s="18" t="e">
        <f>VLOOKUP(Table27[[#This Row],[Location 
(drop-down)]],'List source'!D$2:E$71,2,FALSE)</f>
        <v>#N/A</v>
      </c>
      <c r="C1491" s="154" t="s">
        <v>2830</v>
      </c>
      <c r="D1491" s="20" t="e">
        <f t="shared" si="23"/>
        <v>#N/A</v>
      </c>
      <c r="E1491" s="68"/>
      <c r="F1491" s="10" t="e" cm="1">
        <f t="array" aca="1" ref="F149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1" s="72"/>
      <c r="I1491" s="70"/>
      <c r="J1491" s="70"/>
      <c r="K1491" s="71"/>
      <c r="L1491" s="296"/>
      <c r="M1491" s="10">
        <f ca="1">IF(ISBLANK(K1491), TODAY()-(I1491), Table27[[#This Row],[Effectiveness Review &amp; date deemed effective]]-Table27[[#This Row],[PTO initialized date]])</f>
        <v>46067</v>
      </c>
    </row>
    <row r="1492" spans="1:13" ht="18">
      <c r="A1492" s="68"/>
      <c r="B1492" s="18" t="e">
        <f>VLOOKUP(Table27[[#This Row],[Location 
(drop-down)]],'List source'!D$2:E$71,2,FALSE)</f>
        <v>#N/A</v>
      </c>
      <c r="C1492" s="154" t="s">
        <v>2831</v>
      </c>
      <c r="D1492" s="20" t="e">
        <f t="shared" si="23"/>
        <v>#N/A</v>
      </c>
      <c r="E1492" s="68"/>
      <c r="F1492" s="10" t="e" cm="1">
        <f t="array" aca="1" ref="F149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2" s="72"/>
      <c r="I1492" s="70"/>
      <c r="J1492" s="70"/>
      <c r="K1492" s="71"/>
      <c r="L1492" s="296"/>
      <c r="M1492" s="10">
        <f ca="1">IF(ISBLANK(K1492), TODAY()-(I1492), Table27[[#This Row],[Effectiveness Review &amp; date deemed effective]]-Table27[[#This Row],[PTO initialized date]])</f>
        <v>46067</v>
      </c>
    </row>
    <row r="1493" spans="1:13" ht="18">
      <c r="A1493" s="68"/>
      <c r="B1493" s="18" t="e">
        <f>VLOOKUP(Table27[[#This Row],[Location 
(drop-down)]],'List source'!D$2:E$71,2,FALSE)</f>
        <v>#N/A</v>
      </c>
      <c r="C1493" s="154" t="s">
        <v>2832</v>
      </c>
      <c r="D1493" s="20" t="e">
        <f t="shared" si="23"/>
        <v>#N/A</v>
      </c>
      <c r="E1493" s="68"/>
      <c r="F1493" s="10" t="e" cm="1">
        <f t="array" aca="1" ref="F1493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3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3" s="72"/>
      <c r="I1493" s="70"/>
      <c r="J1493" s="70"/>
      <c r="K1493" s="71"/>
      <c r="L1493" s="296"/>
      <c r="M1493" s="10">
        <f ca="1">IF(ISBLANK(K1493), TODAY()-(I1493), Table27[[#This Row],[Effectiveness Review &amp; date deemed effective]]-Table27[[#This Row],[PTO initialized date]])</f>
        <v>46067</v>
      </c>
    </row>
    <row r="1494" spans="1:13" ht="18">
      <c r="A1494" s="68"/>
      <c r="B1494" s="18" t="e">
        <f>VLOOKUP(Table27[[#This Row],[Location 
(drop-down)]],'List source'!D$2:E$71,2,FALSE)</f>
        <v>#N/A</v>
      </c>
      <c r="C1494" s="154" t="s">
        <v>2833</v>
      </c>
      <c r="D1494" s="20" t="e">
        <f t="shared" si="23"/>
        <v>#N/A</v>
      </c>
      <c r="E1494" s="68"/>
      <c r="F1494" s="10" t="e" cm="1">
        <f t="array" aca="1" ref="F1494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4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4" s="72"/>
      <c r="I1494" s="70"/>
      <c r="J1494" s="70"/>
      <c r="K1494" s="71"/>
      <c r="L1494" s="296"/>
      <c r="M1494" s="10">
        <f ca="1">IF(ISBLANK(K1494), TODAY()-(I1494), Table27[[#This Row],[Effectiveness Review &amp; date deemed effective]]-Table27[[#This Row],[PTO initialized date]])</f>
        <v>46067</v>
      </c>
    </row>
    <row r="1495" spans="1:13" ht="18">
      <c r="A1495" s="68"/>
      <c r="B1495" s="18" t="e">
        <f>VLOOKUP(Table27[[#This Row],[Location 
(drop-down)]],'List source'!D$2:E$71,2,FALSE)</f>
        <v>#N/A</v>
      </c>
      <c r="C1495" s="154" t="s">
        <v>2834</v>
      </c>
      <c r="D1495" s="20" t="e">
        <f t="shared" si="23"/>
        <v>#N/A</v>
      </c>
      <c r="E1495" s="68"/>
      <c r="F1495" s="10" t="e" cm="1">
        <f t="array" aca="1" ref="F1495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5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5" s="72"/>
      <c r="I1495" s="70"/>
      <c r="J1495" s="70"/>
      <c r="K1495" s="71"/>
      <c r="L1495" s="296"/>
      <c r="M1495" s="10">
        <f ca="1">IF(ISBLANK(K1495), TODAY()-(I1495), Table27[[#This Row],[Effectiveness Review &amp; date deemed effective]]-Table27[[#This Row],[PTO initialized date]])</f>
        <v>46067</v>
      </c>
    </row>
    <row r="1496" spans="1:13" ht="18">
      <c r="A1496" s="68"/>
      <c r="B1496" s="18" t="e">
        <f>VLOOKUP(Table27[[#This Row],[Location 
(drop-down)]],'List source'!D$2:E$71,2,FALSE)</f>
        <v>#N/A</v>
      </c>
      <c r="C1496" s="154" t="s">
        <v>2835</v>
      </c>
      <c r="D1496" s="20" t="e">
        <f t="shared" si="23"/>
        <v>#N/A</v>
      </c>
      <c r="E1496" s="68"/>
      <c r="F1496" s="10" t="e" cm="1">
        <f t="array" aca="1" ref="F1496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6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6" s="72"/>
      <c r="I1496" s="70"/>
      <c r="J1496" s="70"/>
      <c r="K1496" s="71"/>
      <c r="L1496" s="296"/>
      <c r="M1496" s="10">
        <f ca="1">IF(ISBLANK(K1496), TODAY()-(I1496), Table27[[#This Row],[Effectiveness Review &amp; date deemed effective]]-Table27[[#This Row],[PTO initialized date]])</f>
        <v>46067</v>
      </c>
    </row>
    <row r="1497" spans="1:13" ht="18">
      <c r="A1497" s="68"/>
      <c r="B1497" s="18" t="e">
        <f>VLOOKUP(Table27[[#This Row],[Location 
(drop-down)]],'List source'!D$2:E$71,2,FALSE)</f>
        <v>#N/A</v>
      </c>
      <c r="C1497" s="154" t="s">
        <v>2836</v>
      </c>
      <c r="D1497" s="20" t="e">
        <f t="shared" si="23"/>
        <v>#N/A</v>
      </c>
      <c r="E1497" s="68"/>
      <c r="F1497" s="10" t="e" cm="1">
        <f t="array" aca="1" ref="F1497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7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7" s="72"/>
      <c r="I1497" s="70"/>
      <c r="J1497" s="70"/>
      <c r="K1497" s="71"/>
      <c r="L1497" s="296"/>
      <c r="M1497" s="10">
        <f ca="1">IF(ISBLANK(K1497), TODAY()-(I1497), Table27[[#This Row],[Effectiveness Review &amp; date deemed effective]]-Table27[[#This Row],[PTO initialized date]])</f>
        <v>46067</v>
      </c>
    </row>
    <row r="1498" spans="1:13" ht="18">
      <c r="A1498" s="68"/>
      <c r="B1498" s="18" t="e">
        <f>VLOOKUP(Table27[[#This Row],[Location 
(drop-down)]],'List source'!D$2:E$71,2,FALSE)</f>
        <v>#N/A</v>
      </c>
      <c r="C1498" s="154" t="s">
        <v>2837</v>
      </c>
      <c r="D1498" s="20" t="e">
        <f t="shared" si="23"/>
        <v>#N/A</v>
      </c>
      <c r="E1498" s="68"/>
      <c r="F1498" s="10" t="e" cm="1">
        <f t="array" aca="1" ref="F1498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8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8" s="72"/>
      <c r="I1498" s="70"/>
      <c r="J1498" s="70"/>
      <c r="K1498" s="71"/>
      <c r="L1498" s="296"/>
      <c r="M1498" s="10">
        <f ca="1">IF(ISBLANK(K1498), TODAY()-(I1498), Table27[[#This Row],[Effectiveness Review &amp; date deemed effective]]-Table27[[#This Row],[PTO initialized date]])</f>
        <v>46067</v>
      </c>
    </row>
    <row r="1499" spans="1:13" ht="18">
      <c r="A1499" s="68"/>
      <c r="B1499" s="18" t="e">
        <f>VLOOKUP(Table27[[#This Row],[Location 
(drop-down)]],'List source'!D$2:E$71,2,FALSE)</f>
        <v>#N/A</v>
      </c>
      <c r="C1499" s="154" t="s">
        <v>2838</v>
      </c>
      <c r="D1499" s="20" t="e">
        <f t="shared" si="23"/>
        <v>#N/A</v>
      </c>
      <c r="E1499" s="68"/>
      <c r="F1499" s="10" t="e" cm="1">
        <f t="array" aca="1" ref="F1499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499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499" s="72"/>
      <c r="I1499" s="70"/>
      <c r="J1499" s="70"/>
      <c r="K1499" s="71"/>
      <c r="L1499" s="296"/>
      <c r="M1499" s="10">
        <f ca="1">IF(ISBLANK(K1499), TODAY()-(I1499), Table27[[#This Row],[Effectiveness Review &amp; date deemed effective]]-Table27[[#This Row],[PTO initialized date]])</f>
        <v>46067</v>
      </c>
    </row>
    <row r="1500" spans="1:13" ht="18">
      <c r="A1500" s="68"/>
      <c r="B1500" s="18" t="e">
        <f>VLOOKUP(Table27[[#This Row],[Location 
(drop-down)]],'List source'!D$2:E$71,2,FALSE)</f>
        <v>#N/A</v>
      </c>
      <c r="C1500" s="154" t="s">
        <v>2839</v>
      </c>
      <c r="D1500" s="20" t="e">
        <f t="shared" si="23"/>
        <v>#N/A</v>
      </c>
      <c r="E1500" s="68"/>
      <c r="F1500" s="10" t="e" cm="1">
        <f t="array" aca="1" ref="F1500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00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00" s="72"/>
      <c r="I1500" s="70"/>
      <c r="J1500" s="70"/>
      <c r="K1500" s="71"/>
      <c r="L1500" s="296"/>
      <c r="M1500" s="10">
        <f ca="1">IF(ISBLANK(K1500), TODAY()-(I1500), Table27[[#This Row],[Effectiveness Review &amp; date deemed effective]]-Table27[[#This Row],[PTO initialized date]])</f>
        <v>46067</v>
      </c>
    </row>
    <row r="1501" spans="1:13" ht="18">
      <c r="A1501" s="68"/>
      <c r="B1501" s="18" t="e">
        <f>VLOOKUP(Table27[[#This Row],[Location 
(drop-down)]],'List source'!D$2:E$71,2,FALSE)</f>
        <v>#N/A</v>
      </c>
      <c r="C1501" s="154" t="s">
        <v>2840</v>
      </c>
      <c r="D1501" s="20" t="e">
        <f t="shared" si="23"/>
        <v>#N/A</v>
      </c>
      <c r="E1501" s="68"/>
      <c r="F1501" s="10" t="e" cm="1">
        <f t="array" aca="1" ref="F1501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01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01" s="72"/>
      <c r="I1501" s="70"/>
      <c r="J1501" s="70"/>
      <c r="K1501" s="71"/>
      <c r="L1501" s="296"/>
      <c r="M1501" s="10">
        <f ca="1">IF(ISBLANK(K1501), TODAY()-(I1501), Table27[[#This Row],[Effectiveness Review &amp; date deemed effective]]-Table27[[#This Row],[PTO initialized date]])</f>
        <v>46067</v>
      </c>
    </row>
    <row r="1502" spans="1:13">
      <c r="A1502" s="9"/>
      <c r="B1502" s="18" t="e">
        <f>VLOOKUP(Table27[[#This Row],[Location 
(drop-down)]],'List source'!D$2:E$71,2,FALSE)</f>
        <v>#N/A</v>
      </c>
      <c r="C1502" s="226"/>
      <c r="D1502" s="13" t="e">
        <f t="shared" si="23"/>
        <v>#N/A</v>
      </c>
      <c r="E1502" s="9"/>
      <c r="F1502" s="10" t="e" cm="1">
        <f t="array" aca="1" ref="F1502" ca="1">MID(LEFT(Table27[[#This Row],[BRIEF DESCRIPTION OF NC
if VOID:  "VOID, Location,  
details (initials, date)"]], INDEX(_xlfn._xlws.FILTER(ROW(INDIRECT("1:" &amp; LEN(Table27[[#This Row],[BRIEF DESCRIPTION OF NC
if VOID:  "VOID, Location,  
details (initials, date)"]]))), (48 &lt;= CODE(MID(Table27[[#This Row],[BRIEF DESCRIPTION OF NC
if VOID:  "VOID, Location,  
details (initials, date)"]], ROW(INDIRECT("1:" &amp; LEN(Table27[[#This Row],[BRIEF DESCRIPTION OF NC
if VOID:  "VOID, Location,  
details (initials, date)"]]))), 1))) * (CODE(MID(Table27[[#This Row],[BRIEF DESCRIPTION OF NC
if VOID:  "VOID, Location,  
details (initials, date)"]], ROW(INDIRECT("1:" &amp; LEN(Table27[[#This Row],[BRIEF DESCRIPTION OF NC
if VOID:  "VOID, Location,  
details (initials, date)"]]))), 1)) &lt;= 57)), 1) - 1), FIND(":", Table27[[#This Row],[BRIEF DESCRIPTION OF NC
if VOID:  "VOID, Location,  
details (initials, date)"]]) + 2, LEN(Table27[[#This Row],[BRIEF DESCRIPTION OF NC
if VOID:  "VOID, Location,  
details (initials, date)"]]))</f>
        <v>#REF!</v>
      </c>
      <c r="G1502" s="156" t="e">
        <f>MID(LEFT(Table27[[#This Row],[BRIEF DESCRIPTION OF NC
if VOID:  "VOID, Location,  
details (initials, date)"]], FIND(",", Table27[[#This Row],[BRIEF DESCRIPTION OF NC
if VOID:  "VOID, Location,  
details (initials, date)"]]) - 1), FIND("{token}", SUBSTITUTE(Table27[[#This Row],[BRIEF DESCRIPTION OF NC
if VOID:  "VOID, Location,  
details (initials, date)"]], " ", "{token}", 2)) + 1, LEN(Table27[[#This Row],[BRIEF DESCRIPTION OF NC
if VOID:  "VOID, Location,  
details (initials, date)"]]))</f>
        <v>#VALUE!</v>
      </c>
      <c r="H1502" s="10"/>
      <c r="I1502" s="12"/>
      <c r="J1502" s="12"/>
      <c r="K1502" s="61"/>
      <c r="L1502" s="233"/>
      <c r="M1502" s="10">
        <f ca="1">IF(ISBLANK(K1502), TODAY()-(I1502), Table27[[#This Row],[Effectiveness Review &amp; date deemed effective]]-Table27[[#This Row],[PTO initialized date]])</f>
        <v>46067</v>
      </c>
    </row>
    <row r="1503" spans="1:13">
      <c r="A1503" s="68"/>
      <c r="B1503" s="69"/>
      <c r="C1503" s="69">
        <f>SUBTOTAL(109,$C$706:C718)</f>
        <v>0</v>
      </c>
      <c r="D1503" s="69"/>
      <c r="E1503" s="68"/>
      <c r="F1503" s="72"/>
      <c r="G1503" s="68"/>
      <c r="H1503" s="72"/>
      <c r="I1503" s="70"/>
      <c r="J1503" s="70"/>
      <c r="K1503" s="71"/>
      <c r="L1503" s="296"/>
      <c r="M1503" s="249"/>
    </row>
  </sheetData>
  <phoneticPr fontId="4" type="noConversion"/>
  <conditionalFormatting sqref="M2:M1502">
    <cfRule type="expression" dxfId="30" priority="1">
      <formula>ISBLANK(K2)=TRUE</formula>
    </cfRule>
  </conditionalFormatting>
  <pageMargins left="0.7" right="0.7" top="0.75" bottom="0.75" header="0.3" footer="0.3"/>
  <pageSetup scale="42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D54644-82F3-4483-B51E-345391EB5985}">
          <x14:formula1>
            <xm:f>'List source'!$A$14:$A$19</xm:f>
          </x14:formula1>
          <xm:sqref>E181 E277</xm:sqref>
        </x14:dataValidation>
        <x14:dataValidation type="list" allowBlank="1" showInputMessage="1" showErrorMessage="1" xr:uid="{5F963C38-A229-4E21-95D2-00310E402D68}">
          <x14:formula1>
            <xm:f>'List source'!$D$2:$D$71</xm:f>
          </x14:formula1>
          <xm:sqref>A2:A1502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4973-6DC2-4202-B3EC-3BAD08FAFCFC}">
  <sheetPr codeName="Sheet7"/>
  <dimension ref="C6:E14"/>
  <sheetViews>
    <sheetView workbookViewId="0">
      <selection activeCell="H15" sqref="H15"/>
    </sheetView>
  </sheetViews>
  <sheetFormatPr defaultRowHeight="14.45"/>
  <sheetData>
    <row r="6" spans="3:5">
      <c r="D6">
        <v>2024</v>
      </c>
      <c r="E6">
        <v>2025</v>
      </c>
    </row>
    <row r="7" spans="3:5">
      <c r="C7" t="s">
        <v>2841</v>
      </c>
      <c r="D7">
        <v>92</v>
      </c>
      <c r="E7">
        <v>12</v>
      </c>
    </row>
    <row r="8" spans="3:5">
      <c r="C8" t="s">
        <v>2842</v>
      </c>
      <c r="D8">
        <v>8</v>
      </c>
      <c r="E8">
        <v>0</v>
      </c>
    </row>
    <row r="9" spans="3:5">
      <c r="C9" t="s">
        <v>2843</v>
      </c>
      <c r="D9">
        <v>90</v>
      </c>
      <c r="E9">
        <v>0</v>
      </c>
    </row>
    <row r="10" spans="3:5">
      <c r="C10" t="s">
        <v>2844</v>
      </c>
      <c r="D10">
        <v>82</v>
      </c>
      <c r="E10">
        <v>0</v>
      </c>
    </row>
    <row r="11" spans="3:5">
      <c r="C11" t="s">
        <v>2845</v>
      </c>
      <c r="D11">
        <v>164</v>
      </c>
      <c r="E11">
        <v>98</v>
      </c>
    </row>
    <row r="12" spans="3:5">
      <c r="C12" t="s">
        <v>2846</v>
      </c>
      <c r="D12">
        <v>1</v>
      </c>
      <c r="E12">
        <v>183</v>
      </c>
    </row>
    <row r="13" spans="3:5">
      <c r="C13" t="s">
        <v>2847</v>
      </c>
      <c r="D13">
        <v>18</v>
      </c>
      <c r="E13">
        <v>261</v>
      </c>
    </row>
    <row r="14" spans="3:5">
      <c r="D14">
        <f>SUM(D7:D13)</f>
        <v>455</v>
      </c>
      <c r="E14">
        <f>SUM(E7:E13)</f>
        <v>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A6AD65BF9EAF46BCDE1074A69F3580" ma:contentTypeVersion="10" ma:contentTypeDescription="Create a new document." ma:contentTypeScope="" ma:versionID="99319468e78aa794aad993e4c3699c91">
  <xsd:schema xmlns:xsd="http://www.w3.org/2001/XMLSchema" xmlns:xs="http://www.w3.org/2001/XMLSchema" xmlns:p="http://schemas.microsoft.com/office/2006/metadata/properties" xmlns:ns2="afd8d06a-9698-4952-99f3-b656f6d2fda8" xmlns:ns3="0cd52cba-1e1b-45f5-9409-4e2ce17b546f" targetNamespace="http://schemas.microsoft.com/office/2006/metadata/properties" ma:root="true" ma:fieldsID="44cb9243e6b59ab47691a4fbe6682349" ns2:_="" ns3:_="">
    <xsd:import namespace="afd8d06a-9698-4952-99f3-b656f6d2fda8"/>
    <xsd:import namespace="0cd52cba-1e1b-45f5-9409-4e2ce17b5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8d06a-9698-4952-99f3-b656f6d2f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c2fdbb0-a107-45e2-bf17-b198bd7ecb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52cba-1e1b-45f5-9409-4e2ce17b54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894ff1-a9ac-447a-87a8-8b81b435660f}" ma:internalName="TaxCatchAll" ma:showField="CatchAllData" ma:web="0cd52cba-1e1b-45f5-9409-4e2ce17b54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8d06a-9698-4952-99f3-b656f6d2fda8">
      <Terms xmlns="http://schemas.microsoft.com/office/infopath/2007/PartnerControls"/>
    </lcf76f155ced4ddcb4097134ff3c332f>
    <TaxCatchAll xmlns="0cd52cba-1e1b-45f5-9409-4e2ce17b546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3D7F5C0-1621-48DD-BF04-EFDBFDB74781}"/>
</file>

<file path=customXml/itemProps2.xml><?xml version="1.0" encoding="utf-8"?>
<ds:datastoreItem xmlns:ds="http://schemas.openxmlformats.org/officeDocument/2006/customXml" ds:itemID="{BD9C9BEC-BD9D-4ED4-8F56-96C35DDA3156}"/>
</file>

<file path=customXml/itemProps3.xml><?xml version="1.0" encoding="utf-8"?>
<ds:datastoreItem xmlns:ds="http://schemas.openxmlformats.org/officeDocument/2006/customXml" ds:itemID="{68735331-916F-4097-A819-9EC14473AEFA}"/>
</file>

<file path=customXml/itemProps4.xml><?xml version="1.0" encoding="utf-8"?>
<ds:datastoreItem xmlns:ds="http://schemas.openxmlformats.org/officeDocument/2006/customXml" ds:itemID="{862ABC5B-0831-4929-944D-7B7242EFF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AmSpec Group</dc:creator>
  <cp:keywords/>
  <dc:description/>
  <cp:lastModifiedBy>Jennifer Nesci</cp:lastModifiedBy>
  <cp:revision/>
  <dcterms:created xsi:type="dcterms:W3CDTF">2019-01-08T20:28:04Z</dcterms:created>
  <dcterms:modified xsi:type="dcterms:W3CDTF">2026-02-14T17:30:31Z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0x01010074A6AD65BF9EAF46BCDE1074A69F3580</vt:lpwstr>
  </property>
  <property fmtid="{D5CDD505-2E9C-101B-9397-08002B2CF9AE}" pid="3" name="MSIP_Label_a3a59af8-8950-43c2-9c28-eaff525f5f00_Enabled">
    <vt:lpwstr>true</vt:lpwstr>
  </property>
  <property fmtid="{D5CDD505-2E9C-101B-9397-08002B2CF9AE}" pid="4" name="MSIP_Label_a3a59af8-8950-43c2-9c28-eaff525f5f00_SetDate">
    <vt:lpwstr>2024-03-08T17:10:49Z</vt:lpwstr>
  </property>
  <property fmtid="{D5CDD505-2E9C-101B-9397-08002B2CF9AE}" pid="5" name="MSIP_Label_a3a59af8-8950-43c2-9c28-eaff525f5f00_Method">
    <vt:lpwstr>Standard</vt:lpwstr>
  </property>
  <property fmtid="{D5CDD505-2E9C-101B-9397-08002B2CF9AE}" pid="6" name="MSIP_Label_a3a59af8-8950-43c2-9c28-eaff525f5f00_Name">
    <vt:lpwstr>defa4170-0d19-0005-0004-bc88714345d2</vt:lpwstr>
  </property>
  <property fmtid="{D5CDD505-2E9C-101B-9397-08002B2CF9AE}" pid="7" name="MSIP_Label_a3a59af8-8950-43c2-9c28-eaff525f5f00_SiteId">
    <vt:lpwstr>fddf0fb0-6be4-4e34-ace1-e795bc64c91f</vt:lpwstr>
  </property>
  <property fmtid="{D5CDD505-2E9C-101B-9397-08002B2CF9AE}" pid="8" name="MSIP_Label_a3a59af8-8950-43c2-9c28-eaff525f5f00_ActionId">
    <vt:lpwstr>06366ec9-e4c9-497a-89ea-c487544f53fb</vt:lpwstr>
  </property>
  <property fmtid="{D5CDD505-2E9C-101B-9397-08002B2CF9AE}" pid="9" name="MSIP_Label_a3a59af8-8950-43c2-9c28-eaff525f5f00_ContentBits">
    <vt:lpwstr>0</vt:lpwstr>
  </property>
  <property fmtid="{D5CDD505-2E9C-101B-9397-08002B2CF9AE}" pid="10" name="MediaServiceImageTags">
    <vt:lpwstr/>
  </property>
</Properties>
</file>