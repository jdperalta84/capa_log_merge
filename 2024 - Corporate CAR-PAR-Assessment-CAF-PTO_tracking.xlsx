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4.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5.xml" ContentType="application/vnd.openxmlformats-officedocument.spreadsheetml.table+xml"/>
  <Override PartName="/xl/comments5.xml" ContentType="application/vnd.openxmlformats-officedocument.spreadsheetml.comments+xml"/>
  <Override PartName="/xl/threadedComments/threadedComment5.xml" ContentType="application/vnd.ms-excel.threadedcomments+xml"/>
  <Override PartName="/xl/tables/table6.xml" ContentType="application/vnd.openxmlformats-officedocument.spreadsheetml.table+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defaultThemeVersion="166925"/>
  <mc:AlternateContent xmlns:mc="http://schemas.openxmlformats.org/markup-compatibility/2006">
    <mc:Choice Requires="x15">
      <x15ac:absPath xmlns:x15ac="http://schemas.microsoft.com/office/spreadsheetml/2010/11/ac" url="https://amspecllc.sharepoint.com/sites/QATeam-NAM/Shared Documents/01 - CAPA Management/01 - 2024 CAPA Tracking/"/>
    </mc:Choice>
  </mc:AlternateContent>
  <xr:revisionPtr revIDLastSave="260" documentId="13_ncr:1_{890B08E1-A6FB-4C15-A0F3-267333D4C7AB}" xr6:coauthVersionLast="47" xr6:coauthVersionMax="47" xr10:uidLastSave="{994D18FC-58AB-4E8D-AEE0-FC59B7F277A2}"/>
  <bookViews>
    <workbookView xWindow="-108" yWindow="-108" windowWidth="23256" windowHeight="13896" tabRatio="579" firstSheet="1" activeTab="3" xr2:uid="{00000000-000D-0000-FFFF-FFFF00000000}"/>
  </bookViews>
  <sheets>
    <sheet name="Assessment '24" sheetId="11" r:id="rId1"/>
    <sheet name="PTO 2024" sheetId="13" r:id="rId2"/>
    <sheet name="CAF '24" sheetId="12" r:id="rId3"/>
    <sheet name="CAR '24" sheetId="14" r:id="rId4"/>
    <sheet name="PAR '24" sheetId="8" r:id="rId5"/>
    <sheet name="List source" sheetId="2" r:id="rId6"/>
  </sheets>
  <definedNames>
    <definedName name="_xlnm._FilterDatabase" localSheetId="1" hidden="1">'PTO 2024'!$G$1430:$G$1430</definedName>
    <definedName name="_xlnm.Print_Area" localSheetId="1">Table27[[#All],[Location 
(drop-down)]:[Notes]]</definedName>
    <definedName name="_xlnm.Print_Titles" localSheetId="0">'Assessment ''24'!$1:$1</definedName>
    <definedName name="_xlnm.Print_Titles" localSheetId="2">'CAF ''24'!$1:$1</definedName>
    <definedName name="_xlnm.Print_Titles" localSheetId="3">'CAR ''24'!$1:$1</definedName>
    <definedName name="_xlnm.Print_Titles" localSheetId="4">'PAR ''24'!$1:$1</definedName>
    <definedName name="_xlnm.Print_Titles" localSheetId="1">'PTO 2024'!$1:$1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31" i="14" l="1"/>
  <c r="M530" i="14"/>
  <c r="M529" i="14"/>
  <c r="M528" i="14"/>
  <c r="M527" i="14"/>
  <c r="M526" i="14"/>
  <c r="M525" i="14"/>
  <c r="M524" i="14"/>
  <c r="M523" i="14"/>
  <c r="M522" i="14"/>
  <c r="M521" i="14"/>
  <c r="M520" i="14"/>
  <c r="M519" i="14"/>
  <c r="M518" i="14"/>
  <c r="M517" i="14"/>
  <c r="M516" i="14"/>
  <c r="M515" i="14"/>
  <c r="M514" i="14"/>
  <c r="M513" i="14"/>
  <c r="M512" i="14"/>
  <c r="M511" i="14"/>
  <c r="M510" i="14"/>
  <c r="M509" i="14"/>
  <c r="M508" i="14"/>
  <c r="M507" i="14"/>
  <c r="M506" i="14"/>
  <c r="M505" i="14"/>
  <c r="M504" i="14"/>
  <c r="M503" i="14"/>
  <c r="M502" i="14"/>
  <c r="M501" i="14"/>
  <c r="M500" i="14"/>
  <c r="M499" i="14"/>
  <c r="M498" i="14"/>
  <c r="M497" i="14"/>
  <c r="M496" i="14"/>
  <c r="M495" i="14"/>
  <c r="M494" i="14"/>
  <c r="M493" i="14"/>
  <c r="M492" i="14"/>
  <c r="M491" i="14"/>
  <c r="M490" i="14"/>
  <c r="M489" i="14"/>
  <c r="M488" i="14"/>
  <c r="M487" i="14"/>
  <c r="M486" i="14"/>
  <c r="M485" i="14"/>
  <c r="M484" i="14"/>
  <c r="M483" i="14"/>
  <c r="M482" i="14"/>
  <c r="M481" i="14"/>
  <c r="M480" i="14"/>
  <c r="M479" i="14"/>
  <c r="M478" i="14"/>
  <c r="M477" i="14"/>
  <c r="M476" i="14"/>
  <c r="M475" i="14"/>
  <c r="M474" i="14"/>
  <c r="M473" i="14"/>
  <c r="M472" i="14"/>
  <c r="M471" i="14"/>
  <c r="M470" i="14"/>
  <c r="M469" i="14"/>
  <c r="M468" i="14"/>
  <c r="M467" i="14"/>
  <c r="M466" i="14"/>
  <c r="M465" i="14"/>
  <c r="M464" i="14"/>
  <c r="M463" i="14"/>
  <c r="M462" i="14"/>
  <c r="M461" i="14"/>
  <c r="M460" i="14"/>
  <c r="M459" i="14"/>
  <c r="M458" i="14"/>
  <c r="M457" i="14"/>
  <c r="M456" i="14"/>
  <c r="M455" i="14"/>
  <c r="M454" i="14"/>
  <c r="M453" i="14"/>
  <c r="M452" i="14"/>
  <c r="M451" i="14"/>
  <c r="M450" i="14"/>
  <c r="M449" i="14"/>
  <c r="M448" i="14"/>
  <c r="M447" i="14"/>
  <c r="M446" i="14"/>
  <c r="M445" i="14"/>
  <c r="M444" i="14"/>
  <c r="M443" i="14"/>
  <c r="M442" i="14"/>
  <c r="M441" i="14"/>
  <c r="M440" i="14"/>
  <c r="M439" i="14"/>
  <c r="M438" i="14"/>
  <c r="M437" i="14"/>
  <c r="M436" i="14"/>
  <c r="M435" i="14"/>
  <c r="M434" i="14"/>
  <c r="M433" i="14"/>
  <c r="M432" i="14"/>
  <c r="M431" i="14"/>
  <c r="M430" i="14"/>
  <c r="M429" i="14"/>
  <c r="M428" i="14"/>
  <c r="M427" i="14"/>
  <c r="M426" i="14"/>
  <c r="M425" i="14"/>
  <c r="M424" i="14"/>
  <c r="M423" i="14"/>
  <c r="M422" i="14"/>
  <c r="M421" i="14"/>
  <c r="M420" i="14"/>
  <c r="M419" i="14"/>
  <c r="M418" i="14"/>
  <c r="M417" i="14"/>
  <c r="M416" i="14"/>
  <c r="M415" i="14"/>
  <c r="M414" i="14"/>
  <c r="M413" i="14"/>
  <c r="M412" i="14"/>
  <c r="M411" i="14"/>
  <c r="M410" i="14"/>
  <c r="M409" i="14"/>
  <c r="M408" i="14"/>
  <c r="M407" i="14"/>
  <c r="M406" i="14"/>
  <c r="M405" i="14"/>
  <c r="M404" i="14"/>
  <c r="M403" i="14"/>
  <c r="M402" i="14"/>
  <c r="M401" i="14"/>
  <c r="M400" i="14"/>
  <c r="M399" i="14"/>
  <c r="M398" i="14"/>
  <c r="M397" i="14"/>
  <c r="M396" i="14"/>
  <c r="M395" i="14"/>
  <c r="M394" i="14"/>
  <c r="M393" i="14"/>
  <c r="M392" i="14"/>
  <c r="M391" i="14"/>
  <c r="M390" i="14"/>
  <c r="M389" i="14"/>
  <c r="M388" i="14"/>
  <c r="M387" i="14"/>
  <c r="M386" i="14"/>
  <c r="M385" i="14"/>
  <c r="M384" i="14"/>
  <c r="M383" i="14"/>
  <c r="M382" i="14"/>
  <c r="M381" i="14"/>
  <c r="M380" i="14"/>
  <c r="M379" i="14"/>
  <c r="M378" i="14"/>
  <c r="M377" i="14"/>
  <c r="M376" i="14"/>
  <c r="M375" i="14"/>
  <c r="M374" i="14"/>
  <c r="M373" i="14"/>
  <c r="M372" i="14"/>
  <c r="M371" i="14"/>
  <c r="M370" i="14"/>
  <c r="M369" i="14"/>
  <c r="M368" i="14"/>
  <c r="M367" i="14"/>
  <c r="M366" i="14"/>
  <c r="M365" i="14"/>
  <c r="M364" i="14"/>
  <c r="M363" i="14"/>
  <c r="M362" i="14"/>
  <c r="M361" i="14"/>
  <c r="M360" i="14"/>
  <c r="M359" i="14"/>
  <c r="M358" i="14"/>
  <c r="M357" i="14"/>
  <c r="M356" i="14"/>
  <c r="M355" i="14"/>
  <c r="M354" i="14"/>
  <c r="M353" i="14"/>
  <c r="M352" i="14"/>
  <c r="M351" i="14"/>
  <c r="M338" i="14"/>
  <c r="M337" i="14"/>
  <c r="M3" i="14"/>
  <c r="M4" i="14"/>
  <c r="M5" i="14"/>
  <c r="M6" i="14"/>
  <c r="M7" i="14"/>
  <c r="M8" i="14"/>
  <c r="M9" i="14"/>
  <c r="M10" i="14"/>
  <c r="M11" i="14"/>
  <c r="M12" i="14"/>
  <c r="M13" i="14"/>
  <c r="M14" i="14"/>
  <c r="M15" i="14"/>
  <c r="M16" i="14"/>
  <c r="M17" i="14"/>
  <c r="M18" i="14"/>
  <c r="M19" i="14"/>
  <c r="M20" i="14"/>
  <c r="M21" i="14"/>
  <c r="M22" i="14"/>
  <c r="M23" i="14"/>
  <c r="M24" i="14"/>
  <c r="M25" i="14"/>
  <c r="M26" i="14"/>
  <c r="M27" i="14"/>
  <c r="M28" i="14"/>
  <c r="M29" i="14"/>
  <c r="M30" i="14"/>
  <c r="M31" i="14"/>
  <c r="M32" i="14"/>
  <c r="M33" i="14"/>
  <c r="M34" i="14"/>
  <c r="M35" i="14"/>
  <c r="M36" i="14"/>
  <c r="M37" i="14"/>
  <c r="M38" i="14"/>
  <c r="M39" i="14"/>
  <c r="M40" i="14"/>
  <c r="M41" i="14"/>
  <c r="M42" i="14"/>
  <c r="M43" i="14"/>
  <c r="M44" i="14"/>
  <c r="M45" i="14"/>
  <c r="M46" i="14"/>
  <c r="M47" i="14"/>
  <c r="M48" i="14"/>
  <c r="M49" i="14"/>
  <c r="M50" i="14"/>
  <c r="M51" i="14"/>
  <c r="M52" i="14"/>
  <c r="M53" i="14"/>
  <c r="M54" i="14"/>
  <c r="M55" i="14"/>
  <c r="M56" i="14"/>
  <c r="M57" i="14"/>
  <c r="M58" i="14"/>
  <c r="M59" i="14"/>
  <c r="M60" i="14"/>
  <c r="M61" i="14"/>
  <c r="M62" i="14"/>
  <c r="M63" i="14"/>
  <c r="M64" i="14"/>
  <c r="M65" i="14"/>
  <c r="M66" i="14"/>
  <c r="M67" i="14"/>
  <c r="M68" i="14"/>
  <c r="M69" i="14"/>
  <c r="M70" i="14"/>
  <c r="M71" i="14"/>
  <c r="M72" i="14"/>
  <c r="M73" i="14"/>
  <c r="M74" i="14"/>
  <c r="M75" i="14"/>
  <c r="M76" i="14"/>
  <c r="M77" i="14"/>
  <c r="M78" i="14"/>
  <c r="M79" i="14"/>
  <c r="M80" i="14"/>
  <c r="M81" i="14"/>
  <c r="M82" i="14"/>
  <c r="M83" i="14"/>
  <c r="M84" i="14"/>
  <c r="M85" i="14"/>
  <c r="M86" i="14"/>
  <c r="M87" i="14"/>
  <c r="M88" i="14"/>
  <c r="M89" i="14"/>
  <c r="M90" i="14"/>
  <c r="M91" i="14"/>
  <c r="M92" i="14"/>
  <c r="M93" i="14"/>
  <c r="M94" i="14"/>
  <c r="M95" i="14"/>
  <c r="M96" i="14"/>
  <c r="M97" i="14"/>
  <c r="M98" i="14"/>
  <c r="M99" i="14"/>
  <c r="M100" i="14"/>
  <c r="M101" i="14"/>
  <c r="M102" i="14"/>
  <c r="M103" i="14"/>
  <c r="M104" i="14"/>
  <c r="M105" i="14"/>
  <c r="M106" i="14"/>
  <c r="M107" i="14"/>
  <c r="M108" i="14"/>
  <c r="M109" i="14"/>
  <c r="M110" i="14"/>
  <c r="M111" i="14"/>
  <c r="M112" i="14"/>
  <c r="M113" i="14"/>
  <c r="M114" i="14"/>
  <c r="M115" i="14"/>
  <c r="M116" i="14"/>
  <c r="M117" i="14"/>
  <c r="M118" i="14"/>
  <c r="M119" i="14"/>
  <c r="M120" i="14"/>
  <c r="M121" i="14"/>
  <c r="M122" i="14"/>
  <c r="M123" i="14"/>
  <c r="M124" i="14"/>
  <c r="M125" i="14"/>
  <c r="M126" i="14"/>
  <c r="M127" i="14"/>
  <c r="M128" i="14"/>
  <c r="M129" i="14"/>
  <c r="M130" i="14"/>
  <c r="M131" i="14"/>
  <c r="M132" i="14"/>
  <c r="M133" i="14"/>
  <c r="M134" i="14"/>
  <c r="M135" i="14"/>
  <c r="M136" i="14"/>
  <c r="M137" i="14"/>
  <c r="M138" i="14"/>
  <c r="M139" i="14"/>
  <c r="M140" i="14"/>
  <c r="M141" i="14"/>
  <c r="M142" i="14"/>
  <c r="M143" i="14"/>
  <c r="M144" i="14"/>
  <c r="M145" i="14"/>
  <c r="M146" i="14"/>
  <c r="M147" i="14"/>
  <c r="M148" i="14"/>
  <c r="M149" i="14"/>
  <c r="M150" i="14"/>
  <c r="M151" i="14"/>
  <c r="M152" i="14"/>
  <c r="M153" i="14"/>
  <c r="M154" i="14"/>
  <c r="M155" i="14"/>
  <c r="M156" i="14"/>
  <c r="M157" i="14"/>
  <c r="M158" i="14"/>
  <c r="M159" i="14"/>
  <c r="M160" i="14"/>
  <c r="M161" i="14"/>
  <c r="M162" i="14"/>
  <c r="M163" i="14"/>
  <c r="M164" i="14"/>
  <c r="M165" i="14"/>
  <c r="M166" i="14"/>
  <c r="M167" i="14"/>
  <c r="M168" i="14"/>
  <c r="M169" i="14"/>
  <c r="M170" i="14"/>
  <c r="M171" i="14"/>
  <c r="M172" i="14"/>
  <c r="M173" i="14"/>
  <c r="M174" i="14"/>
  <c r="M175" i="14"/>
  <c r="M176" i="14"/>
  <c r="M177" i="14"/>
  <c r="M178" i="14"/>
  <c r="M179" i="14"/>
  <c r="M180" i="14"/>
  <c r="M181" i="14"/>
  <c r="M182" i="14"/>
  <c r="M183" i="14"/>
  <c r="M184" i="14"/>
  <c r="M185" i="14"/>
  <c r="M186" i="14"/>
  <c r="M187" i="14"/>
  <c r="M188" i="14"/>
  <c r="M189" i="14"/>
  <c r="M190" i="14"/>
  <c r="M191" i="14"/>
  <c r="M192" i="14"/>
  <c r="M193" i="14"/>
  <c r="M194" i="14"/>
  <c r="M195" i="14"/>
  <c r="M196" i="14"/>
  <c r="M197" i="14"/>
  <c r="M198" i="14"/>
  <c r="M199" i="14"/>
  <c r="M200" i="14"/>
  <c r="M201" i="14"/>
  <c r="M202" i="14"/>
  <c r="M203" i="14"/>
  <c r="M204" i="14"/>
  <c r="M205" i="14"/>
  <c r="M206" i="14"/>
  <c r="M207" i="14"/>
  <c r="M208" i="14"/>
  <c r="M209" i="14"/>
  <c r="M210" i="14"/>
  <c r="M211" i="14"/>
  <c r="M212" i="14"/>
  <c r="M213" i="14"/>
  <c r="M214" i="14"/>
  <c r="M215" i="14"/>
  <c r="M216" i="14"/>
  <c r="M217" i="14"/>
  <c r="M218" i="14"/>
  <c r="M219" i="14"/>
  <c r="M220" i="14"/>
  <c r="M221" i="14"/>
  <c r="M222" i="14"/>
  <c r="M223" i="14"/>
  <c r="M224" i="14"/>
  <c r="M225" i="14"/>
  <c r="M226" i="14"/>
  <c r="M227" i="14"/>
  <c r="M228" i="14"/>
  <c r="M229" i="14"/>
  <c r="M230" i="14"/>
  <c r="M231" i="14"/>
  <c r="M232" i="14"/>
  <c r="M233" i="14"/>
  <c r="M234" i="14"/>
  <c r="M235" i="14"/>
  <c r="M236" i="14"/>
  <c r="M237" i="14"/>
  <c r="M238" i="14"/>
  <c r="M239" i="14"/>
  <c r="M240" i="14"/>
  <c r="M241" i="14"/>
  <c r="M242" i="14"/>
  <c r="M243" i="14"/>
  <c r="M244" i="14"/>
  <c r="M245" i="14"/>
  <c r="M246" i="14"/>
  <c r="M247" i="14"/>
  <c r="M248" i="14"/>
  <c r="M249" i="14"/>
  <c r="M250" i="14"/>
  <c r="M251" i="14"/>
  <c r="M252" i="14"/>
  <c r="M253" i="14"/>
  <c r="M254" i="14"/>
  <c r="M255" i="14"/>
  <c r="M256" i="14"/>
  <c r="M257" i="14"/>
  <c r="M258" i="14"/>
  <c r="M259" i="14"/>
  <c r="M260" i="14"/>
  <c r="M261" i="14"/>
  <c r="M262" i="14"/>
  <c r="M263" i="14"/>
  <c r="M264" i="14"/>
  <c r="M265" i="14"/>
  <c r="M266" i="14"/>
  <c r="M267" i="14"/>
  <c r="M268" i="14"/>
  <c r="M269" i="14"/>
  <c r="M270" i="14"/>
  <c r="M271" i="14"/>
  <c r="M272" i="14"/>
  <c r="M273" i="14"/>
  <c r="M274" i="14"/>
  <c r="M275" i="14"/>
  <c r="M276" i="14"/>
  <c r="M277" i="14"/>
  <c r="M278" i="14"/>
  <c r="M279" i="14"/>
  <c r="M280" i="14"/>
  <c r="M281" i="14"/>
  <c r="M282" i="14"/>
  <c r="M283" i="14"/>
  <c r="M284" i="14"/>
  <c r="M285" i="14"/>
  <c r="M286" i="14"/>
  <c r="M287" i="14"/>
  <c r="M288" i="14"/>
  <c r="M289" i="14"/>
  <c r="M290" i="14"/>
  <c r="M291" i="14"/>
  <c r="M292" i="14"/>
  <c r="M293" i="14"/>
  <c r="M294" i="14"/>
  <c r="M295" i="14"/>
  <c r="M296" i="14"/>
  <c r="M297" i="14"/>
  <c r="M298" i="14"/>
  <c r="M299" i="14"/>
  <c r="M300" i="14"/>
  <c r="M301" i="14"/>
  <c r="M302" i="14"/>
  <c r="M303" i="14"/>
  <c r="M304" i="14"/>
  <c r="M305" i="14"/>
  <c r="M306" i="14"/>
  <c r="M307" i="14"/>
  <c r="M308" i="14"/>
  <c r="M309" i="14"/>
  <c r="M310" i="14"/>
  <c r="M311" i="14"/>
  <c r="M312" i="14"/>
  <c r="M313" i="14"/>
  <c r="M314" i="14"/>
  <c r="M315" i="14"/>
  <c r="M316" i="14"/>
  <c r="M317" i="14"/>
  <c r="M318" i="14"/>
  <c r="M319" i="14"/>
  <c r="M320" i="14"/>
  <c r="M321" i="14"/>
  <c r="M322" i="14"/>
  <c r="M323" i="14"/>
  <c r="M324" i="14"/>
  <c r="M325" i="14"/>
  <c r="M326" i="14"/>
  <c r="M327" i="14"/>
  <c r="M328" i="14"/>
  <c r="M329" i="14"/>
  <c r="M330" i="14"/>
  <c r="M331" i="14"/>
  <c r="M332" i="14"/>
  <c r="M333" i="14"/>
  <c r="M334" i="14"/>
  <c r="M335" i="14"/>
  <c r="M336" i="14"/>
  <c r="M339" i="14"/>
  <c r="M340" i="14"/>
  <c r="M341" i="14"/>
  <c r="M342" i="14"/>
  <c r="M343" i="14"/>
  <c r="M344" i="14"/>
  <c r="M345" i="14"/>
  <c r="M346" i="14"/>
  <c r="M347" i="14"/>
  <c r="M348" i="14"/>
  <c r="M349" i="14"/>
  <c r="M350" i="14"/>
  <c r="M2" i="14"/>
  <c r="N3" i="13"/>
  <c r="N4" i="13"/>
  <c r="N5" i="13"/>
  <c r="N6" i="13"/>
  <c r="N7" i="13"/>
  <c r="N8" i="13"/>
  <c r="N9" i="13"/>
  <c r="N10" i="13"/>
  <c r="N11" i="13"/>
  <c r="N12" i="13"/>
  <c r="N13" i="13"/>
  <c r="N14" i="13"/>
  <c r="N15" i="13"/>
  <c r="N16" i="13"/>
  <c r="N17" i="13"/>
  <c r="N18" i="13"/>
  <c r="N19" i="13"/>
  <c r="N20" i="13"/>
  <c r="N21" i="13"/>
  <c r="N22" i="13"/>
  <c r="N23" i="13"/>
  <c r="N24" i="13"/>
  <c r="N25" i="13"/>
  <c r="N26" i="13"/>
  <c r="N27" i="13"/>
  <c r="N28" i="13"/>
  <c r="N29" i="13"/>
  <c r="N30" i="13"/>
  <c r="N31" i="13"/>
  <c r="N32" i="13"/>
  <c r="N33" i="13"/>
  <c r="N34" i="13"/>
  <c r="N35" i="13"/>
  <c r="N36" i="13"/>
  <c r="N37" i="13"/>
  <c r="N38" i="13"/>
  <c r="N39" i="13"/>
  <c r="N40" i="13"/>
  <c r="N41" i="13"/>
  <c r="N42" i="13"/>
  <c r="N43" i="13"/>
  <c r="N44" i="13"/>
  <c r="N45" i="13"/>
  <c r="N46" i="13"/>
  <c r="N47" i="13"/>
  <c r="N48" i="13"/>
  <c r="N49" i="13"/>
  <c r="N50" i="13"/>
  <c r="N51" i="13"/>
  <c r="N52" i="13"/>
  <c r="N53" i="13"/>
  <c r="N54" i="13"/>
  <c r="N55" i="13"/>
  <c r="N56" i="13"/>
  <c r="N57" i="13"/>
  <c r="N58" i="13"/>
  <c r="N59" i="13"/>
  <c r="N60" i="13"/>
  <c r="N61" i="13"/>
  <c r="N62" i="13"/>
  <c r="N63" i="13"/>
  <c r="N64" i="13"/>
  <c r="N65" i="13"/>
  <c r="N66" i="13"/>
  <c r="N67" i="13"/>
  <c r="N68" i="13"/>
  <c r="N69" i="13"/>
  <c r="N70" i="13"/>
  <c r="N71" i="13"/>
  <c r="N72" i="13"/>
  <c r="N73" i="13"/>
  <c r="N74" i="13"/>
  <c r="N75" i="13"/>
  <c r="N76" i="13"/>
  <c r="N77" i="13"/>
  <c r="N78" i="13"/>
  <c r="N79" i="13"/>
  <c r="N80" i="13"/>
  <c r="N81" i="13"/>
  <c r="N82" i="13"/>
  <c r="N83" i="13"/>
  <c r="N84" i="13"/>
  <c r="N85" i="13"/>
  <c r="N86" i="13"/>
  <c r="N87" i="13"/>
  <c r="N88" i="13"/>
  <c r="N89" i="13"/>
  <c r="N90" i="13"/>
  <c r="N91" i="13"/>
  <c r="N92" i="13"/>
  <c r="N93" i="13"/>
  <c r="N94" i="13"/>
  <c r="N95" i="13"/>
  <c r="N96" i="13"/>
  <c r="N97" i="13"/>
  <c r="N98" i="13"/>
  <c r="N99" i="13"/>
  <c r="N100" i="13"/>
  <c r="N101" i="13"/>
  <c r="N102" i="13"/>
  <c r="N103" i="13"/>
  <c r="N104" i="13"/>
  <c r="N105" i="13"/>
  <c r="N106" i="13"/>
  <c r="N107" i="13"/>
  <c r="N108" i="13"/>
  <c r="N109" i="13"/>
  <c r="N110" i="13"/>
  <c r="N111" i="13"/>
  <c r="N112" i="13"/>
  <c r="N113" i="13"/>
  <c r="N114" i="13"/>
  <c r="N115" i="13"/>
  <c r="N116" i="13"/>
  <c r="N117" i="13"/>
  <c r="N118" i="13"/>
  <c r="N119" i="13"/>
  <c r="N120" i="13"/>
  <c r="N121" i="13"/>
  <c r="N122" i="13"/>
  <c r="N123" i="13"/>
  <c r="N124" i="13"/>
  <c r="N125" i="13"/>
  <c r="N126" i="13"/>
  <c r="N127" i="13"/>
  <c r="N128" i="13"/>
  <c r="N129" i="13"/>
  <c r="N130" i="13"/>
  <c r="N131" i="13"/>
  <c r="N132" i="13"/>
  <c r="N133" i="13"/>
  <c r="N134" i="13"/>
  <c r="N135" i="13"/>
  <c r="N136" i="13"/>
  <c r="N137" i="13"/>
  <c r="N138" i="13"/>
  <c r="N139" i="13"/>
  <c r="N140" i="13"/>
  <c r="N141" i="13"/>
  <c r="N142" i="13"/>
  <c r="N143" i="13"/>
  <c r="N144" i="13"/>
  <c r="N145" i="13"/>
  <c r="N146" i="13"/>
  <c r="N147" i="13"/>
  <c r="N148" i="13"/>
  <c r="N149" i="13"/>
  <c r="N150" i="13"/>
  <c r="N151" i="13"/>
  <c r="N152" i="13"/>
  <c r="N153" i="13"/>
  <c r="N154" i="13"/>
  <c r="N155" i="13"/>
  <c r="N156" i="13"/>
  <c r="N157" i="13"/>
  <c r="N158" i="13"/>
  <c r="N159" i="13"/>
  <c r="N160" i="13"/>
  <c r="N161" i="13"/>
  <c r="N162" i="13"/>
  <c r="N163" i="13"/>
  <c r="N164" i="13"/>
  <c r="N165" i="13"/>
  <c r="N166" i="13"/>
  <c r="N167" i="13"/>
  <c r="N168" i="13"/>
  <c r="N169" i="13"/>
  <c r="N170" i="13"/>
  <c r="N171" i="13"/>
  <c r="N172" i="13"/>
  <c r="N173" i="13"/>
  <c r="N174" i="13"/>
  <c r="N175" i="13"/>
  <c r="N176" i="13"/>
  <c r="N177" i="13"/>
  <c r="N178" i="13"/>
  <c r="N179" i="13"/>
  <c r="N180" i="13"/>
  <c r="N181" i="13"/>
  <c r="N182" i="13"/>
  <c r="N183" i="13"/>
  <c r="N184" i="13"/>
  <c r="N185" i="13"/>
  <c r="N186" i="13"/>
  <c r="N187" i="13"/>
  <c r="N188" i="13"/>
  <c r="N189" i="13"/>
  <c r="N190" i="13"/>
  <c r="N191" i="13"/>
  <c r="N192" i="13"/>
  <c r="N193" i="13"/>
  <c r="N194" i="13"/>
  <c r="N195" i="13"/>
  <c r="N196" i="13"/>
  <c r="N197" i="13"/>
  <c r="N198" i="13"/>
  <c r="N199" i="13"/>
  <c r="N200" i="13"/>
  <c r="N201" i="13"/>
  <c r="N202" i="13"/>
  <c r="N203" i="13"/>
  <c r="N204" i="13"/>
  <c r="N205" i="13"/>
  <c r="N206" i="13"/>
  <c r="N207" i="13"/>
  <c r="N208" i="13"/>
  <c r="N209" i="13"/>
  <c r="N210" i="13"/>
  <c r="N211" i="13"/>
  <c r="N212" i="13"/>
  <c r="N213" i="13"/>
  <c r="N214" i="13"/>
  <c r="N215" i="13"/>
  <c r="N216" i="13"/>
  <c r="N217" i="13"/>
  <c r="N218" i="13"/>
  <c r="N219" i="13"/>
  <c r="N220" i="13"/>
  <c r="N221" i="13"/>
  <c r="N222" i="13"/>
  <c r="N223" i="13"/>
  <c r="N224" i="13"/>
  <c r="N225" i="13"/>
  <c r="N226" i="13"/>
  <c r="N227" i="13"/>
  <c r="N228" i="13"/>
  <c r="N229" i="13"/>
  <c r="N230" i="13"/>
  <c r="N231" i="13"/>
  <c r="N232" i="13"/>
  <c r="N233" i="13"/>
  <c r="N234" i="13"/>
  <c r="N235" i="13"/>
  <c r="N236" i="13"/>
  <c r="N237" i="13"/>
  <c r="N238" i="13"/>
  <c r="N239" i="13"/>
  <c r="N240" i="13"/>
  <c r="N241" i="13"/>
  <c r="N242" i="13"/>
  <c r="N243" i="13"/>
  <c r="N244" i="13"/>
  <c r="N245" i="13"/>
  <c r="N246" i="13"/>
  <c r="N247" i="13"/>
  <c r="N248" i="13"/>
  <c r="N249" i="13"/>
  <c r="N250" i="13"/>
  <c r="N251" i="13"/>
  <c r="N252" i="13"/>
  <c r="N253" i="13"/>
  <c r="N254" i="13"/>
  <c r="N255" i="13"/>
  <c r="N256" i="13"/>
  <c r="N257" i="13"/>
  <c r="N258" i="13"/>
  <c r="N259" i="13"/>
  <c r="N260" i="13"/>
  <c r="N261" i="13"/>
  <c r="N262" i="13"/>
  <c r="N263" i="13"/>
  <c r="N264" i="13"/>
  <c r="N265" i="13"/>
  <c r="N266" i="13"/>
  <c r="N267" i="13"/>
  <c r="N268" i="13"/>
  <c r="N269" i="13"/>
  <c r="N270" i="13"/>
  <c r="N271" i="13"/>
  <c r="N272" i="13"/>
  <c r="N273" i="13"/>
  <c r="N274" i="13"/>
  <c r="N275" i="13"/>
  <c r="N276" i="13"/>
  <c r="N277" i="13"/>
  <c r="N278" i="13"/>
  <c r="N279" i="13"/>
  <c r="N280" i="13"/>
  <c r="N281" i="13"/>
  <c r="N282" i="13"/>
  <c r="N283" i="13"/>
  <c r="N284" i="13"/>
  <c r="N285" i="13"/>
  <c r="N286" i="13"/>
  <c r="N287" i="13"/>
  <c r="N288" i="13"/>
  <c r="N289" i="13"/>
  <c r="N290" i="13"/>
  <c r="N291" i="13"/>
  <c r="N292" i="13"/>
  <c r="N293" i="13"/>
  <c r="N294" i="13"/>
  <c r="N295" i="13"/>
  <c r="N296" i="13"/>
  <c r="N297" i="13"/>
  <c r="N298" i="13"/>
  <c r="N299" i="13"/>
  <c r="N300" i="13"/>
  <c r="N301" i="13"/>
  <c r="N302" i="13"/>
  <c r="N303" i="13"/>
  <c r="N304" i="13"/>
  <c r="N305" i="13"/>
  <c r="N306" i="13"/>
  <c r="N307" i="13"/>
  <c r="N308" i="13"/>
  <c r="N309" i="13"/>
  <c r="N310" i="13"/>
  <c r="N311" i="13"/>
  <c r="N312" i="13"/>
  <c r="N313" i="13"/>
  <c r="N314" i="13"/>
  <c r="N315" i="13"/>
  <c r="N316" i="13"/>
  <c r="N317" i="13"/>
  <c r="N318" i="13"/>
  <c r="N319" i="13"/>
  <c r="N320" i="13"/>
  <c r="N321" i="13"/>
  <c r="N322" i="13"/>
  <c r="N323" i="13"/>
  <c r="N324" i="13"/>
  <c r="N325" i="13"/>
  <c r="N326" i="13"/>
  <c r="N327" i="13"/>
  <c r="N328" i="13"/>
  <c r="N329" i="13"/>
  <c r="N330" i="13"/>
  <c r="N331" i="13"/>
  <c r="N332" i="13"/>
  <c r="N333" i="13"/>
  <c r="N334" i="13"/>
  <c r="N335" i="13"/>
  <c r="N336" i="13"/>
  <c r="N337" i="13"/>
  <c r="N338" i="13"/>
  <c r="N339" i="13"/>
  <c r="N340" i="13"/>
  <c r="N341" i="13"/>
  <c r="N342" i="13"/>
  <c r="N343" i="13"/>
  <c r="N344" i="13"/>
  <c r="N345" i="13"/>
  <c r="N346" i="13"/>
  <c r="N347" i="13"/>
  <c r="N348" i="13"/>
  <c r="N349" i="13"/>
  <c r="N350" i="13"/>
  <c r="N351" i="13"/>
  <c r="N352" i="13"/>
  <c r="N353" i="13"/>
  <c r="N354" i="13"/>
  <c r="N355" i="13"/>
  <c r="N356" i="13"/>
  <c r="N357" i="13"/>
  <c r="N358" i="13"/>
  <c r="N359" i="13"/>
  <c r="N360" i="13"/>
  <c r="N361" i="13"/>
  <c r="N362" i="13"/>
  <c r="N363" i="13"/>
  <c r="N364" i="13"/>
  <c r="N365" i="13"/>
  <c r="N366" i="13"/>
  <c r="N367" i="13"/>
  <c r="N368" i="13"/>
  <c r="N369" i="13"/>
  <c r="N370" i="13"/>
  <c r="N371" i="13"/>
  <c r="N372" i="13"/>
  <c r="N373" i="13"/>
  <c r="N374" i="13"/>
  <c r="N375" i="13"/>
  <c r="N376" i="13"/>
  <c r="N377" i="13"/>
  <c r="N378" i="13"/>
  <c r="N379" i="13"/>
  <c r="N380" i="13"/>
  <c r="N381" i="13"/>
  <c r="N382" i="13"/>
  <c r="N383" i="13"/>
  <c r="N384" i="13"/>
  <c r="N385" i="13"/>
  <c r="N386" i="13"/>
  <c r="N387" i="13"/>
  <c r="N388" i="13"/>
  <c r="N389" i="13"/>
  <c r="N390" i="13"/>
  <c r="N391" i="13"/>
  <c r="N392" i="13"/>
  <c r="N393" i="13"/>
  <c r="N394" i="13"/>
  <c r="N395" i="13"/>
  <c r="N396" i="13"/>
  <c r="N397" i="13"/>
  <c r="N398" i="13"/>
  <c r="N399" i="13"/>
  <c r="N400" i="13"/>
  <c r="N401" i="13"/>
  <c r="N402" i="13"/>
  <c r="N403" i="13"/>
  <c r="N404" i="13"/>
  <c r="N405" i="13"/>
  <c r="N406" i="13"/>
  <c r="N407" i="13"/>
  <c r="N408" i="13"/>
  <c r="N409" i="13"/>
  <c r="N410" i="13"/>
  <c r="N411" i="13"/>
  <c r="N412" i="13"/>
  <c r="N413" i="13"/>
  <c r="N414" i="13"/>
  <c r="N415" i="13"/>
  <c r="N416" i="13"/>
  <c r="N417" i="13"/>
  <c r="N418" i="13"/>
  <c r="N419" i="13"/>
  <c r="N420" i="13"/>
  <c r="N421" i="13"/>
  <c r="N422" i="13"/>
  <c r="N423" i="13"/>
  <c r="N424" i="13"/>
  <c r="N425" i="13"/>
  <c r="N426" i="13"/>
  <c r="N427" i="13"/>
  <c r="N428" i="13"/>
  <c r="N429" i="13"/>
  <c r="N430" i="13"/>
  <c r="N431" i="13"/>
  <c r="N432" i="13"/>
  <c r="N433" i="13"/>
  <c r="N434" i="13"/>
  <c r="N435" i="13"/>
  <c r="N436" i="13"/>
  <c r="N437" i="13"/>
  <c r="N438" i="13"/>
  <c r="N439" i="13"/>
  <c r="N440" i="13"/>
  <c r="N441" i="13"/>
  <c r="N442" i="13"/>
  <c r="N443" i="13"/>
  <c r="N444" i="13"/>
  <c r="N445" i="13"/>
  <c r="N446" i="13"/>
  <c r="N447" i="13"/>
  <c r="N448" i="13"/>
  <c r="N449" i="13"/>
  <c r="N450" i="13"/>
  <c r="N451" i="13"/>
  <c r="N452" i="13"/>
  <c r="N453" i="13"/>
  <c r="N454" i="13"/>
  <c r="N455" i="13"/>
  <c r="N456" i="13"/>
  <c r="N457" i="13"/>
  <c r="N458" i="13"/>
  <c r="N459" i="13"/>
  <c r="N460" i="13"/>
  <c r="N461" i="13"/>
  <c r="N462" i="13"/>
  <c r="N463" i="13"/>
  <c r="N464" i="13"/>
  <c r="N465" i="13"/>
  <c r="N466" i="13"/>
  <c r="N467" i="13"/>
  <c r="N468" i="13"/>
  <c r="N469" i="13"/>
  <c r="N470" i="13"/>
  <c r="N471" i="13"/>
  <c r="N472" i="13"/>
  <c r="N473" i="13"/>
  <c r="N474" i="13"/>
  <c r="N475" i="13"/>
  <c r="N476" i="13"/>
  <c r="N477" i="13"/>
  <c r="N478" i="13"/>
  <c r="N479" i="13"/>
  <c r="N480" i="13"/>
  <c r="N481" i="13"/>
  <c r="N482" i="13"/>
  <c r="N483" i="13"/>
  <c r="N484" i="13"/>
  <c r="N485" i="13"/>
  <c r="N486" i="13"/>
  <c r="N487" i="13"/>
  <c r="N488" i="13"/>
  <c r="N489" i="13"/>
  <c r="N490" i="13"/>
  <c r="N491" i="13"/>
  <c r="N492" i="13"/>
  <c r="N493" i="13"/>
  <c r="N494" i="13"/>
  <c r="N495" i="13"/>
  <c r="N496" i="13"/>
  <c r="N497" i="13"/>
  <c r="N498" i="13"/>
  <c r="N499" i="13"/>
  <c r="N500" i="13"/>
  <c r="N501" i="13"/>
  <c r="N502" i="13"/>
  <c r="N503" i="13"/>
  <c r="N504" i="13"/>
  <c r="N505" i="13"/>
  <c r="N506" i="13"/>
  <c r="N507" i="13"/>
  <c r="N508" i="13"/>
  <c r="N509" i="13"/>
  <c r="N510" i="13"/>
  <c r="N511" i="13"/>
  <c r="N512" i="13"/>
  <c r="N513" i="13"/>
  <c r="N514" i="13"/>
  <c r="N515" i="13"/>
  <c r="N516" i="13"/>
  <c r="N517" i="13"/>
  <c r="N518" i="13"/>
  <c r="N519" i="13"/>
  <c r="N520" i="13"/>
  <c r="N521" i="13"/>
  <c r="N522" i="13"/>
  <c r="N523" i="13"/>
  <c r="N524" i="13"/>
  <c r="N525" i="13"/>
  <c r="N526" i="13"/>
  <c r="N527" i="13"/>
  <c r="N528" i="13"/>
  <c r="N529" i="13"/>
  <c r="N530" i="13"/>
  <c r="N531" i="13"/>
  <c r="N532" i="13"/>
  <c r="N533" i="13"/>
  <c r="N534" i="13"/>
  <c r="N535" i="13"/>
  <c r="N536" i="13"/>
  <c r="N537" i="13"/>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1043"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4" i="13"/>
  <c r="N605"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N672" i="13"/>
  <c r="N673" i="13"/>
  <c r="N674" i="13"/>
  <c r="N675" i="13"/>
  <c r="N676" i="13"/>
  <c r="N677" i="13"/>
  <c r="N678" i="13"/>
  <c r="N679" i="13"/>
  <c r="N680" i="13"/>
  <c r="N681" i="13"/>
  <c r="N1317" i="13"/>
  <c r="N683" i="13"/>
  <c r="N684" i="13"/>
  <c r="N685" i="13"/>
  <c r="N686" i="13"/>
  <c r="N687" i="13"/>
  <c r="N688" i="13"/>
  <c r="N689" i="13"/>
  <c r="N690" i="13"/>
  <c r="N691" i="13"/>
  <c r="N692" i="13"/>
  <c r="N693" i="13"/>
  <c r="N694" i="13"/>
  <c r="N695" i="13"/>
  <c r="N696" i="13"/>
  <c r="N697" i="13"/>
  <c r="N698" i="13"/>
  <c r="N699" i="13"/>
  <c r="N700" i="13"/>
  <c r="N701" i="13"/>
  <c r="N702" i="13"/>
  <c r="N703" i="13"/>
  <c r="N704" i="13"/>
  <c r="N705" i="13"/>
  <c r="N706" i="13"/>
  <c r="N707" i="13"/>
  <c r="N708" i="13"/>
  <c r="N709" i="13"/>
  <c r="N710" i="13"/>
  <c r="N711" i="13"/>
  <c r="N712" i="13"/>
  <c r="N713" i="13"/>
  <c r="N714" i="13"/>
  <c r="N715" i="13"/>
  <c r="N716" i="13"/>
  <c r="N717" i="13"/>
  <c r="N718" i="13"/>
  <c r="N719" i="13"/>
  <c r="N720" i="13"/>
  <c r="N721" i="13"/>
  <c r="N722" i="13"/>
  <c r="N723" i="13"/>
  <c r="N724" i="13"/>
  <c r="N725" i="13"/>
  <c r="N726" i="13"/>
  <c r="N727" i="13"/>
  <c r="N728" i="13"/>
  <c r="N729" i="13"/>
  <c r="N730" i="13"/>
  <c r="N731" i="13"/>
  <c r="N732" i="13"/>
  <c r="N733" i="13"/>
  <c r="N734" i="13"/>
  <c r="N735" i="13"/>
  <c r="N736" i="13"/>
  <c r="N737" i="13"/>
  <c r="N738" i="13"/>
  <c r="N739" i="13"/>
  <c r="N740" i="13"/>
  <c r="N741" i="13"/>
  <c r="N742" i="13"/>
  <c r="N743" i="13"/>
  <c r="N744" i="13"/>
  <c r="N745" i="13"/>
  <c r="N746" i="13"/>
  <c r="N747" i="13"/>
  <c r="N748" i="13"/>
  <c r="N749" i="13"/>
  <c r="N750" i="13"/>
  <c r="N751" i="13"/>
  <c r="N752" i="13"/>
  <c r="N753" i="13"/>
  <c r="N754" i="13"/>
  <c r="N755" i="13"/>
  <c r="N756" i="13"/>
  <c r="N757" i="13"/>
  <c r="N758" i="13"/>
  <c r="N759" i="13"/>
  <c r="N760" i="13"/>
  <c r="N761" i="13"/>
  <c r="N762" i="13"/>
  <c r="N763" i="13"/>
  <c r="N764" i="13"/>
  <c r="N765" i="13"/>
  <c r="N766" i="13"/>
  <c r="N767" i="13"/>
  <c r="N768" i="13"/>
  <c r="N769" i="13"/>
  <c r="N770" i="13"/>
  <c r="N771" i="13"/>
  <c r="N772" i="13"/>
  <c r="N773" i="13"/>
  <c r="N774" i="13"/>
  <c r="N775" i="13"/>
  <c r="N776" i="13"/>
  <c r="N777" i="13"/>
  <c r="N778" i="13"/>
  <c r="N779" i="13"/>
  <c r="N780" i="13"/>
  <c r="N781" i="13"/>
  <c r="N782" i="13"/>
  <c r="N783" i="13"/>
  <c r="N784" i="13"/>
  <c r="N785" i="13"/>
  <c r="N786" i="13"/>
  <c r="N787" i="13"/>
  <c r="N788" i="13"/>
  <c r="N789" i="13"/>
  <c r="N790" i="13"/>
  <c r="N791" i="13"/>
  <c r="N792" i="13"/>
  <c r="N793" i="13"/>
  <c r="N794" i="13"/>
  <c r="N795" i="13"/>
  <c r="N796" i="13"/>
  <c r="N797" i="13"/>
  <c r="N798" i="13"/>
  <c r="N799" i="13"/>
  <c r="N800" i="13"/>
  <c r="N801" i="13"/>
  <c r="N802" i="13"/>
  <c r="N803" i="13"/>
  <c r="N804" i="13"/>
  <c r="N805" i="13"/>
  <c r="N806" i="13"/>
  <c r="N807" i="13"/>
  <c r="N808" i="13"/>
  <c r="N809" i="13"/>
  <c r="N810" i="13"/>
  <c r="N811" i="13"/>
  <c r="N812" i="13"/>
  <c r="N813" i="13"/>
  <c r="N814" i="13"/>
  <c r="N815" i="13"/>
  <c r="N816" i="13"/>
  <c r="N817" i="13"/>
  <c r="N818" i="13"/>
  <c r="N819" i="13"/>
  <c r="N820" i="13"/>
  <c r="N821" i="13"/>
  <c r="N822" i="13"/>
  <c r="N823" i="13"/>
  <c r="N824" i="13"/>
  <c r="N825" i="13"/>
  <c r="N826" i="13"/>
  <c r="N827" i="13"/>
  <c r="N828" i="13"/>
  <c r="N829" i="13"/>
  <c r="N830" i="13"/>
  <c r="N831" i="13"/>
  <c r="N832" i="13"/>
  <c r="N833" i="13"/>
  <c r="N834" i="13"/>
  <c r="N835" i="13"/>
  <c r="N836" i="13"/>
  <c r="N837" i="13"/>
  <c r="N838" i="13"/>
  <c r="N839" i="13"/>
  <c r="N840" i="13"/>
  <c r="N841" i="13"/>
  <c r="N842" i="13"/>
  <c r="N843" i="13"/>
  <c r="N844" i="13"/>
  <c r="N845" i="13"/>
  <c r="N846" i="13"/>
  <c r="N847" i="13"/>
  <c r="N848" i="13"/>
  <c r="N849" i="13"/>
  <c r="N850" i="13"/>
  <c r="N851" i="13"/>
  <c r="N852" i="13"/>
  <c r="N853" i="13"/>
  <c r="N854" i="13"/>
  <c r="N855" i="13"/>
  <c r="N856" i="13"/>
  <c r="N857" i="13"/>
  <c r="N858" i="13"/>
  <c r="N859" i="13"/>
  <c r="N860" i="13"/>
  <c r="N861" i="13"/>
  <c r="N862" i="13"/>
  <c r="N863" i="13"/>
  <c r="N864" i="13"/>
  <c r="N865" i="13"/>
  <c r="N866" i="13"/>
  <c r="N867" i="13"/>
  <c r="N868" i="13"/>
  <c r="N869" i="13"/>
  <c r="N870" i="13"/>
  <c r="N871" i="13"/>
  <c r="N872" i="13"/>
  <c r="N873" i="13"/>
  <c r="N874" i="13"/>
  <c r="N875" i="13"/>
  <c r="N876" i="13"/>
  <c r="N877" i="13"/>
  <c r="N878" i="13"/>
  <c r="N879" i="13"/>
  <c r="N880" i="13"/>
  <c r="N881" i="13"/>
  <c r="N882" i="13"/>
  <c r="N883" i="13"/>
  <c r="N884" i="13"/>
  <c r="N885" i="13"/>
  <c r="N886" i="13"/>
  <c r="N887" i="13"/>
  <c r="N888" i="13"/>
  <c r="N889" i="13"/>
  <c r="N890" i="13"/>
  <c r="N891" i="13"/>
  <c r="N892" i="13"/>
  <c r="N893" i="13"/>
  <c r="N894" i="13"/>
  <c r="N895" i="13"/>
  <c r="N896" i="13"/>
  <c r="N897" i="13"/>
  <c r="N898" i="13"/>
  <c r="N899" i="13"/>
  <c r="N900" i="13"/>
  <c r="N901" i="13"/>
  <c r="N902" i="13"/>
  <c r="N903" i="13"/>
  <c r="N904" i="13"/>
  <c r="N905" i="13"/>
  <c r="N906" i="13"/>
  <c r="N907" i="13"/>
  <c r="N908" i="13"/>
  <c r="N909" i="13"/>
  <c r="N910" i="13"/>
  <c r="N911" i="13"/>
  <c r="N912" i="13"/>
  <c r="N913" i="13"/>
  <c r="N1172" i="13"/>
  <c r="N915" i="13"/>
  <c r="N916" i="13"/>
  <c r="N917" i="13"/>
  <c r="N918" i="13"/>
  <c r="N919" i="13"/>
  <c r="N920" i="13"/>
  <c r="N921" i="13"/>
  <c r="N922" i="13"/>
  <c r="N923" i="13"/>
  <c r="N924" i="13"/>
  <c r="N925" i="13"/>
  <c r="N926" i="13"/>
  <c r="N927" i="13"/>
  <c r="N928" i="13"/>
  <c r="N929" i="13"/>
  <c r="N930" i="13"/>
  <c r="N931" i="13"/>
  <c r="N932" i="13"/>
  <c r="N933" i="13"/>
  <c r="N934" i="13"/>
  <c r="N935" i="13"/>
  <c r="N936" i="13"/>
  <c r="N937" i="13"/>
  <c r="N938" i="13"/>
  <c r="N939" i="13"/>
  <c r="N940" i="13"/>
  <c r="N941" i="13"/>
  <c r="N942" i="13"/>
  <c r="N943" i="13"/>
  <c r="N944" i="13"/>
  <c r="N945" i="13"/>
  <c r="N946" i="13"/>
  <c r="N947" i="13"/>
  <c r="N948" i="13"/>
  <c r="N949" i="13"/>
  <c r="N950" i="13"/>
  <c r="N951" i="13"/>
  <c r="N952" i="13"/>
  <c r="N953" i="13"/>
  <c r="N954" i="13"/>
  <c r="N955" i="13"/>
  <c r="N956" i="13"/>
  <c r="N957" i="13"/>
  <c r="N958" i="13"/>
  <c r="N959" i="13"/>
  <c r="N960" i="13"/>
  <c r="N961" i="13"/>
  <c r="N962" i="13"/>
  <c r="N963" i="13"/>
  <c r="N964" i="13"/>
  <c r="N965" i="13"/>
  <c r="N966" i="13"/>
  <c r="N967" i="13"/>
  <c r="N968" i="13"/>
  <c r="N969" i="13"/>
  <c r="N970" i="13"/>
  <c r="N971" i="13"/>
  <c r="N972" i="13"/>
  <c r="N973" i="13"/>
  <c r="N974" i="13"/>
  <c r="N975" i="13"/>
  <c r="N976" i="13"/>
  <c r="N977" i="13"/>
  <c r="N978" i="13"/>
  <c r="N979" i="13"/>
  <c r="N980" i="13"/>
  <c r="N981" i="13"/>
  <c r="N982" i="13"/>
  <c r="N983" i="13"/>
  <c r="N984" i="13"/>
  <c r="N985" i="13"/>
  <c r="N986" i="13"/>
  <c r="N987" i="13"/>
  <c r="N988" i="13"/>
  <c r="N989" i="13"/>
  <c r="N990" i="13"/>
  <c r="N991" i="13"/>
  <c r="N992" i="13"/>
  <c r="N993" i="13"/>
  <c r="N994" i="13"/>
  <c r="N995" i="13"/>
  <c r="N996" i="13"/>
  <c r="N997" i="13"/>
  <c r="N998" i="13"/>
  <c r="N999" i="13"/>
  <c r="N1000" i="13"/>
  <c r="N1001" i="13"/>
  <c r="N1002" i="13"/>
  <c r="N1003" i="13"/>
  <c r="N1004" i="13"/>
  <c r="N1005" i="13"/>
  <c r="N1006" i="13"/>
  <c r="N1007" i="13"/>
  <c r="N1008" i="13"/>
  <c r="N1009" i="13"/>
  <c r="N1010" i="13"/>
  <c r="N1011" i="13"/>
  <c r="N1012" i="13"/>
  <c r="N1013" i="13"/>
  <c r="N1014" i="13"/>
  <c r="N1015" i="13"/>
  <c r="N1016" i="13"/>
  <c r="N1017" i="13"/>
  <c r="N1018" i="13"/>
  <c r="N1019" i="13"/>
  <c r="N1020" i="13"/>
  <c r="N1021" i="13"/>
  <c r="N1022" i="13"/>
  <c r="N1023" i="13"/>
  <c r="N1024" i="13"/>
  <c r="N1025" i="13"/>
  <c r="N1026" i="13"/>
  <c r="N1027" i="13"/>
  <c r="N1028" i="13"/>
  <c r="N1029" i="13"/>
  <c r="N1030" i="13"/>
  <c r="N1031" i="13"/>
  <c r="N1032" i="13"/>
  <c r="N1033" i="13"/>
  <c r="N1034" i="13"/>
  <c r="N1035" i="13"/>
  <c r="N1036" i="13"/>
  <c r="N1037" i="13"/>
  <c r="N1038" i="13"/>
  <c r="N1039" i="13"/>
  <c r="N1040" i="13"/>
  <c r="N1041" i="13"/>
  <c r="N564" i="13"/>
  <c r="N682" i="13"/>
  <c r="N1044" i="13"/>
  <c r="N1045" i="13"/>
  <c r="N1046" i="13"/>
  <c r="N1047" i="13"/>
  <c r="N1048" i="13"/>
  <c r="N1049" i="13"/>
  <c r="N1050" i="13"/>
  <c r="N1051" i="13"/>
  <c r="N1052" i="13"/>
  <c r="N1053" i="13"/>
  <c r="N1054" i="13"/>
  <c r="N1055" i="13"/>
  <c r="N1056" i="13"/>
  <c r="N1057" i="13"/>
  <c r="N1058" i="13"/>
  <c r="N1059" i="13"/>
  <c r="N1060" i="13"/>
  <c r="N1061" i="13"/>
  <c r="N1062" i="13"/>
  <c r="N1063" i="13"/>
  <c r="N1064" i="13"/>
  <c r="N1065" i="13"/>
  <c r="N1066" i="13"/>
  <c r="N1067" i="13"/>
  <c r="N1333" i="13"/>
  <c r="N1069" i="13"/>
  <c r="N1070" i="13"/>
  <c r="N1071" i="13"/>
  <c r="N1072" i="13"/>
  <c r="N1073" i="13"/>
  <c r="N1074" i="13"/>
  <c r="N1075" i="13"/>
  <c r="N1076" i="13"/>
  <c r="N1077" i="13"/>
  <c r="N1078" i="13"/>
  <c r="N1079" i="13"/>
  <c r="N1080" i="13"/>
  <c r="N1081" i="13"/>
  <c r="N1082" i="13"/>
  <c r="N1083" i="13"/>
  <c r="N1084" i="13"/>
  <c r="N1085" i="13"/>
  <c r="N1086" i="13"/>
  <c r="N1087" i="13"/>
  <c r="N1088" i="13"/>
  <c r="N1089" i="13"/>
  <c r="N1090" i="13"/>
  <c r="N1091" i="13"/>
  <c r="N1092" i="13"/>
  <c r="N1093" i="13"/>
  <c r="N1094" i="13"/>
  <c r="N1095" i="13"/>
  <c r="N1096" i="13"/>
  <c r="N1097" i="13"/>
  <c r="N1098" i="13"/>
  <c r="N1099" i="13"/>
  <c r="N1100" i="13"/>
  <c r="N1101" i="13"/>
  <c r="N1102" i="13"/>
  <c r="N1103" i="13"/>
  <c r="N1104" i="13"/>
  <c r="N1105" i="13"/>
  <c r="N1106" i="13"/>
  <c r="N1107" i="13"/>
  <c r="N1108" i="13"/>
  <c r="N1109" i="13"/>
  <c r="N1110" i="13"/>
  <c r="N1111" i="13"/>
  <c r="N1112" i="13"/>
  <c r="N1113" i="13"/>
  <c r="N1114" i="13"/>
  <c r="N1115" i="13"/>
  <c r="N1116" i="13"/>
  <c r="N1117" i="13"/>
  <c r="N1118" i="13"/>
  <c r="N1119" i="13"/>
  <c r="N1120" i="13"/>
  <c r="N1121" i="13"/>
  <c r="N1122" i="13"/>
  <c r="N1123" i="13"/>
  <c r="N1124" i="13"/>
  <c r="N1125" i="13"/>
  <c r="N1126" i="13"/>
  <c r="N1127" i="13"/>
  <c r="N1128" i="13"/>
  <c r="N1129" i="13"/>
  <c r="N1130" i="13"/>
  <c r="N1131" i="13"/>
  <c r="N1132" i="13"/>
  <c r="N1133" i="13"/>
  <c r="N1134" i="13"/>
  <c r="N1135" i="13"/>
  <c r="N1136" i="13"/>
  <c r="N1137" i="13"/>
  <c r="N1138" i="13"/>
  <c r="N1139" i="13"/>
  <c r="N1140" i="13"/>
  <c r="N1141" i="13"/>
  <c r="N1142" i="13"/>
  <c r="N1143" i="13"/>
  <c r="N1144" i="13"/>
  <c r="N1145" i="13"/>
  <c r="N1146" i="13"/>
  <c r="N1147" i="13"/>
  <c r="N1148" i="13"/>
  <c r="N1149" i="13"/>
  <c r="N1150" i="13"/>
  <c r="N1151" i="13"/>
  <c r="N1152" i="13"/>
  <c r="N1153" i="13"/>
  <c r="N1154" i="13"/>
  <c r="N1155" i="13"/>
  <c r="N1156" i="13"/>
  <c r="N1157" i="13"/>
  <c r="N1158" i="13"/>
  <c r="N1159" i="13"/>
  <c r="N1160" i="13"/>
  <c r="N1161" i="13"/>
  <c r="N1162" i="13"/>
  <c r="N1163" i="13"/>
  <c r="N1164" i="13"/>
  <c r="N1165" i="13"/>
  <c r="N1166" i="13"/>
  <c r="N1167" i="13"/>
  <c r="N1168" i="13"/>
  <c r="N1169" i="13"/>
  <c r="N1170" i="13"/>
  <c r="N1171" i="13"/>
  <c r="N1184" i="13"/>
  <c r="N1173" i="13"/>
  <c r="N1174" i="13"/>
  <c r="N1175" i="13"/>
  <c r="N1176" i="13"/>
  <c r="N1177" i="13"/>
  <c r="N1178" i="13"/>
  <c r="N1179" i="13"/>
  <c r="N1180" i="13"/>
  <c r="N1181" i="13"/>
  <c r="N1182" i="13"/>
  <c r="N1183" i="13"/>
  <c r="N1186" i="13"/>
  <c r="N1185" i="13"/>
  <c r="N1189" i="13"/>
  <c r="N1187" i="13"/>
  <c r="N1188" i="13"/>
  <c r="N1335" i="13"/>
  <c r="N1068" i="13"/>
  <c r="N1191" i="13"/>
  <c r="N1192" i="13"/>
  <c r="N1193" i="13"/>
  <c r="N1194" i="13"/>
  <c r="N1195" i="13"/>
  <c r="N1196" i="13"/>
  <c r="N1197" i="13"/>
  <c r="N1198" i="13"/>
  <c r="N1199" i="13"/>
  <c r="N1200" i="13"/>
  <c r="N1201" i="13"/>
  <c r="N1202" i="13"/>
  <c r="N1203" i="13"/>
  <c r="N1204" i="13"/>
  <c r="N1205" i="13"/>
  <c r="N1206" i="13"/>
  <c r="N1207" i="13"/>
  <c r="N1208" i="13"/>
  <c r="N1209" i="13"/>
  <c r="N1210" i="13"/>
  <c r="N1211" i="13"/>
  <c r="N1212" i="13"/>
  <c r="N1213" i="13"/>
  <c r="N1214" i="13"/>
  <c r="N1215" i="13"/>
  <c r="N1216" i="13"/>
  <c r="N1217" i="13"/>
  <c r="N1218" i="13"/>
  <c r="N1219" i="13"/>
  <c r="N1220" i="13"/>
  <c r="N1221" i="13"/>
  <c r="N1222" i="13"/>
  <c r="N1223" i="13"/>
  <c r="N1224" i="13"/>
  <c r="N1225" i="13"/>
  <c r="N1226" i="13"/>
  <c r="N1227" i="13"/>
  <c r="N1228" i="13"/>
  <c r="N1229" i="13"/>
  <c r="N1230" i="13"/>
  <c r="N1231" i="13"/>
  <c r="N1232" i="13"/>
  <c r="N1233" i="13"/>
  <c r="N1234" i="13"/>
  <c r="N1235" i="13"/>
  <c r="N1236" i="13"/>
  <c r="N1237" i="13"/>
  <c r="N1238" i="13"/>
  <c r="N1239" i="13"/>
  <c r="N1240" i="13"/>
  <c r="N1241" i="13"/>
  <c r="N1242" i="13"/>
  <c r="N1243" i="13"/>
  <c r="N1244" i="13"/>
  <c r="N1245" i="13"/>
  <c r="N1246" i="13"/>
  <c r="N1247" i="13"/>
  <c r="N1248" i="13"/>
  <c r="N1249" i="13"/>
  <c r="N1250" i="13"/>
  <c r="N1251" i="13"/>
  <c r="N1252" i="13"/>
  <c r="N1253" i="13"/>
  <c r="N1254" i="13"/>
  <c r="N1255" i="13"/>
  <c r="N1256" i="13"/>
  <c r="N1257" i="13"/>
  <c r="N1258" i="13"/>
  <c r="N1259" i="13"/>
  <c r="N1260" i="13"/>
  <c r="N1261" i="13"/>
  <c r="N1262" i="13"/>
  <c r="N1263" i="13"/>
  <c r="N1264" i="13"/>
  <c r="N1265" i="13"/>
  <c r="N1266" i="13"/>
  <c r="N1267" i="13"/>
  <c r="N1268" i="13"/>
  <c r="N1269" i="13"/>
  <c r="N1270" i="13"/>
  <c r="N1271" i="13"/>
  <c r="N1272" i="13"/>
  <c r="N1273" i="13"/>
  <c r="N1274" i="13"/>
  <c r="N1275" i="13"/>
  <c r="N1276" i="13"/>
  <c r="N1277" i="13"/>
  <c r="N1278" i="13"/>
  <c r="N1279" i="13"/>
  <c r="N1280" i="13"/>
  <c r="N1281" i="13"/>
  <c r="N1282" i="13"/>
  <c r="N1283" i="13"/>
  <c r="N1284" i="13"/>
  <c r="N1285" i="13"/>
  <c r="N1286" i="13"/>
  <c r="N1287" i="13"/>
  <c r="N1288" i="13"/>
  <c r="N1289" i="13"/>
  <c r="N1290" i="13"/>
  <c r="N1291" i="13"/>
  <c r="N1292" i="13"/>
  <c r="N1293" i="13"/>
  <c r="N1294" i="13"/>
  <c r="N1295" i="13"/>
  <c r="N1296" i="13"/>
  <c r="N1297" i="13"/>
  <c r="N1298" i="13"/>
  <c r="N1299" i="13"/>
  <c r="N1300" i="13"/>
  <c r="N1301" i="13"/>
  <c r="N1302" i="13"/>
  <c r="N1303" i="13"/>
  <c r="N1304" i="13"/>
  <c r="N1305" i="13"/>
  <c r="N1306" i="13"/>
  <c r="N1307" i="13"/>
  <c r="N1308" i="13"/>
  <c r="N1309" i="13"/>
  <c r="N1310" i="13"/>
  <c r="N1311" i="13"/>
  <c r="N1312" i="13"/>
  <c r="N1313" i="13"/>
  <c r="N1314" i="13"/>
  <c r="N1315" i="13"/>
  <c r="N1316" i="13"/>
  <c r="N1190" i="13"/>
  <c r="N1318" i="13"/>
  <c r="N1319" i="13"/>
  <c r="N1320" i="13"/>
  <c r="N1321" i="13"/>
  <c r="N1322" i="13"/>
  <c r="N1323" i="13"/>
  <c r="N1324" i="13"/>
  <c r="N1325" i="13"/>
  <c r="N1326" i="13"/>
  <c r="N1327" i="13"/>
  <c r="N1328" i="13"/>
  <c r="N1329" i="13"/>
  <c r="N1330" i="13"/>
  <c r="N1331" i="13"/>
  <c r="N1332" i="13"/>
  <c r="N914" i="13"/>
  <c r="N1334" i="13"/>
  <c r="N1042" i="13"/>
  <c r="N1336" i="13"/>
  <c r="N1337" i="13"/>
  <c r="N1338" i="13"/>
  <c r="N1339" i="13"/>
  <c r="N1340" i="13"/>
  <c r="N1341" i="13"/>
  <c r="N1342" i="13"/>
  <c r="N1343" i="13"/>
  <c r="N1344" i="13"/>
  <c r="N1345" i="13"/>
  <c r="N1346" i="13"/>
  <c r="N1347" i="13"/>
  <c r="N1348" i="13"/>
  <c r="N1349" i="13"/>
  <c r="N1350" i="13"/>
  <c r="N1351" i="13"/>
  <c r="N1352" i="13"/>
  <c r="N1353" i="13"/>
  <c r="N1354" i="13"/>
  <c r="N1355" i="13"/>
  <c r="N1356" i="13"/>
  <c r="N1357" i="13"/>
  <c r="N1358" i="13"/>
  <c r="N1359" i="13"/>
  <c r="N1360" i="13"/>
  <c r="N1361" i="13"/>
  <c r="N1362" i="13"/>
  <c r="N1363" i="13"/>
  <c r="N1364" i="13"/>
  <c r="N1365" i="13"/>
  <c r="N1366" i="13"/>
  <c r="N1367" i="13"/>
  <c r="N1368" i="13"/>
  <c r="N1369" i="13"/>
  <c r="N1370" i="13"/>
  <c r="N1371" i="13"/>
  <c r="N1372" i="13"/>
  <c r="N1373" i="13"/>
  <c r="N1374" i="13"/>
  <c r="N1375" i="13"/>
  <c r="N1376" i="13"/>
  <c r="N1377" i="13"/>
  <c r="N1378" i="13"/>
  <c r="N1379" i="13"/>
  <c r="N1380" i="13"/>
  <c r="N1381" i="13"/>
  <c r="N1382" i="13"/>
  <c r="N1383" i="13"/>
  <c r="N1384" i="13"/>
  <c r="N1385" i="13"/>
  <c r="N1386" i="13"/>
  <c r="N1387" i="13"/>
  <c r="N1388" i="13"/>
  <c r="N1389" i="13"/>
  <c r="N1390" i="13"/>
  <c r="N1391" i="13"/>
  <c r="N1392" i="13"/>
  <c r="N1393" i="13"/>
  <c r="N1394" i="13"/>
  <c r="N1395" i="13"/>
  <c r="N1396" i="13"/>
  <c r="N1397" i="13"/>
  <c r="N1398" i="13"/>
  <c r="N1399" i="13"/>
  <c r="N1400" i="13"/>
  <c r="N1401" i="13"/>
  <c r="N1402" i="13"/>
  <c r="N1403" i="13"/>
  <c r="N1404" i="13"/>
  <c r="N1405" i="13"/>
  <c r="N1406" i="13"/>
  <c r="N1407" i="13"/>
  <c r="N1408" i="13"/>
  <c r="N1409" i="13"/>
  <c r="N1410" i="13"/>
  <c r="N1411" i="13"/>
  <c r="N1412" i="13"/>
  <c r="N1413" i="13"/>
  <c r="N1414" i="13"/>
  <c r="N1415" i="13"/>
  <c r="N1416" i="13"/>
  <c r="N1417" i="13"/>
  <c r="N1418" i="13"/>
  <c r="N2" i="13"/>
  <c r="B524" i="14"/>
  <c r="D524" i="14" s="1"/>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N323" i="14"/>
  <c r="N324" i="14"/>
  <c r="N325" i="14"/>
  <c r="N326" i="14"/>
  <c r="N327" i="14"/>
  <c r="N328" i="14"/>
  <c r="N329" i="14"/>
  <c r="N330" i="14"/>
  <c r="N331" i="14"/>
  <c r="N332" i="14"/>
  <c r="N333" i="14"/>
  <c r="N334" i="14"/>
  <c r="N335" i="14"/>
  <c r="N336" i="14"/>
  <c r="N337" i="14"/>
  <c r="N338" i="14"/>
  <c r="N339" i="14"/>
  <c r="N340" i="14"/>
  <c r="N341" i="14"/>
  <c r="N342" i="14"/>
  <c r="N343" i="14"/>
  <c r="N344" i="14"/>
  <c r="N345" i="14"/>
  <c r="N346" i="14"/>
  <c r="N347" i="14"/>
  <c r="N348" i="14"/>
  <c r="N349" i="14"/>
  <c r="N350" i="14"/>
  <c r="N351" i="14"/>
  <c r="N352" i="14"/>
  <c r="N353" i="14"/>
  <c r="N354" i="14"/>
  <c r="N355" i="14"/>
  <c r="N356" i="14"/>
  <c r="N357" i="14"/>
  <c r="N358" i="14"/>
  <c r="N359" i="14"/>
  <c r="N360" i="14"/>
  <c r="N361" i="14"/>
  <c r="N362" i="14"/>
  <c r="N363" i="14"/>
  <c r="N364" i="14"/>
  <c r="N365" i="14"/>
  <c r="N366" i="14"/>
  <c r="N367" i="14"/>
  <c r="N368" i="14"/>
  <c r="N369" i="14"/>
  <c r="N370" i="14"/>
  <c r="N371" i="14"/>
  <c r="N372" i="14"/>
  <c r="N373" i="14"/>
  <c r="N374" i="14"/>
  <c r="N375" i="14"/>
  <c r="N376" i="14"/>
  <c r="N377" i="14"/>
  <c r="N378" i="14"/>
  <c r="N379" i="14"/>
  <c r="N380" i="14"/>
  <c r="N381" i="14"/>
  <c r="N382" i="14"/>
  <c r="N383" i="14"/>
  <c r="N384" i="14"/>
  <c r="N385" i="14"/>
  <c r="N386" i="14"/>
  <c r="N387" i="14"/>
  <c r="N388" i="14"/>
  <c r="N389" i="14"/>
  <c r="N390" i="14"/>
  <c r="N391" i="14"/>
  <c r="N392" i="14"/>
  <c r="N393" i="14"/>
  <c r="N394" i="14"/>
  <c r="N395" i="14"/>
  <c r="N396" i="14"/>
  <c r="N397" i="14"/>
  <c r="N398" i="14"/>
  <c r="N399" i="14"/>
  <c r="N400" i="14"/>
  <c r="N401" i="14"/>
  <c r="N402" i="14"/>
  <c r="N403" i="14"/>
  <c r="N404" i="14"/>
  <c r="N405" i="14"/>
  <c r="N406" i="14"/>
  <c r="N407" i="14"/>
  <c r="N408" i="14"/>
  <c r="N409" i="14"/>
  <c r="N410" i="14"/>
  <c r="N411" i="14"/>
  <c r="N412" i="14"/>
  <c r="N413" i="14"/>
  <c r="N414" i="14"/>
  <c r="N415" i="14"/>
  <c r="N416" i="14"/>
  <c r="N417" i="14"/>
  <c r="N418" i="14"/>
  <c r="N419" i="14"/>
  <c r="N420" i="14"/>
  <c r="N421" i="14"/>
  <c r="N422" i="14"/>
  <c r="N423" i="14"/>
  <c r="N424" i="14"/>
  <c r="N425" i="14"/>
  <c r="N426" i="14"/>
  <c r="N427" i="14"/>
  <c r="N428" i="14"/>
  <c r="N429" i="14"/>
  <c r="N430" i="14"/>
  <c r="N431" i="14"/>
  <c r="N432" i="14"/>
  <c r="N433" i="14"/>
  <c r="N434" i="14"/>
  <c r="N435" i="14"/>
  <c r="N436" i="14"/>
  <c r="N437" i="14"/>
  <c r="N438" i="14"/>
  <c r="N439" i="14"/>
  <c r="N440" i="14"/>
  <c r="N441" i="14"/>
  <c r="N442" i="14"/>
  <c r="N443" i="14"/>
  <c r="N444" i="14"/>
  <c r="N445" i="14"/>
  <c r="N446" i="14"/>
  <c r="N447" i="14"/>
  <c r="N448" i="14"/>
  <c r="N449" i="14"/>
  <c r="N450" i="14"/>
  <c r="N451" i="14"/>
  <c r="N452" i="14"/>
  <c r="N453" i="14"/>
  <c r="N454" i="14"/>
  <c r="N455" i="14"/>
  <c r="N456" i="14"/>
  <c r="N457" i="14"/>
  <c r="N458" i="14"/>
  <c r="N459" i="14"/>
  <c r="N460" i="14"/>
  <c r="N461" i="14"/>
  <c r="N462" i="14"/>
  <c r="N463" i="14"/>
  <c r="N464" i="14"/>
  <c r="N465" i="14"/>
  <c r="N466" i="14"/>
  <c r="N467" i="14"/>
  <c r="N468" i="14"/>
  <c r="N469" i="14"/>
  <c r="N470" i="14"/>
  <c r="N471" i="14"/>
  <c r="N472" i="14"/>
  <c r="N473" i="14"/>
  <c r="N474" i="14"/>
  <c r="N475" i="14"/>
  <c r="N476" i="14"/>
  <c r="N477" i="14"/>
  <c r="N478" i="14"/>
  <c r="N479" i="14"/>
  <c r="N480" i="14"/>
  <c r="N481" i="14"/>
  <c r="N482" i="14"/>
  <c r="N483" i="14"/>
  <c r="N484" i="14"/>
  <c r="N485" i="14"/>
  <c r="N486" i="14"/>
  <c r="N487" i="14"/>
  <c r="N488" i="14"/>
  <c r="N489" i="14"/>
  <c r="N490" i="14"/>
  <c r="N491" i="14"/>
  <c r="N492" i="14"/>
  <c r="N493" i="14"/>
  <c r="N494" i="14"/>
  <c r="N495" i="14"/>
  <c r="N496" i="14"/>
  <c r="N497" i="14"/>
  <c r="N498" i="14"/>
  <c r="N499" i="14"/>
  <c r="N500" i="14"/>
  <c r="N501" i="14"/>
  <c r="N502" i="14"/>
  <c r="N503" i="14"/>
  <c r="N504" i="14"/>
  <c r="N505" i="14"/>
  <c r="N506" i="14"/>
  <c r="N507" i="14"/>
  <c r="N508" i="14"/>
  <c r="N509" i="14"/>
  <c r="N510" i="14"/>
  <c r="N511" i="14"/>
  <c r="N512" i="14"/>
  <c r="N513" i="14"/>
  <c r="N514" i="14"/>
  <c r="N515" i="14"/>
  <c r="N516" i="14"/>
  <c r="N517" i="14"/>
  <c r="N518" i="14"/>
  <c r="N519" i="14"/>
  <c r="N520" i="14"/>
  <c r="N521" i="14"/>
  <c r="N522" i="14"/>
  <c r="N523" i="14"/>
  <c r="N2" i="14"/>
  <c r="B17" i="8"/>
  <c r="B354" i="14"/>
  <c r="D354" i="14" s="1"/>
  <c r="B518" i="14"/>
  <c r="D518" i="14" s="1"/>
  <c r="B519" i="14"/>
  <c r="D519" i="14" s="1"/>
  <c r="B520" i="14"/>
  <c r="D520" i="14" s="1"/>
  <c r="B521" i="14"/>
  <c r="D521" i="14" s="1"/>
  <c r="B522" i="14"/>
  <c r="D522" i="14" s="1"/>
  <c r="B523" i="14"/>
  <c r="D523" i="14" s="1"/>
  <c r="B1056" i="13"/>
  <c r="D1056" i="13" s="1"/>
  <c r="B531" i="14"/>
  <c r="D531" i="14" s="1"/>
  <c r="B530" i="14"/>
  <c r="D530" i="14" s="1"/>
  <c r="B529" i="14"/>
  <c r="D529" i="14" s="1"/>
  <c r="B528" i="14"/>
  <c r="D528" i="14" s="1"/>
  <c r="B527" i="14"/>
  <c r="D527" i="14" s="1"/>
  <c r="B526" i="14"/>
  <c r="D526" i="14" s="1"/>
  <c r="B525" i="14"/>
  <c r="D525" i="14" s="1"/>
  <c r="B517" i="14"/>
  <c r="D517" i="14" s="1"/>
  <c r="B516" i="14"/>
  <c r="D516" i="14" s="1"/>
  <c r="B515" i="14"/>
  <c r="D515" i="14" s="1"/>
  <c r="B514" i="14"/>
  <c r="D514" i="14" s="1"/>
  <c r="B513" i="14"/>
  <c r="D513" i="14" s="1"/>
  <c r="B512" i="14"/>
  <c r="D512" i="14" s="1"/>
  <c r="B511" i="14"/>
  <c r="D511" i="14" s="1"/>
  <c r="B510" i="14"/>
  <c r="D510" i="14" s="1"/>
  <c r="B509" i="14"/>
  <c r="D509" i="14" s="1"/>
  <c r="B508" i="14"/>
  <c r="D508" i="14" s="1"/>
  <c r="B507" i="14"/>
  <c r="D507" i="14" s="1"/>
  <c r="B506" i="14"/>
  <c r="D506" i="14" s="1"/>
  <c r="B505" i="14"/>
  <c r="D505" i="14" s="1"/>
  <c r="B504" i="14"/>
  <c r="D504" i="14" s="1"/>
  <c r="B503" i="14"/>
  <c r="D503" i="14" s="1"/>
  <c r="B502" i="14"/>
  <c r="D502" i="14" s="1"/>
  <c r="B501" i="14"/>
  <c r="D501" i="14" s="1"/>
  <c r="B500" i="14"/>
  <c r="D500" i="14" s="1"/>
  <c r="B499" i="14"/>
  <c r="D499" i="14" s="1"/>
  <c r="B498" i="14"/>
  <c r="D498" i="14" s="1"/>
  <c r="B497" i="14"/>
  <c r="D497" i="14" s="1"/>
  <c r="B496" i="14"/>
  <c r="D496" i="14" s="1"/>
  <c r="B495" i="14"/>
  <c r="D495" i="14" s="1"/>
  <c r="B494" i="14"/>
  <c r="D494" i="14" s="1"/>
  <c r="B493" i="14"/>
  <c r="D493" i="14" s="1"/>
  <c r="B492" i="14"/>
  <c r="D492" i="14" s="1"/>
  <c r="B491" i="14"/>
  <c r="D491" i="14" s="1"/>
  <c r="B490" i="14"/>
  <c r="D490" i="14" s="1"/>
  <c r="B489" i="14"/>
  <c r="D489" i="14" s="1"/>
  <c r="B488" i="14"/>
  <c r="D488" i="14" s="1"/>
  <c r="B487" i="14"/>
  <c r="D487" i="14" s="1"/>
  <c r="B486" i="14"/>
  <c r="D486" i="14" s="1"/>
  <c r="B485" i="14"/>
  <c r="D485" i="14" s="1"/>
  <c r="B484" i="14"/>
  <c r="D484" i="14" s="1"/>
  <c r="B483" i="14"/>
  <c r="D483" i="14" s="1"/>
  <c r="B482" i="14"/>
  <c r="D482" i="14" s="1"/>
  <c r="B481" i="14"/>
  <c r="D481" i="14" s="1"/>
  <c r="B480" i="14"/>
  <c r="D480" i="14" s="1"/>
  <c r="B479" i="14"/>
  <c r="D479" i="14" s="1"/>
  <c r="B478" i="14"/>
  <c r="D478" i="14" s="1"/>
  <c r="B477" i="14"/>
  <c r="D477" i="14" s="1"/>
  <c r="B476" i="14"/>
  <c r="D476" i="14" s="1"/>
  <c r="B475" i="14"/>
  <c r="D475" i="14" s="1"/>
  <c r="B474" i="14"/>
  <c r="D474" i="14" s="1"/>
  <c r="B473" i="14"/>
  <c r="D473" i="14" s="1"/>
  <c r="B472" i="14"/>
  <c r="D472" i="14" s="1"/>
  <c r="B471" i="14"/>
  <c r="D471" i="14" s="1"/>
  <c r="B470" i="14"/>
  <c r="D470" i="14" s="1"/>
  <c r="B469" i="14"/>
  <c r="D469" i="14" s="1"/>
  <c r="B468" i="14"/>
  <c r="D468" i="14" s="1"/>
  <c r="B467" i="14"/>
  <c r="D467" i="14" s="1"/>
  <c r="B466" i="14"/>
  <c r="D466" i="14" s="1"/>
  <c r="B465" i="14"/>
  <c r="D465" i="14" s="1"/>
  <c r="B464" i="14"/>
  <c r="D464" i="14" s="1"/>
  <c r="B463" i="14"/>
  <c r="D463" i="14" s="1"/>
  <c r="B462" i="14"/>
  <c r="D462" i="14" s="1"/>
  <c r="B461" i="14"/>
  <c r="D461" i="14" s="1"/>
  <c r="B460" i="14"/>
  <c r="D460" i="14" s="1"/>
  <c r="B459" i="14"/>
  <c r="D459" i="14" s="1"/>
  <c r="B458" i="14"/>
  <c r="D458" i="14" s="1"/>
  <c r="B457" i="14"/>
  <c r="D457" i="14" s="1"/>
  <c r="B456" i="14"/>
  <c r="D456" i="14" s="1"/>
  <c r="B455" i="14"/>
  <c r="D455" i="14" s="1"/>
  <c r="B454" i="14"/>
  <c r="D454" i="14" s="1"/>
  <c r="B453" i="14"/>
  <c r="D453" i="14" s="1"/>
  <c r="B452" i="14"/>
  <c r="D452" i="14" s="1"/>
  <c r="B451" i="14"/>
  <c r="D451" i="14" s="1"/>
  <c r="B450" i="14"/>
  <c r="D450" i="14" s="1"/>
  <c r="B449" i="14"/>
  <c r="D449" i="14" s="1"/>
  <c r="B448" i="14"/>
  <c r="D448" i="14" s="1"/>
  <c r="B447" i="14"/>
  <c r="D447" i="14" s="1"/>
  <c r="B446" i="14"/>
  <c r="D446" i="14" s="1"/>
  <c r="B445" i="14"/>
  <c r="D445" i="14" s="1"/>
  <c r="B444" i="14"/>
  <c r="D444" i="14" s="1"/>
  <c r="B443" i="14"/>
  <c r="D443" i="14" s="1"/>
  <c r="B442" i="14"/>
  <c r="D442" i="14" s="1"/>
  <c r="B441" i="14"/>
  <c r="D441" i="14" s="1"/>
  <c r="B440" i="14"/>
  <c r="D440" i="14" s="1"/>
  <c r="B439" i="14"/>
  <c r="D439" i="14" s="1"/>
  <c r="B438" i="14"/>
  <c r="D438" i="14" s="1"/>
  <c r="B437" i="14"/>
  <c r="D437" i="14" s="1"/>
  <c r="B436" i="14"/>
  <c r="D436" i="14" s="1"/>
  <c r="B435" i="14"/>
  <c r="D435" i="14" s="1"/>
  <c r="B434" i="14"/>
  <c r="D434" i="14" s="1"/>
  <c r="B433" i="14"/>
  <c r="D433" i="14" s="1"/>
  <c r="B432" i="14"/>
  <c r="D432" i="14" s="1"/>
  <c r="B431" i="14"/>
  <c r="D431" i="14" s="1"/>
  <c r="B430" i="14"/>
  <c r="D430" i="14" s="1"/>
  <c r="B429" i="14"/>
  <c r="D429" i="14" s="1"/>
  <c r="B428" i="14"/>
  <c r="D428" i="14" s="1"/>
  <c r="B427" i="14"/>
  <c r="D427" i="14" s="1"/>
  <c r="B426" i="14"/>
  <c r="D426" i="14" s="1"/>
  <c r="B425" i="14"/>
  <c r="D425" i="14" s="1"/>
  <c r="B424" i="14"/>
  <c r="D424" i="14" s="1"/>
  <c r="B423" i="14"/>
  <c r="D423" i="14" s="1"/>
  <c r="B422" i="14"/>
  <c r="D422" i="14" s="1"/>
  <c r="B421" i="14"/>
  <c r="D421" i="14" s="1"/>
  <c r="B420" i="14"/>
  <c r="D420" i="14" s="1"/>
  <c r="B419" i="14"/>
  <c r="D419" i="14" s="1"/>
  <c r="B418" i="14"/>
  <c r="D418" i="14" s="1"/>
  <c r="B417" i="14"/>
  <c r="D417" i="14" s="1"/>
  <c r="B416" i="14"/>
  <c r="D416" i="14" s="1"/>
  <c r="B415" i="14"/>
  <c r="D415" i="14" s="1"/>
  <c r="B414" i="14"/>
  <c r="D414" i="14" s="1"/>
  <c r="B413" i="14"/>
  <c r="D413" i="14" s="1"/>
  <c r="B412" i="14"/>
  <c r="D412" i="14" s="1"/>
  <c r="B411" i="14"/>
  <c r="D411" i="14" s="1"/>
  <c r="B410" i="14"/>
  <c r="D410" i="14" s="1"/>
  <c r="B409" i="14"/>
  <c r="D409" i="14" s="1"/>
  <c r="B408" i="14"/>
  <c r="D408" i="14" s="1"/>
  <c r="B407" i="14"/>
  <c r="D407" i="14" s="1"/>
  <c r="B406" i="14"/>
  <c r="D406" i="14" s="1"/>
  <c r="B405" i="14"/>
  <c r="D405" i="14" s="1"/>
  <c r="B404" i="14"/>
  <c r="D404" i="14" s="1"/>
  <c r="B403" i="14"/>
  <c r="D403" i="14" s="1"/>
  <c r="B402" i="14"/>
  <c r="D402" i="14" s="1"/>
  <c r="B401" i="14"/>
  <c r="D401" i="14" s="1"/>
  <c r="B400" i="14"/>
  <c r="D400" i="14" s="1"/>
  <c r="B399" i="14"/>
  <c r="D399" i="14" s="1"/>
  <c r="B398" i="14"/>
  <c r="D398" i="14" s="1"/>
  <c r="B397" i="14"/>
  <c r="D397" i="14" s="1"/>
  <c r="B396" i="14"/>
  <c r="D396" i="14" s="1"/>
  <c r="B395" i="14"/>
  <c r="D395" i="14" s="1"/>
  <c r="B394" i="14"/>
  <c r="D394" i="14" s="1"/>
  <c r="B393" i="14"/>
  <c r="D393" i="14" s="1"/>
  <c r="B392" i="14"/>
  <c r="D392" i="14" s="1"/>
  <c r="B391" i="14"/>
  <c r="D391" i="14" s="1"/>
  <c r="B390" i="14"/>
  <c r="D390" i="14" s="1"/>
  <c r="B389" i="14"/>
  <c r="D389" i="14" s="1"/>
  <c r="B388" i="14"/>
  <c r="D388" i="14" s="1"/>
  <c r="B387" i="14"/>
  <c r="D387" i="14" s="1"/>
  <c r="B386" i="14"/>
  <c r="D386" i="14" s="1"/>
  <c r="B385" i="14"/>
  <c r="D385" i="14" s="1"/>
  <c r="B384" i="14"/>
  <c r="D384" i="14" s="1"/>
  <c r="B383" i="14"/>
  <c r="D383" i="14" s="1"/>
  <c r="B382" i="14"/>
  <c r="D382" i="14" s="1"/>
  <c r="B381" i="14"/>
  <c r="D381" i="14" s="1"/>
  <c r="B380" i="14"/>
  <c r="D380" i="14" s="1"/>
  <c r="B379" i="14"/>
  <c r="D379" i="14" s="1"/>
  <c r="B378" i="14"/>
  <c r="D378" i="14" s="1"/>
  <c r="B377" i="14"/>
  <c r="D377" i="14" s="1"/>
  <c r="B376" i="14"/>
  <c r="D376" i="14" s="1"/>
  <c r="B375" i="14"/>
  <c r="D375" i="14" s="1"/>
  <c r="B374" i="14"/>
  <c r="D374" i="14" s="1"/>
  <c r="B373" i="14"/>
  <c r="D373" i="14" s="1"/>
  <c r="B372" i="14"/>
  <c r="D372" i="14" s="1"/>
  <c r="B371" i="14"/>
  <c r="D371" i="14" s="1"/>
  <c r="B370" i="14"/>
  <c r="D370" i="14" s="1"/>
  <c r="B369" i="14"/>
  <c r="D369" i="14" s="1"/>
  <c r="B368" i="14"/>
  <c r="D368" i="14" s="1"/>
  <c r="B367" i="14"/>
  <c r="D367" i="14" s="1"/>
  <c r="B366" i="14"/>
  <c r="D366" i="14" s="1"/>
  <c r="B365" i="14"/>
  <c r="D365" i="14" s="1"/>
  <c r="B364" i="14"/>
  <c r="D364" i="14" s="1"/>
  <c r="B363" i="14"/>
  <c r="D363" i="14" s="1"/>
  <c r="B362" i="14"/>
  <c r="D362" i="14" s="1"/>
  <c r="B361" i="14"/>
  <c r="D361" i="14" s="1"/>
  <c r="B360" i="14"/>
  <c r="D360" i="14" s="1"/>
  <c r="B359" i="14"/>
  <c r="D359" i="14" s="1"/>
  <c r="B358" i="14"/>
  <c r="D358" i="14" s="1"/>
  <c r="B357" i="14"/>
  <c r="D357" i="14" s="1"/>
  <c r="B356" i="14"/>
  <c r="D356" i="14" s="1"/>
  <c r="B355" i="14"/>
  <c r="D355" i="14" s="1"/>
  <c r="B353" i="14"/>
  <c r="D353" i="14" s="1"/>
  <c r="B352" i="14"/>
  <c r="D352" i="14" s="1"/>
  <c r="B351" i="14"/>
  <c r="D351" i="14" s="1"/>
  <c r="B350" i="14"/>
  <c r="D350" i="14" s="1"/>
  <c r="B349" i="14"/>
  <c r="D349" i="14" s="1"/>
  <c r="B348" i="14"/>
  <c r="D348" i="14" s="1"/>
  <c r="B347" i="14"/>
  <c r="D347" i="14" s="1"/>
  <c r="B346" i="14"/>
  <c r="D346" i="14" s="1"/>
  <c r="B345" i="14"/>
  <c r="D345" i="14" s="1"/>
  <c r="B344" i="14"/>
  <c r="D344" i="14" s="1"/>
  <c r="B343" i="14"/>
  <c r="D343" i="14" s="1"/>
  <c r="B342" i="14"/>
  <c r="D342" i="14" s="1"/>
  <c r="B341" i="14"/>
  <c r="D341" i="14" s="1"/>
  <c r="B340" i="14"/>
  <c r="D340" i="14" s="1"/>
  <c r="B339" i="14"/>
  <c r="D339" i="14" s="1"/>
  <c r="B338" i="14"/>
  <c r="D338" i="14" s="1"/>
  <c r="B337" i="14"/>
  <c r="D337" i="14" s="1"/>
  <c r="B336" i="14"/>
  <c r="D336" i="14" s="1"/>
  <c r="B335" i="14"/>
  <c r="D335" i="14" s="1"/>
  <c r="B334" i="14"/>
  <c r="D334" i="14" s="1"/>
  <c r="B333" i="14"/>
  <c r="D333" i="14" s="1"/>
  <c r="B332" i="14"/>
  <c r="D332" i="14" s="1"/>
  <c r="B331" i="14"/>
  <c r="D331" i="14" s="1"/>
  <c r="B330" i="14"/>
  <c r="D330" i="14" s="1"/>
  <c r="B329" i="14"/>
  <c r="D329" i="14" s="1"/>
  <c r="B328" i="14"/>
  <c r="D328" i="14" s="1"/>
  <c r="B327" i="14"/>
  <c r="D327" i="14" s="1"/>
  <c r="B326" i="14"/>
  <c r="D326" i="14" s="1"/>
  <c r="B325" i="14"/>
  <c r="D325" i="14" s="1"/>
  <c r="B324" i="14"/>
  <c r="D324" i="14" s="1"/>
  <c r="B323" i="14"/>
  <c r="D323" i="14" s="1"/>
  <c r="B322" i="14"/>
  <c r="D322" i="14" s="1"/>
  <c r="B321" i="14"/>
  <c r="D321" i="14" s="1"/>
  <c r="B320" i="14"/>
  <c r="D320" i="14" s="1"/>
  <c r="B319" i="14"/>
  <c r="D319" i="14" s="1"/>
  <c r="B318" i="14"/>
  <c r="D318" i="14" s="1"/>
  <c r="B317" i="14"/>
  <c r="D317" i="14" s="1"/>
  <c r="B316" i="14"/>
  <c r="D316" i="14" s="1"/>
  <c r="B315" i="14"/>
  <c r="D315" i="14" s="1"/>
  <c r="B314" i="14"/>
  <c r="D314" i="14" s="1"/>
  <c r="B313" i="14"/>
  <c r="D313" i="14" s="1"/>
  <c r="B312" i="14"/>
  <c r="D312" i="14" s="1"/>
  <c r="B311" i="14"/>
  <c r="D311" i="14" s="1"/>
  <c r="B310" i="14"/>
  <c r="D310" i="14" s="1"/>
  <c r="B309" i="14"/>
  <c r="D309" i="14" s="1"/>
  <c r="B308" i="14"/>
  <c r="D308" i="14" s="1"/>
  <c r="B307" i="14"/>
  <c r="D307" i="14" s="1"/>
  <c r="B306" i="14"/>
  <c r="D306" i="14" s="1"/>
  <c r="B305" i="14"/>
  <c r="D305" i="14" s="1"/>
  <c r="B304" i="14"/>
  <c r="D304" i="14" s="1"/>
  <c r="B303" i="14"/>
  <c r="D303" i="14" s="1"/>
  <c r="B302" i="14"/>
  <c r="D302" i="14" s="1"/>
  <c r="B301" i="14"/>
  <c r="D301" i="14" s="1"/>
  <c r="B300" i="14"/>
  <c r="D300" i="14" s="1"/>
  <c r="B299" i="14"/>
  <c r="D299" i="14" s="1"/>
  <c r="B298" i="14"/>
  <c r="D298" i="14" s="1"/>
  <c r="B297" i="14"/>
  <c r="D297" i="14" s="1"/>
  <c r="B296" i="14"/>
  <c r="D296" i="14" s="1"/>
  <c r="B295" i="14"/>
  <c r="D295" i="14" s="1"/>
  <c r="B294" i="14"/>
  <c r="D294" i="14" s="1"/>
  <c r="B293" i="14"/>
  <c r="D293" i="14" s="1"/>
  <c r="B292" i="14"/>
  <c r="D292" i="14" s="1"/>
  <c r="B291" i="14"/>
  <c r="D291" i="14" s="1"/>
  <c r="B290" i="14"/>
  <c r="D290" i="14" s="1"/>
  <c r="B289" i="14"/>
  <c r="D289" i="14" s="1"/>
  <c r="B288" i="14"/>
  <c r="D288" i="14" s="1"/>
  <c r="B287" i="14"/>
  <c r="D287" i="14" s="1"/>
  <c r="B286" i="14"/>
  <c r="D286" i="14" s="1"/>
  <c r="B285" i="14"/>
  <c r="D285" i="14" s="1"/>
  <c r="B284" i="14"/>
  <c r="D284" i="14" s="1"/>
  <c r="B283" i="14"/>
  <c r="D283" i="14" s="1"/>
  <c r="B282" i="14"/>
  <c r="D282" i="14" s="1"/>
  <c r="B281" i="14"/>
  <c r="D281" i="14" s="1"/>
  <c r="B280" i="14"/>
  <c r="D280" i="14" s="1"/>
  <c r="B279" i="14"/>
  <c r="D279" i="14" s="1"/>
  <c r="B278" i="14"/>
  <c r="D278" i="14" s="1"/>
  <c r="B277" i="14"/>
  <c r="D277" i="14" s="1"/>
  <c r="B276" i="14"/>
  <c r="D276" i="14" s="1"/>
  <c r="B275" i="14"/>
  <c r="D275" i="14" s="1"/>
  <c r="B274" i="14"/>
  <c r="D274" i="14" s="1"/>
  <c r="B273" i="14"/>
  <c r="D273" i="14" s="1"/>
  <c r="B272" i="14"/>
  <c r="D272" i="14" s="1"/>
  <c r="B271" i="14"/>
  <c r="D271" i="14" s="1"/>
  <c r="B270" i="14"/>
  <c r="D270" i="14" s="1"/>
  <c r="B269" i="14"/>
  <c r="D269" i="14" s="1"/>
  <c r="B268" i="14"/>
  <c r="D268" i="14" s="1"/>
  <c r="B267" i="14"/>
  <c r="D267" i="14" s="1"/>
  <c r="B266" i="14"/>
  <c r="D266" i="14" s="1"/>
  <c r="B265" i="14"/>
  <c r="D265" i="14" s="1"/>
  <c r="B264" i="14"/>
  <c r="D264" i="14" s="1"/>
  <c r="B263" i="14"/>
  <c r="D263" i="14" s="1"/>
  <c r="B262" i="14"/>
  <c r="D262" i="14" s="1"/>
  <c r="B261" i="14"/>
  <c r="D261" i="14" s="1"/>
  <c r="B260" i="14"/>
  <c r="D260" i="14" s="1"/>
  <c r="B259" i="14"/>
  <c r="D259" i="14" s="1"/>
  <c r="B258" i="14"/>
  <c r="D258" i="14" s="1"/>
  <c r="B257" i="14"/>
  <c r="D257" i="14" s="1"/>
  <c r="B256" i="14"/>
  <c r="D256" i="14" s="1"/>
  <c r="B255" i="14"/>
  <c r="D255" i="14" s="1"/>
  <c r="B254" i="14"/>
  <c r="D254" i="14" s="1"/>
  <c r="B253" i="14"/>
  <c r="D253" i="14" s="1"/>
  <c r="B252" i="14"/>
  <c r="D252" i="14" s="1"/>
  <c r="B251" i="14"/>
  <c r="D251" i="14" s="1"/>
  <c r="B250" i="14"/>
  <c r="D250" i="14" s="1"/>
  <c r="B249" i="14"/>
  <c r="D249" i="14" s="1"/>
  <c r="B248" i="14"/>
  <c r="D248" i="14" s="1"/>
  <c r="B247" i="14"/>
  <c r="D247" i="14" s="1"/>
  <c r="B246" i="14"/>
  <c r="D246" i="14" s="1"/>
  <c r="B245" i="14"/>
  <c r="D245" i="14" s="1"/>
  <c r="B244" i="14"/>
  <c r="D244" i="14" s="1"/>
  <c r="B243" i="14"/>
  <c r="D243" i="14" s="1"/>
  <c r="B242" i="14"/>
  <c r="D242" i="14" s="1"/>
  <c r="B241" i="14"/>
  <c r="D241" i="14" s="1"/>
  <c r="B240" i="14"/>
  <c r="D240" i="14" s="1"/>
  <c r="B239" i="14"/>
  <c r="D239" i="14" s="1"/>
  <c r="B238" i="14"/>
  <c r="D238" i="14" s="1"/>
  <c r="B237" i="14"/>
  <c r="D237" i="14" s="1"/>
  <c r="B236" i="14"/>
  <c r="D236" i="14" s="1"/>
  <c r="B235" i="14"/>
  <c r="D235" i="14" s="1"/>
  <c r="B234" i="14"/>
  <c r="D234" i="14" s="1"/>
  <c r="B233" i="14"/>
  <c r="D233" i="14" s="1"/>
  <c r="B232" i="14"/>
  <c r="D232" i="14" s="1"/>
  <c r="B231" i="14"/>
  <c r="D231" i="14" s="1"/>
  <c r="B230" i="14"/>
  <c r="D230" i="14" s="1"/>
  <c r="B229" i="14"/>
  <c r="D229" i="14" s="1"/>
  <c r="B228" i="14"/>
  <c r="D228" i="14" s="1"/>
  <c r="B227" i="14"/>
  <c r="D227" i="14" s="1"/>
  <c r="B226" i="14"/>
  <c r="D226" i="14" s="1"/>
  <c r="B225" i="14"/>
  <c r="D225" i="14" s="1"/>
  <c r="B224" i="14"/>
  <c r="D224" i="14" s="1"/>
  <c r="B223" i="14"/>
  <c r="D223" i="14" s="1"/>
  <c r="B222" i="14"/>
  <c r="D222" i="14" s="1"/>
  <c r="B221" i="14"/>
  <c r="D221" i="14" s="1"/>
  <c r="B220" i="14"/>
  <c r="D220" i="14" s="1"/>
  <c r="B219" i="14"/>
  <c r="D219" i="14" s="1"/>
  <c r="B218" i="14"/>
  <c r="D218" i="14" s="1"/>
  <c r="B217" i="14"/>
  <c r="D217" i="14" s="1"/>
  <c r="B216" i="14"/>
  <c r="D216" i="14" s="1"/>
  <c r="B215" i="14"/>
  <c r="D215" i="14" s="1"/>
  <c r="B214" i="14"/>
  <c r="D214" i="14" s="1"/>
  <c r="B213" i="14"/>
  <c r="D213" i="14" s="1"/>
  <c r="B212" i="14"/>
  <c r="D212" i="14" s="1"/>
  <c r="B211" i="14"/>
  <c r="D211" i="14" s="1"/>
  <c r="B210" i="14"/>
  <c r="D210" i="14" s="1"/>
  <c r="B209" i="14"/>
  <c r="D209" i="14" s="1"/>
  <c r="B208" i="14"/>
  <c r="D208" i="14" s="1"/>
  <c r="B207" i="14"/>
  <c r="D207" i="14" s="1"/>
  <c r="B206" i="14"/>
  <c r="D206" i="14" s="1"/>
  <c r="B205" i="14"/>
  <c r="D205" i="14" s="1"/>
  <c r="B204" i="14"/>
  <c r="D204" i="14" s="1"/>
  <c r="B203" i="14"/>
  <c r="D203" i="14" s="1"/>
  <c r="B202" i="14"/>
  <c r="D202" i="14" s="1"/>
  <c r="B201" i="14"/>
  <c r="D201" i="14" s="1"/>
  <c r="B200" i="14"/>
  <c r="D200" i="14" s="1"/>
  <c r="B199" i="14"/>
  <c r="D199" i="14" s="1"/>
  <c r="B198" i="14"/>
  <c r="D198" i="14" s="1"/>
  <c r="B197" i="14"/>
  <c r="D197" i="14" s="1"/>
  <c r="B196" i="14"/>
  <c r="D196" i="14" s="1"/>
  <c r="B195" i="14"/>
  <c r="D195" i="14" s="1"/>
  <c r="B194" i="14"/>
  <c r="D194" i="14" s="1"/>
  <c r="B193" i="14"/>
  <c r="D193" i="14" s="1"/>
  <c r="B192" i="14"/>
  <c r="D192" i="14" s="1"/>
  <c r="B191" i="14"/>
  <c r="D191" i="14" s="1"/>
  <c r="B190" i="14"/>
  <c r="D190" i="14" s="1"/>
  <c r="B189" i="14"/>
  <c r="D189" i="14" s="1"/>
  <c r="B188" i="14"/>
  <c r="D188" i="14" s="1"/>
  <c r="B187" i="14"/>
  <c r="D187" i="14" s="1"/>
  <c r="B186" i="14"/>
  <c r="D186" i="14" s="1"/>
  <c r="B185" i="14"/>
  <c r="D185" i="14" s="1"/>
  <c r="B184" i="14"/>
  <c r="D184" i="14" s="1"/>
  <c r="B183" i="14"/>
  <c r="D183" i="14" s="1"/>
  <c r="B182" i="14"/>
  <c r="D182" i="14" s="1"/>
  <c r="B181" i="14"/>
  <c r="D181" i="14" s="1"/>
  <c r="B180" i="14"/>
  <c r="D180" i="14" s="1"/>
  <c r="B179" i="14"/>
  <c r="D179" i="14" s="1"/>
  <c r="B178" i="14"/>
  <c r="D178" i="14" s="1"/>
  <c r="B177" i="14"/>
  <c r="D177" i="14" s="1"/>
  <c r="B176" i="14"/>
  <c r="D176" i="14" s="1"/>
  <c r="B175" i="14"/>
  <c r="D175" i="14" s="1"/>
  <c r="B174" i="14"/>
  <c r="D174" i="14" s="1"/>
  <c r="B173" i="14"/>
  <c r="D173" i="14" s="1"/>
  <c r="B172" i="14"/>
  <c r="D172" i="14" s="1"/>
  <c r="B171" i="14"/>
  <c r="D171" i="14" s="1"/>
  <c r="B170" i="14"/>
  <c r="D170" i="14" s="1"/>
  <c r="B169" i="14"/>
  <c r="D169" i="14" s="1"/>
  <c r="B168" i="14"/>
  <c r="D168" i="14" s="1"/>
  <c r="B167" i="14"/>
  <c r="D167" i="14" s="1"/>
  <c r="B166" i="14"/>
  <c r="D166" i="14" s="1"/>
  <c r="B165" i="14"/>
  <c r="D165" i="14" s="1"/>
  <c r="B164" i="14"/>
  <c r="D164" i="14" s="1"/>
  <c r="B163" i="14"/>
  <c r="D163" i="14" s="1"/>
  <c r="B162" i="14"/>
  <c r="D162" i="14" s="1"/>
  <c r="B161" i="14"/>
  <c r="D161" i="14" s="1"/>
  <c r="B160" i="14"/>
  <c r="D160" i="14" s="1"/>
  <c r="B159" i="14"/>
  <c r="D159" i="14" s="1"/>
  <c r="B158" i="14"/>
  <c r="D158" i="14" s="1"/>
  <c r="B157" i="14"/>
  <c r="D157" i="14" s="1"/>
  <c r="B156" i="14"/>
  <c r="D156" i="14" s="1"/>
  <c r="B155" i="14"/>
  <c r="D155" i="14" s="1"/>
  <c r="B154" i="14"/>
  <c r="D154" i="14" s="1"/>
  <c r="B153" i="14"/>
  <c r="D153" i="14" s="1"/>
  <c r="B152" i="14"/>
  <c r="D152" i="14" s="1"/>
  <c r="B151" i="14"/>
  <c r="D151" i="14" s="1"/>
  <c r="B150" i="14"/>
  <c r="D150" i="14" s="1"/>
  <c r="B149" i="14"/>
  <c r="D149" i="14" s="1"/>
  <c r="B148" i="14"/>
  <c r="D148" i="14" s="1"/>
  <c r="B147" i="14"/>
  <c r="D147" i="14" s="1"/>
  <c r="B146" i="14"/>
  <c r="D146" i="14" s="1"/>
  <c r="B145" i="14"/>
  <c r="D145" i="14" s="1"/>
  <c r="B144" i="14"/>
  <c r="D144" i="14" s="1"/>
  <c r="B143" i="14"/>
  <c r="D143" i="14" s="1"/>
  <c r="B142" i="14"/>
  <c r="D142" i="14" s="1"/>
  <c r="B141" i="14"/>
  <c r="D141" i="14" s="1"/>
  <c r="B140" i="14"/>
  <c r="D140" i="14" s="1"/>
  <c r="B139" i="14"/>
  <c r="D139" i="14" s="1"/>
  <c r="B138" i="14"/>
  <c r="D138" i="14" s="1"/>
  <c r="B137" i="14"/>
  <c r="D137" i="14" s="1"/>
  <c r="B136" i="14"/>
  <c r="D136" i="14" s="1"/>
  <c r="B135" i="14"/>
  <c r="D135" i="14" s="1"/>
  <c r="B134" i="14"/>
  <c r="D134" i="14" s="1"/>
  <c r="B133" i="14"/>
  <c r="D133" i="14" s="1"/>
  <c r="B132" i="14"/>
  <c r="D132" i="14" s="1"/>
  <c r="B131" i="14"/>
  <c r="D131" i="14" s="1"/>
  <c r="B130" i="14"/>
  <c r="D130" i="14" s="1"/>
  <c r="B129" i="14"/>
  <c r="D129" i="14" s="1"/>
  <c r="B128" i="14"/>
  <c r="D128" i="14" s="1"/>
  <c r="B127" i="14"/>
  <c r="D127" i="14" s="1"/>
  <c r="B126" i="14"/>
  <c r="D126" i="14" s="1"/>
  <c r="B125" i="14"/>
  <c r="D125" i="14" s="1"/>
  <c r="B124" i="14"/>
  <c r="D124" i="14" s="1"/>
  <c r="B123" i="14"/>
  <c r="D123" i="14" s="1"/>
  <c r="B122" i="14"/>
  <c r="D122" i="14" s="1"/>
  <c r="B121" i="14"/>
  <c r="D121" i="14" s="1"/>
  <c r="B120" i="14"/>
  <c r="D120" i="14" s="1"/>
  <c r="B119" i="14"/>
  <c r="D119" i="14" s="1"/>
  <c r="B118" i="14"/>
  <c r="D118" i="14" s="1"/>
  <c r="B117" i="14"/>
  <c r="D117" i="14" s="1"/>
  <c r="B116" i="14"/>
  <c r="D116" i="14" s="1"/>
  <c r="B115" i="14"/>
  <c r="D115" i="14" s="1"/>
  <c r="B114" i="14"/>
  <c r="D114" i="14" s="1"/>
  <c r="B113" i="14"/>
  <c r="D113" i="14" s="1"/>
  <c r="B112" i="14"/>
  <c r="D112" i="14" s="1"/>
  <c r="B111" i="14"/>
  <c r="D111" i="14" s="1"/>
  <c r="B110" i="14"/>
  <c r="D110" i="14" s="1"/>
  <c r="B109" i="14"/>
  <c r="D109" i="14" s="1"/>
  <c r="B108" i="14"/>
  <c r="D108" i="14" s="1"/>
  <c r="B107" i="14"/>
  <c r="D107" i="14" s="1"/>
  <c r="B106" i="14"/>
  <c r="D106" i="14" s="1"/>
  <c r="B105" i="14"/>
  <c r="D105" i="14" s="1"/>
  <c r="B104" i="14"/>
  <c r="D104" i="14" s="1"/>
  <c r="B103" i="14"/>
  <c r="D103" i="14" s="1"/>
  <c r="B102" i="14"/>
  <c r="D102" i="14" s="1"/>
  <c r="B101" i="14"/>
  <c r="D101" i="14" s="1"/>
  <c r="B100" i="14"/>
  <c r="D100" i="14" s="1"/>
  <c r="B99" i="14"/>
  <c r="D99" i="14" s="1"/>
  <c r="B98" i="14"/>
  <c r="D98" i="14" s="1"/>
  <c r="B97" i="14"/>
  <c r="D97" i="14" s="1"/>
  <c r="B96" i="14"/>
  <c r="D96" i="14" s="1"/>
  <c r="B95" i="14"/>
  <c r="D95" i="14" s="1"/>
  <c r="B94" i="14"/>
  <c r="D94" i="14" s="1"/>
  <c r="B93" i="14"/>
  <c r="D93" i="14" s="1"/>
  <c r="B92" i="14"/>
  <c r="D92" i="14" s="1"/>
  <c r="B91" i="14"/>
  <c r="D91" i="14" s="1"/>
  <c r="B90" i="14"/>
  <c r="D90" i="14" s="1"/>
  <c r="B89" i="14"/>
  <c r="D89" i="14" s="1"/>
  <c r="B88" i="14"/>
  <c r="D88" i="14" s="1"/>
  <c r="B87" i="14"/>
  <c r="D87" i="14" s="1"/>
  <c r="B86" i="14"/>
  <c r="D86" i="14" s="1"/>
  <c r="B85" i="14"/>
  <c r="D85" i="14" s="1"/>
  <c r="B84" i="14"/>
  <c r="D84" i="14" s="1"/>
  <c r="B83" i="14"/>
  <c r="D83" i="14" s="1"/>
  <c r="B82" i="14"/>
  <c r="D82" i="14" s="1"/>
  <c r="B81" i="14"/>
  <c r="D81" i="14" s="1"/>
  <c r="B80" i="14"/>
  <c r="D80" i="14" s="1"/>
  <c r="B79" i="14"/>
  <c r="D79" i="14" s="1"/>
  <c r="B78" i="14"/>
  <c r="D78" i="14" s="1"/>
  <c r="B77" i="14"/>
  <c r="D77" i="14" s="1"/>
  <c r="B76" i="14"/>
  <c r="D76" i="14" s="1"/>
  <c r="B75" i="14"/>
  <c r="D75" i="14" s="1"/>
  <c r="B74" i="14"/>
  <c r="D74" i="14" s="1"/>
  <c r="B73" i="14"/>
  <c r="D73" i="14" s="1"/>
  <c r="B72" i="14"/>
  <c r="D72" i="14" s="1"/>
  <c r="B71" i="14"/>
  <c r="D71" i="14" s="1"/>
  <c r="B70" i="14"/>
  <c r="D70" i="14" s="1"/>
  <c r="B69" i="14"/>
  <c r="D69" i="14" s="1"/>
  <c r="B68" i="14"/>
  <c r="D68" i="14" s="1"/>
  <c r="D67" i="14"/>
  <c r="B66" i="14"/>
  <c r="D66" i="14" s="1"/>
  <c r="B65" i="14"/>
  <c r="D65" i="14" s="1"/>
  <c r="B64" i="14"/>
  <c r="D64" i="14" s="1"/>
  <c r="B63" i="14"/>
  <c r="D63" i="14" s="1"/>
  <c r="B62" i="14"/>
  <c r="D62" i="14" s="1"/>
  <c r="B61" i="14"/>
  <c r="D61" i="14" s="1"/>
  <c r="B60" i="14"/>
  <c r="D60" i="14" s="1"/>
  <c r="B59" i="14"/>
  <c r="D59" i="14" s="1"/>
  <c r="B58" i="14"/>
  <c r="D58" i="14" s="1"/>
  <c r="B57" i="14"/>
  <c r="D57" i="14" s="1"/>
  <c r="B56" i="14"/>
  <c r="D56" i="14" s="1"/>
  <c r="B55" i="14"/>
  <c r="D55" i="14" s="1"/>
  <c r="B54" i="14"/>
  <c r="D54" i="14" s="1"/>
  <c r="B53" i="14"/>
  <c r="D53" i="14" s="1"/>
  <c r="B52" i="14"/>
  <c r="D52" i="14" s="1"/>
  <c r="B51" i="14"/>
  <c r="D51" i="14" s="1"/>
  <c r="B50" i="14"/>
  <c r="D50" i="14" s="1"/>
  <c r="B49" i="14"/>
  <c r="D49" i="14" s="1"/>
  <c r="B48" i="14"/>
  <c r="D48" i="14" s="1"/>
  <c r="B47" i="14"/>
  <c r="D47" i="14" s="1"/>
  <c r="B46" i="14"/>
  <c r="D46" i="14" s="1"/>
  <c r="B45" i="14"/>
  <c r="D45" i="14" s="1"/>
  <c r="B44" i="14"/>
  <c r="D44" i="14" s="1"/>
  <c r="B43" i="14"/>
  <c r="D43" i="14" s="1"/>
  <c r="B42" i="14"/>
  <c r="D42" i="14" s="1"/>
  <c r="B41" i="14"/>
  <c r="D41" i="14" s="1"/>
  <c r="B40" i="14"/>
  <c r="D40" i="14" s="1"/>
  <c r="B39" i="14"/>
  <c r="D39" i="14" s="1"/>
  <c r="B38" i="14"/>
  <c r="D38" i="14" s="1"/>
  <c r="B37" i="14"/>
  <c r="D37" i="14" s="1"/>
  <c r="B36" i="14"/>
  <c r="D36" i="14" s="1"/>
  <c r="B35" i="14"/>
  <c r="D35" i="14" s="1"/>
  <c r="B34" i="14"/>
  <c r="D34" i="14" s="1"/>
  <c r="B33" i="14"/>
  <c r="D33" i="14" s="1"/>
  <c r="B32" i="14"/>
  <c r="D32" i="14" s="1"/>
  <c r="B31" i="14"/>
  <c r="D31" i="14" s="1"/>
  <c r="B30" i="14"/>
  <c r="D30" i="14" s="1"/>
  <c r="B29" i="14"/>
  <c r="D29" i="14" s="1"/>
  <c r="B28" i="14"/>
  <c r="D28" i="14" s="1"/>
  <c r="B27" i="14"/>
  <c r="D27" i="14" s="1"/>
  <c r="B26" i="14"/>
  <c r="D26" i="14" s="1"/>
  <c r="B25" i="14"/>
  <c r="D25" i="14" s="1"/>
  <c r="B24" i="14"/>
  <c r="D24" i="14" s="1"/>
  <c r="B23" i="14"/>
  <c r="D23" i="14" s="1"/>
  <c r="B22" i="14"/>
  <c r="D22" i="14" s="1"/>
  <c r="B21" i="14"/>
  <c r="D21" i="14" s="1"/>
  <c r="B20" i="14"/>
  <c r="D20" i="14" s="1"/>
  <c r="B19" i="14"/>
  <c r="D19" i="14" s="1"/>
  <c r="B18" i="14"/>
  <c r="D18" i="14" s="1"/>
  <c r="B17" i="14"/>
  <c r="D17" i="14" s="1"/>
  <c r="B16" i="14"/>
  <c r="D16" i="14" s="1"/>
  <c r="B15" i="14"/>
  <c r="D15" i="14" s="1"/>
  <c r="B14" i="14"/>
  <c r="D14" i="14" s="1"/>
  <c r="B13" i="14"/>
  <c r="D13" i="14" s="1"/>
  <c r="B12" i="14"/>
  <c r="D12" i="14" s="1"/>
  <c r="B11" i="14"/>
  <c r="D11" i="14" s="1"/>
  <c r="B10" i="14"/>
  <c r="D10" i="14" s="1"/>
  <c r="B9" i="14"/>
  <c r="D9" i="14" s="1"/>
  <c r="B8" i="14"/>
  <c r="D8" i="14" s="1"/>
  <c r="B7" i="14"/>
  <c r="D7" i="14" s="1"/>
  <c r="B6" i="14"/>
  <c r="D6" i="14" s="1"/>
  <c r="B5" i="14"/>
  <c r="D5" i="14" s="1"/>
  <c r="B4" i="14"/>
  <c r="D4" i="14" s="1"/>
  <c r="B3" i="14"/>
  <c r="D3" i="14" s="1"/>
  <c r="B2" i="14"/>
  <c r="D2" i="14" s="1"/>
  <c r="G1409" i="13"/>
  <c r="G1410" i="13"/>
  <c r="B1409" i="13"/>
  <c r="D1409" i="13" s="1"/>
  <c r="B1410" i="13"/>
  <c r="D1410" i="13" s="1"/>
  <c r="G1411" i="13"/>
  <c r="G1412" i="13"/>
  <c r="B1411" i="13"/>
  <c r="D1411" i="13" s="1"/>
  <c r="B1412" i="13"/>
  <c r="D1412" i="13" s="1"/>
  <c r="G1413" i="13"/>
  <c r="G1414" i="13"/>
  <c r="B1413" i="13"/>
  <c r="D1413" i="13" s="1"/>
  <c r="B1414" i="13"/>
  <c r="D1414" i="13" s="1"/>
  <c r="G1415" i="13"/>
  <c r="G1416" i="13"/>
  <c r="B1415" i="13"/>
  <c r="D1415" i="13" s="1"/>
  <c r="B1416" i="13"/>
  <c r="D1416" i="13" s="1"/>
  <c r="G1417" i="13"/>
  <c r="B1417" i="13"/>
  <c r="D1417" i="13" s="1"/>
  <c r="G1418" i="13"/>
  <c r="B1418" i="13"/>
  <c r="D1418" i="13" s="1"/>
  <c r="G1404" i="13"/>
  <c r="B1404" i="13"/>
  <c r="D1404" i="13" s="1"/>
  <c r="G1405" i="13"/>
  <c r="B1405" i="13"/>
  <c r="D1405" i="13" s="1"/>
  <c r="G1406" i="13"/>
  <c r="B1406" i="13"/>
  <c r="D1406" i="13" s="1"/>
  <c r="G1407" i="13"/>
  <c r="B1407" i="13"/>
  <c r="D1407" i="13" s="1"/>
  <c r="G1408" i="13"/>
  <c r="B1408" i="13"/>
  <c r="D1408" i="13" s="1"/>
  <c r="G1403" i="13"/>
  <c r="B1403" i="13"/>
  <c r="D1403" i="13" s="1"/>
  <c r="F1418" i="13" a="1"/>
  <c r="F1417" i="13" a="1"/>
  <c r="F1408" i="13" a="1"/>
  <c r="F1404" i="13" a="1"/>
  <c r="F1403" i="13" a="1"/>
  <c r="F1406" i="13" a="1"/>
  <c r="F1407" i="13" a="1"/>
  <c r="F1405" i="13" a="1"/>
  <c r="F1416" i="13" a="1"/>
  <c r="F1416" i="13" l="1"/>
  <c r="F1417" i="13"/>
  <c r="F1418" i="13"/>
  <c r="F1404" i="13"/>
  <c r="F1405" i="13"/>
  <c r="F1406" i="13"/>
  <c r="F1407" i="13"/>
  <c r="F1408" i="13"/>
  <c r="F1403" i="13"/>
  <c r="B1402" i="13" l="1"/>
  <c r="D1402" i="13" s="1"/>
  <c r="G1402" i="13"/>
  <c r="F1402" i="13" a="1"/>
  <c r="F1402" i="13" l="1"/>
  <c r="B1400" i="13" l="1"/>
  <c r="D1400" i="13" s="1"/>
  <c r="G1400" i="13"/>
  <c r="B1399" i="13"/>
  <c r="D1399" i="13" s="1"/>
  <c r="G1399" i="13"/>
  <c r="B1380" i="13"/>
  <c r="D1380" i="13" s="1"/>
  <c r="B1381" i="13"/>
  <c r="D1381" i="13" s="1"/>
  <c r="B1382" i="13"/>
  <c r="D1382" i="13" s="1"/>
  <c r="B1383" i="13"/>
  <c r="D1383" i="13" s="1"/>
  <c r="B1384" i="13"/>
  <c r="D1384" i="13" s="1"/>
  <c r="B1385" i="13"/>
  <c r="D1385" i="13" s="1"/>
  <c r="B1386" i="13"/>
  <c r="D1386" i="13" s="1"/>
  <c r="B1387" i="13"/>
  <c r="D1387" i="13" s="1"/>
  <c r="B1388" i="13"/>
  <c r="D1388" i="13" s="1"/>
  <c r="B1389" i="13"/>
  <c r="D1389" i="13" s="1"/>
  <c r="G1380" i="13"/>
  <c r="G1381" i="13"/>
  <c r="G1382" i="13"/>
  <c r="G1383" i="13"/>
  <c r="G1384" i="13"/>
  <c r="G1385" i="13"/>
  <c r="G1386" i="13"/>
  <c r="G1387" i="13"/>
  <c r="G1388" i="13"/>
  <c r="G1389" i="13"/>
  <c r="B1334" i="13"/>
  <c r="D1334" i="13" s="1"/>
  <c r="B1042" i="13"/>
  <c r="D1042" i="13" s="1"/>
  <c r="B1336" i="13"/>
  <c r="D1336" i="13" s="1"/>
  <c r="B1337" i="13"/>
  <c r="D1337" i="13" s="1"/>
  <c r="B1338" i="13"/>
  <c r="D1338" i="13" s="1"/>
  <c r="B1339" i="13"/>
  <c r="D1339" i="13" s="1"/>
  <c r="B1340" i="13"/>
  <c r="D1340" i="13" s="1"/>
  <c r="B1341" i="13"/>
  <c r="D1341" i="13" s="1"/>
  <c r="B1342" i="13"/>
  <c r="D1342" i="13" s="1"/>
  <c r="B1343" i="13"/>
  <c r="D1343" i="13" s="1"/>
  <c r="B1344" i="13"/>
  <c r="D1344" i="13" s="1"/>
  <c r="B1345" i="13"/>
  <c r="D1345" i="13" s="1"/>
  <c r="B1346" i="13"/>
  <c r="D1346" i="13" s="1"/>
  <c r="B1347" i="13"/>
  <c r="D1347" i="13" s="1"/>
  <c r="B1348" i="13"/>
  <c r="D1348" i="13" s="1"/>
  <c r="B1349" i="13"/>
  <c r="D1349" i="13" s="1"/>
  <c r="B1350" i="13"/>
  <c r="D1350" i="13" s="1"/>
  <c r="B1351" i="13"/>
  <c r="D1351" i="13" s="1"/>
  <c r="B1352" i="13"/>
  <c r="D1352" i="13" s="1"/>
  <c r="B1353" i="13"/>
  <c r="D1353" i="13" s="1"/>
  <c r="B1354" i="13"/>
  <c r="D1354" i="13" s="1"/>
  <c r="B1355" i="13"/>
  <c r="D1355" i="13" s="1"/>
  <c r="B1356" i="13"/>
  <c r="D1356" i="13" s="1"/>
  <c r="B1357" i="13"/>
  <c r="D1357" i="13" s="1"/>
  <c r="B1358" i="13"/>
  <c r="D1358" i="13" s="1"/>
  <c r="B1359" i="13"/>
  <c r="D1359" i="13" s="1"/>
  <c r="B1360" i="13"/>
  <c r="D1360" i="13" s="1"/>
  <c r="B1361" i="13"/>
  <c r="D1361" i="13" s="1"/>
  <c r="G1334" i="13"/>
  <c r="G1042" i="13"/>
  <c r="G1336" i="13"/>
  <c r="G1337" i="13"/>
  <c r="G1338" i="13"/>
  <c r="G1339" i="13"/>
  <c r="G1340" i="13"/>
  <c r="G1341" i="13"/>
  <c r="G1342" i="13"/>
  <c r="G1343" i="13"/>
  <c r="G1344" i="13"/>
  <c r="G1345" i="13"/>
  <c r="G1346" i="13"/>
  <c r="G1347" i="13"/>
  <c r="G1348" i="13"/>
  <c r="G1349" i="13"/>
  <c r="G1350" i="13"/>
  <c r="G1351" i="13"/>
  <c r="G1352" i="13"/>
  <c r="G1353" i="13"/>
  <c r="G1354" i="13"/>
  <c r="G1355" i="13"/>
  <c r="G1356" i="13"/>
  <c r="G1357" i="13"/>
  <c r="G1358" i="13"/>
  <c r="G1359" i="13"/>
  <c r="G1360" i="13"/>
  <c r="G1361" i="13"/>
  <c r="B1362" i="13"/>
  <c r="D1362" i="13" s="1"/>
  <c r="B1363" i="13"/>
  <c r="D1363" i="13" s="1"/>
  <c r="B1364" i="13"/>
  <c r="D1364" i="13" s="1"/>
  <c r="B1365" i="13"/>
  <c r="D1365" i="13" s="1"/>
  <c r="B1366" i="13"/>
  <c r="D1366" i="13" s="1"/>
  <c r="B1367" i="13"/>
  <c r="D1367" i="13" s="1"/>
  <c r="B1368" i="13"/>
  <c r="D1368" i="13" s="1"/>
  <c r="B1369" i="13"/>
  <c r="D1369" i="13" s="1"/>
  <c r="B1370" i="13"/>
  <c r="D1370" i="13" s="1"/>
  <c r="B1371" i="13"/>
  <c r="D1371" i="13" s="1"/>
  <c r="B1372" i="13"/>
  <c r="D1372" i="13" s="1"/>
  <c r="B1373" i="13"/>
  <c r="D1373" i="13" s="1"/>
  <c r="B1374" i="13"/>
  <c r="D1374" i="13" s="1"/>
  <c r="B1375" i="13"/>
  <c r="D1375" i="13" s="1"/>
  <c r="G1362" i="13"/>
  <c r="G1363" i="13"/>
  <c r="G1364" i="13"/>
  <c r="G1365" i="13"/>
  <c r="G1366" i="13"/>
  <c r="G1367" i="13"/>
  <c r="G1368" i="13"/>
  <c r="G1369" i="13"/>
  <c r="G1370" i="13"/>
  <c r="G1371" i="13"/>
  <c r="G1372" i="13"/>
  <c r="G1373" i="13"/>
  <c r="G1374" i="13"/>
  <c r="G1375" i="13"/>
  <c r="B1376" i="13"/>
  <c r="D1376" i="13" s="1"/>
  <c r="B1377" i="13"/>
  <c r="D1377" i="13" s="1"/>
  <c r="B1378" i="13"/>
  <c r="D1378" i="13" s="1"/>
  <c r="B1379" i="13"/>
  <c r="D1379" i="13" s="1"/>
  <c r="B1390" i="13"/>
  <c r="D1390" i="13" s="1"/>
  <c r="B1391" i="13"/>
  <c r="D1391" i="13" s="1"/>
  <c r="B1392" i="13"/>
  <c r="D1392" i="13" s="1"/>
  <c r="G1376" i="13"/>
  <c r="G1377" i="13"/>
  <c r="G1378" i="13"/>
  <c r="G1379" i="13"/>
  <c r="G1390" i="13"/>
  <c r="G1391" i="13"/>
  <c r="G1392" i="13"/>
  <c r="B1393" i="13"/>
  <c r="D1393" i="13" s="1"/>
  <c r="B1394" i="13"/>
  <c r="D1394" i="13" s="1"/>
  <c r="B1395" i="13"/>
  <c r="D1395" i="13" s="1"/>
  <c r="G1393" i="13"/>
  <c r="G1394" i="13"/>
  <c r="G1395" i="13"/>
  <c r="B1396" i="13"/>
  <c r="D1396" i="13" s="1"/>
  <c r="B1397" i="13"/>
  <c r="D1397" i="13" s="1"/>
  <c r="G1396" i="13"/>
  <c r="G1397" i="13"/>
  <c r="B1398" i="13"/>
  <c r="D1398" i="13" s="1"/>
  <c r="B1401" i="13"/>
  <c r="D1401" i="13" s="1"/>
  <c r="G1401" i="13"/>
  <c r="G1398" i="13"/>
  <c r="B914" i="13"/>
  <c r="D914" i="13" s="1"/>
  <c r="B1302" i="13"/>
  <c r="D1302" i="13" s="1"/>
  <c r="B1303" i="13"/>
  <c r="D1303" i="13" s="1"/>
  <c r="B1304" i="13"/>
  <c r="D1304" i="13" s="1"/>
  <c r="B1305" i="13"/>
  <c r="D1305" i="13" s="1"/>
  <c r="B1306" i="13"/>
  <c r="D1306" i="13" s="1"/>
  <c r="B1307" i="13"/>
  <c r="D1307" i="13" s="1"/>
  <c r="B1308" i="13"/>
  <c r="D1308" i="13" s="1"/>
  <c r="B1309" i="13"/>
  <c r="D1309" i="13" s="1"/>
  <c r="B1310" i="13"/>
  <c r="D1310" i="13" s="1"/>
  <c r="B1311" i="13"/>
  <c r="D1311" i="13" s="1"/>
  <c r="B1312" i="13"/>
  <c r="D1312" i="13" s="1"/>
  <c r="B1313" i="13"/>
  <c r="D1313" i="13" s="1"/>
  <c r="B1314" i="13"/>
  <c r="D1314" i="13" s="1"/>
  <c r="B1315" i="13"/>
  <c r="D1315" i="13" s="1"/>
  <c r="B1316" i="13"/>
  <c r="D1316" i="13" s="1"/>
  <c r="B1190" i="13"/>
  <c r="D1190" i="13" s="1"/>
  <c r="G1302" i="13"/>
  <c r="G1303" i="13"/>
  <c r="G1304" i="13"/>
  <c r="G1305" i="13"/>
  <c r="G1306" i="13"/>
  <c r="G1307" i="13"/>
  <c r="G1308" i="13"/>
  <c r="G1309" i="13"/>
  <c r="G1310" i="13"/>
  <c r="G1311" i="13"/>
  <c r="G1312" i="13"/>
  <c r="G1313" i="13"/>
  <c r="G1314" i="13"/>
  <c r="G1315" i="13"/>
  <c r="G1316" i="13"/>
  <c r="G1190" i="13"/>
  <c r="B1318" i="13"/>
  <c r="D1318" i="13" s="1"/>
  <c r="B1319" i="13"/>
  <c r="D1319" i="13" s="1"/>
  <c r="B1320" i="13"/>
  <c r="D1320" i="13" s="1"/>
  <c r="B1321" i="13"/>
  <c r="D1321" i="13" s="1"/>
  <c r="B1322" i="13"/>
  <c r="D1322" i="13" s="1"/>
  <c r="B1323" i="13"/>
  <c r="D1323" i="13" s="1"/>
  <c r="B1324" i="13"/>
  <c r="D1324" i="13" s="1"/>
  <c r="B1325" i="13"/>
  <c r="D1325" i="13" s="1"/>
  <c r="G1318" i="13"/>
  <c r="G1319" i="13"/>
  <c r="G1320" i="13"/>
  <c r="G1321" i="13"/>
  <c r="G1322" i="13"/>
  <c r="G1323" i="13"/>
  <c r="G1324" i="13"/>
  <c r="G1325" i="13"/>
  <c r="B1326" i="13"/>
  <c r="D1326" i="13" s="1"/>
  <c r="B1327" i="13"/>
  <c r="D1327" i="13" s="1"/>
  <c r="B1328" i="13"/>
  <c r="D1328" i="13" s="1"/>
  <c r="B1329" i="13"/>
  <c r="D1329" i="13" s="1"/>
  <c r="G1326" i="13"/>
  <c r="G1327" i="13"/>
  <c r="B1330" i="13"/>
  <c r="D1330" i="13" s="1"/>
  <c r="B1331" i="13"/>
  <c r="D1331" i="13" s="1"/>
  <c r="G1330" i="13"/>
  <c r="B1332" i="13"/>
  <c r="D1332" i="13" s="1"/>
  <c r="G1332" i="13"/>
  <c r="G914" i="13"/>
  <c r="B1200" i="13"/>
  <c r="D1200" i="13" s="1"/>
  <c r="B1201" i="13"/>
  <c r="D1201" i="13" s="1"/>
  <c r="B1202" i="13"/>
  <c r="D1202" i="13" s="1"/>
  <c r="B1203" i="13"/>
  <c r="D1203" i="13" s="1"/>
  <c r="B1204" i="13"/>
  <c r="D1204" i="13" s="1"/>
  <c r="B1205" i="13"/>
  <c r="D1205" i="13" s="1"/>
  <c r="B1206" i="13"/>
  <c r="D1206" i="13" s="1"/>
  <c r="B1207" i="13"/>
  <c r="D1207" i="13" s="1"/>
  <c r="B1208" i="13"/>
  <c r="D1208" i="13" s="1"/>
  <c r="B1209" i="13"/>
  <c r="D1209" i="13" s="1"/>
  <c r="B1210" i="13"/>
  <c r="D1210" i="13" s="1"/>
  <c r="B1211" i="13"/>
  <c r="D1211" i="13" s="1"/>
  <c r="B1212" i="13"/>
  <c r="D1212" i="13" s="1"/>
  <c r="B1213" i="13"/>
  <c r="D1213" i="13" s="1"/>
  <c r="B1214" i="13"/>
  <c r="D1214" i="13" s="1"/>
  <c r="B1215" i="13"/>
  <c r="D1215" i="13" s="1"/>
  <c r="B1216" i="13"/>
  <c r="D1216" i="13" s="1"/>
  <c r="B1217" i="13"/>
  <c r="D1217" i="13" s="1"/>
  <c r="B1218" i="13"/>
  <c r="D1218" i="13" s="1"/>
  <c r="B1219" i="13"/>
  <c r="D1219" i="13" s="1"/>
  <c r="B1220" i="13"/>
  <c r="D1220" i="13" s="1"/>
  <c r="B1221" i="13"/>
  <c r="D1221" i="13" s="1"/>
  <c r="B1222" i="13"/>
  <c r="D1222" i="13" s="1"/>
  <c r="B1223" i="13"/>
  <c r="D1223" i="13" s="1"/>
  <c r="B1224" i="13"/>
  <c r="D1224" i="13" s="1"/>
  <c r="B1225" i="13"/>
  <c r="D1225" i="13" s="1"/>
  <c r="B1226" i="13"/>
  <c r="D1226" i="13" s="1"/>
  <c r="B1227" i="13"/>
  <c r="D1227" i="13" s="1"/>
  <c r="B1228" i="13"/>
  <c r="D1228" i="13" s="1"/>
  <c r="B1229" i="13"/>
  <c r="D1229" i="13" s="1"/>
  <c r="B1230" i="13"/>
  <c r="D1230" i="13" s="1"/>
  <c r="B1231" i="13"/>
  <c r="D1231" i="13" s="1"/>
  <c r="B1232" i="13"/>
  <c r="D1232" i="13" s="1"/>
  <c r="B1233" i="13"/>
  <c r="D1233" i="13" s="1"/>
  <c r="B1234" i="13"/>
  <c r="D1234" i="13" s="1"/>
  <c r="B1235" i="13"/>
  <c r="D1235" i="13" s="1"/>
  <c r="B1236" i="13"/>
  <c r="D1236" i="13" s="1"/>
  <c r="B1237" i="13"/>
  <c r="D1237" i="13" s="1"/>
  <c r="B1238" i="13"/>
  <c r="D1238" i="13" s="1"/>
  <c r="B1239" i="13"/>
  <c r="D1239" i="13" s="1"/>
  <c r="B1240" i="13"/>
  <c r="D1240" i="13" s="1"/>
  <c r="B1241" i="13"/>
  <c r="D1241" i="13" s="1"/>
  <c r="B1242" i="13"/>
  <c r="D1242" i="13" s="1"/>
  <c r="B1243" i="13"/>
  <c r="D1243" i="13" s="1"/>
  <c r="B1244" i="13"/>
  <c r="D1244" i="13" s="1"/>
  <c r="B1245" i="13"/>
  <c r="D1245" i="13" s="1"/>
  <c r="B1246" i="13"/>
  <c r="D1246" i="13" s="1"/>
  <c r="B1247" i="13"/>
  <c r="D1247" i="13" s="1"/>
  <c r="B1248" i="13"/>
  <c r="D1248" i="13" s="1"/>
  <c r="B1249" i="13"/>
  <c r="D1249" i="13" s="1"/>
  <c r="B1250" i="13"/>
  <c r="D1250" i="13" s="1"/>
  <c r="B1251" i="13"/>
  <c r="D1251" i="13" s="1"/>
  <c r="B1252" i="13"/>
  <c r="D1252" i="13" s="1"/>
  <c r="B1253" i="13"/>
  <c r="D1253" i="13" s="1"/>
  <c r="B1254" i="13"/>
  <c r="D1254" i="13" s="1"/>
  <c r="B1255" i="13"/>
  <c r="D1255" i="13" s="1"/>
  <c r="B1256" i="13"/>
  <c r="D1256" i="13" s="1"/>
  <c r="B1257" i="13"/>
  <c r="D1257" i="13" s="1"/>
  <c r="B1258" i="13"/>
  <c r="D1258" i="13" s="1"/>
  <c r="B1259" i="13"/>
  <c r="D1259" i="13" s="1"/>
  <c r="B1260" i="13"/>
  <c r="D1260" i="13" s="1"/>
  <c r="B1261" i="13"/>
  <c r="D1261" i="13" s="1"/>
  <c r="B1262" i="13"/>
  <c r="D1262" i="13" s="1"/>
  <c r="B1263" i="13"/>
  <c r="D1263" i="13" s="1"/>
  <c r="B1264" i="13"/>
  <c r="D1264" i="13" s="1"/>
  <c r="B1265" i="13"/>
  <c r="D1265" i="13" s="1"/>
  <c r="B1266" i="13"/>
  <c r="D1266" i="13" s="1"/>
  <c r="B1267" i="13"/>
  <c r="D1267" i="13" s="1"/>
  <c r="B1268" i="13"/>
  <c r="D1268" i="13" s="1"/>
  <c r="B1269" i="13"/>
  <c r="D1269" i="13" s="1"/>
  <c r="B1270" i="13"/>
  <c r="D1270" i="13" s="1"/>
  <c r="B1271" i="13"/>
  <c r="D1271" i="13" s="1"/>
  <c r="B1272" i="13"/>
  <c r="D1272" i="13" s="1"/>
  <c r="B1273" i="13"/>
  <c r="D1273" i="13" s="1"/>
  <c r="B1274" i="13"/>
  <c r="D1274" i="13" s="1"/>
  <c r="B1275" i="13"/>
  <c r="D1275" i="13" s="1"/>
  <c r="B1276" i="13"/>
  <c r="D1276" i="13" s="1"/>
  <c r="B1277" i="13"/>
  <c r="D1277" i="13" s="1"/>
  <c r="B1278" i="13"/>
  <c r="D1278" i="13" s="1"/>
  <c r="B1279" i="13"/>
  <c r="D1279" i="13" s="1"/>
  <c r="B1280" i="13"/>
  <c r="D1280" i="13" s="1"/>
  <c r="B1281" i="13"/>
  <c r="D1281" i="13" s="1"/>
  <c r="B1282" i="13"/>
  <c r="D1282" i="13" s="1"/>
  <c r="B1283" i="13"/>
  <c r="D1283" i="13" s="1"/>
  <c r="B1284" i="13"/>
  <c r="D1284" i="13" s="1"/>
  <c r="B1285" i="13"/>
  <c r="D1285" i="13" s="1"/>
  <c r="B1286" i="13"/>
  <c r="D1286" i="13" s="1"/>
  <c r="B1287" i="13"/>
  <c r="D1287" i="13" s="1"/>
  <c r="B1288" i="13"/>
  <c r="D1288" i="13" s="1"/>
  <c r="B1289" i="13"/>
  <c r="D1289" i="13" s="1"/>
  <c r="B1290" i="13"/>
  <c r="D1290" i="13" s="1"/>
  <c r="B1291" i="13"/>
  <c r="D1291" i="13" s="1"/>
  <c r="B1292" i="13"/>
  <c r="D1292" i="13" s="1"/>
  <c r="B1293" i="13"/>
  <c r="D1293" i="13" s="1"/>
  <c r="B1294" i="13"/>
  <c r="D1294" i="13" s="1"/>
  <c r="B1295" i="13"/>
  <c r="D1295" i="13" s="1"/>
  <c r="B1296" i="13"/>
  <c r="D1296" i="13" s="1"/>
  <c r="B1297" i="13"/>
  <c r="D1297" i="13" s="1"/>
  <c r="B1298" i="13"/>
  <c r="D1298" i="13" s="1"/>
  <c r="B1299" i="13"/>
  <c r="D1299" i="13" s="1"/>
  <c r="B1300" i="13"/>
  <c r="D1300" i="13" s="1"/>
  <c r="B1301" i="13"/>
  <c r="D1301" i="13" s="1"/>
  <c r="G1200" i="13"/>
  <c r="G1201" i="13"/>
  <c r="G1202" i="13"/>
  <c r="G1203" i="13"/>
  <c r="G1204" i="13"/>
  <c r="G1205" i="13"/>
  <c r="G1206" i="13"/>
  <c r="G1208" i="13"/>
  <c r="G1209" i="13"/>
  <c r="G1210" i="13"/>
  <c r="G1211" i="13"/>
  <c r="G1212" i="13"/>
  <c r="G1213" i="13"/>
  <c r="G1214" i="13"/>
  <c r="G1215" i="13"/>
  <c r="G1216" i="13"/>
  <c r="G1217" i="13"/>
  <c r="G1218" i="13"/>
  <c r="G1219" i="13"/>
  <c r="G1220" i="13"/>
  <c r="G1221" i="13"/>
  <c r="G1222" i="13"/>
  <c r="G1223" i="13"/>
  <c r="G1224" i="13"/>
  <c r="G1225" i="13"/>
  <c r="G1226" i="13"/>
  <c r="G1227" i="13"/>
  <c r="G1228" i="13"/>
  <c r="G1229" i="13"/>
  <c r="G1230" i="13"/>
  <c r="G1231" i="13"/>
  <c r="G1232" i="13"/>
  <c r="G1233" i="13"/>
  <c r="G1234" i="13"/>
  <c r="G1235" i="13"/>
  <c r="G1236" i="13"/>
  <c r="G1237" i="13"/>
  <c r="G1238" i="13"/>
  <c r="G1239" i="13"/>
  <c r="G1240" i="13"/>
  <c r="G1241" i="13"/>
  <c r="G1242" i="13"/>
  <c r="G1243" i="13"/>
  <c r="G1244" i="13"/>
  <c r="G1245" i="13"/>
  <c r="G1246" i="13"/>
  <c r="G1247" i="13"/>
  <c r="G1248" i="13"/>
  <c r="G1249" i="13"/>
  <c r="G1250" i="13"/>
  <c r="G1251" i="13"/>
  <c r="G1252" i="13"/>
  <c r="G1253" i="13"/>
  <c r="G1254" i="13"/>
  <c r="G1255" i="13"/>
  <c r="G1256" i="13"/>
  <c r="G1257" i="13"/>
  <c r="G1258" i="13"/>
  <c r="G1259" i="13"/>
  <c r="G1260" i="13"/>
  <c r="G1261" i="13"/>
  <c r="G1262" i="13"/>
  <c r="G1263" i="13"/>
  <c r="G1264" i="13"/>
  <c r="G1265" i="13"/>
  <c r="G1266" i="13"/>
  <c r="G1267" i="13"/>
  <c r="G1268" i="13"/>
  <c r="G1269" i="13"/>
  <c r="G1270" i="13"/>
  <c r="G1271" i="13"/>
  <c r="G1272" i="13"/>
  <c r="G1273" i="13"/>
  <c r="G1274" i="13"/>
  <c r="G1275" i="13"/>
  <c r="G1276" i="13"/>
  <c r="G1277" i="13"/>
  <c r="G1278" i="13"/>
  <c r="G1279" i="13"/>
  <c r="G1280" i="13"/>
  <c r="G1281" i="13"/>
  <c r="G1282" i="13"/>
  <c r="G1283" i="13"/>
  <c r="G1284" i="13"/>
  <c r="G1285" i="13"/>
  <c r="G1286" i="13"/>
  <c r="G1287" i="13"/>
  <c r="G1288" i="13"/>
  <c r="G1289" i="13"/>
  <c r="G1290" i="13"/>
  <c r="G1291" i="13"/>
  <c r="G1292" i="13"/>
  <c r="G1293" i="13"/>
  <c r="G1294" i="13"/>
  <c r="G1295" i="13"/>
  <c r="G1296" i="13"/>
  <c r="G1297" i="13"/>
  <c r="G1298" i="13"/>
  <c r="G1299" i="13"/>
  <c r="G1300" i="13"/>
  <c r="G1301" i="13"/>
  <c r="B1078" i="13"/>
  <c r="D1078" i="13" s="1"/>
  <c r="B1079" i="13"/>
  <c r="D1079" i="13" s="1"/>
  <c r="B1080" i="13"/>
  <c r="D1080" i="13" s="1"/>
  <c r="B1081" i="13"/>
  <c r="D1081" i="13" s="1"/>
  <c r="B1082" i="13"/>
  <c r="D1082" i="13" s="1"/>
  <c r="B1083" i="13"/>
  <c r="D1083" i="13" s="1"/>
  <c r="B1084" i="13"/>
  <c r="D1084" i="13" s="1"/>
  <c r="B1085" i="13"/>
  <c r="D1085" i="13" s="1"/>
  <c r="B1086" i="13"/>
  <c r="D1086" i="13" s="1"/>
  <c r="B1087" i="13"/>
  <c r="D1087" i="13" s="1"/>
  <c r="B1088" i="13"/>
  <c r="D1088" i="13" s="1"/>
  <c r="B1089" i="13"/>
  <c r="D1089" i="13" s="1"/>
  <c r="B1090" i="13"/>
  <c r="D1090" i="13" s="1"/>
  <c r="B1091" i="13"/>
  <c r="D1091" i="13" s="1"/>
  <c r="B1092" i="13"/>
  <c r="D1092" i="13" s="1"/>
  <c r="B1093" i="13"/>
  <c r="D1093" i="13" s="1"/>
  <c r="B1094" i="13"/>
  <c r="D1094" i="13" s="1"/>
  <c r="B1095" i="13"/>
  <c r="D1095" i="13" s="1"/>
  <c r="B1096" i="13"/>
  <c r="D1096" i="13" s="1"/>
  <c r="B1097" i="13"/>
  <c r="D1097" i="13" s="1"/>
  <c r="B1098" i="13"/>
  <c r="D1098" i="13" s="1"/>
  <c r="B1099" i="13"/>
  <c r="D1099" i="13" s="1"/>
  <c r="B1100" i="13"/>
  <c r="D1100" i="13" s="1"/>
  <c r="B1101" i="13"/>
  <c r="D1101" i="13" s="1"/>
  <c r="B1102" i="13"/>
  <c r="D1102" i="13" s="1"/>
  <c r="B1103" i="13"/>
  <c r="D1103" i="13" s="1"/>
  <c r="B1104" i="13"/>
  <c r="D1104" i="13" s="1"/>
  <c r="B1105" i="13"/>
  <c r="D1105" i="13" s="1"/>
  <c r="B1106" i="13"/>
  <c r="D1106" i="13" s="1"/>
  <c r="B1107" i="13"/>
  <c r="D1107" i="13" s="1"/>
  <c r="B1108" i="13"/>
  <c r="D1108" i="13" s="1"/>
  <c r="B1109" i="13"/>
  <c r="D1109" i="13" s="1"/>
  <c r="B1110" i="13"/>
  <c r="D1110" i="13" s="1"/>
  <c r="B1111" i="13"/>
  <c r="D1111" i="13" s="1"/>
  <c r="B1112" i="13"/>
  <c r="D1112" i="13" s="1"/>
  <c r="B1113" i="13"/>
  <c r="D1113" i="13" s="1"/>
  <c r="B1114" i="13"/>
  <c r="D1114" i="13" s="1"/>
  <c r="B1115" i="13"/>
  <c r="D1115" i="13" s="1"/>
  <c r="B1116" i="13"/>
  <c r="D1116" i="13" s="1"/>
  <c r="B1117" i="13"/>
  <c r="D1117" i="13" s="1"/>
  <c r="B1118" i="13"/>
  <c r="D1118" i="13" s="1"/>
  <c r="B1119" i="13"/>
  <c r="D1119" i="13" s="1"/>
  <c r="B1120" i="13"/>
  <c r="D1120" i="13" s="1"/>
  <c r="B1121" i="13"/>
  <c r="D1121" i="13" s="1"/>
  <c r="B1122" i="13"/>
  <c r="D1122" i="13" s="1"/>
  <c r="B1123" i="13"/>
  <c r="D1123" i="13" s="1"/>
  <c r="B1124" i="13"/>
  <c r="D1124" i="13" s="1"/>
  <c r="B1125" i="13"/>
  <c r="D1125" i="13" s="1"/>
  <c r="B1126" i="13"/>
  <c r="D1126" i="13" s="1"/>
  <c r="B1127" i="13"/>
  <c r="D1127" i="13" s="1"/>
  <c r="B1128" i="13"/>
  <c r="D1128" i="13" s="1"/>
  <c r="B1129" i="13"/>
  <c r="D1129" i="13" s="1"/>
  <c r="B1130" i="13"/>
  <c r="D1130" i="13" s="1"/>
  <c r="B1131" i="13"/>
  <c r="D1131" i="13" s="1"/>
  <c r="B1132" i="13"/>
  <c r="D1132" i="13" s="1"/>
  <c r="B1133" i="13"/>
  <c r="D1133" i="13" s="1"/>
  <c r="B1134" i="13"/>
  <c r="D1134" i="13" s="1"/>
  <c r="B1135" i="13"/>
  <c r="D1135" i="13" s="1"/>
  <c r="B1136" i="13"/>
  <c r="D1136" i="13" s="1"/>
  <c r="B1137" i="13"/>
  <c r="D1137" i="13" s="1"/>
  <c r="B1138" i="13"/>
  <c r="D1138" i="13" s="1"/>
  <c r="B1139" i="13"/>
  <c r="D1139" i="13" s="1"/>
  <c r="B1140" i="13"/>
  <c r="D1140" i="13" s="1"/>
  <c r="B1141" i="13"/>
  <c r="D1141" i="13" s="1"/>
  <c r="B1142" i="13"/>
  <c r="D1142" i="13" s="1"/>
  <c r="B1143" i="13"/>
  <c r="D1143" i="13" s="1"/>
  <c r="B1144" i="13"/>
  <c r="D1144" i="13" s="1"/>
  <c r="B1145" i="13"/>
  <c r="D1145" i="13" s="1"/>
  <c r="B1146" i="13"/>
  <c r="D1146" i="13" s="1"/>
  <c r="B1147" i="13"/>
  <c r="D1147" i="13" s="1"/>
  <c r="B1148" i="13"/>
  <c r="D1148" i="13" s="1"/>
  <c r="B1149" i="13"/>
  <c r="D1149" i="13" s="1"/>
  <c r="B1150" i="13"/>
  <c r="D1150" i="13" s="1"/>
  <c r="B1151" i="13"/>
  <c r="D1151" i="13" s="1"/>
  <c r="B1152" i="13"/>
  <c r="D1152" i="13" s="1"/>
  <c r="B1153" i="13"/>
  <c r="D1153" i="13" s="1"/>
  <c r="B1154" i="13"/>
  <c r="D1154" i="13" s="1"/>
  <c r="B1155" i="13"/>
  <c r="D1155" i="13" s="1"/>
  <c r="B1156" i="13"/>
  <c r="D1156" i="13" s="1"/>
  <c r="B1157" i="13"/>
  <c r="D1157" i="13" s="1"/>
  <c r="B1158" i="13"/>
  <c r="D1158" i="13" s="1"/>
  <c r="B1159" i="13"/>
  <c r="D1159" i="13" s="1"/>
  <c r="B1160" i="13"/>
  <c r="D1160" i="13" s="1"/>
  <c r="B1161" i="13"/>
  <c r="D1161" i="13" s="1"/>
  <c r="B1162" i="13"/>
  <c r="D1162" i="13" s="1"/>
  <c r="B1163" i="13"/>
  <c r="D1163" i="13" s="1"/>
  <c r="B1164" i="13"/>
  <c r="D1164" i="13" s="1"/>
  <c r="B1165" i="13"/>
  <c r="D1165" i="13" s="1"/>
  <c r="B1166" i="13"/>
  <c r="D1166" i="13" s="1"/>
  <c r="B1167" i="13"/>
  <c r="D1167" i="13" s="1"/>
  <c r="B1168" i="13"/>
  <c r="D1168" i="13" s="1"/>
  <c r="B1169" i="13"/>
  <c r="D1169" i="13" s="1"/>
  <c r="B1170" i="13"/>
  <c r="D1170" i="13" s="1"/>
  <c r="B1171" i="13"/>
  <c r="D1171" i="13" s="1"/>
  <c r="B1184" i="13"/>
  <c r="D1184" i="13" s="1"/>
  <c r="B1173" i="13"/>
  <c r="D1173" i="13" s="1"/>
  <c r="B1174" i="13"/>
  <c r="D1174" i="13" s="1"/>
  <c r="B1175" i="13"/>
  <c r="D1175" i="13" s="1"/>
  <c r="B1176" i="13"/>
  <c r="D1176" i="13" s="1"/>
  <c r="B1177" i="13"/>
  <c r="D1177" i="13" s="1"/>
  <c r="B1178" i="13"/>
  <c r="D1178" i="13" s="1"/>
  <c r="B1179" i="13"/>
  <c r="D1179" i="13" s="1"/>
  <c r="B1180" i="13"/>
  <c r="D1180" i="13" s="1"/>
  <c r="B1181" i="13"/>
  <c r="D1181" i="13" s="1"/>
  <c r="B1182" i="13"/>
  <c r="D1182" i="13" s="1"/>
  <c r="B1183" i="13"/>
  <c r="D1183" i="13" s="1"/>
  <c r="B1186" i="13"/>
  <c r="D1186" i="13" s="1"/>
  <c r="B1185" i="13"/>
  <c r="D1185" i="13" s="1"/>
  <c r="B1189" i="13"/>
  <c r="D1189" i="13" s="1"/>
  <c r="B1187" i="13"/>
  <c r="D1187" i="13" s="1"/>
  <c r="B1188" i="13"/>
  <c r="D1188" i="13" s="1"/>
  <c r="B1335" i="13"/>
  <c r="D1335" i="13" s="1"/>
  <c r="B1068" i="13"/>
  <c r="D1068" i="13" s="1"/>
  <c r="B1191" i="13"/>
  <c r="D1191" i="13" s="1"/>
  <c r="B1192" i="13"/>
  <c r="D1192" i="13" s="1"/>
  <c r="B1193" i="13"/>
  <c r="D1193" i="13" s="1"/>
  <c r="B1194" i="13"/>
  <c r="D1194" i="13" s="1"/>
  <c r="B1195" i="13"/>
  <c r="D1195" i="13" s="1"/>
  <c r="B1196" i="13"/>
  <c r="D1196" i="13" s="1"/>
  <c r="B1197" i="13"/>
  <c r="D1197" i="13" s="1"/>
  <c r="B1198" i="13"/>
  <c r="D1198" i="13" s="1"/>
  <c r="B1199" i="13"/>
  <c r="D1199" i="13" s="1"/>
  <c r="G1078" i="13"/>
  <c r="G1079" i="13"/>
  <c r="G1080" i="13"/>
  <c r="G1081" i="13"/>
  <c r="G1082" i="13"/>
  <c r="G1083" i="13"/>
  <c r="G1084" i="13"/>
  <c r="G1085" i="13"/>
  <c r="G1086" i="13"/>
  <c r="G1087" i="13"/>
  <c r="G1088" i="13"/>
  <c r="G1089" i="13"/>
  <c r="G1090" i="13"/>
  <c r="G1091" i="13"/>
  <c r="G1092" i="13"/>
  <c r="G1093" i="13"/>
  <c r="G1094" i="13"/>
  <c r="G1095" i="13"/>
  <c r="G1096" i="13"/>
  <c r="G1097" i="13"/>
  <c r="G1098" i="13"/>
  <c r="G1099" i="13"/>
  <c r="G1102" i="13"/>
  <c r="G1103" i="13"/>
  <c r="G1104" i="13"/>
  <c r="G1105" i="13"/>
  <c r="G1106" i="13"/>
  <c r="G1107" i="13"/>
  <c r="G1108" i="13"/>
  <c r="G1109" i="13"/>
  <c r="G1110" i="13"/>
  <c r="G1111" i="13"/>
  <c r="G1112" i="13"/>
  <c r="G1113" i="13"/>
  <c r="G1114" i="13"/>
  <c r="G1115" i="13"/>
  <c r="G1116" i="13"/>
  <c r="G1117" i="13"/>
  <c r="G1118" i="13"/>
  <c r="G1119" i="13"/>
  <c r="G1120" i="13"/>
  <c r="G1121" i="13"/>
  <c r="G1123" i="13"/>
  <c r="G1124" i="13"/>
  <c r="G1125" i="13"/>
  <c r="G1127" i="13"/>
  <c r="G1128" i="13"/>
  <c r="G1129" i="13"/>
  <c r="G1130" i="13"/>
  <c r="G1131" i="13"/>
  <c r="G1132" i="13"/>
  <c r="G1133" i="13"/>
  <c r="G1134" i="13"/>
  <c r="G1135" i="13"/>
  <c r="G1136" i="13"/>
  <c r="G1137" i="13"/>
  <c r="G1138" i="13"/>
  <c r="G1139" i="13"/>
  <c r="G1140" i="13"/>
  <c r="G1141" i="13"/>
  <c r="G1142" i="13"/>
  <c r="G1143" i="13"/>
  <c r="G1144" i="13"/>
  <c r="G1145" i="13"/>
  <c r="G1146" i="13"/>
  <c r="G1147" i="13"/>
  <c r="G1148" i="13"/>
  <c r="G1149" i="13"/>
  <c r="G1150" i="13"/>
  <c r="G1151" i="13"/>
  <c r="G1152" i="13"/>
  <c r="G1153" i="13"/>
  <c r="G1154" i="13"/>
  <c r="G1155" i="13"/>
  <c r="G1156" i="13"/>
  <c r="G1157" i="13"/>
  <c r="G1158" i="13"/>
  <c r="G1159" i="13"/>
  <c r="G1160" i="13"/>
  <c r="G1161" i="13"/>
  <c r="G1162" i="13"/>
  <c r="G1163" i="13"/>
  <c r="G1164" i="13"/>
  <c r="G1165" i="13"/>
  <c r="G1166" i="13"/>
  <c r="G1167" i="13"/>
  <c r="G1168" i="13"/>
  <c r="G1169" i="13"/>
  <c r="G1170" i="13"/>
  <c r="G1171" i="13"/>
  <c r="G1184" i="13"/>
  <c r="G1173" i="13"/>
  <c r="G1174" i="13"/>
  <c r="G1175" i="13"/>
  <c r="G1176" i="13"/>
  <c r="G1177" i="13"/>
  <c r="G1178" i="13"/>
  <c r="G1179" i="13"/>
  <c r="G1180" i="13"/>
  <c r="G1181" i="13"/>
  <c r="G1182" i="13"/>
  <c r="G1183" i="13"/>
  <c r="G1186" i="13"/>
  <c r="G1185" i="13"/>
  <c r="G1189" i="13"/>
  <c r="G1187" i="13"/>
  <c r="G1188" i="13"/>
  <c r="G1335" i="13"/>
  <c r="G1068" i="13"/>
  <c r="G1191" i="13"/>
  <c r="G1192" i="13"/>
  <c r="G1193" i="13"/>
  <c r="G1194" i="13"/>
  <c r="G1195" i="13"/>
  <c r="G1196" i="13"/>
  <c r="G1197" i="13"/>
  <c r="G1198" i="13"/>
  <c r="G1199" i="13"/>
  <c r="B1001" i="13"/>
  <c r="D1001" i="13" s="1"/>
  <c r="B1002" i="13"/>
  <c r="D1002" i="13" s="1"/>
  <c r="B1003" i="13"/>
  <c r="D1003" i="13" s="1"/>
  <c r="B1004" i="13"/>
  <c r="D1004" i="13" s="1"/>
  <c r="B1005" i="13"/>
  <c r="D1005" i="13" s="1"/>
  <c r="B1006" i="13"/>
  <c r="D1006" i="13" s="1"/>
  <c r="B1007" i="13"/>
  <c r="D1007" i="13" s="1"/>
  <c r="B1008" i="13"/>
  <c r="D1008" i="13" s="1"/>
  <c r="B1009" i="13"/>
  <c r="D1009" i="13" s="1"/>
  <c r="B1010" i="13"/>
  <c r="D1010" i="13" s="1"/>
  <c r="B1011" i="13"/>
  <c r="D1011" i="13" s="1"/>
  <c r="B1012" i="13"/>
  <c r="D1012" i="13" s="1"/>
  <c r="B1013" i="13"/>
  <c r="D1013" i="13" s="1"/>
  <c r="B1014" i="13"/>
  <c r="D1014" i="13" s="1"/>
  <c r="B1015" i="13"/>
  <c r="D1015" i="13" s="1"/>
  <c r="B1016" i="13"/>
  <c r="D1016" i="13" s="1"/>
  <c r="B1017" i="13"/>
  <c r="D1017" i="13" s="1"/>
  <c r="B1018" i="13"/>
  <c r="D1018" i="13" s="1"/>
  <c r="B1019" i="13"/>
  <c r="D1019" i="13" s="1"/>
  <c r="B1020" i="13"/>
  <c r="D1020" i="13" s="1"/>
  <c r="B1021" i="13"/>
  <c r="D1021" i="13" s="1"/>
  <c r="B1022" i="13"/>
  <c r="D1022" i="13" s="1"/>
  <c r="B1023" i="13"/>
  <c r="D1023" i="13" s="1"/>
  <c r="B1024" i="13"/>
  <c r="D1024" i="13" s="1"/>
  <c r="B1025" i="13"/>
  <c r="D1025" i="13" s="1"/>
  <c r="B1026" i="13"/>
  <c r="D1026" i="13" s="1"/>
  <c r="B1027" i="13"/>
  <c r="D1027" i="13" s="1"/>
  <c r="B1028" i="13"/>
  <c r="D1028" i="13" s="1"/>
  <c r="B1029" i="13"/>
  <c r="D1029" i="13" s="1"/>
  <c r="B1030" i="13"/>
  <c r="D1030" i="13" s="1"/>
  <c r="B1031" i="13"/>
  <c r="D1031" i="13" s="1"/>
  <c r="B1032" i="13"/>
  <c r="D1032" i="13" s="1"/>
  <c r="B1033" i="13"/>
  <c r="D1033" i="13" s="1"/>
  <c r="B1034" i="13"/>
  <c r="D1034" i="13" s="1"/>
  <c r="B1035" i="13"/>
  <c r="D1035" i="13" s="1"/>
  <c r="B1036" i="13"/>
  <c r="D1036" i="13" s="1"/>
  <c r="B1037" i="13"/>
  <c r="D1037" i="13" s="1"/>
  <c r="B1038" i="13"/>
  <c r="D1038" i="13" s="1"/>
  <c r="B1039" i="13"/>
  <c r="D1039" i="13" s="1"/>
  <c r="B1040" i="13"/>
  <c r="D1040" i="13" s="1"/>
  <c r="B1041" i="13"/>
  <c r="D1041" i="13" s="1"/>
  <c r="B564" i="13"/>
  <c r="D564" i="13" s="1"/>
  <c r="B682" i="13"/>
  <c r="D682" i="13" s="1"/>
  <c r="B1044" i="13"/>
  <c r="D1044" i="13" s="1"/>
  <c r="B1045" i="13"/>
  <c r="D1045" i="13" s="1"/>
  <c r="B1046" i="13"/>
  <c r="D1046" i="13" s="1"/>
  <c r="B1047" i="13"/>
  <c r="D1047" i="13" s="1"/>
  <c r="B1048" i="13"/>
  <c r="D1048" i="13" s="1"/>
  <c r="B1049" i="13"/>
  <c r="D1049" i="13" s="1"/>
  <c r="B1050" i="13"/>
  <c r="D1050" i="13" s="1"/>
  <c r="B1051" i="13"/>
  <c r="D1051" i="13" s="1"/>
  <c r="B1052" i="13"/>
  <c r="D1052" i="13" s="1"/>
  <c r="B1053" i="13"/>
  <c r="D1053" i="13" s="1"/>
  <c r="B1054" i="13"/>
  <c r="D1054" i="13" s="1"/>
  <c r="B1055" i="13"/>
  <c r="D1055" i="13" s="1"/>
  <c r="B1057" i="13"/>
  <c r="D1057" i="13" s="1"/>
  <c r="B1058" i="13"/>
  <c r="D1058" i="13" s="1"/>
  <c r="B1059" i="13"/>
  <c r="D1059" i="13" s="1"/>
  <c r="B1060" i="13"/>
  <c r="D1060" i="13" s="1"/>
  <c r="B1061" i="13"/>
  <c r="D1061" i="13" s="1"/>
  <c r="B1062" i="13"/>
  <c r="D1062" i="13" s="1"/>
  <c r="B1063" i="13"/>
  <c r="D1063" i="13" s="1"/>
  <c r="B1064" i="13"/>
  <c r="D1064" i="13" s="1"/>
  <c r="B1065" i="13"/>
  <c r="D1065" i="13" s="1"/>
  <c r="B1066" i="13"/>
  <c r="D1066" i="13" s="1"/>
  <c r="B1067" i="13"/>
  <c r="D1067" i="13" s="1"/>
  <c r="B1333" i="13"/>
  <c r="D1333" i="13" s="1"/>
  <c r="B1069" i="13"/>
  <c r="D1069" i="13" s="1"/>
  <c r="B1070" i="13"/>
  <c r="D1070" i="13" s="1"/>
  <c r="B1071" i="13"/>
  <c r="D1071" i="13" s="1"/>
  <c r="B1072" i="13"/>
  <c r="D1072" i="13" s="1"/>
  <c r="B1073" i="13"/>
  <c r="D1073" i="13" s="1"/>
  <c r="B1074" i="13"/>
  <c r="D1074" i="13" s="1"/>
  <c r="B1075" i="13"/>
  <c r="D1075" i="13" s="1"/>
  <c r="B1076" i="13"/>
  <c r="D1076" i="13" s="1"/>
  <c r="B1077" i="13"/>
  <c r="D1077" i="13" s="1"/>
  <c r="G1001" i="13"/>
  <c r="G1003" i="13"/>
  <c r="G1004" i="13"/>
  <c r="G1005" i="13"/>
  <c r="G1006" i="13"/>
  <c r="G1007" i="13"/>
  <c r="G1008" i="13"/>
  <c r="G1009" i="13"/>
  <c r="G1010" i="13"/>
  <c r="G1011" i="13"/>
  <c r="G1012" i="13"/>
  <c r="G1013" i="13"/>
  <c r="G1014" i="13"/>
  <c r="G1015" i="13"/>
  <c r="G1016" i="13"/>
  <c r="G1017" i="13"/>
  <c r="G1018" i="13"/>
  <c r="G1019" i="13"/>
  <c r="G1020" i="13"/>
  <c r="G1021" i="13"/>
  <c r="G1022" i="13"/>
  <c r="G1023" i="13"/>
  <c r="G1024" i="13"/>
  <c r="G1025" i="13"/>
  <c r="G1026" i="13"/>
  <c r="G1027" i="13"/>
  <c r="G1028" i="13"/>
  <c r="G1029" i="13"/>
  <c r="G1030" i="13"/>
  <c r="G1032" i="13"/>
  <c r="G1033" i="13"/>
  <c r="G1034" i="13"/>
  <c r="G1035" i="13"/>
  <c r="G1036" i="13"/>
  <c r="G1037" i="13"/>
  <c r="G1038" i="13"/>
  <c r="G1039" i="13"/>
  <c r="G1040" i="13"/>
  <c r="G1041" i="13"/>
  <c r="G564" i="13"/>
  <c r="G682" i="13"/>
  <c r="G1044" i="13"/>
  <c r="G1045" i="13"/>
  <c r="G1046" i="13"/>
  <c r="G1047" i="13"/>
  <c r="G1048" i="13"/>
  <c r="G1049" i="13"/>
  <c r="G1050" i="13"/>
  <c r="G1051" i="13"/>
  <c r="G1052" i="13"/>
  <c r="G1053" i="13"/>
  <c r="G1054" i="13"/>
  <c r="G1055" i="13"/>
  <c r="G1056" i="13"/>
  <c r="G1057" i="13"/>
  <c r="G1058" i="13"/>
  <c r="G1059" i="13"/>
  <c r="G1060" i="13"/>
  <c r="G1061" i="13"/>
  <c r="G1062" i="13"/>
  <c r="G1063" i="13"/>
  <c r="G1064" i="13"/>
  <c r="G1065" i="13"/>
  <c r="G1066" i="13"/>
  <c r="G1067" i="13"/>
  <c r="G1333" i="13"/>
  <c r="G1069" i="13"/>
  <c r="G1070" i="13"/>
  <c r="G1071" i="13"/>
  <c r="G1072" i="13"/>
  <c r="G1073" i="13"/>
  <c r="G1074" i="13"/>
  <c r="G1075" i="13"/>
  <c r="G1076" i="13"/>
  <c r="G1077" i="13"/>
  <c r="B956" i="13"/>
  <c r="D956" i="13" s="1"/>
  <c r="B924" i="13"/>
  <c r="D924" i="13" s="1"/>
  <c r="B925" i="13"/>
  <c r="D925" i="13" s="1"/>
  <c r="B926" i="13"/>
  <c r="D926" i="13" s="1"/>
  <c r="B927" i="13"/>
  <c r="D927" i="13" s="1"/>
  <c r="B928" i="13"/>
  <c r="D928" i="13" s="1"/>
  <c r="B929" i="13"/>
  <c r="D929" i="13" s="1"/>
  <c r="B930" i="13"/>
  <c r="D930" i="13" s="1"/>
  <c r="B931" i="13"/>
  <c r="D931" i="13" s="1"/>
  <c r="B932" i="13"/>
  <c r="D932" i="13" s="1"/>
  <c r="B933" i="13"/>
  <c r="D933" i="13" s="1"/>
  <c r="B934" i="13"/>
  <c r="D934" i="13" s="1"/>
  <c r="B935" i="13"/>
  <c r="D935" i="13" s="1"/>
  <c r="B936" i="13"/>
  <c r="D936" i="13" s="1"/>
  <c r="B937" i="13"/>
  <c r="D937" i="13" s="1"/>
  <c r="B938" i="13"/>
  <c r="D938" i="13" s="1"/>
  <c r="B939" i="13"/>
  <c r="D939" i="13" s="1"/>
  <c r="B940" i="13"/>
  <c r="D940" i="13" s="1"/>
  <c r="B941" i="13"/>
  <c r="D941" i="13" s="1"/>
  <c r="B942" i="13"/>
  <c r="D942" i="13" s="1"/>
  <c r="B943" i="13"/>
  <c r="D943" i="13" s="1"/>
  <c r="B944" i="13"/>
  <c r="D944" i="13" s="1"/>
  <c r="B945" i="13"/>
  <c r="D945" i="13" s="1"/>
  <c r="B946" i="13"/>
  <c r="D946" i="13" s="1"/>
  <c r="B947" i="13"/>
  <c r="D947" i="13" s="1"/>
  <c r="B948" i="13"/>
  <c r="D948" i="13" s="1"/>
  <c r="B949" i="13"/>
  <c r="D949" i="13" s="1"/>
  <c r="B950" i="13"/>
  <c r="D950" i="13" s="1"/>
  <c r="B951" i="13"/>
  <c r="D951" i="13" s="1"/>
  <c r="B952" i="13"/>
  <c r="D952" i="13" s="1"/>
  <c r="B953" i="13"/>
  <c r="D953" i="13" s="1"/>
  <c r="B954" i="13"/>
  <c r="D954" i="13" s="1"/>
  <c r="B955" i="13"/>
  <c r="D955" i="13" s="1"/>
  <c r="B957" i="13"/>
  <c r="D957" i="13" s="1"/>
  <c r="B958" i="13"/>
  <c r="D958" i="13" s="1"/>
  <c r="B959" i="13"/>
  <c r="D959" i="13" s="1"/>
  <c r="B960" i="13"/>
  <c r="D960" i="13" s="1"/>
  <c r="B961" i="13"/>
  <c r="D961" i="13" s="1"/>
  <c r="B962" i="13"/>
  <c r="D962" i="13" s="1"/>
  <c r="B963" i="13"/>
  <c r="D963" i="13" s="1"/>
  <c r="B964" i="13"/>
  <c r="D964" i="13" s="1"/>
  <c r="B965" i="13"/>
  <c r="D965" i="13" s="1"/>
  <c r="B966" i="13"/>
  <c r="D966" i="13" s="1"/>
  <c r="B967" i="13"/>
  <c r="D967" i="13" s="1"/>
  <c r="B968" i="13"/>
  <c r="D968" i="13" s="1"/>
  <c r="B969" i="13"/>
  <c r="D969" i="13" s="1"/>
  <c r="B970" i="13"/>
  <c r="D970" i="13" s="1"/>
  <c r="B971" i="13"/>
  <c r="D971" i="13" s="1"/>
  <c r="B972" i="13"/>
  <c r="D972" i="13" s="1"/>
  <c r="B973" i="13"/>
  <c r="D973" i="13" s="1"/>
  <c r="B974" i="13"/>
  <c r="D974" i="13" s="1"/>
  <c r="B975" i="13"/>
  <c r="D975" i="13" s="1"/>
  <c r="B976" i="13"/>
  <c r="D976" i="13" s="1"/>
  <c r="B977" i="13"/>
  <c r="D977" i="13" s="1"/>
  <c r="B978" i="13"/>
  <c r="D978" i="13" s="1"/>
  <c r="B979" i="13"/>
  <c r="D979" i="13" s="1"/>
  <c r="B980" i="13"/>
  <c r="D980" i="13" s="1"/>
  <c r="B981" i="13"/>
  <c r="D981" i="13" s="1"/>
  <c r="B982" i="13"/>
  <c r="D982" i="13" s="1"/>
  <c r="B983" i="13"/>
  <c r="D983" i="13" s="1"/>
  <c r="B984" i="13"/>
  <c r="D984" i="13" s="1"/>
  <c r="B985" i="13"/>
  <c r="D985" i="13" s="1"/>
  <c r="B986" i="13"/>
  <c r="D986" i="13" s="1"/>
  <c r="B987" i="13"/>
  <c r="D987" i="13" s="1"/>
  <c r="B988" i="13"/>
  <c r="D988" i="13" s="1"/>
  <c r="B989" i="13"/>
  <c r="D989" i="13" s="1"/>
  <c r="B990" i="13"/>
  <c r="D990" i="13" s="1"/>
  <c r="B991" i="13"/>
  <c r="D991" i="13" s="1"/>
  <c r="B992" i="13"/>
  <c r="D992" i="13" s="1"/>
  <c r="B993" i="13"/>
  <c r="D993" i="13" s="1"/>
  <c r="B994" i="13"/>
  <c r="D994" i="13" s="1"/>
  <c r="B995" i="13"/>
  <c r="D995" i="13" s="1"/>
  <c r="B996" i="13"/>
  <c r="D996" i="13" s="1"/>
  <c r="B997" i="13"/>
  <c r="D997" i="13" s="1"/>
  <c r="B998" i="13"/>
  <c r="D998" i="13" s="1"/>
  <c r="B999" i="13"/>
  <c r="D999" i="13" s="1"/>
  <c r="B1000" i="13"/>
  <c r="D1000" i="13" s="1"/>
  <c r="B923" i="13"/>
  <c r="D923" i="13" s="1"/>
  <c r="B922" i="13"/>
  <c r="D922" i="13" s="1"/>
  <c r="B832" i="13"/>
  <c r="D832" i="13" s="1"/>
  <c r="B833" i="13"/>
  <c r="D833" i="13" s="1"/>
  <c r="B834" i="13"/>
  <c r="D834" i="13" s="1"/>
  <c r="B835" i="13"/>
  <c r="D835" i="13" s="1"/>
  <c r="B836" i="13"/>
  <c r="D836" i="13" s="1"/>
  <c r="B837" i="13"/>
  <c r="D837" i="13" s="1"/>
  <c r="B838" i="13"/>
  <c r="D838" i="13" s="1"/>
  <c r="B839" i="13"/>
  <c r="D839" i="13" s="1"/>
  <c r="B840" i="13"/>
  <c r="D840" i="13" s="1"/>
  <c r="B841" i="13"/>
  <c r="D841" i="13" s="1"/>
  <c r="B842" i="13"/>
  <c r="D842" i="13" s="1"/>
  <c r="B843" i="13"/>
  <c r="D843" i="13" s="1"/>
  <c r="B844" i="13"/>
  <c r="D844" i="13" s="1"/>
  <c r="B845" i="13"/>
  <c r="D845" i="13" s="1"/>
  <c r="B846" i="13"/>
  <c r="D846" i="13" s="1"/>
  <c r="B847" i="13"/>
  <c r="D847" i="13" s="1"/>
  <c r="B848" i="13"/>
  <c r="D848" i="13" s="1"/>
  <c r="B849" i="13"/>
  <c r="D849" i="13" s="1"/>
  <c r="B850" i="13"/>
  <c r="D850" i="13" s="1"/>
  <c r="B851" i="13"/>
  <c r="D851" i="13" s="1"/>
  <c r="B852" i="13"/>
  <c r="D852" i="13" s="1"/>
  <c r="B853" i="13"/>
  <c r="D853" i="13" s="1"/>
  <c r="B854" i="13"/>
  <c r="D854" i="13" s="1"/>
  <c r="B855" i="13"/>
  <c r="D855" i="13" s="1"/>
  <c r="B856" i="13"/>
  <c r="D856" i="13" s="1"/>
  <c r="B857" i="13"/>
  <c r="D857" i="13" s="1"/>
  <c r="B858" i="13"/>
  <c r="D858" i="13" s="1"/>
  <c r="B859" i="13"/>
  <c r="D859" i="13" s="1"/>
  <c r="B860" i="13"/>
  <c r="D860" i="13" s="1"/>
  <c r="B861" i="13"/>
  <c r="D861" i="13" s="1"/>
  <c r="B862" i="13"/>
  <c r="D862" i="13" s="1"/>
  <c r="B863" i="13"/>
  <c r="D863" i="13" s="1"/>
  <c r="B864" i="13"/>
  <c r="D864" i="13" s="1"/>
  <c r="B865" i="13"/>
  <c r="D865" i="13" s="1"/>
  <c r="B866" i="13"/>
  <c r="D866" i="13" s="1"/>
  <c r="B867" i="13"/>
  <c r="D867" i="13" s="1"/>
  <c r="B868" i="13"/>
  <c r="D868" i="13" s="1"/>
  <c r="B869" i="13"/>
  <c r="D869" i="13" s="1"/>
  <c r="B870" i="13"/>
  <c r="D870" i="13" s="1"/>
  <c r="B871" i="13"/>
  <c r="D871" i="13" s="1"/>
  <c r="B872" i="13"/>
  <c r="D872" i="13" s="1"/>
  <c r="B873" i="13"/>
  <c r="D873" i="13" s="1"/>
  <c r="B874" i="13"/>
  <c r="D874" i="13" s="1"/>
  <c r="B875" i="13"/>
  <c r="D875" i="13" s="1"/>
  <c r="B876" i="13"/>
  <c r="D876" i="13" s="1"/>
  <c r="B877" i="13"/>
  <c r="D877" i="13" s="1"/>
  <c r="B878" i="13"/>
  <c r="D878" i="13" s="1"/>
  <c r="B879" i="13"/>
  <c r="D879" i="13" s="1"/>
  <c r="B880" i="13"/>
  <c r="D880" i="13" s="1"/>
  <c r="B881" i="13"/>
  <c r="D881" i="13" s="1"/>
  <c r="B882" i="13"/>
  <c r="D882" i="13" s="1"/>
  <c r="B883" i="13"/>
  <c r="D883" i="13" s="1"/>
  <c r="B884" i="13"/>
  <c r="D884" i="13" s="1"/>
  <c r="B885" i="13"/>
  <c r="D885" i="13" s="1"/>
  <c r="B886" i="13"/>
  <c r="D886" i="13" s="1"/>
  <c r="B887" i="13"/>
  <c r="D887" i="13" s="1"/>
  <c r="B888" i="13"/>
  <c r="D888" i="13" s="1"/>
  <c r="B889" i="13"/>
  <c r="D889" i="13" s="1"/>
  <c r="B890" i="13"/>
  <c r="D890" i="13" s="1"/>
  <c r="B891" i="13"/>
  <c r="D891" i="13" s="1"/>
  <c r="B892" i="13"/>
  <c r="D892" i="13" s="1"/>
  <c r="B893" i="13"/>
  <c r="D893" i="13" s="1"/>
  <c r="B894" i="13"/>
  <c r="D894" i="13" s="1"/>
  <c r="B895" i="13"/>
  <c r="D895" i="13" s="1"/>
  <c r="B896" i="13"/>
  <c r="D896" i="13" s="1"/>
  <c r="B897" i="13"/>
  <c r="D897" i="13" s="1"/>
  <c r="B898" i="13"/>
  <c r="D898" i="13" s="1"/>
  <c r="B899" i="13"/>
  <c r="D899" i="13" s="1"/>
  <c r="B900" i="13"/>
  <c r="D900" i="13" s="1"/>
  <c r="B901" i="13"/>
  <c r="D901" i="13" s="1"/>
  <c r="B902" i="13"/>
  <c r="D902" i="13" s="1"/>
  <c r="B903" i="13"/>
  <c r="D903" i="13" s="1"/>
  <c r="B904" i="13"/>
  <c r="D904" i="13" s="1"/>
  <c r="B905" i="13"/>
  <c r="D905" i="13" s="1"/>
  <c r="B906" i="13"/>
  <c r="D906" i="13" s="1"/>
  <c r="B907" i="13"/>
  <c r="D907" i="13" s="1"/>
  <c r="B908" i="13"/>
  <c r="D908" i="13" s="1"/>
  <c r="B909" i="13"/>
  <c r="D909" i="13" s="1"/>
  <c r="B910" i="13"/>
  <c r="D910" i="13" s="1"/>
  <c r="B911" i="13"/>
  <c r="D911" i="13" s="1"/>
  <c r="B912" i="13"/>
  <c r="D912" i="13" s="1"/>
  <c r="B913" i="13"/>
  <c r="D913" i="13" s="1"/>
  <c r="B1172" i="13"/>
  <c r="D1172" i="13" s="1"/>
  <c r="B915" i="13"/>
  <c r="D915" i="13" s="1"/>
  <c r="B916" i="13"/>
  <c r="D916" i="13" s="1"/>
  <c r="B917" i="13"/>
  <c r="D917" i="13" s="1"/>
  <c r="B918" i="13"/>
  <c r="D918" i="13" s="1"/>
  <c r="B919" i="13"/>
  <c r="D919" i="13" s="1"/>
  <c r="B920" i="13"/>
  <c r="D920" i="13" s="1"/>
  <c r="B921" i="13"/>
  <c r="D921" i="13" s="1"/>
  <c r="B831" i="13"/>
  <c r="D831" i="13" s="1"/>
  <c r="B830" i="13"/>
  <c r="D830" i="13" s="1"/>
  <c r="B829" i="13"/>
  <c r="D829" i="13" s="1"/>
  <c r="B828" i="13"/>
  <c r="D828" i="13" s="1"/>
  <c r="B827" i="13"/>
  <c r="D827" i="13" s="1"/>
  <c r="B826" i="13"/>
  <c r="D826" i="13" s="1"/>
  <c r="B825" i="13"/>
  <c r="D825" i="13" s="1"/>
  <c r="B824" i="13"/>
  <c r="D824" i="13" s="1"/>
  <c r="B823" i="13"/>
  <c r="D823" i="13" s="1"/>
  <c r="B822" i="13"/>
  <c r="D822" i="13" s="1"/>
  <c r="B721" i="13"/>
  <c r="B44" i="11"/>
  <c r="B607" i="13"/>
  <c r="B575" i="13"/>
  <c r="B519" i="13"/>
  <c r="B487" i="13"/>
  <c r="B488" i="13"/>
  <c r="B431" i="13"/>
  <c r="B407" i="13"/>
  <c r="B408" i="13"/>
  <c r="B409" i="13"/>
  <c r="B384" i="13"/>
  <c r="D384" i="13" s="1"/>
  <c r="B300" i="13"/>
  <c r="B252" i="13"/>
  <c r="B50" i="13"/>
  <c r="B10" i="13"/>
  <c r="D10" i="13" s="1"/>
  <c r="B9" i="13"/>
  <c r="G539" i="13"/>
  <c r="G495" i="13"/>
  <c r="G402" i="13"/>
  <c r="G403" i="13"/>
  <c r="G404" i="13"/>
  <c r="G406" i="13"/>
  <c r="G286" i="13"/>
  <c r="C1419" i="13"/>
  <c r="G48" i="13"/>
  <c r="G2" i="13"/>
  <c r="G3" i="13"/>
  <c r="G4" i="13"/>
  <c r="G5" i="13"/>
  <c r="G6" i="13"/>
  <c r="G7" i="13"/>
  <c r="G8" i="13"/>
  <c r="G9" i="13"/>
  <c r="G10" i="13"/>
  <c r="G11" i="13"/>
  <c r="G12" i="13"/>
  <c r="G13" i="13"/>
  <c r="G14" i="13"/>
  <c r="G15" i="13"/>
  <c r="G16" i="13"/>
  <c r="G17" i="13"/>
  <c r="G18" i="13"/>
  <c r="G19" i="13"/>
  <c r="G20" i="13"/>
  <c r="G21" i="13"/>
  <c r="G22" i="13"/>
  <c r="G23" i="13"/>
  <c r="G24" i="13"/>
  <c r="G26" i="13"/>
  <c r="G27" i="13"/>
  <c r="G28" i="13"/>
  <c r="G29" i="13"/>
  <c r="G30" i="13"/>
  <c r="G31" i="13"/>
  <c r="G32" i="13"/>
  <c r="G33" i="13"/>
  <c r="G34" i="13"/>
  <c r="G35" i="13"/>
  <c r="G36" i="13"/>
  <c r="G37" i="13"/>
  <c r="G38" i="13"/>
  <c r="G39" i="13"/>
  <c r="G40" i="13"/>
  <c r="G41" i="13"/>
  <c r="G42" i="13"/>
  <c r="G43" i="13"/>
  <c r="G44" i="13"/>
  <c r="G45" i="13"/>
  <c r="G46" i="13"/>
  <c r="G47"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4" i="13"/>
  <c r="G85" i="13"/>
  <c r="G86" i="13"/>
  <c r="G87" i="13"/>
  <c r="G89" i="13"/>
  <c r="G90" i="13"/>
  <c r="G91" i="13"/>
  <c r="G92" i="13"/>
  <c r="G93" i="13"/>
  <c r="G94" i="13"/>
  <c r="G95" i="13"/>
  <c r="G96" i="13"/>
  <c r="G97" i="13"/>
  <c r="G98" i="13"/>
  <c r="G99" i="13"/>
  <c r="G100"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9" i="13"/>
  <c r="G252" i="13"/>
  <c r="G253" i="13"/>
  <c r="G254" i="13"/>
  <c r="G256" i="13"/>
  <c r="G257" i="13"/>
  <c r="G258" i="13"/>
  <c r="G259" i="13"/>
  <c r="G260" i="13"/>
  <c r="G262" i="13"/>
  <c r="G264" i="13"/>
  <c r="G265" i="13"/>
  <c r="G266" i="13"/>
  <c r="G267" i="13"/>
  <c r="G269" i="13"/>
  <c r="G270" i="13"/>
  <c r="G271" i="13"/>
  <c r="G272" i="13"/>
  <c r="G273" i="13"/>
  <c r="G274" i="13"/>
  <c r="G275" i="13"/>
  <c r="G276" i="13"/>
  <c r="G277" i="13"/>
  <c r="G278" i="13"/>
  <c r="G279" i="13"/>
  <c r="G280" i="13"/>
  <c r="G281" i="13"/>
  <c r="G282" i="13"/>
  <c r="G283" i="13"/>
  <c r="G284" i="13"/>
  <c r="G285" i="13"/>
  <c r="G287" i="13"/>
  <c r="G288" i="13"/>
  <c r="G289" i="13"/>
  <c r="G290" i="13"/>
  <c r="G291" i="13"/>
  <c r="G292" i="13"/>
  <c r="G293" i="13"/>
  <c r="G294" i="13"/>
  <c r="G295" i="13"/>
  <c r="G296" i="13"/>
  <c r="G297" i="13"/>
  <c r="G298" i="13"/>
  <c r="G299" i="13"/>
  <c r="G300" i="13"/>
  <c r="G301" i="13"/>
  <c r="G302" i="13"/>
  <c r="G303" i="13"/>
  <c r="G305" i="13"/>
  <c r="G306" i="13"/>
  <c r="G309" i="13"/>
  <c r="G312" i="13"/>
  <c r="G313" i="13"/>
  <c r="G314" i="13"/>
  <c r="G315" i="13"/>
  <c r="G316" i="13"/>
  <c r="G317" i="13"/>
  <c r="G318" i="13"/>
  <c r="G319" i="13"/>
  <c r="G320" i="13"/>
  <c r="G321" i="13"/>
  <c r="G322" i="13"/>
  <c r="G323" i="13"/>
  <c r="G325" i="13"/>
  <c r="G326" i="13"/>
  <c r="G327" i="13"/>
  <c r="G328" i="13"/>
  <c r="G329" i="13"/>
  <c r="G330" i="13"/>
  <c r="G331" i="13"/>
  <c r="G334" i="13"/>
  <c r="G335" i="13"/>
  <c r="G337" i="13"/>
  <c r="G338" i="13"/>
  <c r="G340" i="13"/>
  <c r="G342" i="13"/>
  <c r="G343" i="13"/>
  <c r="G344" i="13"/>
  <c r="G345" i="13"/>
  <c r="G346" i="13"/>
  <c r="G347" i="13"/>
  <c r="G348" i="13"/>
  <c r="G352" i="13"/>
  <c r="G353" i="13"/>
  <c r="G354" i="13"/>
  <c r="G356" i="13"/>
  <c r="G357" i="13"/>
  <c r="G358" i="13"/>
  <c r="G359" i="13"/>
  <c r="G360" i="13"/>
  <c r="G361" i="13"/>
  <c r="G362" i="13"/>
  <c r="G363" i="13"/>
  <c r="G364" i="13"/>
  <c r="G365" i="13"/>
  <c r="G366" i="13"/>
  <c r="G367" i="13"/>
  <c r="G368" i="13"/>
  <c r="G369" i="13"/>
  <c r="G370" i="13"/>
  <c r="G371" i="13"/>
  <c r="G372" i="13"/>
  <c r="G373" i="13"/>
  <c r="G374" i="13"/>
  <c r="G375" i="13"/>
  <c r="G376" i="13"/>
  <c r="G377" i="13"/>
  <c r="G378" i="13"/>
  <c r="G379" i="13"/>
  <c r="G380" i="13"/>
  <c r="G381" i="13"/>
  <c r="G382" i="13"/>
  <c r="G383" i="13"/>
  <c r="G384" i="13"/>
  <c r="G385" i="13"/>
  <c r="G386" i="13"/>
  <c r="G387" i="13"/>
  <c r="G388" i="13"/>
  <c r="G389" i="13"/>
  <c r="G390" i="13"/>
  <c r="G391" i="13"/>
  <c r="G392" i="13"/>
  <c r="G393" i="13"/>
  <c r="G394" i="13"/>
  <c r="G395" i="13"/>
  <c r="G396" i="13"/>
  <c r="G397" i="13"/>
  <c r="G398" i="13"/>
  <c r="G399" i="13"/>
  <c r="G400" i="13"/>
  <c r="G401" i="13"/>
  <c r="G407" i="13"/>
  <c r="G408" i="13"/>
  <c r="G409" i="13"/>
  <c r="G410" i="13"/>
  <c r="G411" i="13"/>
  <c r="G412" i="13"/>
  <c r="G413" i="13"/>
  <c r="G414" i="13"/>
  <c r="G415" i="13"/>
  <c r="G416" i="13"/>
  <c r="G417" i="13"/>
  <c r="G418" i="13"/>
  <c r="G419" i="13"/>
  <c r="G420" i="13"/>
  <c r="G421" i="13"/>
  <c r="G422" i="13"/>
  <c r="G423" i="13"/>
  <c r="G424" i="13"/>
  <c r="G425" i="13"/>
  <c r="G426" i="13"/>
  <c r="G427" i="13"/>
  <c r="G428" i="13"/>
  <c r="G429" i="13"/>
  <c r="G430" i="13"/>
  <c r="G431" i="13"/>
  <c r="G432" i="13"/>
  <c r="G433" i="13"/>
  <c r="G434" i="13"/>
  <c r="G435" i="13"/>
  <c r="G436" i="13"/>
  <c r="G437" i="13"/>
  <c r="G438" i="13"/>
  <c r="G439" i="13"/>
  <c r="G440" i="13"/>
  <c r="G441" i="13"/>
  <c r="G442" i="13"/>
  <c r="G443" i="13"/>
  <c r="G444" i="13"/>
  <c r="G445" i="13"/>
  <c r="G446" i="13"/>
  <c r="G447" i="13"/>
  <c r="G448" i="13"/>
  <c r="G449" i="13"/>
  <c r="G450" i="13"/>
  <c r="G451" i="13"/>
  <c r="G452" i="13"/>
  <c r="G453" i="13"/>
  <c r="G454" i="13"/>
  <c r="G455" i="13"/>
  <c r="G456" i="13"/>
  <c r="G457" i="13"/>
  <c r="G458" i="13"/>
  <c r="G459" i="13"/>
  <c r="G460" i="13"/>
  <c r="G461" i="13"/>
  <c r="G462" i="13"/>
  <c r="G463" i="13"/>
  <c r="G464" i="13"/>
  <c r="G465" i="13"/>
  <c r="G466" i="13"/>
  <c r="G467" i="13"/>
  <c r="G468" i="13"/>
  <c r="G469" i="13"/>
  <c r="G470" i="13"/>
  <c r="G471" i="13"/>
  <c r="G472" i="13"/>
  <c r="G473" i="13"/>
  <c r="G474" i="13"/>
  <c r="G475" i="13"/>
  <c r="G476" i="13"/>
  <c r="G477" i="13"/>
  <c r="G478" i="13"/>
  <c r="G479" i="13"/>
  <c r="G480" i="13"/>
  <c r="G481" i="13"/>
  <c r="G482" i="13"/>
  <c r="G483" i="13"/>
  <c r="G484" i="13"/>
  <c r="G488" i="13"/>
  <c r="G489" i="13"/>
  <c r="G490" i="13"/>
  <c r="G491" i="13"/>
  <c r="G492" i="13"/>
  <c r="G493" i="13"/>
  <c r="G494" i="13"/>
  <c r="G496" i="13"/>
  <c r="G497" i="13"/>
  <c r="G498" i="13"/>
  <c r="G499" i="13"/>
  <c r="G500" i="13"/>
  <c r="G501" i="13"/>
  <c r="G502" i="13"/>
  <c r="G503" i="13"/>
  <c r="G504" i="13"/>
  <c r="G505" i="13"/>
  <c r="G506" i="13"/>
  <c r="G507" i="13"/>
  <c r="G508" i="13"/>
  <c r="G509" i="13"/>
  <c r="G510" i="13"/>
  <c r="G511" i="13"/>
  <c r="G512" i="13"/>
  <c r="G513" i="13"/>
  <c r="G514" i="13"/>
  <c r="G515" i="13"/>
  <c r="G516" i="13"/>
  <c r="G517" i="13"/>
  <c r="G518" i="13"/>
  <c r="G519" i="13"/>
  <c r="G520" i="13"/>
  <c r="G521" i="13"/>
  <c r="G522" i="13"/>
  <c r="G523" i="13"/>
  <c r="G524" i="13"/>
  <c r="G525" i="13"/>
  <c r="G526" i="13"/>
  <c r="G527" i="13"/>
  <c r="G528" i="13"/>
  <c r="G529" i="13"/>
  <c r="G530" i="13"/>
  <c r="G531" i="13"/>
  <c r="G532" i="13"/>
  <c r="G533" i="13"/>
  <c r="G534" i="13"/>
  <c r="G535" i="13"/>
  <c r="G536" i="13"/>
  <c r="G537" i="13"/>
  <c r="G540" i="13"/>
  <c r="G541" i="13"/>
  <c r="G542" i="13"/>
  <c r="G543" i="13"/>
  <c r="G544" i="13"/>
  <c r="G545" i="13"/>
  <c r="G546" i="13"/>
  <c r="G547" i="13"/>
  <c r="G548" i="13"/>
  <c r="G549" i="13"/>
  <c r="G550" i="13"/>
  <c r="G551" i="13"/>
  <c r="G552" i="13"/>
  <c r="G553" i="13"/>
  <c r="G554" i="13"/>
  <c r="G555" i="13"/>
  <c r="G556" i="13"/>
  <c r="G557" i="13"/>
  <c r="G558" i="13"/>
  <c r="G559" i="13"/>
  <c r="G560" i="13"/>
  <c r="G561" i="13"/>
  <c r="G562" i="13"/>
  <c r="G563" i="13"/>
  <c r="G1043" i="13"/>
  <c r="G565" i="13"/>
  <c r="G566" i="13"/>
  <c r="G567" i="13"/>
  <c r="G568" i="13"/>
  <c r="G569" i="13"/>
  <c r="G570" i="13"/>
  <c r="G571" i="13"/>
  <c r="G572" i="13"/>
  <c r="G573" i="13"/>
  <c r="G574" i="13"/>
  <c r="G575" i="13"/>
  <c r="G576" i="13"/>
  <c r="G577" i="13"/>
  <c r="G578" i="13"/>
  <c r="G579" i="13"/>
  <c r="G580" i="13"/>
  <c r="G581" i="13"/>
  <c r="G582" i="13"/>
  <c r="G583" i="13"/>
  <c r="G584" i="13"/>
  <c r="G585" i="13"/>
  <c r="G586" i="13"/>
  <c r="G587" i="13"/>
  <c r="G588" i="13"/>
  <c r="G589" i="13"/>
  <c r="G590" i="13"/>
  <c r="G591" i="13"/>
  <c r="G592" i="13"/>
  <c r="G593" i="13"/>
  <c r="G594" i="13"/>
  <c r="G595" i="13"/>
  <c r="G596" i="13"/>
  <c r="G597" i="13"/>
  <c r="G598" i="13"/>
  <c r="G599" i="13"/>
  <c r="G601" i="13"/>
  <c r="G602" i="13"/>
  <c r="G603" i="13"/>
  <c r="G604" i="13"/>
  <c r="G605" i="13"/>
  <c r="G606" i="13"/>
  <c r="G607" i="13"/>
  <c r="G608" i="13"/>
  <c r="G609" i="13"/>
  <c r="G610" i="13"/>
  <c r="G611" i="13"/>
  <c r="G612" i="13"/>
  <c r="G613" i="13"/>
  <c r="G614" i="13"/>
  <c r="G615" i="13"/>
  <c r="G616" i="13"/>
  <c r="G617" i="13"/>
  <c r="G618" i="13"/>
  <c r="G619" i="13"/>
  <c r="G620" i="13"/>
  <c r="G621" i="13"/>
  <c r="G622" i="13"/>
  <c r="G623" i="13"/>
  <c r="G624" i="13"/>
  <c r="G625" i="13"/>
  <c r="G626" i="13"/>
  <c r="G627" i="13"/>
  <c r="G628" i="13"/>
  <c r="G629" i="13"/>
  <c r="G630" i="13"/>
  <c r="G631" i="13"/>
  <c r="G632" i="13"/>
  <c r="G633" i="13"/>
  <c r="G634" i="13"/>
  <c r="G635" i="13"/>
  <c r="G636" i="13"/>
  <c r="G637" i="13"/>
  <c r="G638" i="13"/>
  <c r="G639" i="13"/>
  <c r="G640" i="13"/>
  <c r="G641" i="13"/>
  <c r="G642" i="13"/>
  <c r="G643" i="13"/>
  <c r="G644" i="13"/>
  <c r="G645" i="13"/>
  <c r="G646" i="13"/>
  <c r="G647" i="13"/>
  <c r="G648" i="13"/>
  <c r="G649" i="13"/>
  <c r="G650" i="13"/>
  <c r="G651" i="13"/>
  <c r="G652" i="13"/>
  <c r="G653" i="13"/>
  <c r="G654" i="13"/>
  <c r="G655" i="13"/>
  <c r="G658" i="13"/>
  <c r="G659" i="13"/>
  <c r="G660" i="13"/>
  <c r="G661" i="13"/>
  <c r="G662" i="13"/>
  <c r="G663" i="13"/>
  <c r="G664" i="13"/>
  <c r="G665" i="13"/>
  <c r="G666" i="13"/>
  <c r="G667" i="13"/>
  <c r="G668" i="13"/>
  <c r="G669" i="13"/>
  <c r="G670" i="13"/>
  <c r="G671" i="13"/>
  <c r="G672" i="13"/>
  <c r="G673" i="13"/>
  <c r="G674" i="13"/>
  <c r="G675" i="13"/>
  <c r="G676" i="13"/>
  <c r="G677" i="13"/>
  <c r="G678" i="13"/>
  <c r="G679" i="13"/>
  <c r="G680" i="13"/>
  <c r="G681" i="13"/>
  <c r="G1317" i="13"/>
  <c r="G683" i="13"/>
  <c r="G685" i="13"/>
  <c r="G686" i="13"/>
  <c r="G687" i="13"/>
  <c r="G688" i="13"/>
  <c r="G689" i="13"/>
  <c r="G690" i="13"/>
  <c r="G691" i="13"/>
  <c r="G692" i="13"/>
  <c r="G693" i="13"/>
  <c r="G694" i="13"/>
  <c r="G695" i="13"/>
  <c r="G696" i="13"/>
  <c r="G697" i="13"/>
  <c r="G698" i="13"/>
  <c r="G699" i="13"/>
  <c r="G700" i="13"/>
  <c r="G701" i="13"/>
  <c r="G703" i="13"/>
  <c r="G704" i="13"/>
  <c r="G705" i="13"/>
  <c r="G706" i="13"/>
  <c r="G707" i="13"/>
  <c r="G708" i="13"/>
  <c r="G709" i="13"/>
  <c r="G710" i="13"/>
  <c r="G711" i="13"/>
  <c r="G712" i="13"/>
  <c r="G713" i="13"/>
  <c r="G714" i="13"/>
  <c r="G715" i="13"/>
  <c r="G716" i="13"/>
  <c r="G717" i="13"/>
  <c r="G718" i="13"/>
  <c r="G719" i="13"/>
  <c r="G720" i="13"/>
  <c r="G721" i="13"/>
  <c r="G722" i="13"/>
  <c r="G723" i="13"/>
  <c r="G724" i="13"/>
  <c r="G725" i="13"/>
  <c r="G726" i="13"/>
  <c r="G727" i="13"/>
  <c r="G728" i="13"/>
  <c r="G729" i="13"/>
  <c r="G730" i="13"/>
  <c r="G731" i="13"/>
  <c r="G732" i="13"/>
  <c r="G733" i="13"/>
  <c r="G734" i="13"/>
  <c r="G735" i="13"/>
  <c r="G736" i="13"/>
  <c r="G737" i="13"/>
  <c r="G738" i="13"/>
  <c r="G739" i="13"/>
  <c r="G740" i="13"/>
  <c r="G741" i="13"/>
  <c r="G742" i="13"/>
  <c r="G743" i="13"/>
  <c r="G744" i="13"/>
  <c r="G745" i="13"/>
  <c r="G746" i="13"/>
  <c r="G747" i="13"/>
  <c r="G748" i="13"/>
  <c r="G749" i="13"/>
  <c r="G750" i="13"/>
  <c r="G751" i="13"/>
  <c r="G752" i="13"/>
  <c r="G753" i="13"/>
  <c r="G754" i="13"/>
  <c r="G755" i="13"/>
  <c r="G756" i="13"/>
  <c r="G757" i="13"/>
  <c r="G758" i="13"/>
  <c r="G759" i="13"/>
  <c r="G760" i="13"/>
  <c r="G761" i="13"/>
  <c r="G762" i="13"/>
  <c r="G763" i="13"/>
  <c r="G764" i="13"/>
  <c r="G765" i="13"/>
  <c r="G766" i="13"/>
  <c r="G767" i="13"/>
  <c r="G768" i="13"/>
  <c r="G769" i="13"/>
  <c r="G770" i="13"/>
  <c r="G771" i="13"/>
  <c r="G772" i="13"/>
  <c r="G773" i="13"/>
  <c r="G774" i="13"/>
  <c r="G775" i="13"/>
  <c r="G776" i="13"/>
  <c r="G777" i="13"/>
  <c r="G778" i="13"/>
  <c r="G779" i="13"/>
  <c r="G780" i="13"/>
  <c r="G781" i="13"/>
  <c r="G782" i="13"/>
  <c r="G783" i="13"/>
  <c r="G784" i="13"/>
  <c r="G785" i="13"/>
  <c r="G786" i="13"/>
  <c r="G787" i="13"/>
  <c r="G788" i="13"/>
  <c r="G789" i="13"/>
  <c r="G790" i="13"/>
  <c r="G791" i="13"/>
  <c r="G792" i="13"/>
  <c r="G793" i="13"/>
  <c r="G794" i="13"/>
  <c r="G795" i="13"/>
  <c r="G796" i="13"/>
  <c r="G797" i="13"/>
  <c r="G798" i="13"/>
  <c r="G799" i="13"/>
  <c r="G800" i="13"/>
  <c r="G801" i="13"/>
  <c r="G802" i="13"/>
  <c r="G803" i="13"/>
  <c r="G804" i="13"/>
  <c r="G805" i="13"/>
  <c r="G806" i="13"/>
  <c r="G807" i="13"/>
  <c r="G808" i="13"/>
  <c r="G809" i="13"/>
  <c r="G810" i="13"/>
  <c r="G811" i="13"/>
  <c r="G812" i="13"/>
  <c r="G813" i="13"/>
  <c r="G814" i="13"/>
  <c r="G815" i="13"/>
  <c r="G816" i="13"/>
  <c r="G817" i="13"/>
  <c r="G818" i="13"/>
  <c r="G819" i="13"/>
  <c r="G820" i="13"/>
  <c r="G821" i="13"/>
  <c r="G822" i="13"/>
  <c r="G823" i="13"/>
  <c r="G824" i="13"/>
  <c r="G825" i="13"/>
  <c r="G826" i="13"/>
  <c r="G827" i="13"/>
  <c r="G828" i="13"/>
  <c r="G829" i="13"/>
  <c r="G830" i="13"/>
  <c r="G831" i="13"/>
  <c r="G832" i="13"/>
  <c r="G833" i="13"/>
  <c r="G834" i="13"/>
  <c r="G835" i="13"/>
  <c r="G836" i="13"/>
  <c r="G837" i="13"/>
  <c r="G838" i="13"/>
  <c r="G839" i="13"/>
  <c r="G840" i="13"/>
  <c r="G841" i="13"/>
  <c r="G842" i="13"/>
  <c r="G843" i="13"/>
  <c r="G844" i="13"/>
  <c r="G845" i="13"/>
  <c r="G846" i="13"/>
  <c r="G847" i="13"/>
  <c r="G848" i="13"/>
  <c r="G849" i="13"/>
  <c r="G850" i="13"/>
  <c r="G851" i="13"/>
  <c r="G852" i="13"/>
  <c r="G853" i="13"/>
  <c r="G854" i="13"/>
  <c r="G855" i="13"/>
  <c r="G856" i="13"/>
  <c r="G857" i="13"/>
  <c r="G858" i="13"/>
  <c r="G859" i="13"/>
  <c r="G860" i="13"/>
  <c r="G861" i="13"/>
  <c r="G862" i="13"/>
  <c r="G863" i="13"/>
  <c r="G864" i="13"/>
  <c r="G865" i="13"/>
  <c r="G866" i="13"/>
  <c r="G867" i="13"/>
  <c r="G868" i="13"/>
  <c r="G869" i="13"/>
  <c r="G870" i="13"/>
  <c r="G871" i="13"/>
  <c r="G872" i="13"/>
  <c r="G873" i="13"/>
  <c r="G874" i="13"/>
  <c r="G875" i="13"/>
  <c r="G876" i="13"/>
  <c r="G878" i="13"/>
  <c r="G879" i="13"/>
  <c r="G880" i="13"/>
  <c r="G881" i="13"/>
  <c r="G882" i="13"/>
  <c r="G883" i="13"/>
  <c r="G884" i="13"/>
  <c r="G885" i="13"/>
  <c r="G886" i="13"/>
  <c r="G887" i="13"/>
  <c r="G888" i="13"/>
  <c r="G889" i="13"/>
  <c r="G890" i="13"/>
  <c r="G891" i="13"/>
  <c r="G892" i="13"/>
  <c r="G893" i="13"/>
  <c r="G894" i="13"/>
  <c r="G895" i="13"/>
  <c r="G896" i="13"/>
  <c r="G897" i="13"/>
  <c r="G898" i="13"/>
  <c r="G899" i="13"/>
  <c r="G900" i="13"/>
  <c r="G901" i="13"/>
  <c r="G902" i="13"/>
  <c r="G903" i="13"/>
  <c r="G904" i="13"/>
  <c r="G905" i="13"/>
  <c r="G906" i="13"/>
  <c r="G907" i="13"/>
  <c r="G908" i="13"/>
  <c r="G909" i="13"/>
  <c r="G910" i="13"/>
  <c r="G911" i="13"/>
  <c r="G912" i="13"/>
  <c r="G913" i="13"/>
  <c r="G1172" i="13"/>
  <c r="G915" i="13"/>
  <c r="G916" i="13"/>
  <c r="G917" i="13"/>
  <c r="G918" i="13"/>
  <c r="G919" i="13"/>
  <c r="G920" i="13"/>
  <c r="G921" i="13"/>
  <c r="G922" i="13"/>
  <c r="G923" i="13"/>
  <c r="G924" i="13"/>
  <c r="G925" i="13"/>
  <c r="G926" i="13"/>
  <c r="G927" i="13"/>
  <c r="G928" i="13"/>
  <c r="G929" i="13"/>
  <c r="G930" i="13"/>
  <c r="G931" i="13"/>
  <c r="G932" i="13"/>
  <c r="G933" i="13"/>
  <c r="G934" i="13"/>
  <c r="G935" i="13"/>
  <c r="G936" i="13"/>
  <c r="G937" i="13"/>
  <c r="G938" i="13"/>
  <c r="G939" i="13"/>
  <c r="G940" i="13"/>
  <c r="G941" i="13"/>
  <c r="G942" i="13"/>
  <c r="G943" i="13"/>
  <c r="G944" i="13"/>
  <c r="G945" i="13"/>
  <c r="G946" i="13"/>
  <c r="G947" i="13"/>
  <c r="G948" i="13"/>
  <c r="G949" i="13"/>
  <c r="G950" i="13"/>
  <c r="G951" i="13"/>
  <c r="G952" i="13"/>
  <c r="G953" i="13"/>
  <c r="G954" i="13"/>
  <c r="G955" i="13"/>
  <c r="G956" i="13"/>
  <c r="G957" i="13"/>
  <c r="G958" i="13"/>
  <c r="G959" i="13"/>
  <c r="G960" i="13"/>
  <c r="G961" i="13"/>
  <c r="G962" i="13"/>
  <c r="G963" i="13"/>
  <c r="G964" i="13"/>
  <c r="G965" i="13"/>
  <c r="G966" i="13"/>
  <c r="G967" i="13"/>
  <c r="G968" i="13"/>
  <c r="G969" i="13"/>
  <c r="G970" i="13"/>
  <c r="G971" i="13"/>
  <c r="G972" i="13"/>
  <c r="G973" i="13"/>
  <c r="G974" i="13"/>
  <c r="G975" i="13"/>
  <c r="G976" i="13"/>
  <c r="G977" i="13"/>
  <c r="G978" i="13"/>
  <c r="G979" i="13"/>
  <c r="G980" i="13"/>
  <c r="G981" i="13"/>
  <c r="G982" i="13"/>
  <c r="G983" i="13"/>
  <c r="G984" i="13"/>
  <c r="G985" i="13"/>
  <c r="G986" i="13"/>
  <c r="G987" i="13"/>
  <c r="G988" i="13"/>
  <c r="G989" i="13"/>
  <c r="G990" i="13"/>
  <c r="G991" i="13"/>
  <c r="G992" i="13"/>
  <c r="G993" i="13"/>
  <c r="G994" i="13"/>
  <c r="G996" i="13"/>
  <c r="G997" i="13"/>
  <c r="G998" i="13"/>
  <c r="G999" i="13"/>
  <c r="G1000" i="13"/>
  <c r="B11" i="13"/>
  <c r="D11" i="13" s="1"/>
  <c r="B43" i="8"/>
  <c r="D43" i="8" s="1"/>
  <c r="B44" i="8"/>
  <c r="D44" i="8" s="1"/>
  <c r="B4" i="8"/>
  <c r="D4" i="8" s="1"/>
  <c r="B5" i="8"/>
  <c r="D5" i="8" s="1"/>
  <c r="F1380" i="13" a="1"/>
  <c r="F1326" i="13" a="1"/>
  <c r="F1364" i="13" a="1"/>
  <c r="F1302" i="13" a="1"/>
  <c r="F1307" i="13" a="1"/>
  <c r="F1321" i="13" a="1"/>
  <c r="F1357" i="13" a="1"/>
  <c r="F1312" i="13" a="1"/>
  <c r="F1367" i="13" a="1"/>
  <c r="F1368" i="13" a="1"/>
  <c r="F1305" i="13" a="1"/>
  <c r="F1348" i="13" a="1"/>
  <c r="F1343" i="13" a="1"/>
  <c r="F1376" i="13" a="1"/>
  <c r="F1361" i="13" a="1"/>
  <c r="F1308" i="13" a="1"/>
  <c r="F1316" i="13" a="1"/>
  <c r="F1365" i="13" a="1"/>
  <c r="F1331" i="13" a="1"/>
  <c r="F1327" i="13" a="1"/>
  <c r="F1306" i="13" a="1"/>
  <c r="F1042" i="13" a="1"/>
  <c r="F1323" i="13" a="1"/>
  <c r="F1325" i="13" a="1"/>
  <c r="F1360" i="13" a="1"/>
  <c r="F1344" i="13" a="1"/>
  <c r="F1362" i="13" a="1"/>
  <c r="F1373" i="13" a="1"/>
  <c r="F1354" i="13" a="1"/>
  <c r="F1315" i="13" a="1"/>
  <c r="F1319" i="13" a="1"/>
  <c r="F1374" i="13" a="1"/>
  <c r="F1351" i="13" a="1"/>
  <c r="F1347" i="13" a="1"/>
  <c r="F1334" i="13" a="1"/>
  <c r="F1322" i="13" a="1"/>
  <c r="F1356" i="13" a="1"/>
  <c r="F1190" i="13" a="1"/>
  <c r="F914" i="13" a="1"/>
  <c r="F1352" i="13" a="1"/>
  <c r="F1358" i="13" a="1"/>
  <c r="F1359" i="13" a="1"/>
  <c r="F1369" i="13" a="1"/>
  <c r="F1291" i="13" a="1"/>
  <c r="F1341" i="13" a="1"/>
  <c r="F1363" i="13" a="1"/>
  <c r="F1398" i="13" a="1"/>
  <c r="F1349" i="13" a="1"/>
  <c r="F1371" i="13" a="1"/>
  <c r="F1342" i="13" a="1"/>
  <c r="F1328" i="13" a="1"/>
  <c r="F1309" i="13" a="1"/>
  <c r="F1318" i="13" a="1"/>
  <c r="F1336" i="13" a="1"/>
  <c r="F1329" i="13" a="1"/>
  <c r="F1304" i="13" a="1"/>
  <c r="F1400" i="13" a="1"/>
  <c r="F1350" i="13" a="1"/>
  <c r="F1377" i="13" a="1"/>
  <c r="F1340" i="13" a="1"/>
  <c r="F1310" i="13" a="1"/>
  <c r="F1337" i="13" a="1"/>
  <c r="F1353" i="13" a="1"/>
  <c r="F1324" i="13" a="1"/>
  <c r="F1401" i="13" a="1"/>
  <c r="F1332" i="13" a="1"/>
  <c r="F1339" i="13" a="1"/>
  <c r="F1399" i="13" a="1"/>
  <c r="F1379" i="13" a="1"/>
  <c r="F1370" i="13" a="1"/>
  <c r="F1346" i="13" a="1"/>
  <c r="F1378" i="13" a="1"/>
  <c r="F1375" i="13" a="1"/>
  <c r="F1372" i="13" a="1"/>
  <c r="F1366" i="13" a="1"/>
  <c r="F1320" i="13" a="1"/>
  <c r="F1313" i="13" a="1"/>
  <c r="F1355" i="13" a="1"/>
  <c r="F1314" i="13" a="1"/>
  <c r="F1330" i="13" a="1"/>
  <c r="F1303" i="13" a="1"/>
  <c r="F1345" i="13" a="1"/>
  <c r="F1338" i="13" a="1"/>
  <c r="F1311" i="13" a="1"/>
  <c r="F1291" i="13" l="1"/>
  <c r="F1400" i="13"/>
  <c r="F1399" i="13"/>
  <c r="F1380" i="13"/>
  <c r="F1341" i="13"/>
  <c r="F1358" i="13"/>
  <c r="F1352" i="13"/>
  <c r="F1346" i="13"/>
  <c r="F1340" i="13"/>
  <c r="F1334" i="13"/>
  <c r="F1347" i="13"/>
  <c r="F1359" i="13"/>
  <c r="F1357" i="13"/>
  <c r="F1351" i="13"/>
  <c r="F1345" i="13"/>
  <c r="F1339" i="13"/>
  <c r="F1353" i="13"/>
  <c r="F1042" i="13"/>
  <c r="F1356" i="13"/>
  <c r="F1350" i="13"/>
  <c r="F1344" i="13"/>
  <c r="F1338" i="13"/>
  <c r="F1361" i="13"/>
  <c r="F1355" i="13"/>
  <c r="F1349" i="13"/>
  <c r="F1343" i="13"/>
  <c r="F1337" i="13"/>
  <c r="F1360" i="13"/>
  <c r="F1354" i="13"/>
  <c r="F1348" i="13"/>
  <c r="F1342" i="13"/>
  <c r="F1336" i="13"/>
  <c r="F1371" i="13"/>
  <c r="F1365" i="13"/>
  <c r="F1370" i="13"/>
  <c r="F1364" i="13"/>
  <c r="F1375" i="13"/>
  <c r="F1369" i="13"/>
  <c r="F1363" i="13"/>
  <c r="F1374" i="13"/>
  <c r="F1368" i="13"/>
  <c r="F1362" i="13"/>
  <c r="F1373" i="13"/>
  <c r="F1367" i="13"/>
  <c r="F1372" i="13"/>
  <c r="F1366" i="13"/>
  <c r="F1379" i="13"/>
  <c r="F1378" i="13"/>
  <c r="F1377" i="13"/>
  <c r="F1376" i="13"/>
  <c r="F1401" i="13"/>
  <c r="F1398" i="13"/>
  <c r="F1314" i="13"/>
  <c r="F1308" i="13"/>
  <c r="F1302" i="13"/>
  <c r="F1313" i="13"/>
  <c r="F1307" i="13"/>
  <c r="F1303" i="13"/>
  <c r="F1312" i="13"/>
  <c r="F1306" i="13"/>
  <c r="F1309" i="13"/>
  <c r="F1190" i="13"/>
  <c r="F1311" i="13"/>
  <c r="F1305" i="13"/>
  <c r="F1315" i="13"/>
  <c r="F1316" i="13"/>
  <c r="F1310" i="13"/>
  <c r="F1304" i="13"/>
  <c r="F1321" i="13"/>
  <c r="F1320" i="13"/>
  <c r="F1325" i="13"/>
  <c r="F1319" i="13"/>
  <c r="F1324" i="13"/>
  <c r="F1318" i="13"/>
  <c r="F1323" i="13"/>
  <c r="F1322" i="13"/>
  <c r="F1326" i="13"/>
  <c r="F1329" i="13"/>
  <c r="F1327" i="13"/>
  <c r="F1328" i="13"/>
  <c r="F1331" i="13"/>
  <c r="F1330" i="13"/>
  <c r="F1332" i="13"/>
  <c r="F914" i="13"/>
  <c r="B185" i="11"/>
  <c r="D185" i="11" s="1"/>
  <c r="B186" i="11"/>
  <c r="D186" i="11" s="1"/>
  <c r="B187" i="11"/>
  <c r="D187" i="11" s="1"/>
  <c r="B188" i="11"/>
  <c r="D188" i="11" s="1"/>
  <c r="B189" i="11"/>
  <c r="D189" i="11" s="1"/>
  <c r="B190" i="11"/>
  <c r="D190" i="11" s="1"/>
  <c r="B191" i="11"/>
  <c r="D191" i="11" s="1"/>
  <c r="B192" i="11"/>
  <c r="D192" i="11" s="1"/>
  <c r="B193" i="11"/>
  <c r="D193" i="11" s="1"/>
  <c r="B194" i="11"/>
  <c r="D194" i="11" s="1"/>
  <c r="B195" i="11"/>
  <c r="D195" i="11" s="1"/>
  <c r="B196" i="11"/>
  <c r="D196" i="11" s="1"/>
  <c r="B197" i="11"/>
  <c r="D197" i="11" s="1"/>
  <c r="B198" i="11"/>
  <c r="D198" i="11" s="1"/>
  <c r="B199" i="11"/>
  <c r="D199" i="11" s="1"/>
  <c r="B200" i="11"/>
  <c r="D200" i="11" s="1"/>
  <c r="B201" i="11"/>
  <c r="D201" i="11" s="1"/>
  <c r="B152" i="11"/>
  <c r="D152" i="11" s="1"/>
  <c r="B153" i="11"/>
  <c r="D153" i="11" s="1"/>
  <c r="B154" i="11"/>
  <c r="D154" i="11" s="1"/>
  <c r="B155" i="11"/>
  <c r="D155" i="11" s="1"/>
  <c r="B156" i="11"/>
  <c r="D156" i="11" s="1"/>
  <c r="B157" i="11"/>
  <c r="D157" i="11" s="1"/>
  <c r="B158" i="11"/>
  <c r="D158" i="11" s="1"/>
  <c r="B159" i="11"/>
  <c r="D159" i="11" s="1"/>
  <c r="B160" i="11"/>
  <c r="D160" i="11" s="1"/>
  <c r="B161" i="11"/>
  <c r="D161" i="11" s="1"/>
  <c r="B162" i="11"/>
  <c r="D162" i="11" s="1"/>
  <c r="B163" i="11"/>
  <c r="D163" i="11" s="1"/>
  <c r="B164" i="11"/>
  <c r="D164" i="11" s="1"/>
  <c r="B165" i="11"/>
  <c r="D165" i="11" s="1"/>
  <c r="B166" i="11"/>
  <c r="D166" i="11" s="1"/>
  <c r="B167" i="11"/>
  <c r="D167" i="11" s="1"/>
  <c r="B168" i="11"/>
  <c r="D168" i="11" s="1"/>
  <c r="B169" i="11"/>
  <c r="D169" i="11" s="1"/>
  <c r="B170" i="11"/>
  <c r="D170" i="11" s="1"/>
  <c r="B171" i="11"/>
  <c r="D171" i="11" s="1"/>
  <c r="B172" i="11"/>
  <c r="D172" i="11" s="1"/>
  <c r="B173" i="11"/>
  <c r="D173" i="11" s="1"/>
  <c r="B174" i="11"/>
  <c r="D174" i="11" s="1"/>
  <c r="B175" i="11"/>
  <c r="D175" i="11" s="1"/>
  <c r="B176" i="11"/>
  <c r="D176" i="11" s="1"/>
  <c r="B177" i="11"/>
  <c r="D177" i="11" s="1"/>
  <c r="B178" i="11"/>
  <c r="D178" i="11" s="1"/>
  <c r="B179" i="11"/>
  <c r="D179" i="11" s="1"/>
  <c r="B180" i="11"/>
  <c r="D180" i="11" s="1"/>
  <c r="B181" i="11"/>
  <c r="D181" i="11" s="1"/>
  <c r="B182" i="11"/>
  <c r="D182" i="11" s="1"/>
  <c r="B183" i="11"/>
  <c r="D183" i="11" s="1"/>
  <c r="B184" i="11"/>
  <c r="D184" i="11" s="1"/>
  <c r="B200" i="13"/>
  <c r="D200" i="13" s="1"/>
  <c r="B118" i="11"/>
  <c r="D118" i="11" s="1"/>
  <c r="B152" i="13"/>
  <c r="D152" i="13" s="1"/>
  <c r="B821" i="13"/>
  <c r="D821" i="13" s="1"/>
  <c r="B820" i="13"/>
  <c r="D820" i="13" s="1"/>
  <c r="B819" i="13"/>
  <c r="D819" i="13" s="1"/>
  <c r="B818" i="13"/>
  <c r="D818" i="13" s="1"/>
  <c r="B817" i="13"/>
  <c r="D817" i="13" s="1"/>
  <c r="B816" i="13"/>
  <c r="D816" i="13" s="1"/>
  <c r="B815" i="13"/>
  <c r="D815" i="13" s="1"/>
  <c r="B814" i="13"/>
  <c r="D814" i="13" s="1"/>
  <c r="B813" i="13"/>
  <c r="D813" i="13" s="1"/>
  <c r="B812" i="13"/>
  <c r="D812" i="13" s="1"/>
  <c r="B811" i="13"/>
  <c r="D811" i="13" s="1"/>
  <c r="B810" i="13"/>
  <c r="D810" i="13" s="1"/>
  <c r="B809" i="13"/>
  <c r="D809" i="13" s="1"/>
  <c r="B808" i="13"/>
  <c r="D808" i="13" s="1"/>
  <c r="B807" i="13"/>
  <c r="D807" i="13" s="1"/>
  <c r="B806" i="13"/>
  <c r="D806" i="13" s="1"/>
  <c r="B805" i="13"/>
  <c r="D805" i="13" s="1"/>
  <c r="B804" i="13"/>
  <c r="D804" i="13" s="1"/>
  <c r="B803" i="13"/>
  <c r="D803" i="13" s="1"/>
  <c r="B802" i="13"/>
  <c r="D802" i="13" s="1"/>
  <c r="B801" i="13"/>
  <c r="D801" i="13" s="1"/>
  <c r="B800" i="13"/>
  <c r="D800" i="13" s="1"/>
  <c r="B799" i="13"/>
  <c r="D799" i="13" s="1"/>
  <c r="B798" i="13"/>
  <c r="D798" i="13" s="1"/>
  <c r="B797" i="13"/>
  <c r="D797" i="13" s="1"/>
  <c r="B796" i="13"/>
  <c r="D796" i="13" s="1"/>
  <c r="B795" i="13"/>
  <c r="D795" i="13" s="1"/>
  <c r="B794" i="13"/>
  <c r="D794" i="13" s="1"/>
  <c r="B793" i="13"/>
  <c r="D793" i="13" s="1"/>
  <c r="B792" i="13"/>
  <c r="D792" i="13" s="1"/>
  <c r="B791" i="13"/>
  <c r="D791" i="13" s="1"/>
  <c r="B790" i="13"/>
  <c r="D790" i="13" s="1"/>
  <c r="B789" i="13"/>
  <c r="D789" i="13" s="1"/>
  <c r="B788" i="13"/>
  <c r="D788" i="13" s="1"/>
  <c r="B787" i="13"/>
  <c r="D787" i="13" s="1"/>
  <c r="B786" i="13"/>
  <c r="D786" i="13" s="1"/>
  <c r="B785" i="13"/>
  <c r="D785" i="13" s="1"/>
  <c r="B784" i="13"/>
  <c r="D784" i="13" s="1"/>
  <c r="B783" i="13"/>
  <c r="D783" i="13" s="1"/>
  <c r="B782" i="13"/>
  <c r="D782" i="13" s="1"/>
  <c r="B781" i="13"/>
  <c r="D781" i="13" s="1"/>
  <c r="B780" i="13"/>
  <c r="D780" i="13" s="1"/>
  <c r="B779" i="13"/>
  <c r="D779" i="13" s="1"/>
  <c r="B778" i="13"/>
  <c r="D778" i="13" s="1"/>
  <c r="B777" i="13"/>
  <c r="D777" i="13" s="1"/>
  <c r="B776" i="13"/>
  <c r="D776" i="13" s="1"/>
  <c r="B775" i="13"/>
  <c r="D775" i="13" s="1"/>
  <c r="B774" i="13"/>
  <c r="D774" i="13" s="1"/>
  <c r="B773" i="13"/>
  <c r="D773" i="13" s="1"/>
  <c r="B772" i="13"/>
  <c r="D772" i="13" s="1"/>
  <c r="B771" i="13"/>
  <c r="D771" i="13" s="1"/>
  <c r="B770" i="13"/>
  <c r="D770" i="13" s="1"/>
  <c r="B769" i="13"/>
  <c r="D769" i="13" s="1"/>
  <c r="B768" i="13"/>
  <c r="D768" i="13" s="1"/>
  <c r="B767" i="13"/>
  <c r="D767" i="13" s="1"/>
  <c r="B766" i="13"/>
  <c r="D766" i="13" s="1"/>
  <c r="B765" i="13"/>
  <c r="D765" i="13" s="1"/>
  <c r="B764" i="13"/>
  <c r="D764" i="13" s="1"/>
  <c r="B763" i="13"/>
  <c r="D763" i="13" s="1"/>
  <c r="B762" i="13"/>
  <c r="D762" i="13" s="1"/>
  <c r="B761" i="13"/>
  <c r="D761" i="13" s="1"/>
  <c r="B760" i="13"/>
  <c r="D760" i="13" s="1"/>
  <c r="B759" i="13"/>
  <c r="D759" i="13" s="1"/>
  <c r="B758" i="13"/>
  <c r="D758" i="13" s="1"/>
  <c r="B757" i="13"/>
  <c r="D757" i="13" s="1"/>
  <c r="B756" i="13"/>
  <c r="D756" i="13" s="1"/>
  <c r="B755" i="13"/>
  <c r="D755" i="13" s="1"/>
  <c r="B754" i="13"/>
  <c r="D754" i="13" s="1"/>
  <c r="B753" i="13"/>
  <c r="D753" i="13" s="1"/>
  <c r="B752" i="13"/>
  <c r="D752" i="13" s="1"/>
  <c r="B751" i="13"/>
  <c r="D751" i="13" s="1"/>
  <c r="B750" i="13"/>
  <c r="D750" i="13" s="1"/>
  <c r="B749" i="13"/>
  <c r="D749" i="13" s="1"/>
  <c r="B748" i="13"/>
  <c r="D748" i="13" s="1"/>
  <c r="B747" i="13"/>
  <c r="D747" i="13" s="1"/>
  <c r="B746" i="13"/>
  <c r="D746" i="13" s="1"/>
  <c r="B745" i="13"/>
  <c r="D745" i="13" s="1"/>
  <c r="B744" i="13"/>
  <c r="D744" i="13" s="1"/>
  <c r="B743" i="13"/>
  <c r="D743" i="13" s="1"/>
  <c r="B742" i="13"/>
  <c r="D742" i="13" s="1"/>
  <c r="B741" i="13"/>
  <c r="D741" i="13" s="1"/>
  <c r="B740" i="13"/>
  <c r="D740" i="13" s="1"/>
  <c r="B739" i="13"/>
  <c r="D739" i="13" s="1"/>
  <c r="B738" i="13"/>
  <c r="D738" i="13" s="1"/>
  <c r="B737" i="13"/>
  <c r="D737" i="13" s="1"/>
  <c r="B736" i="13"/>
  <c r="D736" i="13" s="1"/>
  <c r="B735" i="13"/>
  <c r="D735" i="13" s="1"/>
  <c r="B734" i="13"/>
  <c r="D734" i="13" s="1"/>
  <c r="B733" i="13"/>
  <c r="D733" i="13" s="1"/>
  <c r="B732" i="13"/>
  <c r="D732" i="13" s="1"/>
  <c r="B731" i="13"/>
  <c r="D731" i="13" s="1"/>
  <c r="B730" i="13"/>
  <c r="D730" i="13" s="1"/>
  <c r="B729" i="13"/>
  <c r="D729" i="13" s="1"/>
  <c r="B728" i="13"/>
  <c r="D728" i="13" s="1"/>
  <c r="B727" i="13"/>
  <c r="D727" i="13" s="1"/>
  <c r="B726" i="13"/>
  <c r="D726" i="13" s="1"/>
  <c r="B725" i="13"/>
  <c r="D725" i="13" s="1"/>
  <c r="B724" i="13"/>
  <c r="D724" i="13" s="1"/>
  <c r="B723" i="13"/>
  <c r="D723" i="13" s="1"/>
  <c r="B722" i="13"/>
  <c r="D722" i="13" s="1"/>
  <c r="D721" i="13"/>
  <c r="B720" i="13"/>
  <c r="D720" i="13" s="1"/>
  <c r="B719" i="13"/>
  <c r="D719" i="13" s="1"/>
  <c r="B718" i="13"/>
  <c r="D718" i="13" s="1"/>
  <c r="B717" i="13"/>
  <c r="D717" i="13" s="1"/>
  <c r="B716" i="13"/>
  <c r="D716" i="13" s="1"/>
  <c r="B715" i="13"/>
  <c r="D715" i="13" s="1"/>
  <c r="B714" i="13"/>
  <c r="D714" i="13" s="1"/>
  <c r="B713" i="13"/>
  <c r="D713" i="13" s="1"/>
  <c r="B712" i="13"/>
  <c r="D712" i="13" s="1"/>
  <c r="B711" i="13"/>
  <c r="D711" i="13" s="1"/>
  <c r="B710" i="13"/>
  <c r="D710" i="13" s="1"/>
  <c r="B709" i="13"/>
  <c r="D709" i="13" s="1"/>
  <c r="B708" i="13"/>
  <c r="D708" i="13" s="1"/>
  <c r="B707" i="13"/>
  <c r="D707" i="13" s="1"/>
  <c r="B706" i="13"/>
  <c r="D706" i="13" s="1"/>
  <c r="B705" i="13"/>
  <c r="D705" i="13" s="1"/>
  <c r="B704" i="13"/>
  <c r="D704" i="13" s="1"/>
  <c r="B703" i="13"/>
  <c r="D703" i="13" s="1"/>
  <c r="B702" i="13"/>
  <c r="D702" i="13" s="1"/>
  <c r="B701" i="13"/>
  <c r="D701" i="13" s="1"/>
  <c r="B700" i="13"/>
  <c r="D700" i="13" s="1"/>
  <c r="B699" i="13"/>
  <c r="D699" i="13" s="1"/>
  <c r="B698" i="13"/>
  <c r="D698" i="13" s="1"/>
  <c r="B697" i="13"/>
  <c r="D697" i="13" s="1"/>
  <c r="B696" i="13"/>
  <c r="D696" i="13" s="1"/>
  <c r="B695" i="13"/>
  <c r="D695" i="13" s="1"/>
  <c r="B694" i="13"/>
  <c r="D694" i="13" s="1"/>
  <c r="B693" i="13"/>
  <c r="D693" i="13" s="1"/>
  <c r="B692" i="13"/>
  <c r="D692" i="13" s="1"/>
  <c r="B691" i="13"/>
  <c r="D691" i="13" s="1"/>
  <c r="B690" i="13"/>
  <c r="D690" i="13" s="1"/>
  <c r="B689" i="13"/>
  <c r="D689" i="13" s="1"/>
  <c r="B688" i="13"/>
  <c r="D688" i="13" s="1"/>
  <c r="B687" i="13"/>
  <c r="D687" i="13" s="1"/>
  <c r="B686" i="13"/>
  <c r="D686" i="13" s="1"/>
  <c r="B685" i="13"/>
  <c r="D685" i="13" s="1"/>
  <c r="B684" i="13"/>
  <c r="D684" i="13" s="1"/>
  <c r="B683" i="13"/>
  <c r="D683" i="13" s="1"/>
  <c r="B1317" i="13"/>
  <c r="D1317" i="13" s="1"/>
  <c r="B681" i="13"/>
  <c r="D681" i="13" s="1"/>
  <c r="B680" i="13"/>
  <c r="D680" i="13" s="1"/>
  <c r="B679" i="13"/>
  <c r="D679" i="13" s="1"/>
  <c r="B678" i="13"/>
  <c r="D678" i="13" s="1"/>
  <c r="B677" i="13"/>
  <c r="D677" i="13" s="1"/>
  <c r="B676" i="13"/>
  <c r="D676" i="13" s="1"/>
  <c r="B675" i="13"/>
  <c r="D675" i="13" s="1"/>
  <c r="B674" i="13"/>
  <c r="D674" i="13" s="1"/>
  <c r="B673" i="13"/>
  <c r="D673" i="13" s="1"/>
  <c r="B672" i="13"/>
  <c r="D672" i="13" s="1"/>
  <c r="B671" i="13"/>
  <c r="D671" i="13" s="1"/>
  <c r="B670" i="13"/>
  <c r="D670" i="13" s="1"/>
  <c r="B669" i="13"/>
  <c r="D669" i="13" s="1"/>
  <c r="B668" i="13"/>
  <c r="D668" i="13" s="1"/>
  <c r="B667" i="13"/>
  <c r="D667" i="13" s="1"/>
  <c r="B666" i="13"/>
  <c r="D666" i="13" s="1"/>
  <c r="B665" i="13"/>
  <c r="D665" i="13" s="1"/>
  <c r="B664" i="13"/>
  <c r="D664" i="13" s="1"/>
  <c r="B663" i="13"/>
  <c r="D663" i="13" s="1"/>
  <c r="B662" i="13"/>
  <c r="D662" i="13" s="1"/>
  <c r="B661" i="13"/>
  <c r="D661" i="13" s="1"/>
  <c r="B660" i="13"/>
  <c r="D660" i="13" s="1"/>
  <c r="B659" i="13"/>
  <c r="D659" i="13" s="1"/>
  <c r="B658" i="13"/>
  <c r="D658" i="13" s="1"/>
  <c r="B657" i="13"/>
  <c r="D657" i="13" s="1"/>
  <c r="B656" i="13"/>
  <c r="D656" i="13" s="1"/>
  <c r="B655" i="13"/>
  <c r="D655" i="13" s="1"/>
  <c r="B654" i="13"/>
  <c r="D654" i="13" s="1"/>
  <c r="B653" i="13"/>
  <c r="D653" i="13" s="1"/>
  <c r="B652" i="13"/>
  <c r="D652" i="13" s="1"/>
  <c r="B651" i="13"/>
  <c r="D651" i="13" s="1"/>
  <c r="B650" i="13"/>
  <c r="D650" i="13" s="1"/>
  <c r="B649" i="13"/>
  <c r="D649" i="13" s="1"/>
  <c r="B648" i="13"/>
  <c r="D648" i="13" s="1"/>
  <c r="B647" i="13"/>
  <c r="D647" i="13" s="1"/>
  <c r="B646" i="13"/>
  <c r="D646" i="13" s="1"/>
  <c r="B645" i="13"/>
  <c r="D645" i="13" s="1"/>
  <c r="B644" i="13"/>
  <c r="D644" i="13" s="1"/>
  <c r="B643" i="13"/>
  <c r="D643" i="13" s="1"/>
  <c r="B642" i="13"/>
  <c r="D642" i="13" s="1"/>
  <c r="B641" i="13"/>
  <c r="D641" i="13" s="1"/>
  <c r="B640" i="13"/>
  <c r="D640" i="13" s="1"/>
  <c r="B639" i="13"/>
  <c r="D639" i="13" s="1"/>
  <c r="B638" i="13"/>
  <c r="D638" i="13" s="1"/>
  <c r="B637" i="13"/>
  <c r="D637" i="13" s="1"/>
  <c r="B636" i="13"/>
  <c r="D636" i="13" s="1"/>
  <c r="B635" i="13"/>
  <c r="D635" i="13" s="1"/>
  <c r="B634" i="13"/>
  <c r="D634" i="13" s="1"/>
  <c r="B633" i="13"/>
  <c r="D633" i="13" s="1"/>
  <c r="B632" i="13"/>
  <c r="D632" i="13" s="1"/>
  <c r="B631" i="13"/>
  <c r="D631" i="13" s="1"/>
  <c r="B630" i="13"/>
  <c r="D630" i="13" s="1"/>
  <c r="B629" i="13"/>
  <c r="D629" i="13" s="1"/>
  <c r="B628" i="13"/>
  <c r="D628" i="13" s="1"/>
  <c r="B627" i="13"/>
  <c r="D627" i="13" s="1"/>
  <c r="B626" i="13"/>
  <c r="D626" i="13" s="1"/>
  <c r="B625" i="13"/>
  <c r="D625" i="13" s="1"/>
  <c r="B624" i="13"/>
  <c r="D624" i="13" s="1"/>
  <c r="B623" i="13"/>
  <c r="D623" i="13" s="1"/>
  <c r="B622" i="13"/>
  <c r="D622" i="13" s="1"/>
  <c r="B621" i="13"/>
  <c r="D621" i="13" s="1"/>
  <c r="B620" i="13"/>
  <c r="D620" i="13" s="1"/>
  <c r="B619" i="13"/>
  <c r="D619" i="13" s="1"/>
  <c r="B618" i="13"/>
  <c r="D618" i="13" s="1"/>
  <c r="B617" i="13"/>
  <c r="D617" i="13" s="1"/>
  <c r="B616" i="13"/>
  <c r="D616" i="13" s="1"/>
  <c r="B615" i="13"/>
  <c r="D615" i="13" s="1"/>
  <c r="B614" i="13"/>
  <c r="D614" i="13" s="1"/>
  <c r="B613" i="13"/>
  <c r="D613" i="13" s="1"/>
  <c r="B612" i="13"/>
  <c r="D612" i="13" s="1"/>
  <c r="B611" i="13"/>
  <c r="D611" i="13" s="1"/>
  <c r="B610" i="13"/>
  <c r="D610" i="13" s="1"/>
  <c r="B609" i="13"/>
  <c r="D609" i="13" s="1"/>
  <c r="B608" i="13"/>
  <c r="D608" i="13" s="1"/>
  <c r="D607" i="13"/>
  <c r="B606" i="13"/>
  <c r="D606" i="13" s="1"/>
  <c r="B605" i="13"/>
  <c r="D605" i="13" s="1"/>
  <c r="B604" i="13"/>
  <c r="D604" i="13" s="1"/>
  <c r="B603" i="13"/>
  <c r="D603" i="13" s="1"/>
  <c r="B602" i="13"/>
  <c r="D602" i="13" s="1"/>
  <c r="B601" i="13"/>
  <c r="D601" i="13" s="1"/>
  <c r="B600" i="13"/>
  <c r="D600" i="13" s="1"/>
  <c r="B599" i="13"/>
  <c r="D599" i="13" s="1"/>
  <c r="B598" i="13"/>
  <c r="D598" i="13" s="1"/>
  <c r="B597" i="13"/>
  <c r="D597" i="13" s="1"/>
  <c r="B596" i="13"/>
  <c r="D596" i="13" s="1"/>
  <c r="B595" i="13"/>
  <c r="D595" i="13" s="1"/>
  <c r="B594" i="13"/>
  <c r="D594" i="13" s="1"/>
  <c r="B593" i="13"/>
  <c r="D593" i="13" s="1"/>
  <c r="B592" i="13"/>
  <c r="D592" i="13" s="1"/>
  <c r="B591" i="13"/>
  <c r="D591" i="13" s="1"/>
  <c r="B590" i="13"/>
  <c r="D590" i="13" s="1"/>
  <c r="B589" i="13"/>
  <c r="D589" i="13" s="1"/>
  <c r="B588" i="13"/>
  <c r="D588" i="13" s="1"/>
  <c r="B587" i="13"/>
  <c r="D587" i="13" s="1"/>
  <c r="B586" i="13"/>
  <c r="D586" i="13" s="1"/>
  <c r="B585" i="13"/>
  <c r="D585" i="13" s="1"/>
  <c r="B584" i="13"/>
  <c r="D584" i="13" s="1"/>
  <c r="B583" i="13"/>
  <c r="D583" i="13" s="1"/>
  <c r="B582" i="13"/>
  <c r="D582" i="13" s="1"/>
  <c r="B581" i="13"/>
  <c r="D581" i="13" s="1"/>
  <c r="B580" i="13"/>
  <c r="D580" i="13" s="1"/>
  <c r="B579" i="13"/>
  <c r="D579" i="13" s="1"/>
  <c r="B578" i="13"/>
  <c r="D578" i="13" s="1"/>
  <c r="B577" i="13"/>
  <c r="D577" i="13" s="1"/>
  <c r="B576" i="13"/>
  <c r="D576" i="13" s="1"/>
  <c r="D575" i="13"/>
  <c r="B574" i="13"/>
  <c r="D574" i="13" s="1"/>
  <c r="B573" i="13"/>
  <c r="D573" i="13" s="1"/>
  <c r="B572" i="13"/>
  <c r="D572" i="13" s="1"/>
  <c r="B571" i="13"/>
  <c r="D571" i="13" s="1"/>
  <c r="B570" i="13"/>
  <c r="D570" i="13" s="1"/>
  <c r="B569" i="13"/>
  <c r="D569" i="13" s="1"/>
  <c r="B568" i="13"/>
  <c r="D568" i="13" s="1"/>
  <c r="B567" i="13"/>
  <c r="D567" i="13" s="1"/>
  <c r="B566" i="13"/>
  <c r="D566" i="13" s="1"/>
  <c r="B565" i="13"/>
  <c r="D565" i="13" s="1"/>
  <c r="B1043" i="13"/>
  <c r="D1043" i="13" s="1"/>
  <c r="B563" i="13"/>
  <c r="D563" i="13" s="1"/>
  <c r="B562" i="13"/>
  <c r="D562" i="13" s="1"/>
  <c r="B561" i="13"/>
  <c r="D561" i="13" s="1"/>
  <c r="B560" i="13"/>
  <c r="D560" i="13" s="1"/>
  <c r="B559" i="13"/>
  <c r="D559" i="13" s="1"/>
  <c r="B558" i="13"/>
  <c r="D558" i="13" s="1"/>
  <c r="B557" i="13"/>
  <c r="D557" i="13" s="1"/>
  <c r="B556" i="13"/>
  <c r="D556" i="13" s="1"/>
  <c r="B555" i="13"/>
  <c r="D555" i="13" s="1"/>
  <c r="B554" i="13"/>
  <c r="D554" i="13" s="1"/>
  <c r="B553" i="13"/>
  <c r="D553" i="13" s="1"/>
  <c r="B552" i="13"/>
  <c r="D552" i="13" s="1"/>
  <c r="B551" i="13"/>
  <c r="D551" i="13" s="1"/>
  <c r="B550" i="13"/>
  <c r="D550" i="13" s="1"/>
  <c r="B549" i="13"/>
  <c r="D549" i="13" s="1"/>
  <c r="B548" i="13"/>
  <c r="D548" i="13" s="1"/>
  <c r="B547" i="13"/>
  <c r="D547" i="13" s="1"/>
  <c r="B546" i="13"/>
  <c r="D546" i="13" s="1"/>
  <c r="B545" i="13"/>
  <c r="D545" i="13" s="1"/>
  <c r="B544" i="13"/>
  <c r="D544" i="13" s="1"/>
  <c r="B543" i="13"/>
  <c r="D543" i="13" s="1"/>
  <c r="B542" i="13"/>
  <c r="D542" i="13" s="1"/>
  <c r="B541" i="13"/>
  <c r="D541" i="13" s="1"/>
  <c r="B540" i="13"/>
  <c r="D540" i="13" s="1"/>
  <c r="B539" i="13"/>
  <c r="D539" i="13" s="1"/>
  <c r="B538" i="13"/>
  <c r="D538" i="13" s="1"/>
  <c r="B537" i="13"/>
  <c r="D537" i="13" s="1"/>
  <c r="B536" i="13"/>
  <c r="D536" i="13" s="1"/>
  <c r="B535" i="13"/>
  <c r="D535" i="13" s="1"/>
  <c r="B534" i="13"/>
  <c r="D534" i="13" s="1"/>
  <c r="B533" i="13"/>
  <c r="D533" i="13" s="1"/>
  <c r="B532" i="13"/>
  <c r="D532" i="13" s="1"/>
  <c r="B531" i="13"/>
  <c r="D531" i="13" s="1"/>
  <c r="B530" i="13"/>
  <c r="D530" i="13" s="1"/>
  <c r="B529" i="13"/>
  <c r="D529" i="13" s="1"/>
  <c r="B528" i="13"/>
  <c r="D528" i="13" s="1"/>
  <c r="B527" i="13"/>
  <c r="D527" i="13" s="1"/>
  <c r="B526" i="13"/>
  <c r="D526" i="13" s="1"/>
  <c r="B525" i="13"/>
  <c r="D525" i="13" s="1"/>
  <c r="B524" i="13"/>
  <c r="D524" i="13" s="1"/>
  <c r="B523" i="13"/>
  <c r="D523" i="13" s="1"/>
  <c r="B522" i="13"/>
  <c r="D522" i="13" s="1"/>
  <c r="B521" i="13"/>
  <c r="D521" i="13" s="1"/>
  <c r="B520" i="13"/>
  <c r="D520" i="13" s="1"/>
  <c r="D519" i="13"/>
  <c r="B518" i="13"/>
  <c r="D518" i="13" s="1"/>
  <c r="B517" i="13"/>
  <c r="D517" i="13" s="1"/>
  <c r="B516" i="13"/>
  <c r="D516" i="13" s="1"/>
  <c r="B515" i="13"/>
  <c r="D515" i="13" s="1"/>
  <c r="B514" i="13"/>
  <c r="D514" i="13" s="1"/>
  <c r="B513" i="13"/>
  <c r="D513" i="13" s="1"/>
  <c r="B512" i="13"/>
  <c r="D512" i="13" s="1"/>
  <c r="B511" i="13"/>
  <c r="D511" i="13" s="1"/>
  <c r="B510" i="13"/>
  <c r="D510" i="13" s="1"/>
  <c r="B509" i="13"/>
  <c r="D509" i="13" s="1"/>
  <c r="B508" i="13"/>
  <c r="D508" i="13" s="1"/>
  <c r="B507" i="13"/>
  <c r="D507" i="13" s="1"/>
  <c r="B506" i="13"/>
  <c r="D506" i="13" s="1"/>
  <c r="B505" i="13"/>
  <c r="D505" i="13" s="1"/>
  <c r="B504" i="13"/>
  <c r="D504" i="13" s="1"/>
  <c r="B503" i="13"/>
  <c r="D503" i="13" s="1"/>
  <c r="B502" i="13"/>
  <c r="D502" i="13" s="1"/>
  <c r="B501" i="13"/>
  <c r="D501" i="13" s="1"/>
  <c r="B500" i="13"/>
  <c r="D500" i="13" s="1"/>
  <c r="B499" i="13"/>
  <c r="D499" i="13" s="1"/>
  <c r="B498" i="13"/>
  <c r="D498" i="13" s="1"/>
  <c r="B497" i="13"/>
  <c r="D497" i="13" s="1"/>
  <c r="B496" i="13"/>
  <c r="D496" i="13" s="1"/>
  <c r="B495" i="13"/>
  <c r="D495" i="13" s="1"/>
  <c r="B494" i="13"/>
  <c r="D494" i="13" s="1"/>
  <c r="B493" i="13"/>
  <c r="D493" i="13" s="1"/>
  <c r="B492" i="13"/>
  <c r="D492" i="13" s="1"/>
  <c r="B491" i="13"/>
  <c r="D491" i="13" s="1"/>
  <c r="B490" i="13"/>
  <c r="D490" i="13" s="1"/>
  <c r="B489" i="13"/>
  <c r="D489" i="13" s="1"/>
  <c r="D488" i="13"/>
  <c r="D487" i="13"/>
  <c r="B486" i="13"/>
  <c r="D486" i="13" s="1"/>
  <c r="B485" i="13"/>
  <c r="D485" i="13" s="1"/>
  <c r="B484" i="13"/>
  <c r="D484" i="13" s="1"/>
  <c r="B483" i="13"/>
  <c r="D483" i="13" s="1"/>
  <c r="B482" i="13"/>
  <c r="D482" i="13" s="1"/>
  <c r="B481" i="13"/>
  <c r="D481" i="13" s="1"/>
  <c r="B480" i="13"/>
  <c r="D480" i="13" s="1"/>
  <c r="B479" i="13"/>
  <c r="D479" i="13" s="1"/>
  <c r="B478" i="13"/>
  <c r="D478" i="13" s="1"/>
  <c r="B477" i="13"/>
  <c r="D477" i="13" s="1"/>
  <c r="B476" i="13"/>
  <c r="D476" i="13" s="1"/>
  <c r="B475" i="13"/>
  <c r="D475" i="13" s="1"/>
  <c r="B474" i="13"/>
  <c r="D474" i="13" s="1"/>
  <c r="B473" i="13"/>
  <c r="D473" i="13" s="1"/>
  <c r="B472" i="13"/>
  <c r="D472" i="13" s="1"/>
  <c r="B471" i="13"/>
  <c r="D471" i="13" s="1"/>
  <c r="B470" i="13"/>
  <c r="D470" i="13" s="1"/>
  <c r="B469" i="13"/>
  <c r="D469" i="13" s="1"/>
  <c r="B468" i="13"/>
  <c r="D468" i="13" s="1"/>
  <c r="B467" i="13"/>
  <c r="D467" i="13" s="1"/>
  <c r="B466" i="13"/>
  <c r="D466" i="13" s="1"/>
  <c r="B465" i="13"/>
  <c r="D465" i="13" s="1"/>
  <c r="B464" i="13"/>
  <c r="D464" i="13" s="1"/>
  <c r="B463" i="13"/>
  <c r="D463" i="13" s="1"/>
  <c r="B462" i="13"/>
  <c r="D462" i="13" s="1"/>
  <c r="B461" i="13"/>
  <c r="D461" i="13" s="1"/>
  <c r="B460" i="13"/>
  <c r="D460" i="13" s="1"/>
  <c r="B459" i="13"/>
  <c r="D459" i="13" s="1"/>
  <c r="B458" i="13"/>
  <c r="D458" i="13" s="1"/>
  <c r="B457" i="13"/>
  <c r="D457" i="13" s="1"/>
  <c r="B456" i="13"/>
  <c r="D456" i="13" s="1"/>
  <c r="B455" i="13"/>
  <c r="D455" i="13" s="1"/>
  <c r="B454" i="13"/>
  <c r="D454" i="13" s="1"/>
  <c r="B453" i="13"/>
  <c r="D453" i="13" s="1"/>
  <c r="B452" i="13"/>
  <c r="D452" i="13" s="1"/>
  <c r="B451" i="13"/>
  <c r="D451" i="13" s="1"/>
  <c r="B450" i="13"/>
  <c r="D450" i="13" s="1"/>
  <c r="B449" i="13"/>
  <c r="D449" i="13" s="1"/>
  <c r="B448" i="13"/>
  <c r="D448" i="13" s="1"/>
  <c r="B447" i="13"/>
  <c r="D447" i="13" s="1"/>
  <c r="B446" i="13"/>
  <c r="D446" i="13" s="1"/>
  <c r="B445" i="13"/>
  <c r="D445" i="13" s="1"/>
  <c r="B444" i="13"/>
  <c r="D444" i="13" s="1"/>
  <c r="B443" i="13"/>
  <c r="D443" i="13" s="1"/>
  <c r="B442" i="13"/>
  <c r="D442" i="13" s="1"/>
  <c r="B441" i="13"/>
  <c r="D441" i="13" s="1"/>
  <c r="B440" i="13"/>
  <c r="D440" i="13" s="1"/>
  <c r="B439" i="13"/>
  <c r="D439" i="13" s="1"/>
  <c r="B438" i="13"/>
  <c r="D438" i="13" s="1"/>
  <c r="B437" i="13"/>
  <c r="D437" i="13" s="1"/>
  <c r="B436" i="13"/>
  <c r="D436" i="13" s="1"/>
  <c r="B435" i="13"/>
  <c r="D435" i="13" s="1"/>
  <c r="B434" i="13"/>
  <c r="D434" i="13" s="1"/>
  <c r="B433" i="13"/>
  <c r="D433" i="13" s="1"/>
  <c r="B432" i="13"/>
  <c r="D432" i="13" s="1"/>
  <c r="D431" i="13"/>
  <c r="B430" i="13"/>
  <c r="D430" i="13" s="1"/>
  <c r="B429" i="13"/>
  <c r="D429" i="13" s="1"/>
  <c r="B428" i="13"/>
  <c r="D428" i="13" s="1"/>
  <c r="B427" i="13"/>
  <c r="D427" i="13" s="1"/>
  <c r="B426" i="13"/>
  <c r="D426" i="13" s="1"/>
  <c r="B425" i="13"/>
  <c r="D425" i="13" s="1"/>
  <c r="B424" i="13"/>
  <c r="D424" i="13" s="1"/>
  <c r="B423" i="13"/>
  <c r="D423" i="13" s="1"/>
  <c r="B422" i="13"/>
  <c r="D422" i="13" s="1"/>
  <c r="B421" i="13"/>
  <c r="D421" i="13" s="1"/>
  <c r="B420" i="13"/>
  <c r="D420" i="13" s="1"/>
  <c r="B419" i="13"/>
  <c r="D419" i="13" s="1"/>
  <c r="B418" i="13"/>
  <c r="D418" i="13" s="1"/>
  <c r="B417" i="13"/>
  <c r="D417" i="13" s="1"/>
  <c r="B416" i="13"/>
  <c r="D416" i="13" s="1"/>
  <c r="B415" i="13"/>
  <c r="D415" i="13" s="1"/>
  <c r="B414" i="13"/>
  <c r="D414" i="13" s="1"/>
  <c r="B413" i="13"/>
  <c r="D413" i="13" s="1"/>
  <c r="B412" i="13"/>
  <c r="D412" i="13" s="1"/>
  <c r="B411" i="13"/>
  <c r="D411" i="13" s="1"/>
  <c r="B410" i="13"/>
  <c r="D410" i="13" s="1"/>
  <c r="D409" i="13"/>
  <c r="D408" i="13"/>
  <c r="D407" i="13"/>
  <c r="B406" i="13"/>
  <c r="D406" i="13" s="1"/>
  <c r="B405" i="13"/>
  <c r="D405" i="13" s="1"/>
  <c r="B404" i="13"/>
  <c r="D404" i="13" s="1"/>
  <c r="B403" i="13"/>
  <c r="D403" i="13" s="1"/>
  <c r="B402" i="13"/>
  <c r="D402" i="13" s="1"/>
  <c r="B401" i="13"/>
  <c r="D401" i="13" s="1"/>
  <c r="B400" i="13"/>
  <c r="D400" i="13" s="1"/>
  <c r="B399" i="13"/>
  <c r="D399" i="13" s="1"/>
  <c r="B398" i="13"/>
  <c r="D398" i="13" s="1"/>
  <c r="B397" i="13"/>
  <c r="D397" i="13" s="1"/>
  <c r="B396" i="13"/>
  <c r="D396" i="13" s="1"/>
  <c r="B395" i="13"/>
  <c r="D395" i="13" s="1"/>
  <c r="B394" i="13"/>
  <c r="D394" i="13" s="1"/>
  <c r="B393" i="13"/>
  <c r="D393" i="13" s="1"/>
  <c r="B392" i="13"/>
  <c r="D392" i="13" s="1"/>
  <c r="B391" i="13"/>
  <c r="D391" i="13" s="1"/>
  <c r="B390" i="13"/>
  <c r="D390" i="13" s="1"/>
  <c r="B389" i="13"/>
  <c r="D389" i="13" s="1"/>
  <c r="B388" i="13"/>
  <c r="D388" i="13" s="1"/>
  <c r="B387" i="13"/>
  <c r="D387" i="13" s="1"/>
  <c r="B386" i="13"/>
  <c r="D386" i="13" s="1"/>
  <c r="B385" i="13"/>
  <c r="D385" i="13" s="1"/>
  <c r="B383" i="13"/>
  <c r="D383" i="13" s="1"/>
  <c r="B382" i="13"/>
  <c r="D382" i="13" s="1"/>
  <c r="B381" i="13"/>
  <c r="D381" i="13" s="1"/>
  <c r="B380" i="13"/>
  <c r="D380" i="13" s="1"/>
  <c r="B379" i="13"/>
  <c r="D379" i="13" s="1"/>
  <c r="B378" i="13"/>
  <c r="D378" i="13" s="1"/>
  <c r="B377" i="13"/>
  <c r="D377" i="13" s="1"/>
  <c r="B376" i="13"/>
  <c r="D376" i="13" s="1"/>
  <c r="B375" i="13"/>
  <c r="D375" i="13" s="1"/>
  <c r="B374" i="13"/>
  <c r="D374" i="13" s="1"/>
  <c r="B373" i="13"/>
  <c r="D373" i="13" s="1"/>
  <c r="B372" i="13"/>
  <c r="D372" i="13" s="1"/>
  <c r="B371" i="13"/>
  <c r="D371" i="13" s="1"/>
  <c r="B370" i="13"/>
  <c r="D370" i="13" s="1"/>
  <c r="B369" i="13"/>
  <c r="D369" i="13" s="1"/>
  <c r="B368" i="13"/>
  <c r="D368" i="13" s="1"/>
  <c r="B367" i="13"/>
  <c r="D367" i="13" s="1"/>
  <c r="B366" i="13"/>
  <c r="D366" i="13" s="1"/>
  <c r="B365" i="13"/>
  <c r="D365" i="13" s="1"/>
  <c r="B364" i="13"/>
  <c r="D364" i="13" s="1"/>
  <c r="B363" i="13"/>
  <c r="D363" i="13" s="1"/>
  <c r="B362" i="13"/>
  <c r="D362" i="13" s="1"/>
  <c r="B361" i="13"/>
  <c r="D361" i="13" s="1"/>
  <c r="B360" i="13"/>
  <c r="D360" i="13" s="1"/>
  <c r="B359" i="13"/>
  <c r="D359" i="13" s="1"/>
  <c r="B358" i="13"/>
  <c r="D358" i="13" s="1"/>
  <c r="B357" i="13"/>
  <c r="D357" i="13" s="1"/>
  <c r="B356" i="13"/>
  <c r="D356" i="13" s="1"/>
  <c r="B355" i="13"/>
  <c r="D355" i="13" s="1"/>
  <c r="B354" i="13"/>
  <c r="D354" i="13" s="1"/>
  <c r="B353" i="13"/>
  <c r="D353" i="13" s="1"/>
  <c r="B352" i="13"/>
  <c r="D352" i="13" s="1"/>
  <c r="B351" i="13"/>
  <c r="D351" i="13" s="1"/>
  <c r="B350" i="13"/>
  <c r="D350" i="13" s="1"/>
  <c r="B349" i="13"/>
  <c r="D349" i="13" s="1"/>
  <c r="B348" i="13"/>
  <c r="D348" i="13" s="1"/>
  <c r="B347" i="13"/>
  <c r="D347" i="13" s="1"/>
  <c r="B346" i="13"/>
  <c r="D346" i="13" s="1"/>
  <c r="B345" i="13"/>
  <c r="D345" i="13" s="1"/>
  <c r="B344" i="13"/>
  <c r="D344" i="13" s="1"/>
  <c r="B343" i="13"/>
  <c r="D343" i="13" s="1"/>
  <c r="B342" i="13"/>
  <c r="D342" i="13" s="1"/>
  <c r="B341" i="13"/>
  <c r="D341" i="13" s="1"/>
  <c r="B340" i="13"/>
  <c r="D340" i="13" s="1"/>
  <c r="B339" i="13"/>
  <c r="D339" i="13" s="1"/>
  <c r="B338" i="13"/>
  <c r="D338" i="13" s="1"/>
  <c r="B337" i="13"/>
  <c r="D337" i="13" s="1"/>
  <c r="B336" i="13"/>
  <c r="D336" i="13" s="1"/>
  <c r="B335" i="13"/>
  <c r="D335" i="13" s="1"/>
  <c r="B334" i="13"/>
  <c r="D334" i="13" s="1"/>
  <c r="B333" i="13"/>
  <c r="D333" i="13" s="1"/>
  <c r="B332" i="13"/>
  <c r="D332" i="13" s="1"/>
  <c r="B331" i="13"/>
  <c r="D331" i="13" s="1"/>
  <c r="B330" i="13"/>
  <c r="D330" i="13" s="1"/>
  <c r="B329" i="13"/>
  <c r="D329" i="13" s="1"/>
  <c r="B328" i="13"/>
  <c r="D328" i="13" s="1"/>
  <c r="B327" i="13"/>
  <c r="D327" i="13" s="1"/>
  <c r="B326" i="13"/>
  <c r="D326" i="13" s="1"/>
  <c r="B325" i="13"/>
  <c r="D325" i="13" s="1"/>
  <c r="B324" i="13"/>
  <c r="D324" i="13" s="1"/>
  <c r="B323" i="13"/>
  <c r="D323" i="13" s="1"/>
  <c r="B322" i="13"/>
  <c r="D322" i="13" s="1"/>
  <c r="B321" i="13"/>
  <c r="D321" i="13" s="1"/>
  <c r="B320" i="13"/>
  <c r="D320" i="13" s="1"/>
  <c r="B319" i="13"/>
  <c r="D319" i="13" s="1"/>
  <c r="B318" i="13"/>
  <c r="D318" i="13" s="1"/>
  <c r="B317" i="13"/>
  <c r="D317" i="13" s="1"/>
  <c r="B316" i="13"/>
  <c r="D316" i="13" s="1"/>
  <c r="B315" i="13"/>
  <c r="D315" i="13" s="1"/>
  <c r="B314" i="13"/>
  <c r="D314" i="13" s="1"/>
  <c r="B313" i="13"/>
  <c r="D313" i="13" s="1"/>
  <c r="B312" i="13"/>
  <c r="D312" i="13" s="1"/>
  <c r="B311" i="13"/>
  <c r="D311" i="13" s="1"/>
  <c r="B310" i="13"/>
  <c r="D310" i="13" s="1"/>
  <c r="B309" i="13"/>
  <c r="D309" i="13" s="1"/>
  <c r="B308" i="13"/>
  <c r="D308" i="13" s="1"/>
  <c r="B307" i="13"/>
  <c r="D307" i="13" s="1"/>
  <c r="B306" i="13"/>
  <c r="D306" i="13" s="1"/>
  <c r="B305" i="13"/>
  <c r="D305" i="13" s="1"/>
  <c r="B304" i="13"/>
  <c r="D304" i="13" s="1"/>
  <c r="B303" i="13"/>
  <c r="D303" i="13" s="1"/>
  <c r="B302" i="13"/>
  <c r="D302" i="13" s="1"/>
  <c r="B301" i="13"/>
  <c r="D301" i="13" s="1"/>
  <c r="D300" i="13"/>
  <c r="B299" i="13"/>
  <c r="D299" i="13" s="1"/>
  <c r="B298" i="13"/>
  <c r="D298" i="13" s="1"/>
  <c r="B297" i="13"/>
  <c r="D297" i="13" s="1"/>
  <c r="B296" i="13"/>
  <c r="D296" i="13" s="1"/>
  <c r="B295" i="13"/>
  <c r="D295" i="13" s="1"/>
  <c r="B294" i="13"/>
  <c r="D294" i="13" s="1"/>
  <c r="B293" i="13"/>
  <c r="D293" i="13" s="1"/>
  <c r="B292" i="13"/>
  <c r="D292" i="13" s="1"/>
  <c r="B291" i="13"/>
  <c r="D291" i="13" s="1"/>
  <c r="B290" i="13"/>
  <c r="D290" i="13" s="1"/>
  <c r="B289" i="13"/>
  <c r="D289" i="13" s="1"/>
  <c r="B288" i="13"/>
  <c r="D288" i="13" s="1"/>
  <c r="B287" i="13"/>
  <c r="D287" i="13" s="1"/>
  <c r="B286" i="13"/>
  <c r="D286" i="13" s="1"/>
  <c r="B285" i="13"/>
  <c r="D285" i="13" s="1"/>
  <c r="B284" i="13"/>
  <c r="D284" i="13" s="1"/>
  <c r="B283" i="13"/>
  <c r="D283" i="13" s="1"/>
  <c r="B282" i="13"/>
  <c r="D282" i="13" s="1"/>
  <c r="B281" i="13"/>
  <c r="D281" i="13" s="1"/>
  <c r="B280" i="13"/>
  <c r="D280" i="13" s="1"/>
  <c r="B279" i="13"/>
  <c r="D279" i="13" s="1"/>
  <c r="B278" i="13"/>
  <c r="D278" i="13" s="1"/>
  <c r="B277" i="13"/>
  <c r="D277" i="13" s="1"/>
  <c r="B276" i="13"/>
  <c r="D276" i="13" s="1"/>
  <c r="B275" i="13"/>
  <c r="D275" i="13" s="1"/>
  <c r="B274" i="13"/>
  <c r="D274" i="13" s="1"/>
  <c r="B273" i="13"/>
  <c r="D273" i="13" s="1"/>
  <c r="B272" i="13"/>
  <c r="D272" i="13" s="1"/>
  <c r="B271" i="13"/>
  <c r="D271" i="13" s="1"/>
  <c r="B270" i="13"/>
  <c r="D270" i="13" s="1"/>
  <c r="B269" i="13"/>
  <c r="D269" i="13" s="1"/>
  <c r="B268" i="13"/>
  <c r="D268" i="13" s="1"/>
  <c r="B267" i="13"/>
  <c r="D267" i="13" s="1"/>
  <c r="B266" i="13"/>
  <c r="D266" i="13" s="1"/>
  <c r="B265" i="13"/>
  <c r="D265" i="13" s="1"/>
  <c r="B264" i="13"/>
  <c r="D264" i="13" s="1"/>
  <c r="B263" i="13"/>
  <c r="D263" i="13" s="1"/>
  <c r="B262" i="13"/>
  <c r="D262" i="13" s="1"/>
  <c r="B261" i="13"/>
  <c r="D261" i="13" s="1"/>
  <c r="B260" i="13"/>
  <c r="D260" i="13" s="1"/>
  <c r="B259" i="13"/>
  <c r="D259" i="13" s="1"/>
  <c r="B258" i="13"/>
  <c r="D258" i="13" s="1"/>
  <c r="B257" i="13"/>
  <c r="D257" i="13" s="1"/>
  <c r="B256" i="13"/>
  <c r="D256" i="13" s="1"/>
  <c r="B255" i="13"/>
  <c r="D255" i="13" s="1"/>
  <c r="B254" i="13"/>
  <c r="D254" i="13" s="1"/>
  <c r="B253" i="13"/>
  <c r="D253" i="13" s="1"/>
  <c r="D252" i="13"/>
  <c r="B251" i="13"/>
  <c r="D251" i="13" s="1"/>
  <c r="B250" i="13"/>
  <c r="D250" i="13" s="1"/>
  <c r="B249" i="13"/>
  <c r="D249" i="13" s="1"/>
  <c r="B248" i="13"/>
  <c r="D248" i="13" s="1"/>
  <c r="B247" i="13"/>
  <c r="D247" i="13" s="1"/>
  <c r="B246" i="13"/>
  <c r="D246" i="13" s="1"/>
  <c r="B245" i="13"/>
  <c r="D245" i="13" s="1"/>
  <c r="B244" i="13"/>
  <c r="D244" i="13" s="1"/>
  <c r="B243" i="13"/>
  <c r="D243" i="13" s="1"/>
  <c r="B242" i="13"/>
  <c r="D242" i="13" s="1"/>
  <c r="B241" i="13"/>
  <c r="D241" i="13" s="1"/>
  <c r="B240" i="13"/>
  <c r="D240" i="13" s="1"/>
  <c r="B239" i="13"/>
  <c r="D239" i="13" s="1"/>
  <c r="B238" i="13"/>
  <c r="D238" i="13" s="1"/>
  <c r="B237" i="13"/>
  <c r="D237" i="13" s="1"/>
  <c r="B236" i="13"/>
  <c r="D236" i="13" s="1"/>
  <c r="B235" i="13"/>
  <c r="D235" i="13" s="1"/>
  <c r="B234" i="13"/>
  <c r="D234" i="13" s="1"/>
  <c r="B233" i="13"/>
  <c r="D233" i="13" s="1"/>
  <c r="B232" i="13"/>
  <c r="D232" i="13" s="1"/>
  <c r="B231" i="13"/>
  <c r="D231" i="13" s="1"/>
  <c r="B230" i="13"/>
  <c r="D230" i="13" s="1"/>
  <c r="B229" i="13"/>
  <c r="D229" i="13" s="1"/>
  <c r="B228" i="13"/>
  <c r="D228" i="13" s="1"/>
  <c r="B227" i="13"/>
  <c r="D227" i="13" s="1"/>
  <c r="B226" i="13"/>
  <c r="D226" i="13" s="1"/>
  <c r="B225" i="13"/>
  <c r="D225" i="13" s="1"/>
  <c r="B224" i="13"/>
  <c r="D224" i="13" s="1"/>
  <c r="B223" i="13"/>
  <c r="D223" i="13" s="1"/>
  <c r="B222" i="13"/>
  <c r="D222" i="13" s="1"/>
  <c r="B221" i="13"/>
  <c r="D221" i="13" s="1"/>
  <c r="B220" i="13"/>
  <c r="D220" i="13" s="1"/>
  <c r="B219" i="13"/>
  <c r="D219" i="13" s="1"/>
  <c r="B218" i="13"/>
  <c r="D218" i="13" s="1"/>
  <c r="B217" i="13"/>
  <c r="D217" i="13" s="1"/>
  <c r="B216" i="13"/>
  <c r="D216" i="13" s="1"/>
  <c r="B215" i="13"/>
  <c r="D215" i="13" s="1"/>
  <c r="B214" i="13"/>
  <c r="D214" i="13" s="1"/>
  <c r="B213" i="13"/>
  <c r="D213" i="13" s="1"/>
  <c r="B212" i="13"/>
  <c r="D212" i="13" s="1"/>
  <c r="B211" i="13"/>
  <c r="D211" i="13" s="1"/>
  <c r="B210" i="13"/>
  <c r="D210" i="13" s="1"/>
  <c r="B209" i="13"/>
  <c r="D209" i="13" s="1"/>
  <c r="B208" i="13"/>
  <c r="D208" i="13" s="1"/>
  <c r="B207" i="13"/>
  <c r="D207" i="13" s="1"/>
  <c r="B206" i="13"/>
  <c r="D206" i="13" s="1"/>
  <c r="B205" i="13"/>
  <c r="D205" i="13" s="1"/>
  <c r="B204" i="13"/>
  <c r="D204" i="13" s="1"/>
  <c r="B203" i="13"/>
  <c r="D203" i="13" s="1"/>
  <c r="B202" i="13"/>
  <c r="D202" i="13" s="1"/>
  <c r="B201" i="13"/>
  <c r="D201" i="13" s="1"/>
  <c r="B199" i="13"/>
  <c r="D199" i="13" s="1"/>
  <c r="B198" i="13"/>
  <c r="D198" i="13" s="1"/>
  <c r="B197" i="13"/>
  <c r="D197" i="13" s="1"/>
  <c r="B196" i="13"/>
  <c r="D196" i="13" s="1"/>
  <c r="B195" i="13"/>
  <c r="D195" i="13" s="1"/>
  <c r="B194" i="13"/>
  <c r="D194" i="13" s="1"/>
  <c r="B193" i="13"/>
  <c r="D193" i="13" s="1"/>
  <c r="B192" i="13"/>
  <c r="D192" i="13" s="1"/>
  <c r="B191" i="13"/>
  <c r="D191" i="13" s="1"/>
  <c r="B190" i="13"/>
  <c r="D190" i="13" s="1"/>
  <c r="B189" i="13"/>
  <c r="D189" i="13" s="1"/>
  <c r="B188" i="13"/>
  <c r="D188" i="13" s="1"/>
  <c r="B187" i="13"/>
  <c r="D187" i="13" s="1"/>
  <c r="B186" i="13"/>
  <c r="D186" i="13" s="1"/>
  <c r="B185" i="13"/>
  <c r="D185" i="13" s="1"/>
  <c r="B184" i="13"/>
  <c r="D184" i="13" s="1"/>
  <c r="B183" i="13"/>
  <c r="D183" i="13" s="1"/>
  <c r="B182" i="13"/>
  <c r="D182" i="13" s="1"/>
  <c r="B181" i="13"/>
  <c r="D181" i="13" s="1"/>
  <c r="B180" i="13"/>
  <c r="D180" i="13" s="1"/>
  <c r="B179" i="13"/>
  <c r="D179" i="13" s="1"/>
  <c r="B178" i="13"/>
  <c r="D178" i="13" s="1"/>
  <c r="B177" i="13"/>
  <c r="D177" i="13" s="1"/>
  <c r="B176" i="13"/>
  <c r="D176" i="13" s="1"/>
  <c r="B175" i="13"/>
  <c r="D175" i="13" s="1"/>
  <c r="B174" i="13"/>
  <c r="D174" i="13" s="1"/>
  <c r="B173" i="13"/>
  <c r="D173" i="13" s="1"/>
  <c r="B172" i="13"/>
  <c r="D172" i="13" s="1"/>
  <c r="B171" i="13"/>
  <c r="D171" i="13" s="1"/>
  <c r="B170" i="13"/>
  <c r="D170" i="13" s="1"/>
  <c r="B169" i="13"/>
  <c r="D169" i="13" s="1"/>
  <c r="B168" i="13"/>
  <c r="D168" i="13" s="1"/>
  <c r="B167" i="13"/>
  <c r="D167" i="13" s="1"/>
  <c r="B166" i="13"/>
  <c r="D166" i="13" s="1"/>
  <c r="B165" i="13"/>
  <c r="D165" i="13" s="1"/>
  <c r="B164" i="13"/>
  <c r="D164" i="13" s="1"/>
  <c r="B163" i="13"/>
  <c r="D163" i="13" s="1"/>
  <c r="B162" i="13"/>
  <c r="D162" i="13" s="1"/>
  <c r="B161" i="13"/>
  <c r="D161" i="13" s="1"/>
  <c r="B160" i="13"/>
  <c r="D160" i="13" s="1"/>
  <c r="B159" i="13"/>
  <c r="D159" i="13" s="1"/>
  <c r="B158" i="13"/>
  <c r="D158" i="13" s="1"/>
  <c r="B157" i="13"/>
  <c r="D157" i="13" s="1"/>
  <c r="B156" i="13"/>
  <c r="D156" i="13" s="1"/>
  <c r="B155" i="13"/>
  <c r="D155" i="13" s="1"/>
  <c r="B154" i="13"/>
  <c r="D154" i="13" s="1"/>
  <c r="B153" i="13"/>
  <c r="D153" i="13" s="1"/>
  <c r="B151" i="13"/>
  <c r="D151" i="13" s="1"/>
  <c r="B150" i="13"/>
  <c r="D150" i="13" s="1"/>
  <c r="B149" i="13"/>
  <c r="D149" i="13" s="1"/>
  <c r="B148" i="13"/>
  <c r="D148" i="13" s="1"/>
  <c r="B147" i="13"/>
  <c r="D147" i="13" s="1"/>
  <c r="B146" i="13"/>
  <c r="D146" i="13" s="1"/>
  <c r="B145" i="13"/>
  <c r="D145" i="13" s="1"/>
  <c r="B144" i="13"/>
  <c r="D144" i="13" s="1"/>
  <c r="B143" i="13"/>
  <c r="D143" i="13" s="1"/>
  <c r="B142" i="13"/>
  <c r="D142" i="13" s="1"/>
  <c r="B141" i="13"/>
  <c r="D141" i="13" s="1"/>
  <c r="B140" i="13"/>
  <c r="D140" i="13" s="1"/>
  <c r="B139" i="13"/>
  <c r="D139" i="13" s="1"/>
  <c r="B138" i="13"/>
  <c r="D138" i="13" s="1"/>
  <c r="B137" i="13"/>
  <c r="D137" i="13" s="1"/>
  <c r="B136" i="13"/>
  <c r="D136" i="13" s="1"/>
  <c r="B135" i="13"/>
  <c r="D135" i="13" s="1"/>
  <c r="B134" i="13"/>
  <c r="D134" i="13" s="1"/>
  <c r="B133" i="13"/>
  <c r="D133" i="13" s="1"/>
  <c r="B132" i="13"/>
  <c r="D132" i="13" s="1"/>
  <c r="B131" i="13"/>
  <c r="D131" i="13" s="1"/>
  <c r="B130" i="13"/>
  <c r="D130" i="13" s="1"/>
  <c r="B129" i="13"/>
  <c r="D129" i="13" s="1"/>
  <c r="B128" i="13"/>
  <c r="D128" i="13" s="1"/>
  <c r="B127" i="13"/>
  <c r="D127" i="13" s="1"/>
  <c r="B126" i="13"/>
  <c r="D126" i="13" s="1"/>
  <c r="B125" i="13"/>
  <c r="D125" i="13" s="1"/>
  <c r="B124" i="13"/>
  <c r="D124" i="13" s="1"/>
  <c r="B123" i="13"/>
  <c r="D123" i="13" s="1"/>
  <c r="B122" i="13"/>
  <c r="D122" i="13" s="1"/>
  <c r="B121" i="13"/>
  <c r="D121" i="13" s="1"/>
  <c r="B120" i="13"/>
  <c r="D120" i="13" s="1"/>
  <c r="B119" i="13"/>
  <c r="D119" i="13" s="1"/>
  <c r="B118" i="13"/>
  <c r="D118" i="13" s="1"/>
  <c r="B117" i="13"/>
  <c r="D117" i="13" s="1"/>
  <c r="B116" i="13"/>
  <c r="D116" i="13" s="1"/>
  <c r="B115" i="13"/>
  <c r="D115" i="13" s="1"/>
  <c r="B114" i="13"/>
  <c r="D114" i="13" s="1"/>
  <c r="B113" i="13"/>
  <c r="D113" i="13" s="1"/>
  <c r="B112" i="13"/>
  <c r="D112" i="13" s="1"/>
  <c r="B111" i="13"/>
  <c r="D111" i="13" s="1"/>
  <c r="B110" i="13"/>
  <c r="D110" i="13" s="1"/>
  <c r="B109" i="13"/>
  <c r="D109" i="13" s="1"/>
  <c r="B108" i="13"/>
  <c r="D108" i="13" s="1"/>
  <c r="B107" i="13"/>
  <c r="D107" i="13" s="1"/>
  <c r="B106" i="13"/>
  <c r="D106" i="13" s="1"/>
  <c r="B105" i="13"/>
  <c r="D105" i="13" s="1"/>
  <c r="B104" i="13"/>
  <c r="D104" i="13" s="1"/>
  <c r="B103" i="13"/>
  <c r="D103" i="13" s="1"/>
  <c r="B102" i="13"/>
  <c r="D102" i="13" s="1"/>
  <c r="B101" i="13"/>
  <c r="D101" i="13" s="1"/>
  <c r="B100" i="13"/>
  <c r="D100" i="13" s="1"/>
  <c r="B99" i="13"/>
  <c r="D99" i="13" s="1"/>
  <c r="B98" i="13"/>
  <c r="D98" i="13" s="1"/>
  <c r="B97" i="13"/>
  <c r="D97" i="13" s="1"/>
  <c r="B96" i="13"/>
  <c r="D96" i="13" s="1"/>
  <c r="B95" i="13"/>
  <c r="D95" i="13" s="1"/>
  <c r="B94" i="13"/>
  <c r="D94" i="13" s="1"/>
  <c r="B93" i="13"/>
  <c r="D93" i="13" s="1"/>
  <c r="B92" i="13"/>
  <c r="D92" i="13" s="1"/>
  <c r="B91" i="13"/>
  <c r="D91" i="13" s="1"/>
  <c r="B90" i="13"/>
  <c r="D90" i="13" s="1"/>
  <c r="B89" i="13"/>
  <c r="D89" i="13" s="1"/>
  <c r="B88" i="13"/>
  <c r="D88" i="13" s="1"/>
  <c r="B87" i="13"/>
  <c r="D87" i="13" s="1"/>
  <c r="B86" i="13"/>
  <c r="D86" i="13" s="1"/>
  <c r="B85" i="13"/>
  <c r="D85" i="13" s="1"/>
  <c r="B84" i="13"/>
  <c r="D84" i="13" s="1"/>
  <c r="B83" i="13"/>
  <c r="D83" i="13" s="1"/>
  <c r="B82" i="13"/>
  <c r="D82" i="13" s="1"/>
  <c r="B81" i="13"/>
  <c r="D81" i="13" s="1"/>
  <c r="B80" i="13"/>
  <c r="D80" i="13" s="1"/>
  <c r="B79" i="13"/>
  <c r="D79" i="13" s="1"/>
  <c r="B78" i="13"/>
  <c r="D78" i="13" s="1"/>
  <c r="B77" i="13"/>
  <c r="D77" i="13" s="1"/>
  <c r="B76" i="13"/>
  <c r="D76" i="13" s="1"/>
  <c r="B75" i="13"/>
  <c r="D75" i="13" s="1"/>
  <c r="B74" i="13"/>
  <c r="D74" i="13" s="1"/>
  <c r="B73" i="13"/>
  <c r="D73" i="13" s="1"/>
  <c r="B72" i="13"/>
  <c r="D72" i="13" s="1"/>
  <c r="B71" i="13"/>
  <c r="D71" i="13" s="1"/>
  <c r="B70" i="13"/>
  <c r="D70" i="13" s="1"/>
  <c r="B69" i="13"/>
  <c r="D69" i="13" s="1"/>
  <c r="B68" i="13"/>
  <c r="D68" i="13" s="1"/>
  <c r="B67" i="13"/>
  <c r="D67" i="13" s="1"/>
  <c r="B66" i="13"/>
  <c r="D66" i="13" s="1"/>
  <c r="B65" i="13"/>
  <c r="D65" i="13" s="1"/>
  <c r="B64" i="13"/>
  <c r="D64" i="13" s="1"/>
  <c r="B63" i="13"/>
  <c r="D63" i="13" s="1"/>
  <c r="B62" i="13"/>
  <c r="D62" i="13" s="1"/>
  <c r="B61" i="13"/>
  <c r="D61" i="13" s="1"/>
  <c r="B60" i="13"/>
  <c r="D60" i="13" s="1"/>
  <c r="B59" i="13"/>
  <c r="D59" i="13" s="1"/>
  <c r="B58" i="13"/>
  <c r="D58" i="13" s="1"/>
  <c r="B57" i="13"/>
  <c r="D57" i="13" s="1"/>
  <c r="B56" i="13"/>
  <c r="D56" i="13" s="1"/>
  <c r="B55" i="13"/>
  <c r="D55" i="13" s="1"/>
  <c r="B54" i="13"/>
  <c r="D54" i="13" s="1"/>
  <c r="B53" i="13"/>
  <c r="D53" i="13" s="1"/>
  <c r="B52" i="13"/>
  <c r="D52" i="13" s="1"/>
  <c r="B51" i="13"/>
  <c r="D51" i="13" s="1"/>
  <c r="D50" i="13"/>
  <c r="B49" i="13"/>
  <c r="D49" i="13" s="1"/>
  <c r="B48" i="13"/>
  <c r="D48" i="13" s="1"/>
  <c r="B47" i="13"/>
  <c r="D47" i="13" s="1"/>
  <c r="B46" i="13"/>
  <c r="D46" i="13" s="1"/>
  <c r="B45" i="13"/>
  <c r="D45" i="13" s="1"/>
  <c r="B44" i="13"/>
  <c r="D44" i="13" s="1"/>
  <c r="B43" i="13"/>
  <c r="D43" i="13" s="1"/>
  <c r="B42" i="13"/>
  <c r="D42" i="13" s="1"/>
  <c r="B41" i="13"/>
  <c r="D41" i="13" s="1"/>
  <c r="B40" i="13"/>
  <c r="D40" i="13" s="1"/>
  <c r="B39" i="13"/>
  <c r="D39" i="13" s="1"/>
  <c r="B38" i="13"/>
  <c r="D38" i="13" s="1"/>
  <c r="B37" i="13"/>
  <c r="D37" i="13" s="1"/>
  <c r="B36" i="13"/>
  <c r="D36" i="13" s="1"/>
  <c r="B35" i="13"/>
  <c r="D35" i="13" s="1"/>
  <c r="B34" i="13"/>
  <c r="D34" i="13" s="1"/>
  <c r="B33" i="13"/>
  <c r="D33" i="13" s="1"/>
  <c r="B32" i="13"/>
  <c r="D32" i="13" s="1"/>
  <c r="B31" i="13"/>
  <c r="D31" i="13" s="1"/>
  <c r="B30" i="13"/>
  <c r="D30" i="13" s="1"/>
  <c r="B29" i="13"/>
  <c r="D29" i="13" s="1"/>
  <c r="B28" i="13"/>
  <c r="D28" i="13" s="1"/>
  <c r="B27" i="13"/>
  <c r="D27" i="13" s="1"/>
  <c r="B26" i="13"/>
  <c r="D26" i="13" s="1"/>
  <c r="B25" i="13"/>
  <c r="D25" i="13" s="1"/>
  <c r="B24" i="13"/>
  <c r="D24" i="13" s="1"/>
  <c r="B23" i="13"/>
  <c r="D23" i="13" s="1"/>
  <c r="B22" i="13"/>
  <c r="D22" i="13" s="1"/>
  <c r="B21" i="13"/>
  <c r="D21" i="13" s="1"/>
  <c r="B20" i="13"/>
  <c r="D20" i="13" s="1"/>
  <c r="B19" i="13"/>
  <c r="D19" i="13" s="1"/>
  <c r="B18" i="13"/>
  <c r="D18" i="13" s="1"/>
  <c r="B17" i="13"/>
  <c r="D17" i="13" s="1"/>
  <c r="B16" i="13"/>
  <c r="D16" i="13" s="1"/>
  <c r="B15" i="13"/>
  <c r="D15" i="13" s="1"/>
  <c r="B14" i="13"/>
  <c r="D14" i="13" s="1"/>
  <c r="B13" i="13"/>
  <c r="D13" i="13" s="1"/>
  <c r="B12" i="13"/>
  <c r="D12" i="13" s="1"/>
  <c r="D9" i="13"/>
  <c r="B8" i="13"/>
  <c r="D8" i="13" s="1"/>
  <c r="B7" i="13"/>
  <c r="D7" i="13" s="1"/>
  <c r="B6" i="13"/>
  <c r="D6" i="13" s="1"/>
  <c r="B5" i="13"/>
  <c r="D5" i="13" s="1"/>
  <c r="B4" i="13"/>
  <c r="D4" i="13" s="1"/>
  <c r="B3" i="13"/>
  <c r="D3" i="13" s="1"/>
  <c r="B2" i="13"/>
  <c r="D2" i="13" s="1"/>
  <c r="B9" i="11"/>
  <c r="D9" i="11" s="1"/>
  <c r="B61" i="11"/>
  <c r="D61" i="11" s="1"/>
  <c r="B62" i="11"/>
  <c r="D62" i="11" s="1"/>
  <c r="B127" i="11"/>
  <c r="D127" i="11" s="1"/>
  <c r="B124" i="11"/>
  <c r="D124" i="11" s="1"/>
  <c r="B35" i="8"/>
  <c r="D35" i="8" s="1"/>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B151" i="12"/>
  <c r="D151" i="12" s="1"/>
  <c r="B150" i="12"/>
  <c r="D150" i="12" s="1"/>
  <c r="B149" i="12"/>
  <c r="D149" i="12" s="1"/>
  <c r="B148" i="12"/>
  <c r="D148" i="12" s="1"/>
  <c r="B147" i="12"/>
  <c r="D147" i="12" s="1"/>
  <c r="B146" i="12"/>
  <c r="D146" i="12" s="1"/>
  <c r="B145" i="12"/>
  <c r="D145" i="12" s="1"/>
  <c r="B144" i="12"/>
  <c r="D144" i="12" s="1"/>
  <c r="B143" i="12"/>
  <c r="D143" i="12" s="1"/>
  <c r="B142" i="12"/>
  <c r="D142" i="12" s="1"/>
  <c r="B141" i="12"/>
  <c r="D141" i="12" s="1"/>
  <c r="B140" i="12"/>
  <c r="D140" i="12" s="1"/>
  <c r="B139" i="12"/>
  <c r="D139" i="12" s="1"/>
  <c r="B138" i="12"/>
  <c r="D138" i="12" s="1"/>
  <c r="B137" i="12"/>
  <c r="D137" i="12" s="1"/>
  <c r="B136" i="12"/>
  <c r="D136" i="12" s="1"/>
  <c r="B135" i="12"/>
  <c r="D135" i="12" s="1"/>
  <c r="B134" i="12"/>
  <c r="D134" i="12" s="1"/>
  <c r="B133" i="12"/>
  <c r="D133" i="12" s="1"/>
  <c r="B132" i="12"/>
  <c r="D132" i="12" s="1"/>
  <c r="B131" i="12"/>
  <c r="D131" i="12" s="1"/>
  <c r="B130" i="12"/>
  <c r="D130" i="12" s="1"/>
  <c r="B129" i="12"/>
  <c r="D129" i="12" s="1"/>
  <c r="B128" i="12"/>
  <c r="D128" i="12" s="1"/>
  <c r="B127" i="12"/>
  <c r="D127" i="12" s="1"/>
  <c r="B126" i="12"/>
  <c r="D126" i="12" s="1"/>
  <c r="B125" i="12"/>
  <c r="D125" i="12" s="1"/>
  <c r="B124" i="12"/>
  <c r="D124" i="12" s="1"/>
  <c r="B123" i="12"/>
  <c r="D123" i="12" s="1"/>
  <c r="B122" i="12"/>
  <c r="D122" i="12" s="1"/>
  <c r="B121" i="12"/>
  <c r="D121" i="12" s="1"/>
  <c r="B120" i="12"/>
  <c r="D120" i="12" s="1"/>
  <c r="B119" i="12"/>
  <c r="D119" i="12" s="1"/>
  <c r="B118" i="12"/>
  <c r="D118" i="12" s="1"/>
  <c r="B117" i="12"/>
  <c r="D117" i="12" s="1"/>
  <c r="B116" i="12"/>
  <c r="D116" i="12" s="1"/>
  <c r="B115" i="12"/>
  <c r="D115" i="12" s="1"/>
  <c r="B114" i="12"/>
  <c r="D114" i="12" s="1"/>
  <c r="B113" i="12"/>
  <c r="D113" i="12" s="1"/>
  <c r="B112" i="12"/>
  <c r="D112" i="12" s="1"/>
  <c r="B111" i="12"/>
  <c r="D111" i="12" s="1"/>
  <c r="B110" i="12"/>
  <c r="D110" i="12" s="1"/>
  <c r="B109" i="12"/>
  <c r="D109" i="12" s="1"/>
  <c r="B108" i="12"/>
  <c r="D108" i="12" s="1"/>
  <c r="B107" i="12"/>
  <c r="D107" i="12" s="1"/>
  <c r="B106" i="12"/>
  <c r="D106" i="12" s="1"/>
  <c r="B105" i="12"/>
  <c r="D105" i="12" s="1"/>
  <c r="B104" i="12"/>
  <c r="D104" i="12" s="1"/>
  <c r="B103" i="12"/>
  <c r="D103" i="12" s="1"/>
  <c r="B102" i="12"/>
  <c r="D102" i="12" s="1"/>
  <c r="B101" i="12"/>
  <c r="D101" i="12" s="1"/>
  <c r="B100" i="12"/>
  <c r="D100" i="12" s="1"/>
  <c r="B99" i="12"/>
  <c r="D99" i="12" s="1"/>
  <c r="B98" i="12"/>
  <c r="D98" i="12" s="1"/>
  <c r="B97" i="12"/>
  <c r="D97" i="12" s="1"/>
  <c r="B96" i="12"/>
  <c r="D96" i="12" s="1"/>
  <c r="B95" i="12"/>
  <c r="D95" i="12" s="1"/>
  <c r="B94" i="12"/>
  <c r="D94" i="12" s="1"/>
  <c r="B93" i="12"/>
  <c r="D93" i="12" s="1"/>
  <c r="B92" i="12"/>
  <c r="D92" i="12" s="1"/>
  <c r="B91" i="12"/>
  <c r="D91" i="12" s="1"/>
  <c r="B90" i="12"/>
  <c r="D90" i="12" s="1"/>
  <c r="B89" i="12"/>
  <c r="D89" i="12" s="1"/>
  <c r="B88" i="12"/>
  <c r="D88" i="12" s="1"/>
  <c r="B87" i="12"/>
  <c r="D87" i="12" s="1"/>
  <c r="B86" i="12"/>
  <c r="D86" i="12" s="1"/>
  <c r="B85" i="12"/>
  <c r="D85" i="12" s="1"/>
  <c r="B84" i="12"/>
  <c r="D84" i="12" s="1"/>
  <c r="B83" i="12"/>
  <c r="D83" i="12" s="1"/>
  <c r="B82" i="12"/>
  <c r="D82" i="12" s="1"/>
  <c r="B81" i="12"/>
  <c r="D81" i="12" s="1"/>
  <c r="B80" i="12"/>
  <c r="D80" i="12" s="1"/>
  <c r="B79" i="12"/>
  <c r="D79" i="12" s="1"/>
  <c r="B78" i="12"/>
  <c r="D78" i="12" s="1"/>
  <c r="B77" i="12"/>
  <c r="D77" i="12" s="1"/>
  <c r="B76" i="12"/>
  <c r="D76" i="12" s="1"/>
  <c r="B75" i="12"/>
  <c r="D75" i="12" s="1"/>
  <c r="B74" i="12"/>
  <c r="D74" i="12" s="1"/>
  <c r="B73" i="12"/>
  <c r="D73" i="12" s="1"/>
  <c r="B72" i="12"/>
  <c r="D72" i="12" s="1"/>
  <c r="B71" i="12"/>
  <c r="D71" i="12" s="1"/>
  <c r="B70" i="12"/>
  <c r="D70" i="12" s="1"/>
  <c r="B69" i="12"/>
  <c r="D69" i="12" s="1"/>
  <c r="B68" i="12"/>
  <c r="D68" i="12" s="1"/>
  <c r="B67" i="12"/>
  <c r="D67" i="12" s="1"/>
  <c r="B66" i="12"/>
  <c r="D66" i="12" s="1"/>
  <c r="B65" i="12"/>
  <c r="D65" i="12" s="1"/>
  <c r="B64" i="12"/>
  <c r="D64" i="12" s="1"/>
  <c r="B63" i="12"/>
  <c r="D63" i="12" s="1"/>
  <c r="B62" i="12"/>
  <c r="D62" i="12" s="1"/>
  <c r="B61" i="12"/>
  <c r="D61" i="12" s="1"/>
  <c r="B60" i="12"/>
  <c r="D60" i="12" s="1"/>
  <c r="B59" i="12"/>
  <c r="D59" i="12" s="1"/>
  <c r="B58" i="12"/>
  <c r="D58" i="12" s="1"/>
  <c r="B57" i="12"/>
  <c r="D57" i="12" s="1"/>
  <c r="B56" i="12"/>
  <c r="D56" i="12" s="1"/>
  <c r="B55" i="12"/>
  <c r="D55" i="12" s="1"/>
  <c r="B54" i="12"/>
  <c r="D54" i="12" s="1"/>
  <c r="B53" i="12"/>
  <c r="D53" i="12" s="1"/>
  <c r="B52" i="12"/>
  <c r="D52" i="12" s="1"/>
  <c r="B51" i="12"/>
  <c r="D51" i="12" s="1"/>
  <c r="B50" i="12"/>
  <c r="D50" i="12" s="1"/>
  <c r="B49" i="12"/>
  <c r="D49" i="12" s="1"/>
  <c r="B48" i="12"/>
  <c r="D48" i="12" s="1"/>
  <c r="B47" i="12"/>
  <c r="D47" i="12" s="1"/>
  <c r="B46" i="12"/>
  <c r="D46" i="12" s="1"/>
  <c r="B45" i="12"/>
  <c r="D45" i="12" s="1"/>
  <c r="B44" i="12"/>
  <c r="D44" i="12" s="1"/>
  <c r="B43" i="12"/>
  <c r="D43" i="12" s="1"/>
  <c r="B42" i="12"/>
  <c r="D42" i="12" s="1"/>
  <c r="B41" i="12"/>
  <c r="D41" i="12" s="1"/>
  <c r="B40" i="12"/>
  <c r="D40" i="12" s="1"/>
  <c r="B39" i="12"/>
  <c r="D39" i="12" s="1"/>
  <c r="B38" i="12"/>
  <c r="D38" i="12" s="1"/>
  <c r="B37" i="12"/>
  <c r="D37" i="12" s="1"/>
  <c r="B36" i="12"/>
  <c r="D36" i="12" s="1"/>
  <c r="B35" i="12"/>
  <c r="D35" i="12" s="1"/>
  <c r="B34" i="12"/>
  <c r="D34" i="12" s="1"/>
  <c r="B33" i="12"/>
  <c r="D33" i="12" s="1"/>
  <c r="D32" i="12"/>
  <c r="B31" i="12"/>
  <c r="D31" i="12" s="1"/>
  <c r="B30" i="12"/>
  <c r="D30" i="12" s="1"/>
  <c r="D29" i="12"/>
  <c r="B28" i="12"/>
  <c r="D28" i="12" s="1"/>
  <c r="B27" i="12"/>
  <c r="D27" i="12" s="1"/>
  <c r="B26" i="12"/>
  <c r="D26" i="12" s="1"/>
  <c r="B25" i="12"/>
  <c r="D25" i="12" s="1"/>
  <c r="B24" i="12"/>
  <c r="D24" i="12" s="1"/>
  <c r="B23" i="12"/>
  <c r="D23" i="12" s="1"/>
  <c r="B22" i="12"/>
  <c r="D22" i="12" s="1"/>
  <c r="B21" i="12"/>
  <c r="D21" i="12" s="1"/>
  <c r="B20" i="12"/>
  <c r="D20" i="12" s="1"/>
  <c r="B19" i="12"/>
  <c r="D19" i="12" s="1"/>
  <c r="B18" i="12"/>
  <c r="D18" i="12" s="1"/>
  <c r="B17" i="12"/>
  <c r="D17" i="12" s="1"/>
  <c r="B16" i="12"/>
  <c r="D16" i="12" s="1"/>
  <c r="B15" i="12"/>
  <c r="D15" i="12" s="1"/>
  <c r="B14" i="12"/>
  <c r="D14" i="12" s="1"/>
  <c r="B13" i="12"/>
  <c r="D13" i="12" s="1"/>
  <c r="B12" i="12"/>
  <c r="D12" i="12" s="1"/>
  <c r="B11" i="12"/>
  <c r="D11" i="12" s="1"/>
  <c r="B10" i="12"/>
  <c r="D10" i="12" s="1"/>
  <c r="B9" i="12"/>
  <c r="D9" i="12" s="1"/>
  <c r="B8" i="12"/>
  <c r="D8" i="12" s="1"/>
  <c r="B7" i="12"/>
  <c r="D7" i="12" s="1"/>
  <c r="B6" i="12"/>
  <c r="D6" i="12" s="1"/>
  <c r="B5" i="12"/>
  <c r="D5" i="12" s="1"/>
  <c r="B4" i="12"/>
  <c r="D4" i="12" s="1"/>
  <c r="B3" i="12"/>
  <c r="D3" i="12" s="1"/>
  <c r="B2" i="12"/>
  <c r="D2" i="12" s="1"/>
  <c r="B169" i="8"/>
  <c r="D169" i="8" s="1"/>
  <c r="B170" i="8"/>
  <c r="D170" i="8" s="1"/>
  <c r="B171" i="8"/>
  <c r="D171" i="8" s="1"/>
  <c r="B172" i="8"/>
  <c r="D172" i="8" s="1"/>
  <c r="B173" i="8"/>
  <c r="D173" i="8" s="1"/>
  <c r="B174" i="8"/>
  <c r="D174" i="8" s="1"/>
  <c r="B175" i="8"/>
  <c r="D175" i="8" s="1"/>
  <c r="B176" i="8"/>
  <c r="D176" i="8" s="1"/>
  <c r="B177" i="8"/>
  <c r="D177" i="8" s="1"/>
  <c r="B178" i="8"/>
  <c r="D178" i="8" s="1"/>
  <c r="B179" i="8"/>
  <c r="D179" i="8" s="1"/>
  <c r="B2" i="8"/>
  <c r="D2" i="8" s="1"/>
  <c r="B3" i="8"/>
  <c r="D3" i="8" s="1"/>
  <c r="B6" i="8"/>
  <c r="D6" i="8" s="1"/>
  <c r="B7" i="8"/>
  <c r="D7" i="8" s="1"/>
  <c r="B8" i="8"/>
  <c r="D8" i="8" s="1"/>
  <c r="B9" i="8"/>
  <c r="D9" i="8" s="1"/>
  <c r="B10" i="8"/>
  <c r="D10" i="8" s="1"/>
  <c r="B11" i="8"/>
  <c r="D11" i="8" s="1"/>
  <c r="B12" i="8"/>
  <c r="D12" i="8" s="1"/>
  <c r="B13" i="8"/>
  <c r="D13" i="8" s="1"/>
  <c r="B14" i="8"/>
  <c r="D14" i="8" s="1"/>
  <c r="B15" i="8"/>
  <c r="D15" i="8" s="1"/>
  <c r="B16" i="8"/>
  <c r="D16" i="8" s="1"/>
  <c r="D17" i="8"/>
  <c r="B18" i="8"/>
  <c r="D18" i="8" s="1"/>
  <c r="B19" i="8"/>
  <c r="D19" i="8" s="1"/>
  <c r="B20" i="8"/>
  <c r="D20" i="8" s="1"/>
  <c r="B21" i="8"/>
  <c r="D21" i="8" s="1"/>
  <c r="B22" i="8"/>
  <c r="D22" i="8" s="1"/>
  <c r="B23" i="8"/>
  <c r="D23" i="8" s="1"/>
  <c r="B24" i="8"/>
  <c r="D24" i="8" s="1"/>
  <c r="B25" i="8"/>
  <c r="D25" i="8" s="1"/>
  <c r="B26" i="8"/>
  <c r="D26" i="8" s="1"/>
  <c r="B27" i="8"/>
  <c r="D27" i="8" s="1"/>
  <c r="B28" i="8"/>
  <c r="D28" i="8" s="1"/>
  <c r="B29" i="8"/>
  <c r="D29" i="8" s="1"/>
  <c r="B30" i="8"/>
  <c r="D30" i="8" s="1"/>
  <c r="B31" i="8"/>
  <c r="D31" i="8" s="1"/>
  <c r="B32" i="8"/>
  <c r="D32" i="8" s="1"/>
  <c r="B33" i="8"/>
  <c r="D33" i="8" s="1"/>
  <c r="B34" i="8"/>
  <c r="D34" i="8" s="1"/>
  <c r="B36" i="8"/>
  <c r="D36" i="8" s="1"/>
  <c r="B37" i="8"/>
  <c r="D37" i="8" s="1"/>
  <c r="B38" i="8"/>
  <c r="D38" i="8" s="1"/>
  <c r="B39" i="8"/>
  <c r="D39" i="8" s="1"/>
  <c r="B40" i="8"/>
  <c r="D40" i="8" s="1"/>
  <c r="B41" i="8"/>
  <c r="D41" i="8" s="1"/>
  <c r="B42" i="8"/>
  <c r="D42" i="8" s="1"/>
  <c r="B45" i="8"/>
  <c r="D45" i="8" s="1"/>
  <c r="B46" i="8"/>
  <c r="D46" i="8" s="1"/>
  <c r="B47" i="8"/>
  <c r="D47" i="8" s="1"/>
  <c r="B48" i="8"/>
  <c r="D48" i="8" s="1"/>
  <c r="B49" i="8"/>
  <c r="D49" i="8" s="1"/>
  <c r="B50" i="8"/>
  <c r="D50" i="8" s="1"/>
  <c r="B51" i="8"/>
  <c r="D51" i="8" s="1"/>
  <c r="B52" i="8"/>
  <c r="D52" i="8" s="1"/>
  <c r="B53" i="8"/>
  <c r="D53" i="8" s="1"/>
  <c r="B54" i="8"/>
  <c r="D54" i="8" s="1"/>
  <c r="B55" i="8"/>
  <c r="D55" i="8" s="1"/>
  <c r="B56" i="8"/>
  <c r="D56" i="8" s="1"/>
  <c r="B57" i="8"/>
  <c r="D57" i="8" s="1"/>
  <c r="B58" i="8"/>
  <c r="D58" i="8" s="1"/>
  <c r="B59" i="8"/>
  <c r="D59" i="8" s="1"/>
  <c r="B60" i="8"/>
  <c r="D60" i="8" s="1"/>
  <c r="B61" i="8"/>
  <c r="D61" i="8" s="1"/>
  <c r="B62" i="8"/>
  <c r="D62" i="8" s="1"/>
  <c r="B63" i="8"/>
  <c r="D63" i="8" s="1"/>
  <c r="B64" i="8"/>
  <c r="D64" i="8" s="1"/>
  <c r="B65" i="8"/>
  <c r="D65" i="8" s="1"/>
  <c r="B66" i="8"/>
  <c r="D66" i="8" s="1"/>
  <c r="B67" i="8"/>
  <c r="D67" i="8" s="1"/>
  <c r="B68" i="8"/>
  <c r="D68" i="8" s="1"/>
  <c r="B69" i="8"/>
  <c r="D69" i="8" s="1"/>
  <c r="B70" i="8"/>
  <c r="D70" i="8" s="1"/>
  <c r="B71" i="8"/>
  <c r="D71" i="8" s="1"/>
  <c r="B72" i="8"/>
  <c r="D72" i="8" s="1"/>
  <c r="B73" i="8"/>
  <c r="D73" i="8" s="1"/>
  <c r="B74" i="8"/>
  <c r="D74" i="8" s="1"/>
  <c r="B75" i="8"/>
  <c r="D75" i="8" s="1"/>
  <c r="B76" i="8"/>
  <c r="D76" i="8" s="1"/>
  <c r="B77" i="8"/>
  <c r="D77" i="8" s="1"/>
  <c r="B78" i="8"/>
  <c r="D78" i="8" s="1"/>
  <c r="B79" i="8"/>
  <c r="D79" i="8" s="1"/>
  <c r="B80" i="8"/>
  <c r="D80" i="8" s="1"/>
  <c r="B81" i="8"/>
  <c r="D81" i="8" s="1"/>
  <c r="B82" i="8"/>
  <c r="D82" i="8" s="1"/>
  <c r="B83" i="8"/>
  <c r="D83" i="8" s="1"/>
  <c r="B84" i="8"/>
  <c r="D84" i="8" s="1"/>
  <c r="B85" i="8"/>
  <c r="D85" i="8" s="1"/>
  <c r="B86" i="8"/>
  <c r="D86" i="8" s="1"/>
  <c r="B87" i="8"/>
  <c r="D87" i="8" s="1"/>
  <c r="B88" i="8"/>
  <c r="D88" i="8" s="1"/>
  <c r="B89" i="8"/>
  <c r="D89" i="8" s="1"/>
  <c r="B90" i="8"/>
  <c r="D90" i="8" s="1"/>
  <c r="B91" i="8"/>
  <c r="D91" i="8" s="1"/>
  <c r="B92" i="8"/>
  <c r="D92" i="8" s="1"/>
  <c r="B93" i="8"/>
  <c r="D93" i="8" s="1"/>
  <c r="B94" i="8"/>
  <c r="D94" i="8" s="1"/>
  <c r="B95" i="8"/>
  <c r="D95" i="8" s="1"/>
  <c r="B96" i="8"/>
  <c r="D96" i="8" s="1"/>
  <c r="B97" i="8"/>
  <c r="D97" i="8" s="1"/>
  <c r="B98" i="8"/>
  <c r="D98" i="8" s="1"/>
  <c r="B99" i="8"/>
  <c r="D99" i="8" s="1"/>
  <c r="B100" i="8"/>
  <c r="D100" i="8" s="1"/>
  <c r="B101" i="8"/>
  <c r="D101" i="8" s="1"/>
  <c r="B102" i="8"/>
  <c r="D102" i="8" s="1"/>
  <c r="B103" i="8"/>
  <c r="D103" i="8" s="1"/>
  <c r="B104" i="8"/>
  <c r="D104" i="8" s="1"/>
  <c r="B105" i="8"/>
  <c r="D105" i="8" s="1"/>
  <c r="B106" i="8"/>
  <c r="D106" i="8" s="1"/>
  <c r="B107" i="8"/>
  <c r="D107" i="8" s="1"/>
  <c r="B108" i="8"/>
  <c r="D108" i="8" s="1"/>
  <c r="B109" i="8"/>
  <c r="D109" i="8" s="1"/>
  <c r="B110" i="8"/>
  <c r="D110" i="8" s="1"/>
  <c r="B111" i="8"/>
  <c r="D111" i="8" s="1"/>
  <c r="B112" i="8"/>
  <c r="D112" i="8" s="1"/>
  <c r="B113" i="8"/>
  <c r="D113" i="8" s="1"/>
  <c r="B114" i="8"/>
  <c r="D114" i="8" s="1"/>
  <c r="B115" i="8"/>
  <c r="D115" i="8" s="1"/>
  <c r="B116" i="8"/>
  <c r="D116" i="8" s="1"/>
  <c r="B117" i="8"/>
  <c r="D117" i="8" s="1"/>
  <c r="B118" i="8"/>
  <c r="D118" i="8" s="1"/>
  <c r="B119" i="8"/>
  <c r="D119" i="8" s="1"/>
  <c r="B120" i="8"/>
  <c r="D120" i="8" s="1"/>
  <c r="B121" i="8"/>
  <c r="D121" i="8" s="1"/>
  <c r="B122" i="8"/>
  <c r="D122" i="8" s="1"/>
  <c r="B123" i="8"/>
  <c r="D123" i="8" s="1"/>
  <c r="B124" i="8"/>
  <c r="D124" i="8" s="1"/>
  <c r="B125" i="8"/>
  <c r="D125" i="8" s="1"/>
  <c r="B126" i="8"/>
  <c r="D126" i="8" s="1"/>
  <c r="B127" i="8"/>
  <c r="D127" i="8" s="1"/>
  <c r="B128" i="8"/>
  <c r="D128" i="8" s="1"/>
  <c r="B129" i="8"/>
  <c r="D129" i="8" s="1"/>
  <c r="B130" i="8"/>
  <c r="D130" i="8" s="1"/>
  <c r="B131" i="8"/>
  <c r="D131" i="8" s="1"/>
  <c r="B132" i="8"/>
  <c r="D132" i="8" s="1"/>
  <c r="B133" i="8"/>
  <c r="D133" i="8" s="1"/>
  <c r="B134" i="8"/>
  <c r="D134" i="8" s="1"/>
  <c r="B135" i="8"/>
  <c r="D135" i="8" s="1"/>
  <c r="B136" i="8"/>
  <c r="D136" i="8" s="1"/>
  <c r="B137" i="8"/>
  <c r="D137" i="8" s="1"/>
  <c r="B138" i="8"/>
  <c r="D138" i="8" s="1"/>
  <c r="B139" i="8"/>
  <c r="D139" i="8" s="1"/>
  <c r="B140" i="8"/>
  <c r="D140" i="8" s="1"/>
  <c r="B141" i="8"/>
  <c r="D141" i="8" s="1"/>
  <c r="B142" i="8"/>
  <c r="D142" i="8" s="1"/>
  <c r="B143" i="8"/>
  <c r="D143" i="8" s="1"/>
  <c r="B144" i="8"/>
  <c r="D144" i="8" s="1"/>
  <c r="B145" i="8"/>
  <c r="D145" i="8" s="1"/>
  <c r="B146" i="8"/>
  <c r="D146" i="8" s="1"/>
  <c r="B147" i="8"/>
  <c r="D147" i="8" s="1"/>
  <c r="B148" i="8"/>
  <c r="D148" i="8" s="1"/>
  <c r="B149" i="8"/>
  <c r="D149" i="8" s="1"/>
  <c r="B150" i="8"/>
  <c r="D150" i="8" s="1"/>
  <c r="B151" i="8"/>
  <c r="D151" i="8" s="1"/>
  <c r="B152" i="8"/>
  <c r="D152" i="8" s="1"/>
  <c r="B153" i="8"/>
  <c r="D153" i="8" s="1"/>
  <c r="B154" i="8"/>
  <c r="D154" i="8" s="1"/>
  <c r="B155" i="8"/>
  <c r="D155" i="8" s="1"/>
  <c r="B156" i="8"/>
  <c r="D156" i="8" s="1"/>
  <c r="B157" i="8"/>
  <c r="D157" i="8" s="1"/>
  <c r="B158" i="8"/>
  <c r="D158" i="8" s="1"/>
  <c r="B159" i="8"/>
  <c r="D159" i="8" s="1"/>
  <c r="B160" i="8"/>
  <c r="D160" i="8" s="1"/>
  <c r="B161" i="8"/>
  <c r="D161" i="8" s="1"/>
  <c r="B162" i="8"/>
  <c r="D162" i="8" s="1"/>
  <c r="B163" i="8"/>
  <c r="D163" i="8" s="1"/>
  <c r="B164" i="8"/>
  <c r="D164" i="8" s="1"/>
  <c r="B165" i="8"/>
  <c r="D165" i="8" s="1"/>
  <c r="B166" i="8"/>
  <c r="D166" i="8" s="1"/>
  <c r="B167" i="8"/>
  <c r="D167" i="8" s="1"/>
  <c r="B168" i="8"/>
  <c r="D168" i="8" s="1"/>
  <c r="B2" i="11" l="1"/>
  <c r="D2" i="11" s="1"/>
  <c r="B151" i="11" l="1"/>
  <c r="D151" i="11" s="1"/>
  <c r="B150" i="11"/>
  <c r="D150" i="11" s="1"/>
  <c r="B149" i="11"/>
  <c r="D149" i="11" s="1"/>
  <c r="B148" i="11"/>
  <c r="D148" i="11" s="1"/>
  <c r="B147" i="11"/>
  <c r="D147" i="11" s="1"/>
  <c r="B146" i="11"/>
  <c r="D146" i="11" s="1"/>
  <c r="B145" i="11"/>
  <c r="D145" i="11" s="1"/>
  <c r="B144" i="11"/>
  <c r="D144" i="11" s="1"/>
  <c r="B143" i="11"/>
  <c r="D143" i="11" s="1"/>
  <c r="B142" i="11"/>
  <c r="D142" i="11" s="1"/>
  <c r="B141" i="11"/>
  <c r="D141" i="11" s="1"/>
  <c r="B140" i="11"/>
  <c r="D140" i="11" s="1"/>
  <c r="B139" i="11"/>
  <c r="D139" i="11" s="1"/>
  <c r="B138" i="11"/>
  <c r="D138" i="11" s="1"/>
  <c r="B137" i="11"/>
  <c r="D137" i="11" s="1"/>
  <c r="B136" i="11"/>
  <c r="D136" i="11" s="1"/>
  <c r="B135" i="11"/>
  <c r="D135" i="11" s="1"/>
  <c r="B134" i="11"/>
  <c r="D134" i="11" s="1"/>
  <c r="B133" i="11"/>
  <c r="D133" i="11" s="1"/>
  <c r="B132" i="11"/>
  <c r="D132" i="11" s="1"/>
  <c r="B131" i="11"/>
  <c r="D131" i="11" s="1"/>
  <c r="B130" i="11"/>
  <c r="D130" i="11" s="1"/>
  <c r="B129" i="11"/>
  <c r="D129" i="11" s="1"/>
  <c r="B128" i="11"/>
  <c r="D128" i="11" s="1"/>
  <c r="B126" i="11"/>
  <c r="D126" i="11" s="1"/>
  <c r="B125" i="11"/>
  <c r="D125" i="11" s="1"/>
  <c r="B123" i="11"/>
  <c r="D123" i="11" s="1"/>
  <c r="B122" i="11"/>
  <c r="D122" i="11" s="1"/>
  <c r="B121" i="11"/>
  <c r="D121" i="11" s="1"/>
  <c r="B120" i="11"/>
  <c r="D120" i="11" s="1"/>
  <c r="D119" i="11"/>
  <c r="B117" i="11"/>
  <c r="D117" i="11" s="1"/>
  <c r="B116" i="11"/>
  <c r="D116" i="11" s="1"/>
  <c r="B115" i="11"/>
  <c r="D115" i="11" s="1"/>
  <c r="B114" i="11"/>
  <c r="D114" i="11" s="1"/>
  <c r="B113" i="11"/>
  <c r="D113" i="11" s="1"/>
  <c r="B112" i="11"/>
  <c r="D112" i="11" s="1"/>
  <c r="B111" i="11"/>
  <c r="D111" i="11" s="1"/>
  <c r="B110" i="11"/>
  <c r="D110" i="11" s="1"/>
  <c r="B109" i="11"/>
  <c r="D109" i="11" s="1"/>
  <c r="B108" i="11"/>
  <c r="D108" i="11" s="1"/>
  <c r="B107" i="11"/>
  <c r="D107" i="11" s="1"/>
  <c r="B106" i="11"/>
  <c r="D106" i="11" s="1"/>
  <c r="B105" i="11"/>
  <c r="D105" i="11" s="1"/>
  <c r="B104" i="11"/>
  <c r="D104" i="11" s="1"/>
  <c r="B103" i="11"/>
  <c r="D103" i="11" s="1"/>
  <c r="B102" i="11"/>
  <c r="D102" i="11" s="1"/>
  <c r="B101" i="11"/>
  <c r="D101" i="11" s="1"/>
  <c r="B100" i="11"/>
  <c r="D100" i="11" s="1"/>
  <c r="B99" i="11"/>
  <c r="D99" i="11" s="1"/>
  <c r="B98" i="11"/>
  <c r="D98" i="11" s="1"/>
  <c r="B97" i="11"/>
  <c r="D97" i="11" s="1"/>
  <c r="B96" i="11"/>
  <c r="D96" i="11" s="1"/>
  <c r="B95" i="11"/>
  <c r="D95" i="11" s="1"/>
  <c r="B94" i="11"/>
  <c r="D94" i="11" s="1"/>
  <c r="B93" i="11"/>
  <c r="D93" i="11" s="1"/>
  <c r="B92" i="11"/>
  <c r="D92" i="11" s="1"/>
  <c r="B91" i="11"/>
  <c r="D91" i="11" s="1"/>
  <c r="B90" i="11"/>
  <c r="D90" i="11" s="1"/>
  <c r="B89" i="11"/>
  <c r="D89" i="11" s="1"/>
  <c r="B88" i="11"/>
  <c r="D88" i="11" s="1"/>
  <c r="B87" i="11"/>
  <c r="D87" i="11" s="1"/>
  <c r="B86" i="11"/>
  <c r="D86" i="11" s="1"/>
  <c r="B85" i="11"/>
  <c r="D85" i="11" s="1"/>
  <c r="B84" i="11"/>
  <c r="D84" i="11" s="1"/>
  <c r="B83" i="11"/>
  <c r="D83" i="11" s="1"/>
  <c r="B82" i="11"/>
  <c r="D82" i="11" s="1"/>
  <c r="B81" i="11"/>
  <c r="D81" i="11" s="1"/>
  <c r="B80" i="11"/>
  <c r="D80" i="11" s="1"/>
  <c r="B79" i="11"/>
  <c r="D79" i="11" s="1"/>
  <c r="B78" i="11"/>
  <c r="D78" i="11" s="1"/>
  <c r="B77" i="11"/>
  <c r="D77" i="11" s="1"/>
  <c r="B76" i="11"/>
  <c r="D76" i="11" s="1"/>
  <c r="B75" i="11"/>
  <c r="D75" i="11" s="1"/>
  <c r="B74" i="11"/>
  <c r="D74" i="11" s="1"/>
  <c r="B73" i="11"/>
  <c r="D73" i="11" s="1"/>
  <c r="B72" i="11"/>
  <c r="D72" i="11" s="1"/>
  <c r="B71" i="11"/>
  <c r="D71" i="11" s="1"/>
  <c r="B70" i="11"/>
  <c r="D70" i="11" s="1"/>
  <c r="B69" i="11"/>
  <c r="D69" i="11" s="1"/>
  <c r="B68" i="11"/>
  <c r="D68" i="11" s="1"/>
  <c r="B67" i="11"/>
  <c r="D67" i="11" s="1"/>
  <c r="B66" i="11"/>
  <c r="D66" i="11" s="1"/>
  <c r="B65" i="11"/>
  <c r="D65" i="11" s="1"/>
  <c r="B64" i="11"/>
  <c r="D64" i="11" s="1"/>
  <c r="B63" i="11"/>
  <c r="D63" i="11" s="1"/>
  <c r="B60" i="11"/>
  <c r="D60" i="11" s="1"/>
  <c r="B59" i="11"/>
  <c r="D59" i="11" s="1"/>
  <c r="B58" i="11"/>
  <c r="D58" i="11" s="1"/>
  <c r="B57" i="11"/>
  <c r="D57" i="11" s="1"/>
  <c r="B56" i="11"/>
  <c r="D56" i="11" s="1"/>
  <c r="B55" i="11"/>
  <c r="D55" i="11" s="1"/>
  <c r="B54" i="11"/>
  <c r="D54" i="11" s="1"/>
  <c r="B53" i="11"/>
  <c r="D53" i="11" s="1"/>
  <c r="B52" i="11"/>
  <c r="D52" i="11" s="1"/>
  <c r="B51" i="11"/>
  <c r="D51" i="11" s="1"/>
  <c r="B50" i="11"/>
  <c r="D50" i="11" s="1"/>
  <c r="B49" i="11"/>
  <c r="D49" i="11" s="1"/>
  <c r="B48" i="11"/>
  <c r="D48" i="11" s="1"/>
  <c r="B47" i="11"/>
  <c r="D47" i="11" s="1"/>
  <c r="B46" i="11"/>
  <c r="D46" i="11" s="1"/>
  <c r="B45" i="11"/>
  <c r="D45" i="11" s="1"/>
  <c r="D44" i="11"/>
  <c r="B43" i="11"/>
  <c r="D43" i="11" s="1"/>
  <c r="B42" i="11"/>
  <c r="D42" i="11" s="1"/>
  <c r="B41" i="11"/>
  <c r="D41" i="11" s="1"/>
  <c r="B40" i="11"/>
  <c r="D40" i="11" s="1"/>
  <c r="B39" i="11"/>
  <c r="D39" i="11" s="1"/>
  <c r="B38" i="11"/>
  <c r="D38" i="11" s="1"/>
  <c r="B37" i="11"/>
  <c r="D37" i="11" s="1"/>
  <c r="B36" i="11"/>
  <c r="D36" i="11" s="1"/>
  <c r="B35" i="11"/>
  <c r="D35" i="11" s="1"/>
  <c r="B34" i="11"/>
  <c r="D34" i="11" s="1"/>
  <c r="B33" i="11"/>
  <c r="D33" i="11" s="1"/>
  <c r="B32" i="11"/>
  <c r="D32" i="11" s="1"/>
  <c r="B31" i="11"/>
  <c r="D31" i="11" s="1"/>
  <c r="D30" i="11"/>
  <c r="B29" i="11"/>
  <c r="D29" i="11" s="1"/>
  <c r="B28" i="11"/>
  <c r="D28" i="11" s="1"/>
  <c r="B27" i="11"/>
  <c r="D27" i="11" s="1"/>
  <c r="B26" i="11"/>
  <c r="D26" i="11" s="1"/>
  <c r="B25" i="11"/>
  <c r="D25" i="11" s="1"/>
  <c r="B24" i="11"/>
  <c r="D24" i="11" s="1"/>
  <c r="B23" i="11"/>
  <c r="D23" i="11" s="1"/>
  <c r="B22" i="11"/>
  <c r="D22" i="11" s="1"/>
  <c r="B21" i="11"/>
  <c r="D21" i="11" s="1"/>
  <c r="D20" i="11"/>
  <c r="D19" i="11"/>
  <c r="B18" i="11"/>
  <c r="D18" i="11" s="1"/>
  <c r="B17" i="11"/>
  <c r="D17" i="11" s="1"/>
  <c r="B16" i="11"/>
  <c r="D16" i="11" s="1"/>
  <c r="B15" i="11"/>
  <c r="D15" i="11" s="1"/>
  <c r="B14" i="11"/>
  <c r="D14" i="11" s="1"/>
  <c r="B13" i="11"/>
  <c r="D13" i="11" s="1"/>
  <c r="B12" i="11"/>
  <c r="D12" i="11" s="1"/>
  <c r="B11" i="11"/>
  <c r="D11" i="11" s="1"/>
  <c r="B10" i="11"/>
  <c r="D10" i="11" s="1"/>
  <c r="B8" i="11"/>
  <c r="D8" i="11" s="1"/>
  <c r="B7" i="11"/>
  <c r="D7" i="11" s="1"/>
  <c r="B6" i="11"/>
  <c r="D6" i="11" s="1"/>
  <c r="B5" i="11"/>
  <c r="D5" i="11" s="1"/>
  <c r="B4" i="11"/>
  <c r="D4" i="11" s="1"/>
  <c r="B3" i="11"/>
  <c r="D3" i="11" s="1"/>
  <c r="B251" i="8" l="1"/>
  <c r="D251" i="8" s="1"/>
  <c r="B252" i="8"/>
  <c r="D252" i="8" s="1"/>
  <c r="B253" i="8"/>
  <c r="D253" i="8" s="1"/>
  <c r="B254" i="8"/>
  <c r="D254" i="8" s="1"/>
  <c r="B255" i="8"/>
  <c r="D255" i="8" s="1"/>
  <c r="B256" i="8"/>
  <c r="D256" i="8" s="1"/>
  <c r="B257" i="8"/>
  <c r="D257" i="8" s="1"/>
  <c r="B258" i="8"/>
  <c r="D258" i="8" s="1"/>
  <c r="B259" i="8"/>
  <c r="D259" i="8" s="1"/>
  <c r="B260" i="8"/>
  <c r="D260" i="8" s="1"/>
  <c r="B261" i="8"/>
  <c r="D261" i="8" s="1"/>
  <c r="B262" i="8"/>
  <c r="D262" i="8" s="1"/>
  <c r="B263" i="8"/>
  <c r="D263" i="8" s="1"/>
  <c r="B264" i="8"/>
  <c r="D264" i="8" s="1"/>
  <c r="B265" i="8"/>
  <c r="D265" i="8" s="1"/>
  <c r="B266" i="8"/>
  <c r="D266" i="8" s="1"/>
  <c r="B267" i="8"/>
  <c r="D267" i="8" s="1"/>
  <c r="B268" i="8"/>
  <c r="D268" i="8" s="1"/>
  <c r="B269" i="8"/>
  <c r="D269" i="8" s="1"/>
  <c r="B270" i="8"/>
  <c r="D270" i="8" s="1"/>
  <c r="B271" i="8"/>
  <c r="D271" i="8" s="1"/>
  <c r="B272" i="8"/>
  <c r="D272" i="8" s="1"/>
  <c r="B273" i="8"/>
  <c r="D273" i="8" s="1"/>
  <c r="B274" i="8"/>
  <c r="D274" i="8" s="1"/>
  <c r="B275" i="8"/>
  <c r="D275" i="8" s="1"/>
  <c r="B276" i="8"/>
  <c r="D276" i="8" s="1"/>
  <c r="B277" i="8"/>
  <c r="D277" i="8" s="1"/>
  <c r="B278" i="8"/>
  <c r="D278" i="8" s="1"/>
  <c r="B279" i="8"/>
  <c r="D279" i="8" s="1"/>
  <c r="B280" i="8"/>
  <c r="D280" i="8" s="1"/>
  <c r="B281" i="8"/>
  <c r="D281" i="8" s="1"/>
  <c r="B282" i="8"/>
  <c r="D282" i="8" s="1"/>
  <c r="B283" i="8"/>
  <c r="D283" i="8" s="1"/>
  <c r="B284" i="8"/>
  <c r="D284" i="8" s="1"/>
  <c r="B285" i="8"/>
  <c r="D285" i="8" s="1"/>
  <c r="B286" i="8"/>
  <c r="D286" i="8" s="1"/>
  <c r="B287" i="8"/>
  <c r="D287" i="8" s="1"/>
  <c r="B288" i="8"/>
  <c r="D288" i="8" s="1"/>
  <c r="B289" i="8"/>
  <c r="D289" i="8" s="1"/>
  <c r="B290" i="8"/>
  <c r="D290" i="8" s="1"/>
  <c r="B291" i="8"/>
  <c r="D291" i="8" s="1"/>
  <c r="B292" i="8"/>
  <c r="D292" i="8" s="1"/>
  <c r="B293" i="8"/>
  <c r="D293" i="8" s="1"/>
  <c r="B294" i="8"/>
  <c r="D294" i="8" s="1"/>
  <c r="B295" i="8"/>
  <c r="D295" i="8" s="1"/>
  <c r="B296" i="8"/>
  <c r="D296" i="8" s="1"/>
  <c r="B297" i="8"/>
  <c r="D297" i="8" s="1"/>
  <c r="B298" i="8"/>
  <c r="D298" i="8" s="1"/>
  <c r="B299" i="8"/>
  <c r="D299" i="8" s="1"/>
  <c r="B300" i="8"/>
  <c r="D300" i="8" s="1"/>
  <c r="B301" i="8"/>
  <c r="D301" i="8" s="1"/>
  <c r="B302" i="8"/>
  <c r="D302" i="8" s="1"/>
  <c r="B303" i="8"/>
  <c r="D303" i="8" s="1"/>
  <c r="B304" i="8"/>
  <c r="D304" i="8" s="1"/>
  <c r="B305" i="8"/>
  <c r="D305" i="8" s="1"/>
  <c r="B306" i="8"/>
  <c r="D306" i="8" s="1"/>
  <c r="B307" i="8"/>
  <c r="D307" i="8" s="1"/>
  <c r="B308" i="8"/>
  <c r="D308" i="8" s="1"/>
  <c r="B309" i="8"/>
  <c r="D309" i="8" s="1"/>
  <c r="B310" i="8"/>
  <c r="D310" i="8" s="1"/>
  <c r="B311" i="8"/>
  <c r="D311" i="8" s="1"/>
  <c r="B312" i="8"/>
  <c r="D312" i="8" s="1"/>
  <c r="B313" i="8"/>
  <c r="D313" i="8" s="1"/>
  <c r="B314" i="8"/>
  <c r="D314" i="8" s="1"/>
  <c r="B315" i="8"/>
  <c r="D315" i="8" s="1"/>
  <c r="B316" i="8"/>
  <c r="D316" i="8" s="1"/>
  <c r="B317" i="8"/>
  <c r="D317" i="8" s="1"/>
  <c r="B318" i="8"/>
  <c r="D318" i="8" s="1"/>
  <c r="B319" i="8"/>
  <c r="D319" i="8" s="1"/>
  <c r="B320" i="8"/>
  <c r="D320" i="8" s="1"/>
  <c r="B321" i="8"/>
  <c r="D321" i="8" s="1"/>
  <c r="B322" i="8"/>
  <c r="D322" i="8" s="1"/>
  <c r="B323" i="8"/>
  <c r="D323" i="8" s="1"/>
  <c r="B324" i="8"/>
  <c r="D324" i="8" s="1"/>
  <c r="B325" i="8"/>
  <c r="D325" i="8" s="1"/>
  <c r="B326" i="8"/>
  <c r="D326" i="8" s="1"/>
  <c r="B327" i="8"/>
  <c r="D327" i="8" s="1"/>
  <c r="B328" i="8"/>
  <c r="D328" i="8" s="1"/>
  <c r="B329" i="8"/>
  <c r="D329" i="8" s="1"/>
  <c r="B330" i="8"/>
  <c r="D330" i="8" s="1"/>
  <c r="B331" i="8"/>
  <c r="D331" i="8" s="1"/>
  <c r="B332" i="8"/>
  <c r="D332" i="8" s="1"/>
  <c r="B333" i="8"/>
  <c r="D333" i="8" s="1"/>
  <c r="B334" i="8"/>
  <c r="D334" i="8" s="1"/>
  <c r="B335" i="8"/>
  <c r="D335" i="8" s="1"/>
  <c r="B336" i="8"/>
  <c r="D336" i="8" s="1"/>
  <c r="B337" i="8"/>
  <c r="D337" i="8" s="1"/>
  <c r="B338" i="8"/>
  <c r="D338" i="8" s="1"/>
  <c r="B339" i="8"/>
  <c r="D339" i="8" s="1"/>
  <c r="B340" i="8"/>
  <c r="D340" i="8" s="1"/>
  <c r="B341" i="8"/>
  <c r="D341" i="8" s="1"/>
  <c r="B342" i="8"/>
  <c r="D342" i="8" s="1"/>
  <c r="B343" i="8"/>
  <c r="D343" i="8" s="1"/>
  <c r="B344" i="8"/>
  <c r="D344" i="8" s="1"/>
  <c r="B345" i="8"/>
  <c r="D345" i="8" s="1"/>
  <c r="B346" i="8"/>
  <c r="D346" i="8" s="1"/>
  <c r="B347" i="8"/>
  <c r="D347" i="8" s="1"/>
  <c r="B348" i="8"/>
  <c r="D348" i="8" s="1"/>
  <c r="B349" i="8"/>
  <c r="D349" i="8" s="1"/>
  <c r="B350" i="8"/>
  <c r="D350" i="8" s="1"/>
  <c r="B351" i="8"/>
  <c r="D351" i="8" s="1"/>
  <c r="B352" i="8"/>
  <c r="D352" i="8" s="1"/>
  <c r="B353" i="8"/>
  <c r="D353" i="8" s="1"/>
  <c r="B354" i="8"/>
  <c r="D354" i="8" s="1"/>
  <c r="B355" i="8"/>
  <c r="D355" i="8" s="1"/>
  <c r="B356" i="8"/>
  <c r="D356" i="8" s="1"/>
  <c r="B357" i="8"/>
  <c r="D357" i="8" s="1"/>
  <c r="B358" i="8"/>
  <c r="D358" i="8" s="1"/>
  <c r="B359" i="8"/>
  <c r="D359" i="8" s="1"/>
  <c r="B360" i="8"/>
  <c r="D360" i="8" s="1"/>
  <c r="B361" i="8"/>
  <c r="D361" i="8" s="1"/>
  <c r="B362" i="8"/>
  <c r="D362" i="8" s="1"/>
  <c r="B363" i="8"/>
  <c r="D363" i="8" s="1"/>
  <c r="B364" i="8"/>
  <c r="D364" i="8" s="1"/>
  <c r="B365" i="8"/>
  <c r="D365" i="8" s="1"/>
  <c r="B366" i="8"/>
  <c r="D366" i="8" s="1"/>
  <c r="B367" i="8"/>
  <c r="D367" i="8" s="1"/>
  <c r="B368" i="8"/>
  <c r="D368" i="8" s="1"/>
  <c r="B369" i="8"/>
  <c r="D369" i="8" s="1"/>
  <c r="B370" i="8"/>
  <c r="D370" i="8" s="1"/>
  <c r="B371" i="8"/>
  <c r="D371" i="8" s="1"/>
  <c r="B372" i="8"/>
  <c r="D372" i="8" s="1"/>
  <c r="B373" i="8"/>
  <c r="D373" i="8" s="1"/>
  <c r="B374" i="8"/>
  <c r="D374" i="8" s="1"/>
  <c r="B375" i="8"/>
  <c r="D375" i="8" s="1"/>
  <c r="B376" i="8"/>
  <c r="D376" i="8" s="1"/>
  <c r="B377" i="8"/>
  <c r="D377" i="8" s="1"/>
  <c r="B378" i="8"/>
  <c r="D378" i="8" s="1"/>
  <c r="B379" i="8"/>
  <c r="D379" i="8" s="1"/>
  <c r="B380" i="8"/>
  <c r="D380" i="8" s="1"/>
  <c r="B381" i="8"/>
  <c r="D381" i="8" s="1"/>
  <c r="B382" i="8"/>
  <c r="D382" i="8" s="1"/>
  <c r="B383" i="8"/>
  <c r="D383" i="8" s="1"/>
  <c r="B384" i="8"/>
  <c r="D384" i="8" s="1"/>
  <c r="B385" i="8"/>
  <c r="D385" i="8" s="1"/>
  <c r="B386" i="8"/>
  <c r="D386" i="8" s="1"/>
  <c r="B387" i="8"/>
  <c r="D387" i="8" s="1"/>
  <c r="B388" i="8"/>
  <c r="D388" i="8" s="1"/>
  <c r="B389" i="8"/>
  <c r="D389" i="8" s="1"/>
  <c r="B390" i="8"/>
  <c r="D390" i="8" s="1"/>
  <c r="B391" i="8"/>
  <c r="D391" i="8" s="1"/>
  <c r="B392" i="8"/>
  <c r="D392" i="8" s="1"/>
  <c r="B393" i="8"/>
  <c r="D393" i="8" s="1"/>
  <c r="B394" i="8"/>
  <c r="D394" i="8" s="1"/>
  <c r="B395" i="8"/>
  <c r="D395" i="8" s="1"/>
  <c r="B396" i="8"/>
  <c r="D396" i="8" s="1"/>
  <c r="B397" i="8"/>
  <c r="D397" i="8" s="1"/>
  <c r="B398" i="8"/>
  <c r="D398" i="8" s="1"/>
  <c r="B399" i="8"/>
  <c r="D399" i="8" s="1"/>
  <c r="B400" i="8"/>
  <c r="D400" i="8" s="1"/>
  <c r="B401" i="8"/>
  <c r="D401" i="8" s="1"/>
  <c r="B402" i="8"/>
  <c r="D402" i="8" s="1"/>
  <c r="B403" i="8"/>
  <c r="D403" i="8" s="1"/>
  <c r="B404" i="8"/>
  <c r="D404" i="8" s="1"/>
  <c r="B405" i="8"/>
  <c r="D405" i="8" s="1"/>
  <c r="B406" i="8"/>
  <c r="D406" i="8" s="1"/>
  <c r="B407" i="8"/>
  <c r="D407" i="8" s="1"/>
  <c r="B408" i="8"/>
  <c r="D408" i="8" s="1"/>
  <c r="B409" i="8"/>
  <c r="D409" i="8" s="1"/>
  <c r="B410" i="8"/>
  <c r="D410" i="8" s="1"/>
  <c r="B411" i="8"/>
  <c r="D411" i="8" s="1"/>
  <c r="B412" i="8"/>
  <c r="D412" i="8" s="1"/>
  <c r="B413" i="8"/>
  <c r="D413" i="8" s="1"/>
  <c r="B414" i="8"/>
  <c r="D414" i="8" s="1"/>
  <c r="B415" i="8"/>
  <c r="D415" i="8" s="1"/>
  <c r="B416" i="8"/>
  <c r="D416" i="8" s="1"/>
  <c r="B417" i="8"/>
  <c r="D417" i="8" s="1"/>
  <c r="B418" i="8"/>
  <c r="D418" i="8" s="1"/>
  <c r="B419" i="8"/>
  <c r="D419" i="8" s="1"/>
  <c r="B420" i="8"/>
  <c r="D420" i="8" s="1"/>
  <c r="B421" i="8"/>
  <c r="D421" i="8" s="1"/>
  <c r="B422" i="8"/>
  <c r="D422" i="8" s="1"/>
  <c r="B423" i="8"/>
  <c r="D423" i="8" s="1"/>
  <c r="B424" i="8"/>
  <c r="D424" i="8" s="1"/>
  <c r="B425" i="8"/>
  <c r="D425" i="8" s="1"/>
  <c r="B426" i="8"/>
  <c r="D426" i="8" s="1"/>
  <c r="B427" i="8"/>
  <c r="D427" i="8" s="1"/>
  <c r="B428" i="8"/>
  <c r="D428" i="8" s="1"/>
  <c r="B429" i="8"/>
  <c r="D429" i="8" s="1"/>
  <c r="B430" i="8"/>
  <c r="D430" i="8" s="1"/>
  <c r="B431" i="8"/>
  <c r="D431" i="8" s="1"/>
  <c r="B432" i="8"/>
  <c r="D432" i="8" s="1"/>
  <c r="B433" i="8"/>
  <c r="D433" i="8" s="1"/>
  <c r="B434" i="8"/>
  <c r="D434" i="8" s="1"/>
  <c r="B435" i="8"/>
  <c r="D435" i="8" s="1"/>
  <c r="B436" i="8"/>
  <c r="D436" i="8" s="1"/>
  <c r="B437" i="8"/>
  <c r="D437" i="8" s="1"/>
  <c r="B438" i="8"/>
  <c r="D438" i="8" s="1"/>
  <c r="B439" i="8"/>
  <c r="D439" i="8" s="1"/>
  <c r="B440" i="8"/>
  <c r="D440" i="8" s="1"/>
  <c r="B441" i="8"/>
  <c r="D441" i="8" s="1"/>
  <c r="B442" i="8"/>
  <c r="D442" i="8" s="1"/>
  <c r="B443" i="8"/>
  <c r="D443" i="8" s="1"/>
  <c r="B444" i="8"/>
  <c r="D444" i="8" s="1"/>
  <c r="B445" i="8"/>
  <c r="D445" i="8" s="1"/>
  <c r="B446" i="8"/>
  <c r="D446" i="8" s="1"/>
  <c r="B447" i="8"/>
  <c r="D447" i="8" s="1"/>
  <c r="B448" i="8"/>
  <c r="D448" i="8" s="1"/>
  <c r="B449" i="8"/>
  <c r="D449" i="8" s="1"/>
  <c r="B450" i="8"/>
  <c r="D450" i="8" s="1"/>
  <c r="B451" i="8"/>
  <c r="D451" i="8" s="1"/>
  <c r="B452" i="8"/>
  <c r="D452" i="8" s="1"/>
  <c r="B453" i="8"/>
  <c r="D453" i="8" s="1"/>
  <c r="B454" i="8"/>
  <c r="D454" i="8" s="1"/>
  <c r="B455" i="8"/>
  <c r="D455" i="8" s="1"/>
  <c r="B456" i="8"/>
  <c r="D456" i="8" s="1"/>
  <c r="B457" i="8"/>
  <c r="D457" i="8" s="1"/>
  <c r="B458" i="8"/>
  <c r="D458" i="8" s="1"/>
  <c r="B459" i="8"/>
  <c r="D459" i="8" s="1"/>
  <c r="B460" i="8"/>
  <c r="D460" i="8" s="1"/>
  <c r="B461" i="8"/>
  <c r="D461" i="8" s="1"/>
  <c r="B462" i="8"/>
  <c r="D462" i="8" s="1"/>
  <c r="B463" i="8"/>
  <c r="D463" i="8" s="1"/>
  <c r="B464" i="8"/>
  <c r="D464" i="8" s="1"/>
  <c r="B465" i="8"/>
  <c r="D465" i="8" s="1"/>
  <c r="B466" i="8"/>
  <c r="D466" i="8" s="1"/>
  <c r="B467" i="8"/>
  <c r="D467" i="8" s="1"/>
  <c r="B468" i="8"/>
  <c r="D468" i="8" s="1"/>
  <c r="B469" i="8"/>
  <c r="D469" i="8" s="1"/>
  <c r="B470" i="8"/>
  <c r="D470" i="8" s="1"/>
  <c r="B471" i="8"/>
  <c r="D471" i="8" s="1"/>
  <c r="B472" i="8"/>
  <c r="D472" i="8" s="1"/>
  <c r="B473" i="8"/>
  <c r="D473" i="8" s="1"/>
  <c r="B474" i="8"/>
  <c r="D474" i="8" s="1"/>
  <c r="B475" i="8"/>
  <c r="D475" i="8" s="1"/>
  <c r="B476" i="8"/>
  <c r="D476" i="8" s="1"/>
  <c r="B477" i="8"/>
  <c r="D477" i="8" s="1"/>
  <c r="B478" i="8"/>
  <c r="D478" i="8" s="1"/>
  <c r="B479" i="8"/>
  <c r="D479" i="8" s="1"/>
  <c r="B480" i="8"/>
  <c r="D480" i="8" s="1"/>
  <c r="B481" i="8"/>
  <c r="D481" i="8" s="1"/>
  <c r="B482" i="8"/>
  <c r="D482" i="8" s="1"/>
  <c r="B483" i="8"/>
  <c r="D483" i="8" s="1"/>
  <c r="B484" i="8"/>
  <c r="D484" i="8" s="1"/>
  <c r="B485" i="8"/>
  <c r="D485" i="8" s="1"/>
  <c r="B486" i="8"/>
  <c r="D486" i="8" s="1"/>
  <c r="B487" i="8"/>
  <c r="D487" i="8" s="1"/>
  <c r="B488" i="8"/>
  <c r="D488" i="8" s="1"/>
  <c r="B489" i="8"/>
  <c r="D489" i="8" s="1"/>
  <c r="B490" i="8"/>
  <c r="D490" i="8" s="1"/>
  <c r="B491" i="8"/>
  <c r="D491" i="8" s="1"/>
  <c r="B492" i="8"/>
  <c r="D492" i="8" s="1"/>
  <c r="B493" i="8"/>
  <c r="D493" i="8" s="1"/>
  <c r="B494" i="8"/>
  <c r="D494" i="8" s="1"/>
  <c r="B495" i="8"/>
  <c r="D495" i="8" s="1"/>
  <c r="B496" i="8"/>
  <c r="D496" i="8" s="1"/>
  <c r="B497" i="8"/>
  <c r="D497" i="8" s="1"/>
  <c r="B498" i="8"/>
  <c r="D498" i="8" s="1"/>
  <c r="B499" i="8"/>
  <c r="D499" i="8" s="1"/>
  <c r="B500" i="8"/>
  <c r="D500" i="8" s="1"/>
  <c r="B501" i="8"/>
  <c r="D501" i="8" s="1"/>
  <c r="B180" i="8" l="1"/>
  <c r="D180" i="8" s="1"/>
  <c r="B181" i="8"/>
  <c r="D181" i="8" s="1"/>
  <c r="B182" i="8"/>
  <c r="D182" i="8" s="1"/>
  <c r="B183" i="8"/>
  <c r="D183" i="8" s="1"/>
  <c r="B184" i="8"/>
  <c r="D184" i="8" s="1"/>
  <c r="B185" i="8"/>
  <c r="D185" i="8" s="1"/>
  <c r="B186" i="8"/>
  <c r="D186" i="8" s="1"/>
  <c r="B187" i="8"/>
  <c r="D187" i="8" s="1"/>
  <c r="B188" i="8"/>
  <c r="D188" i="8" s="1"/>
  <c r="B189" i="8"/>
  <c r="D189" i="8" s="1"/>
  <c r="B190" i="8"/>
  <c r="D190" i="8" s="1"/>
  <c r="B191" i="8"/>
  <c r="D191" i="8" s="1"/>
  <c r="B192" i="8"/>
  <c r="D192" i="8" s="1"/>
  <c r="B193" i="8"/>
  <c r="D193" i="8" s="1"/>
  <c r="B194" i="8"/>
  <c r="D194" i="8" s="1"/>
  <c r="B195" i="8"/>
  <c r="D195" i="8" s="1"/>
  <c r="B196" i="8"/>
  <c r="D196" i="8" s="1"/>
  <c r="B197" i="8"/>
  <c r="D197" i="8" s="1"/>
  <c r="B198" i="8"/>
  <c r="D198" i="8" s="1"/>
  <c r="B199" i="8"/>
  <c r="D199" i="8" s="1"/>
  <c r="B200" i="8"/>
  <c r="D200" i="8" s="1"/>
  <c r="B201" i="8"/>
  <c r="D201" i="8" s="1"/>
  <c r="B202" i="8"/>
  <c r="D202" i="8" s="1"/>
  <c r="B203" i="8"/>
  <c r="D203" i="8" s="1"/>
  <c r="B204" i="8"/>
  <c r="D204" i="8" s="1"/>
  <c r="B205" i="8"/>
  <c r="D205" i="8" s="1"/>
  <c r="B206" i="8"/>
  <c r="D206" i="8" s="1"/>
  <c r="B207" i="8"/>
  <c r="D207" i="8" s="1"/>
  <c r="B208" i="8"/>
  <c r="D208" i="8" s="1"/>
  <c r="B209" i="8"/>
  <c r="D209" i="8" s="1"/>
  <c r="B210" i="8"/>
  <c r="D210" i="8" s="1"/>
  <c r="B211" i="8"/>
  <c r="D211" i="8" s="1"/>
  <c r="B212" i="8"/>
  <c r="D212" i="8" s="1"/>
  <c r="B213" i="8"/>
  <c r="D213" i="8" s="1"/>
  <c r="B214" i="8"/>
  <c r="D214" i="8" s="1"/>
  <c r="B215" i="8"/>
  <c r="D215" i="8" s="1"/>
  <c r="B216" i="8"/>
  <c r="D216" i="8" s="1"/>
  <c r="B217" i="8"/>
  <c r="D217" i="8" s="1"/>
  <c r="B218" i="8"/>
  <c r="D218" i="8" s="1"/>
  <c r="B219" i="8"/>
  <c r="D219" i="8" s="1"/>
  <c r="B220" i="8"/>
  <c r="D220" i="8" s="1"/>
  <c r="B221" i="8"/>
  <c r="D221" i="8" s="1"/>
  <c r="B222" i="8"/>
  <c r="D222" i="8" s="1"/>
  <c r="B223" i="8"/>
  <c r="D223" i="8" s="1"/>
  <c r="B224" i="8"/>
  <c r="D224" i="8" s="1"/>
  <c r="B225" i="8"/>
  <c r="D225" i="8" s="1"/>
  <c r="B226" i="8"/>
  <c r="D226" i="8" s="1"/>
  <c r="B227" i="8"/>
  <c r="D227" i="8" s="1"/>
  <c r="B228" i="8"/>
  <c r="D228" i="8" s="1"/>
  <c r="B229" i="8"/>
  <c r="D229" i="8" s="1"/>
  <c r="B230" i="8"/>
  <c r="D230" i="8" s="1"/>
  <c r="B231" i="8"/>
  <c r="D231" i="8" s="1"/>
  <c r="B232" i="8"/>
  <c r="D232" i="8" s="1"/>
  <c r="B233" i="8"/>
  <c r="D233" i="8" s="1"/>
  <c r="B234" i="8"/>
  <c r="D234" i="8" s="1"/>
  <c r="B235" i="8"/>
  <c r="D235" i="8" s="1"/>
  <c r="B236" i="8"/>
  <c r="D236" i="8" s="1"/>
  <c r="B237" i="8"/>
  <c r="D237" i="8" s="1"/>
  <c r="B238" i="8"/>
  <c r="D238" i="8" s="1"/>
  <c r="B239" i="8"/>
  <c r="D239" i="8" s="1"/>
  <c r="B240" i="8"/>
  <c r="D240" i="8" s="1"/>
  <c r="B241" i="8"/>
  <c r="D241" i="8" s="1"/>
  <c r="B242" i="8"/>
  <c r="D242" i="8" s="1"/>
  <c r="B243" i="8"/>
  <c r="D243" i="8" s="1"/>
  <c r="B244" i="8"/>
  <c r="D244" i="8" s="1"/>
  <c r="B245" i="8"/>
  <c r="D245" i="8" s="1"/>
  <c r="B246" i="8"/>
  <c r="D246" i="8" s="1"/>
  <c r="B247" i="8"/>
  <c r="D247" i="8" s="1"/>
  <c r="B248" i="8"/>
  <c r="D248" i="8" s="1"/>
  <c r="B249" i="8"/>
  <c r="D249" i="8" s="1"/>
  <c r="B250" i="8"/>
  <c r="D250" i="8" s="1"/>
  <c r="F577" i="13" a="1"/>
  <c r="F130" i="13" a="1"/>
  <c r="F1067" i="13" a="1"/>
  <c r="F763" i="13" a="1"/>
  <c r="F20" i="13" a="1"/>
  <c r="F429" i="13" a="1"/>
  <c r="F23" i="13" a="1"/>
  <c r="F202" i="13" a="1"/>
  <c r="F1110" i="13" a="1"/>
  <c r="F954" i="13" a="1"/>
  <c r="F583" i="13" a="1"/>
  <c r="F1148" i="13" a="1"/>
  <c r="F555" i="13" a="1"/>
  <c r="F114" i="13" a="1"/>
  <c r="F1165" i="13" a="1"/>
  <c r="F905" i="13" a="1"/>
  <c r="F62" i="13" a="1"/>
  <c r="F865" i="13" a="1"/>
  <c r="F1151" i="13" a="1"/>
  <c r="F71" i="13" a="1"/>
  <c r="F119" i="13" a="1"/>
  <c r="F273" i="13" a="1"/>
  <c r="F357" i="13" a="1"/>
  <c r="F989" i="13" a="1"/>
  <c r="F215" i="13" a="1"/>
  <c r="F1096" i="13" a="1"/>
  <c r="F984" i="13" a="1"/>
  <c r="F880" i="13" a="1"/>
  <c r="F1225" i="13" a="1"/>
  <c r="F696" i="13" a="1"/>
  <c r="F1182" i="13" a="1"/>
  <c r="F674" i="13" a="1"/>
  <c r="F1285" i="13" a="1"/>
  <c r="F300" i="13" a="1"/>
  <c r="F1191" i="13" a="1"/>
  <c r="F233" i="13" a="1"/>
  <c r="F145" i="13" a="1"/>
  <c r="F58" i="13" a="1"/>
  <c r="F571" i="13" a="1"/>
  <c r="F636" i="13" a="1"/>
  <c r="F1263" i="13" a="1"/>
  <c r="F742" i="13" a="1"/>
  <c r="F221" i="13" a="1"/>
  <c r="F714" i="13" a="1"/>
  <c r="F74" i="13" a="1"/>
  <c r="F184" i="13" a="1"/>
  <c r="F1097" i="13" a="1"/>
  <c r="F209" i="13" a="1"/>
  <c r="F839" i="13" a="1"/>
  <c r="F45" i="13" a="1"/>
  <c r="F313" i="13" a="1"/>
  <c r="F659" i="13" a="1"/>
  <c r="F133" i="13" a="1"/>
  <c r="F1273" i="13" a="1"/>
  <c r="F1333" i="13" a="1"/>
  <c r="F911" i="13" a="1"/>
  <c r="F971" i="13" a="1"/>
  <c r="F210" i="13" a="1"/>
  <c r="F106" i="13" a="1"/>
  <c r="F1294" i="13" a="1"/>
  <c r="F587" i="13" a="1"/>
  <c r="F59" i="13" a="1"/>
  <c r="F29" i="13" a="1"/>
  <c r="F295" i="13" a="1"/>
  <c r="F363" i="13" a="1"/>
  <c r="F94" i="13" a="1"/>
  <c r="F222" i="13" a="1"/>
  <c r="F1068" i="13" a="1"/>
  <c r="F190" i="13" a="1"/>
  <c r="F772" i="13" a="1"/>
  <c r="F800" i="13" a="1"/>
  <c r="F158" i="13" a="1"/>
  <c r="F12" i="13" a="1"/>
  <c r="F369" i="13" a="1"/>
  <c r="F564" i="13" a="1"/>
  <c r="F752" i="13" a="1"/>
  <c r="F605" i="13" a="1"/>
  <c r="F955" i="13" a="1"/>
  <c r="F152" i="13" a="1"/>
  <c r="F1056" i="13" a="1"/>
  <c r="F61" i="13" a="1"/>
  <c r="F189" i="13" a="1"/>
  <c r="F916" i="13" a="1"/>
  <c r="F932" i="13" a="1"/>
  <c r="F850" i="13" a="1"/>
  <c r="F574" i="13" a="1"/>
  <c r="F1251" i="13" a="1"/>
  <c r="F589" i="13" a="1"/>
  <c r="F1192" i="13" a="1"/>
  <c r="F420" i="13" a="1"/>
  <c r="F142" i="13" a="1"/>
  <c r="F1155" i="13" a="1"/>
  <c r="F30" i="13" a="1"/>
  <c r="F720" i="13" a="1"/>
  <c r="F788" i="13" a="1"/>
  <c r="F687" i="13" a="1"/>
  <c r="F585" i="13" a="1"/>
  <c r="F373" i="13" a="1"/>
  <c r="F1284" i="13" a="1"/>
  <c r="F1279" i="13" a="1"/>
  <c r="F619" i="13" a="1"/>
  <c r="F379" i="13" a="1"/>
  <c r="F138" i="13" a="1"/>
  <c r="F1146" i="13" a="1"/>
  <c r="F765" i="13" a="1"/>
  <c r="F966" i="13" a="1"/>
  <c r="F148" i="13" a="1"/>
  <c r="F17" i="13" a="1"/>
  <c r="F1058" i="13" a="1"/>
  <c r="F205" i="13" a="1"/>
  <c r="F276" i="13" a="1"/>
  <c r="F1258" i="13" a="1"/>
  <c r="F88" i="13" a="1"/>
  <c r="F1260" i="13" a="1"/>
  <c r="F601" i="13" a="1"/>
  <c r="F797" i="13" a="1"/>
  <c r="F581" i="13" a="1"/>
  <c r="F846" i="13" a="1"/>
  <c r="F649" i="13" a="1"/>
  <c r="F83" i="13" a="1"/>
  <c r="F779" i="13" a="1"/>
  <c r="F35" i="13" a="1"/>
  <c r="F371" i="13" a="1"/>
  <c r="F25" i="13" a="1"/>
  <c r="F147" i="13" a="1"/>
  <c r="F1186" i="13" a="1"/>
  <c r="F947" i="13" a="1"/>
  <c r="F243" i="13" a="1"/>
  <c r="F563" i="13" a="1"/>
  <c r="F844" i="13" a="1"/>
  <c r="F983" i="13" a="1"/>
  <c r="F427" i="13" a="1"/>
  <c r="F746" i="13" a="1"/>
  <c r="F50" i="13" a="1"/>
  <c r="F1089" i="13" a="1"/>
  <c r="F101" i="13" a="1"/>
  <c r="F887" i="13" a="1"/>
  <c r="F191" i="13" a="1"/>
  <c r="F78" i="13" a="1"/>
  <c r="F52" i="13" a="1"/>
  <c r="F832" i="13" a="1"/>
  <c r="F66" i="13" a="1"/>
  <c r="F269" i="13" a="1"/>
  <c r="F893" i="13" a="1"/>
  <c r="F879" i="13" a="1"/>
  <c r="F847" i="13" a="1"/>
  <c r="F24" i="13" a="1"/>
  <c r="F719" i="13" a="1"/>
  <c r="F748" i="13" a="1"/>
  <c r="F818" i="13" a="1"/>
  <c r="F361" i="13" a="1"/>
  <c r="F922" i="13" a="1"/>
  <c r="F546" i="13" a="1"/>
  <c r="F194" i="13" a="1"/>
  <c r="F146" i="13" a="1"/>
  <c r="F365" i="13" a="1"/>
  <c r="F1283" i="13" a="1"/>
  <c r="F927" i="13" a="1"/>
  <c r="F1159" i="13" a="1"/>
  <c r="F629" i="13" a="1"/>
  <c r="F815" i="13" a="1"/>
  <c r="F756" i="13" a="1"/>
  <c r="F909" i="13" a="1"/>
  <c r="F794" i="13" a="1"/>
  <c r="F900" i="13" a="1"/>
  <c r="F1180" i="13" a="1"/>
  <c r="F155" i="13" a="1"/>
  <c r="F86" i="13" a="1"/>
  <c r="F759" i="13" a="1"/>
  <c r="F123" i="13" a="1"/>
  <c r="F705" i="13" a="1"/>
  <c r="F979" i="13" a="1"/>
  <c r="F270" i="13" a="1"/>
  <c r="F834" i="13" a="1"/>
  <c r="F684" i="13" a="1"/>
  <c r="F599" i="13" a="1"/>
  <c r="F936" i="13" a="1"/>
  <c r="F1277" i="13" a="1"/>
  <c r="F634" i="13" a="1"/>
  <c r="F845" i="13" a="1"/>
  <c r="F124" i="13" a="1"/>
  <c r="F1194" i="13" a="1"/>
  <c r="F718" i="13" a="1"/>
  <c r="F606" i="13" a="1"/>
  <c r="F1113" i="13" a="1"/>
  <c r="F1293" i="13" a="1"/>
  <c r="F34" i="13" a="1"/>
  <c r="F557" i="13" a="1"/>
  <c r="F853" i="13" a="1"/>
  <c r="F91" i="13" a="1"/>
  <c r="F28" i="13" a="1"/>
  <c r="F690" i="13" a="1"/>
  <c r="F122" i="13" a="1"/>
  <c r="F1059" i="13" a="1"/>
  <c r="F296" i="13" a="1"/>
  <c r="F757" i="13" a="1"/>
  <c r="F1057" i="13" a="1"/>
  <c r="F109" i="13" a="1"/>
  <c r="F552" i="13" a="1"/>
  <c r="F948" i="13" a="1"/>
  <c r="F926" i="13" a="1"/>
  <c r="F878" i="13" a="1"/>
  <c r="F814" i="13" a="1"/>
  <c r="F658" i="13" a="1"/>
  <c r="F917" i="13" a="1"/>
  <c r="F545" i="13" a="1"/>
  <c r="F358" i="13" a="1"/>
  <c r="F157" i="13" a="1"/>
  <c r="F962" i="13" a="1"/>
  <c r="F783" i="13" a="1"/>
  <c r="F151" i="13" a="1"/>
  <c r="F214" i="13" a="1"/>
  <c r="F803" i="13" a="1"/>
  <c r="F852" i="13" a="1"/>
  <c r="F104" i="13" a="1"/>
  <c r="F985" i="13" a="1"/>
  <c r="F974" i="13" a="1"/>
  <c r="F72" i="13" a="1"/>
  <c r="F1092" i="13" a="1"/>
  <c r="F56" i="13" a="1"/>
  <c r="F1267" i="13" a="1"/>
  <c r="F1317" i="13" a="1"/>
  <c r="F620" i="13" a="1"/>
  <c r="F63" i="13" a="1"/>
  <c r="F204" i="13" a="1"/>
  <c r="F613" i="13" a="1"/>
  <c r="F98" i="13" a="1"/>
  <c r="F1275" i="13" a="1"/>
  <c r="F8" i="13" a="1"/>
  <c r="F544" i="13" a="1"/>
  <c r="F166" i="13" a="1"/>
  <c r="F615" i="13" a="1"/>
  <c r="F784" i="13" a="1"/>
  <c r="F1289" i="13" a="1"/>
  <c r="F1145" i="13" a="1"/>
  <c r="F584" i="13" a="1"/>
  <c r="F1107" i="13" a="1"/>
  <c r="F885" i="13" a="1"/>
  <c r="F641" i="13" a="1"/>
  <c r="F153" i="13" a="1"/>
  <c r="F423" i="13" a="1"/>
  <c r="F978" i="13" a="1"/>
  <c r="F173" i="13" a="1"/>
  <c r="F562" i="13" a="1"/>
  <c r="F362" i="13" a="1"/>
  <c r="F755" i="13" a="1"/>
  <c r="F892" i="13" a="1"/>
  <c r="F682" i="13" a="1"/>
  <c r="F53" i="13" a="1"/>
  <c r="F5" i="13" a="1"/>
  <c r="F217" i="13" a="1"/>
  <c r="F424" i="13" a="1"/>
  <c r="F870" i="13" a="1"/>
  <c r="F1265" i="13" a="1"/>
  <c r="F42" i="13" a="1"/>
  <c r="F1101" i="13" a="1"/>
  <c r="F609" i="13" a="1"/>
  <c r="F1290" i="13" a="1"/>
  <c r="F778" i="13" a="1"/>
  <c r="F381" i="13" a="1"/>
  <c r="F600" i="13" a="1"/>
  <c r="F1114" i="13" a="1"/>
  <c r="F245" i="13" a="1"/>
  <c r="F944" i="13" a="1"/>
  <c r="F802" i="13" a="1"/>
  <c r="F242" i="13" a="1"/>
  <c r="F785" i="13" a="1"/>
  <c r="F547" i="13" a="1"/>
  <c r="F47" i="13" a="1"/>
  <c r="F1045" i="13" a="1"/>
  <c r="F764" i="13" a="1"/>
  <c r="F389" i="13" a="1"/>
  <c r="F777" i="13" a="1"/>
  <c r="F90" i="13" a="1"/>
  <c r="F294" i="13" a="1"/>
  <c r="F367" i="13" a="1"/>
  <c r="F240" i="13" a="1"/>
  <c r="F96" i="13" a="1"/>
  <c r="F185" i="13" a="1"/>
  <c r="F79" i="13" a="1"/>
  <c r="F960" i="13" a="1"/>
  <c r="F302" i="13" a="1"/>
  <c r="F197" i="13" a="1"/>
  <c r="F277" i="13" a="1"/>
  <c r="F112" i="13" a="1"/>
  <c r="F933" i="13" a="1"/>
  <c r="F132" i="13" a="1"/>
  <c r="F1103" i="13" a="1"/>
  <c r="F1136" i="13" a="1"/>
  <c r="F97" i="13" a="1"/>
  <c r="F824" i="13" a="1"/>
  <c r="F1163" i="13" a="1"/>
  <c r="F806" i="13" a="1"/>
  <c r="F73" i="13" a="1"/>
  <c r="F795" i="13" a="1"/>
  <c r="F1063" i="13" a="1"/>
  <c r="F1043" i="13" a="1"/>
  <c r="F193" i="13" a="1"/>
  <c r="F1144" i="13" a="1"/>
  <c r="F284" i="13" a="1"/>
  <c r="F1147" i="13" a="1"/>
  <c r="F2" i="13" a="1"/>
  <c r="F918" i="13" a="1"/>
  <c r="F665" i="13" a="1"/>
  <c r="F597" i="13" a="1"/>
  <c r="F817" i="13" a="1"/>
  <c r="F837" i="13" a="1"/>
  <c r="F239" i="13" a="1"/>
  <c r="F760" i="13" a="1"/>
  <c r="F315" i="13" a="1"/>
  <c r="F754" i="13" a="1"/>
  <c r="F679" i="13" a="1"/>
  <c r="F652" i="13" a="1"/>
  <c r="F952" i="13" a="1"/>
  <c r="F172" i="13" a="1"/>
  <c r="F598" i="13" a="1"/>
  <c r="F862" i="13" a="1"/>
  <c r="F796" i="13" a="1"/>
  <c r="F635" i="13" a="1"/>
  <c r="F891" i="13" a="1"/>
  <c r="F642" i="13" a="1"/>
  <c r="F569" i="13" a="1"/>
  <c r="F549" i="13" a="1"/>
  <c r="F1137" i="13" a="1"/>
  <c r="F1050" i="13" a="1"/>
  <c r="F790" i="13" a="1"/>
  <c r="F626" i="13" a="1"/>
  <c r="F19" i="13" a="1"/>
  <c r="F586" i="13" a="1"/>
  <c r="F15" i="13" a="1"/>
  <c r="F578" i="13" a="1"/>
  <c r="F616" i="13" a="1"/>
  <c r="F1119" i="13" a="1"/>
  <c r="F195" i="13" a="1"/>
  <c r="F644" i="13" a="1"/>
  <c r="F212" i="13" a="1"/>
  <c r="F4" i="13" a="1"/>
  <c r="F860" i="13" a="1"/>
  <c r="F1199" i="13" a="1"/>
  <c r="F85" i="13" a="1"/>
  <c r="F154" i="13" a="1"/>
  <c r="F1255" i="13" a="1"/>
  <c r="F1135" i="13" a="1"/>
  <c r="F31" i="13" a="1"/>
  <c r="F771" i="13" a="1"/>
  <c r="F1055" i="13" a="1"/>
  <c r="F945" i="13" a="1"/>
  <c r="F121" i="13" a="1"/>
  <c r="F186" i="13" a="1"/>
  <c r="F76" i="13" a="1"/>
  <c r="F607" i="13" a="1"/>
  <c r="F685" i="13" a="1"/>
  <c r="F1278" i="13" a="1"/>
  <c r="F582" i="13" a="1"/>
  <c r="F639" i="13" a="1"/>
  <c r="F691" i="13" a="1"/>
  <c r="F95" i="13" a="1"/>
  <c r="F226" i="13" a="1"/>
  <c r="F651" i="13" a="1"/>
  <c r="F70" i="13" a="1"/>
  <c r="F36" i="13" a="1"/>
  <c r="F980" i="13" a="1"/>
  <c r="F1106" i="13" a="1"/>
  <c r="F964" i="13" a="1"/>
  <c r="F768" i="13" a="1"/>
  <c r="F590" i="13" a="1"/>
  <c r="F856" i="13" a="1"/>
  <c r="F678" i="13" a="1"/>
  <c r="F377" i="13" a="1"/>
  <c r="F843" i="13" a="1"/>
  <c r="F220" i="13" a="1"/>
  <c r="F1066" i="13" a="1"/>
  <c r="F10" i="13" a="1"/>
  <c r="F1104" i="13" a="1"/>
  <c r="F1282" i="13" a="1"/>
  <c r="F717" i="13" a="1"/>
  <c r="F1287" i="13" a="1"/>
  <c r="F782" i="13" a="1"/>
  <c r="F776" i="13" a="1"/>
  <c r="F299" i="13" a="1"/>
  <c r="F618" i="13" a="1"/>
  <c r="F127" i="13" a="1"/>
  <c r="F1099" i="13" a="1"/>
  <c r="F886" i="13" a="1"/>
  <c r="F33" i="13" a="1"/>
  <c r="F603" i="13" a="1"/>
  <c r="F279" i="13" a="1"/>
  <c r="F835" i="13" a="1"/>
  <c r="F836" i="13" a="1"/>
  <c r="F105" i="13" a="1"/>
  <c r="F235" i="13" a="1"/>
  <c r="F136" i="13" a="1"/>
  <c r="F1158" i="13" a="1"/>
  <c r="F662" i="13" a="1"/>
  <c r="F1098" i="13" a="1"/>
  <c r="F650" i="13" a="1"/>
  <c r="F236" i="13" a="1"/>
  <c r="F827" i="13" a="1"/>
  <c r="F181" i="13" a="1"/>
  <c r="F875" i="13" a="1"/>
  <c r="F93" i="13" a="1"/>
  <c r="F942" i="13" a="1"/>
  <c r="F812" i="13" a="1"/>
  <c r="F592" i="13" a="1"/>
  <c r="F697" i="13" a="1"/>
  <c r="F290" i="13" a="1"/>
  <c r="F801" i="13" a="1"/>
  <c r="F228" i="13" a="1"/>
  <c r="F1054" i="13" a="1"/>
  <c r="F1280" i="13" a="1"/>
  <c r="F225" i="13" a="1"/>
  <c r="F924" i="13" a="1"/>
  <c r="F825" i="13" a="1"/>
  <c r="F117" i="13" a="1"/>
  <c r="F1264" i="13" a="1"/>
  <c r="F621" i="13" a="1"/>
  <c r="F982" i="13" a="1"/>
  <c r="F129" i="13" a="1"/>
  <c r="F208" i="13" a="1"/>
  <c r="F1301" i="13" a="1"/>
  <c r="F134" i="13" a="1"/>
  <c r="F811" i="13" a="1"/>
  <c r="F695" i="13" a="1"/>
  <c r="F218" i="13" a="1"/>
  <c r="F863" i="13" a="1"/>
  <c r="F961" i="13" a="1"/>
  <c r="F793" i="13" a="1"/>
  <c r="F712" i="13" a="1"/>
  <c r="F570" i="13" a="1"/>
  <c r="F859" i="13" a="1"/>
  <c r="F271" i="13" a="1"/>
  <c r="F868" i="13" a="1"/>
  <c r="F360" i="13" a="1"/>
  <c r="F1053" i="13" a="1"/>
  <c r="F37" i="13" a="1"/>
  <c r="F278" i="13" a="1"/>
  <c r="F566" i="13" a="1"/>
  <c r="F666" i="13" a="1"/>
  <c r="F48" i="13" a="1"/>
  <c r="F646" i="13" a="1"/>
  <c r="F938" i="13" a="1"/>
  <c r="F92" i="13" a="1"/>
  <c r="F288" i="13" a="1"/>
  <c r="F1116" i="13" a="1"/>
  <c r="F928" i="13" a="1"/>
  <c r="F298" i="13" a="1"/>
  <c r="F13" i="13" a="1"/>
  <c r="F673" i="13" a="1"/>
  <c r="F1240" i="13" a="1"/>
  <c r="F612" i="13" a="1"/>
  <c r="F107" i="13" a="1"/>
  <c r="F821" i="13" a="1"/>
  <c r="F1183" i="13" a="1"/>
  <c r="F568" i="13" a="1"/>
  <c r="F610" i="13" a="1"/>
  <c r="F1048" i="13" a="1"/>
  <c r="F965" i="13" a="1"/>
  <c r="F826" i="13" a="1"/>
  <c r="F1120" i="13" a="1"/>
  <c r="F293" i="13" a="1"/>
  <c r="F781" i="13" a="1"/>
  <c r="F1226" i="13" a="1"/>
  <c r="F939" i="13" a="1"/>
  <c r="F234" i="13" a="1"/>
  <c r="F1102" i="13" a="1"/>
  <c r="F110" i="13" a="1"/>
  <c r="F1298" i="13" a="1"/>
  <c r="F1090" i="13" a="1"/>
  <c r="F378" i="13" a="1"/>
  <c r="F1139" i="13" a="1"/>
  <c r="F1051" i="13" a="1"/>
  <c r="F372" i="13" a="1"/>
  <c r="F913" i="13" a="1"/>
  <c r="F141" i="13" a="1"/>
  <c r="F128" i="13" a="1"/>
  <c r="F721" i="13" a="1"/>
  <c r="F645" i="13" a="1"/>
  <c r="F761" i="13" a="1"/>
  <c r="F953" i="13" a="1"/>
  <c r="F780" i="13" a="1"/>
  <c r="F1196" i="13" a="1"/>
  <c r="F908" i="13" a="1"/>
  <c r="F67" i="13" a="1"/>
  <c r="F809" i="13" a="1"/>
  <c r="F972" i="13" a="1"/>
  <c r="F975" i="13" a="1"/>
  <c r="F877" i="13" a="1"/>
  <c r="F576" i="13" a="1"/>
  <c r="F871" i="13" a="1"/>
  <c r="F144" i="13" a="1"/>
  <c r="F244" i="13" a="1"/>
  <c r="F1093" i="13" a="1"/>
  <c r="F1108" i="13" a="1"/>
  <c r="F819" i="13" a="1"/>
  <c r="F884" i="13" a="1"/>
  <c r="F895" i="13" a="1"/>
  <c r="F89" i="13" a="1"/>
  <c r="F65" i="13" a="1"/>
  <c r="F139" i="13" a="1"/>
  <c r="F753" i="13" a="1"/>
  <c r="F703" i="13" a="1"/>
  <c r="F579" i="13" a="1"/>
  <c r="F930" i="13" a="1"/>
  <c r="F648" i="13" a="1"/>
  <c r="F632" i="13" a="1"/>
  <c r="F551" i="13" a="1"/>
  <c r="F1047" i="13" a="1"/>
  <c r="F699" i="13" a="1"/>
  <c r="F614" i="13" a="1"/>
  <c r="F647" i="13" a="1"/>
  <c r="F286" i="13" a="1"/>
  <c r="F135" i="13" a="1"/>
  <c r="F854" i="13" a="1"/>
  <c r="F238" i="13" a="1"/>
  <c r="F949" i="13" a="1"/>
  <c r="F198" i="13" a="1"/>
  <c r="F663" i="13" a="1"/>
  <c r="F848" i="13" a="1"/>
  <c r="F1162" i="13" a="1"/>
  <c r="F6" i="13" a="1"/>
  <c r="F596" i="13" a="1"/>
  <c r="F970" i="13" a="1"/>
  <c r="F851" i="13" a="1"/>
  <c r="F743" i="13" a="1"/>
  <c r="F565" i="13" a="1"/>
  <c r="F873" i="13" a="1"/>
  <c r="F943" i="13" a="1"/>
  <c r="F177" i="13" a="1"/>
  <c r="F904" i="13" a="1"/>
  <c r="F162" i="13" a="1"/>
  <c r="F968" i="13" a="1"/>
  <c r="F183" i="13" a="1"/>
  <c r="F422" i="13" a="1"/>
  <c r="F747" i="13" a="1"/>
  <c r="F791" i="13" a="1"/>
  <c r="F180" i="13" a="1"/>
  <c r="F219" i="13" a="1"/>
  <c r="F203" i="13" a="1"/>
  <c r="F986" i="13" a="1"/>
  <c r="F897" i="13" a="1"/>
  <c r="F27" i="13" a="1"/>
  <c r="F767" i="13" a="1"/>
  <c r="F762" i="13" a="1"/>
  <c r="F745" i="13" a="1"/>
  <c r="F630" i="13" a="1"/>
  <c r="F702" i="13" a="1"/>
  <c r="F1044" i="13" a="1"/>
  <c r="F57" i="13" a="1"/>
  <c r="F140" i="13" a="1"/>
  <c r="F163" i="13" a="1"/>
  <c r="F1254" i="13" a="1"/>
  <c r="F888" i="13" a="1"/>
  <c r="F1157" i="13" a="1"/>
  <c r="F882" i="13" a="1"/>
  <c r="F713" i="13" a="1"/>
  <c r="F715" i="13" a="1"/>
  <c r="F178" i="13" a="1"/>
  <c r="F1046" i="13" a="1"/>
  <c r="F167" i="13" a="1"/>
  <c r="F889" i="13" a="1"/>
  <c r="F593" i="13" a="1"/>
  <c r="F676" i="13" a="1"/>
  <c r="F1161" i="13" a="1"/>
  <c r="F385" i="13" a="1"/>
  <c r="F192" i="13" a="1"/>
  <c r="F187" i="13" a="1"/>
  <c r="F64" i="13" a="1"/>
  <c r="F1112" i="13" a="1"/>
  <c r="F906" i="13" a="1"/>
  <c r="F1262" i="13" a="1"/>
  <c r="F686" i="13" a="1"/>
  <c r="F694" i="13" a="1"/>
  <c r="F1141" i="13" a="1"/>
  <c r="F1296" i="13" a="1"/>
  <c r="F951" i="13" a="1"/>
  <c r="F867" i="13" a="1"/>
  <c r="F567" i="13" a="1"/>
  <c r="F280" i="13" a="1"/>
  <c r="F380" i="13" a="1"/>
  <c r="F931" i="13" a="1"/>
  <c r="F890" i="13" a="1"/>
  <c r="F669" i="13" a="1"/>
  <c r="F14" i="13" a="1"/>
  <c r="F387" i="13" a="1"/>
  <c r="F1193" i="13" a="1"/>
  <c r="F857" i="13" a="1"/>
  <c r="F804" i="13" a="1"/>
  <c r="F213" i="13" a="1"/>
  <c r="F1189" i="13" a="1"/>
  <c r="F1156" i="13" a="1"/>
  <c r="F285" i="13" a="1"/>
  <c r="F624" i="13" a="1"/>
  <c r="F283" i="13" a="1"/>
  <c r="F920" i="13" a="1"/>
  <c r="F388" i="13" a="1"/>
  <c r="F698" i="13" a="1"/>
  <c r="F200" i="13" a="1"/>
  <c r="F631" i="13" a="1"/>
  <c r="F1274" i="13" a="1"/>
  <c r="F1261" i="13" a="1"/>
  <c r="F869" i="13" a="1"/>
  <c r="F683" i="13" a="1"/>
  <c r="F1181" i="13" a="1"/>
  <c r="F99" i="13" a="1"/>
  <c r="F174" i="13" a="1"/>
  <c r="F1295" i="13" a="1"/>
  <c r="F910" i="13" a="1"/>
  <c r="F1060" i="13" a="1"/>
  <c r="F1049" i="13" a="1"/>
  <c r="F1062" i="13" a="1"/>
  <c r="F201" i="13" a="1"/>
  <c r="F1091" i="13" a="1"/>
  <c r="F69" i="13" a="1"/>
  <c r="F977" i="13" a="1"/>
  <c r="F934" i="13" a="1"/>
  <c r="F967" i="13" a="1"/>
  <c r="F176" i="13" a="1"/>
  <c r="F1195" i="13" a="1"/>
  <c r="F1115" i="13" a="1"/>
  <c r="F553" i="13" a="1"/>
  <c r="F11" i="13" a="1"/>
  <c r="F831" i="13" a="1"/>
  <c r="F230" i="13" a="1"/>
  <c r="F1143" i="13" a="1"/>
  <c r="F364" i="13" a="1"/>
  <c r="F822" i="13" a="1"/>
  <c r="F1268" i="13" a="1"/>
  <c r="F935" i="13" a="1"/>
  <c r="F959" i="13" a="1"/>
  <c r="F1257" i="13" a="1"/>
  <c r="F150" i="13" a="1"/>
  <c r="F1065" i="13" a="1"/>
  <c r="F368" i="13" a="1"/>
  <c r="F428" i="13" a="1"/>
  <c r="F1149" i="13" a="1"/>
  <c r="F973" i="13" a="1"/>
  <c r="F102" i="13" a="1"/>
  <c r="F749" i="13" a="1"/>
  <c r="F1100" i="13" a="1"/>
  <c r="F289" i="13" a="1"/>
  <c r="F1266" i="13" a="1"/>
  <c r="F898" i="13" a="1"/>
  <c r="F915" i="13" a="1"/>
  <c r="F1300" i="13" a="1"/>
  <c r="F301" i="13" a="1"/>
  <c r="F1052" i="13" a="1"/>
  <c r="F103" i="13" a="1"/>
  <c r="F272" i="13" a="1"/>
  <c r="F770" i="13" a="1"/>
  <c r="F1111" i="13" a="1"/>
  <c r="F668" i="13" a="1"/>
  <c r="F751" i="13" a="1"/>
  <c r="F677" i="13" a="1"/>
  <c r="F766" i="13" a="1"/>
  <c r="F575" i="13" a="1"/>
  <c r="F281" i="13" a="1"/>
  <c r="F68" i="13" a="1"/>
  <c r="F216" i="13" a="1"/>
  <c r="F937" i="13" a="1"/>
  <c r="F813" i="13" a="1"/>
  <c r="F602" i="13" a="1"/>
  <c r="F623" i="13" a="1"/>
  <c r="F773" i="13" a="1"/>
  <c r="F207" i="13" a="1"/>
  <c r="F903" i="13" a="1"/>
  <c r="F919" i="13" a="1"/>
  <c r="F1253" i="13" a="1"/>
  <c r="F16" i="13" a="1"/>
  <c r="F1185" i="13" a="1"/>
  <c r="F611" i="13" a="1"/>
  <c r="F807" i="13" a="1"/>
  <c r="F820" i="13" a="1"/>
  <c r="F680" i="13" a="1"/>
  <c r="F54" i="13" a="1"/>
  <c r="F744" i="13" a="1"/>
  <c r="F640" i="13" a="1"/>
  <c r="F864" i="13" a="1"/>
  <c r="F769" i="13" a="1"/>
  <c r="F929" i="13" a="1"/>
  <c r="F430" i="13" a="1"/>
  <c r="F7" i="13" a="1"/>
  <c r="F1094" i="13" a="1"/>
  <c r="F1272" i="13" a="1"/>
  <c r="F1269" i="13" a="1"/>
  <c r="F100" i="13" a="1"/>
  <c r="F1197" i="13" a="1"/>
  <c r="F786" i="13" a="1"/>
  <c r="F828" i="13" a="1"/>
  <c r="F1198" i="13" a="1"/>
  <c r="F366" i="13" a="1"/>
  <c r="F287" i="13" a="1"/>
  <c r="F1299" i="13" a="1"/>
  <c r="F1297" i="13" a="1"/>
  <c r="F950" i="13" a="1"/>
  <c r="F925" i="13" a="1"/>
  <c r="F787" i="13" a="1"/>
  <c r="F907" i="13" a="1"/>
  <c r="F196" i="13" a="1"/>
  <c r="F51" i="13" a="1"/>
  <c r="F681" i="13" a="1"/>
  <c r="F223" i="13" a="1"/>
  <c r="F159" i="13" a="1"/>
  <c r="F1292" i="13" a="1"/>
  <c r="F125" i="13" a="1"/>
  <c r="F923" i="13" a="1"/>
  <c r="F604" i="13" a="1"/>
  <c r="F21" i="13" a="1"/>
  <c r="F670" i="13" a="1"/>
  <c r="F840" i="13" a="1"/>
  <c r="F143" i="13" a="1"/>
  <c r="F901" i="13" a="1"/>
  <c r="F40" i="13" a="1"/>
  <c r="F9" i="13" a="1"/>
  <c r="F1179" i="13" a="1"/>
  <c r="F118" i="13" a="1"/>
  <c r="F386" i="13" a="1"/>
  <c r="F874" i="13" a="1"/>
  <c r="F858" i="13" a="1"/>
  <c r="F556" i="13" a="1"/>
  <c r="F60" i="13" a="1"/>
  <c r="F872" i="13" a="1"/>
  <c r="F1249" i="13" a="1"/>
  <c r="F383" i="13" a="1"/>
  <c r="F18" i="13" a="1"/>
  <c r="F1070" i="13" a="1"/>
  <c r="F1153" i="13" a="1"/>
  <c r="F701" i="13" a="1"/>
  <c r="F49" i="13" a="1"/>
  <c r="F608" i="13" a="1"/>
  <c r="F1288" i="13" a="1"/>
  <c r="F548" i="13" a="1"/>
  <c r="F1154" i="13" a="1"/>
  <c r="F41" i="13" a="1"/>
  <c r="F638" i="13" a="1"/>
  <c r="F700" i="13" a="1"/>
  <c r="F963" i="13" a="1"/>
  <c r="F716" i="13" a="1"/>
  <c r="F637" i="13" a="1"/>
  <c r="F274" i="13" a="1"/>
  <c r="F81" i="13" a="1"/>
  <c r="F981" i="13" a="1"/>
  <c r="F976" i="13" a="1"/>
  <c r="F169" i="13" a="1"/>
  <c r="F1064" i="13" a="1"/>
  <c r="F799" i="13" a="1"/>
  <c r="F237" i="13" a="1"/>
  <c r="F291" i="13" a="1"/>
  <c r="F80" i="13" a="1"/>
  <c r="F861" i="13" a="1"/>
  <c r="F1140" i="13" a="1"/>
  <c r="F912" i="13" a="1"/>
  <c r="F1164" i="13" a="1"/>
  <c r="F829" i="13" a="1"/>
  <c r="F415" i="13" a="1"/>
  <c r="F810" i="13" a="1"/>
  <c r="F1250" i="13" a="1"/>
  <c r="F231" i="13" a="1"/>
  <c r="F84" i="13" a="1"/>
  <c r="F87" i="13" a="1"/>
  <c r="F359" i="13" a="1"/>
  <c r="F902" i="13" a="1"/>
  <c r="F38" i="13" a="1"/>
  <c r="F206" i="13" a="1"/>
  <c r="F241" i="13" a="1"/>
  <c r="F182" i="13" a="1"/>
  <c r="F292" i="13" a="1"/>
  <c r="F969" i="13" a="1"/>
  <c r="F232" i="13" a="1"/>
  <c r="F573" i="13" a="1"/>
  <c r="F591" i="13" a="1"/>
  <c r="F149" i="13" a="1"/>
  <c r="F842" i="13" a="1"/>
  <c r="F774" i="13" a="1"/>
  <c r="F1142" i="13" a="1"/>
  <c r="F1138" i="13" a="1"/>
  <c r="F1271" i="13" a="1"/>
  <c r="F282" i="13" a="1"/>
  <c r="F1118" i="13" a="1"/>
  <c r="F168" i="13" a="1"/>
  <c r="F26" i="13" a="1"/>
  <c r="F314" i="13" a="1"/>
  <c r="F275" i="13" a="1"/>
  <c r="F382" i="13" a="1"/>
  <c r="F805" i="13" a="1"/>
  <c r="F108" i="13" a="1"/>
  <c r="F692" i="13" a="1"/>
  <c r="F165" i="13" a="1"/>
  <c r="F543" i="13" a="1"/>
  <c r="F838" i="13" a="1"/>
  <c r="F120" i="13" a="1"/>
  <c r="F161" i="13" a="1"/>
  <c r="F126" i="13" a="1"/>
  <c r="F374" i="13" a="1"/>
  <c r="F941" i="13" a="1"/>
  <c r="F823" i="13" a="1"/>
  <c r="F588" i="13" a="1"/>
  <c r="F688" i="13" a="1"/>
  <c r="F675" i="13" a="1"/>
  <c r="F750" i="13" a="1"/>
  <c r="F617" i="13" a="1"/>
  <c r="F558" i="13" a="1"/>
  <c r="F224" i="13" a="1"/>
  <c r="F1172" i="13" a="1"/>
  <c r="F792" i="13" a="1"/>
  <c r="F628" i="13" a="1"/>
  <c r="F789" i="13" a="1"/>
  <c r="F1069" i="13" a="1"/>
  <c r="F131" i="13" a="1"/>
  <c r="F560" i="13" a="1"/>
  <c r="F704" i="13" a="1"/>
  <c r="F627" i="13" a="1"/>
  <c r="F625" i="13" a="1"/>
  <c r="F1117" i="13" a="1"/>
  <c r="F432" i="13" a="1"/>
  <c r="F866" i="13" a="1"/>
  <c r="F958" i="13" a="1"/>
  <c r="F664" i="13" a="1"/>
  <c r="F693" i="13" a="1"/>
  <c r="F188" i="13" a="1"/>
  <c r="F1281" i="13" a="1"/>
  <c r="F594" i="13" a="1"/>
  <c r="F1105" i="13" a="1"/>
  <c r="F899" i="13" a="1"/>
  <c r="F113" i="13" a="1"/>
  <c r="F1259" i="13" a="1"/>
  <c r="F1152" i="13" a="1"/>
  <c r="F1150" i="13" a="1"/>
  <c r="F572" i="13" a="1"/>
  <c r="F22" i="13" a="1"/>
  <c r="F841" i="13" a="1"/>
  <c r="F883" i="13" a="1"/>
  <c r="F1252" i="13" a="1"/>
  <c r="F881" i="13" a="1"/>
  <c r="F115" i="13" a="1"/>
  <c r="F1241" i="13" a="1"/>
  <c r="F550" i="13" a="1"/>
  <c r="F671" i="13" a="1"/>
  <c r="F229" i="13" a="1"/>
  <c r="F1109" i="13" a="1"/>
  <c r="F622" i="13" a="1"/>
  <c r="F561" i="13" a="1"/>
  <c r="F595" i="13" a="1"/>
  <c r="F554" i="13" a="1"/>
  <c r="F156" i="13" a="1"/>
  <c r="F160" i="13" a="1"/>
  <c r="F633" i="13" a="1"/>
  <c r="F1224" i="13" a="1"/>
  <c r="F170" i="13" a="1"/>
  <c r="F833" i="13" a="1"/>
  <c r="F1335" i="13" a="1"/>
  <c r="F55" i="13" a="1"/>
  <c r="F896" i="13" a="1"/>
  <c r="F179" i="13" a="1"/>
  <c r="F376" i="13" a="1"/>
  <c r="F580" i="13" a="1"/>
  <c r="F667" i="13" a="1"/>
  <c r="F940" i="13" a="1"/>
  <c r="F830" i="13" a="1"/>
  <c r="F1270" i="13" a="1"/>
  <c r="F431" i="13" a="1"/>
  <c r="F199" i="13" a="1"/>
  <c r="F946" i="13" a="1"/>
  <c r="F77" i="13" a="1"/>
  <c r="F808" i="13" a="1"/>
  <c r="F1061" i="13" a="1"/>
  <c r="F164" i="13" a="1"/>
  <c r="F421" i="13" a="1"/>
  <c r="F957" i="13" a="1"/>
  <c r="F956" i="13" a="1"/>
  <c r="F3" i="13" a="1"/>
  <c r="F44" i="13" a="1"/>
  <c r="F39" i="13" a="1"/>
  <c r="F1286" i="13" a="1"/>
  <c r="F798" i="13" a="1"/>
  <c r="F75" i="13" a="1"/>
  <c r="F894" i="13" a="1"/>
  <c r="F559" i="13" a="1"/>
  <c r="F227" i="13" a="1"/>
  <c r="F375" i="13" a="1"/>
  <c r="F32" i="13" a="1"/>
  <c r="F297" i="13" a="1"/>
  <c r="F171" i="13" a="1"/>
  <c r="F175" i="13" a="1"/>
  <c r="F758" i="13" a="1"/>
  <c r="F384" i="13" a="1"/>
  <c r="F643" i="13" a="1"/>
  <c r="F689" i="13" a="1"/>
  <c r="F775" i="13" a="1"/>
  <c r="F43" i="13" a="1"/>
  <c r="F211" i="13" a="1"/>
  <c r="F116" i="13" a="1"/>
  <c r="F1276" i="13" a="1"/>
  <c r="F1121" i="13" a="1"/>
  <c r="F426" i="13" a="1"/>
  <c r="F921" i="13" a="1"/>
  <c r="F672" i="13" a="1"/>
  <c r="F111" i="13" a="1"/>
  <c r="F876" i="13" a="1"/>
  <c r="F849" i="13" a="1"/>
  <c r="F370" i="13" a="1"/>
  <c r="F82" i="13" a="1"/>
  <c r="F1160" i="13" a="1"/>
  <c r="F855" i="13" a="1"/>
  <c r="F1095" i="13" a="1"/>
  <c r="F46" i="13" a="1"/>
  <c r="F137" i="13" a="1"/>
  <c r="F1088" i="13" a="1"/>
  <c r="F425" i="13" a="1"/>
  <c r="F816" i="13" a="1"/>
  <c r="F1002" i="13" a="1"/>
  <c r="F1256" i="13" a="1"/>
  <c r="F1140" i="13" l="1"/>
  <c r="F432" i="13"/>
  <c r="F142" i="13"/>
  <c r="F825" i="13"/>
  <c r="F368" i="13"/>
  <c r="F1162" i="13"/>
  <c r="F181" i="13"/>
  <c r="F132" i="13"/>
  <c r="F705" i="13"/>
  <c r="F752" i="13"/>
  <c r="F627" i="13"/>
  <c r="F833" i="13"/>
  <c r="F861" i="13"/>
  <c r="F572" i="13"/>
  <c r="F602" i="13"/>
  <c r="F1113" i="13"/>
  <c r="F1065" i="13"/>
  <c r="F848" i="13"/>
  <c r="F827" i="13"/>
  <c r="F933" i="13"/>
  <c r="F123" i="13"/>
  <c r="F564" i="13"/>
  <c r="F77" i="13"/>
  <c r="F160" i="13"/>
  <c r="F80" i="13"/>
  <c r="F798" i="13"/>
  <c r="F552" i="13"/>
  <c r="F272" i="13"/>
  <c r="F150" i="13"/>
  <c r="F663" i="13"/>
  <c r="F236" i="13"/>
  <c r="F112" i="13"/>
  <c r="F759" i="13"/>
  <c r="F369" i="13"/>
  <c r="F1105" i="13"/>
  <c r="F44" i="13"/>
  <c r="F291" i="13"/>
  <c r="F667" i="13"/>
  <c r="F754" i="13"/>
  <c r="F422" i="13"/>
  <c r="F1257" i="13"/>
  <c r="F198" i="13"/>
  <c r="F650" i="13"/>
  <c r="F277" i="13"/>
  <c r="F86" i="13"/>
  <c r="F12" i="13"/>
  <c r="F622" i="13"/>
  <c r="F229" i="13"/>
  <c r="F237" i="13"/>
  <c r="F550" i="13"/>
  <c r="F1044" i="13"/>
  <c r="F193" i="13"/>
  <c r="F959" i="13"/>
  <c r="F949" i="13"/>
  <c r="F1098" i="13"/>
  <c r="F197" i="13"/>
  <c r="F155" i="13"/>
  <c r="F158" i="13"/>
  <c r="F704" i="13"/>
  <c r="F164" i="13"/>
  <c r="F799" i="13"/>
  <c r="F816" i="13"/>
  <c r="F712" i="13"/>
  <c r="F924" i="13"/>
  <c r="F935" i="13"/>
  <c r="F238" i="13"/>
  <c r="F662" i="13"/>
  <c r="F302" i="13"/>
  <c r="F1180" i="13"/>
  <c r="F800" i="13"/>
  <c r="F1152" i="13"/>
  <c r="F199" i="13"/>
  <c r="F1064" i="13"/>
  <c r="F1095" i="13"/>
  <c r="F813" i="13"/>
  <c r="F932" i="13"/>
  <c r="F1268" i="13"/>
  <c r="F854" i="13"/>
  <c r="F1158" i="13"/>
  <c r="F960" i="13"/>
  <c r="F900" i="13"/>
  <c r="F772" i="13"/>
  <c r="F211" i="13"/>
  <c r="F1281" i="13"/>
  <c r="F169" i="13"/>
  <c r="F188" i="13"/>
  <c r="F109" i="13"/>
  <c r="F606" i="13"/>
  <c r="F822" i="13"/>
  <c r="F135" i="13"/>
  <c r="F136" i="13"/>
  <c r="F79" i="13"/>
  <c r="F794" i="13"/>
  <c r="F190" i="13"/>
  <c r="F693" i="13"/>
  <c r="F958" i="13"/>
  <c r="F976" i="13"/>
  <c r="F1117" i="13"/>
  <c r="F702" i="13"/>
  <c r="F103" i="13"/>
  <c r="F364" i="13"/>
  <c r="F286" i="13"/>
  <c r="F235" i="13"/>
  <c r="F185" i="13"/>
  <c r="F909" i="13"/>
  <c r="F1068" i="13"/>
  <c r="F560" i="13"/>
  <c r="F32" i="13"/>
  <c r="F981" i="13"/>
  <c r="F921" i="13"/>
  <c r="F315" i="13"/>
  <c r="F183" i="13"/>
  <c r="F1143" i="13"/>
  <c r="F647" i="13"/>
  <c r="F105" i="13"/>
  <c r="F96" i="13"/>
  <c r="F756" i="13"/>
  <c r="F222" i="13"/>
  <c r="F559" i="13"/>
  <c r="F137" i="13"/>
  <c r="F81" i="13"/>
  <c r="F54" i="13"/>
  <c r="F793" i="13"/>
  <c r="F225" i="13"/>
  <c r="F230" i="13"/>
  <c r="F614" i="13"/>
  <c r="F836" i="13"/>
  <c r="F240" i="13"/>
  <c r="F815" i="13"/>
  <c r="F94" i="13"/>
  <c r="F1270" i="13"/>
  <c r="F830" i="13"/>
  <c r="F274" i="13"/>
  <c r="F288" i="13"/>
  <c r="F420" i="13"/>
  <c r="F1043" i="13"/>
  <c r="F831" i="13"/>
  <c r="F699" i="13"/>
  <c r="F835" i="13"/>
  <c r="F367" i="13"/>
  <c r="F629" i="13"/>
  <c r="F363" i="13"/>
  <c r="F82" i="13"/>
  <c r="F689" i="13"/>
  <c r="F637" i="13"/>
  <c r="F549" i="13"/>
  <c r="F1057" i="13"/>
  <c r="F1052" i="13"/>
  <c r="F11" i="13"/>
  <c r="F1047" i="13"/>
  <c r="F279" i="13"/>
  <c r="F294" i="13"/>
  <c r="F1159" i="13"/>
  <c r="F295" i="13"/>
  <c r="F3" i="13"/>
  <c r="F376" i="13"/>
  <c r="F716" i="13"/>
  <c r="F151" i="13"/>
  <c r="F937" i="13"/>
  <c r="F718" i="13"/>
  <c r="F553" i="13"/>
  <c r="F551" i="13"/>
  <c r="F603" i="13"/>
  <c r="F90" i="13"/>
  <c r="F927" i="13"/>
  <c r="F29" i="13"/>
  <c r="F1241" i="13"/>
  <c r="F131" i="13"/>
  <c r="F963" i="13"/>
  <c r="F178" i="13"/>
  <c r="F760" i="13"/>
  <c r="F968" i="13"/>
  <c r="F1115" i="13"/>
  <c r="F632" i="13"/>
  <c r="F33" i="13"/>
  <c r="F777" i="13"/>
  <c r="F1283" i="13"/>
  <c r="F59" i="13"/>
  <c r="F22" i="13"/>
  <c r="F227" i="13"/>
  <c r="F700" i="13"/>
  <c r="F680" i="13"/>
  <c r="F630" i="13"/>
  <c r="F1280" i="13"/>
  <c r="F1195" i="13"/>
  <c r="F648" i="13"/>
  <c r="F886" i="13"/>
  <c r="F389" i="13"/>
  <c r="F365" i="13"/>
  <c r="F587" i="13"/>
  <c r="F633" i="13"/>
  <c r="F75" i="13"/>
  <c r="F638" i="13"/>
  <c r="F92" i="13"/>
  <c r="F961" i="13"/>
  <c r="F301" i="13"/>
  <c r="F176" i="13"/>
  <c r="F930" i="13"/>
  <c r="F1099" i="13"/>
  <c r="F764" i="13"/>
  <c r="F146" i="13"/>
  <c r="F1294" i="13"/>
  <c r="F116" i="13"/>
  <c r="F594" i="13"/>
  <c r="F41" i="13"/>
  <c r="F569" i="13"/>
  <c r="F1192" i="13"/>
  <c r="F916" i="13"/>
  <c r="F967" i="13"/>
  <c r="F579" i="13"/>
  <c r="F127" i="13"/>
  <c r="F1045" i="13"/>
  <c r="F194" i="13"/>
  <c r="F106" i="13"/>
  <c r="F561" i="13"/>
  <c r="F643" i="13"/>
  <c r="F1154" i="13"/>
  <c r="F783" i="13"/>
  <c r="F863" i="13"/>
  <c r="F1063" i="13"/>
  <c r="F934" i="13"/>
  <c r="F703" i="13"/>
  <c r="F618" i="13"/>
  <c r="F47" i="13"/>
  <c r="F546" i="13"/>
  <c r="F210" i="13"/>
  <c r="F580" i="13"/>
  <c r="F671" i="13"/>
  <c r="F548" i="13"/>
  <c r="F788" i="13"/>
  <c r="F757" i="13"/>
  <c r="F162" i="13"/>
  <c r="F977" i="13"/>
  <c r="F753" i="13"/>
  <c r="F299" i="13"/>
  <c r="F547" i="13"/>
  <c r="F922" i="13"/>
  <c r="F971" i="13"/>
  <c r="F625" i="13"/>
  <c r="F1069" i="13"/>
  <c r="F1288" i="13"/>
  <c r="F938" i="13"/>
  <c r="F745" i="13"/>
  <c r="F1194" i="13"/>
  <c r="F69" i="13"/>
  <c r="F139" i="13"/>
  <c r="F776" i="13"/>
  <c r="F785" i="13"/>
  <c r="F361" i="13"/>
  <c r="F911" i="13"/>
  <c r="F672" i="13"/>
  <c r="F1150" i="13"/>
  <c r="F608" i="13"/>
  <c r="F715" i="13"/>
  <c r="F216" i="13"/>
  <c r="F1054" i="13"/>
  <c r="F1091" i="13"/>
  <c r="F65" i="13"/>
  <c r="F782" i="13"/>
  <c r="F242" i="13"/>
  <c r="F818" i="13"/>
  <c r="F1333" i="13"/>
  <c r="F1121" i="13"/>
  <c r="F431" i="13"/>
  <c r="F49" i="13"/>
  <c r="F820" i="13"/>
  <c r="F239" i="13"/>
  <c r="F1300" i="13"/>
  <c r="F201" i="13"/>
  <c r="F89" i="13"/>
  <c r="F1287" i="13"/>
  <c r="F802" i="13"/>
  <c r="F748" i="13"/>
  <c r="F1273" i="13"/>
  <c r="F899" i="13"/>
  <c r="F595" i="13"/>
  <c r="F701" i="13"/>
  <c r="F642" i="13"/>
  <c r="F218" i="13"/>
  <c r="F904" i="13"/>
  <c r="F1062" i="13"/>
  <c r="F895" i="13"/>
  <c r="F717" i="13"/>
  <c r="F944" i="13"/>
  <c r="F719" i="13"/>
  <c r="F133" i="13"/>
  <c r="F775" i="13"/>
  <c r="F384" i="13"/>
  <c r="F1153" i="13"/>
  <c r="F962" i="13"/>
  <c r="F296" i="13"/>
  <c r="F124" i="13"/>
  <c r="F1049" i="13"/>
  <c r="F884" i="13"/>
  <c r="F1282" i="13"/>
  <c r="F245" i="13"/>
  <c r="F24" i="13"/>
  <c r="F659" i="13"/>
  <c r="F1109" i="13"/>
  <c r="F558" i="13"/>
  <c r="F1070" i="13"/>
  <c r="F646" i="13"/>
  <c r="F589" i="13"/>
  <c r="F795" i="13"/>
  <c r="F1060" i="13"/>
  <c r="F819" i="13"/>
  <c r="F1104" i="13"/>
  <c r="F1114" i="13"/>
  <c r="F847" i="13"/>
  <c r="F313" i="13"/>
  <c r="F866" i="13"/>
  <c r="F617" i="13"/>
  <c r="F18" i="13"/>
  <c r="F891" i="13"/>
  <c r="F762" i="13"/>
  <c r="F228" i="13"/>
  <c r="F910" i="13"/>
  <c r="F1108" i="13"/>
  <c r="F10" i="13"/>
  <c r="F600" i="13"/>
  <c r="F879" i="13"/>
  <c r="F45" i="13"/>
  <c r="F115" i="13"/>
  <c r="F750" i="13"/>
  <c r="F383" i="13"/>
  <c r="F713" i="13"/>
  <c r="F68" i="13"/>
  <c r="F189" i="13"/>
  <c r="F1295" i="13"/>
  <c r="F1093" i="13"/>
  <c r="F1066" i="13"/>
  <c r="F381" i="13"/>
  <c r="F893" i="13"/>
  <c r="F839" i="13"/>
  <c r="F789" i="13"/>
  <c r="F675" i="13"/>
  <c r="F1249" i="13"/>
  <c r="F807" i="13"/>
  <c r="F837" i="13"/>
  <c r="F915" i="13"/>
  <c r="F174" i="13"/>
  <c r="F244" i="13"/>
  <c r="F220" i="13"/>
  <c r="F778" i="13"/>
  <c r="F269" i="13"/>
  <c r="F209" i="13"/>
  <c r="F1002" i="13"/>
  <c r="F688" i="13"/>
  <c r="F872" i="13"/>
  <c r="F48" i="13"/>
  <c r="F695" i="13"/>
  <c r="F177" i="13"/>
  <c r="F99" i="13"/>
  <c r="F144" i="13"/>
  <c r="F843" i="13"/>
  <c r="F1290" i="13"/>
  <c r="F66" i="13"/>
  <c r="F1097" i="13"/>
  <c r="F808" i="13"/>
  <c r="F588" i="13"/>
  <c r="F60" i="13"/>
  <c r="F157" i="13"/>
  <c r="F767" i="13"/>
  <c r="F845" i="13"/>
  <c r="F1181" i="13"/>
  <c r="F871" i="13"/>
  <c r="F377" i="13"/>
  <c r="F609" i="13"/>
  <c r="F832" i="13"/>
  <c r="F184" i="13"/>
  <c r="F946" i="13"/>
  <c r="F823" i="13"/>
  <c r="F556" i="13"/>
  <c r="F720" i="13"/>
  <c r="F1059" i="13"/>
  <c r="F73" i="13"/>
  <c r="F683" i="13"/>
  <c r="F576" i="13"/>
  <c r="F678" i="13"/>
  <c r="F1101" i="13"/>
  <c r="F52" i="13"/>
  <c r="F74" i="13"/>
  <c r="F46" i="13"/>
  <c r="F941" i="13"/>
  <c r="F858" i="13"/>
  <c r="F635" i="13"/>
  <c r="F817" i="13"/>
  <c r="F801" i="13"/>
  <c r="F869" i="13"/>
  <c r="F877" i="13"/>
  <c r="F856" i="13"/>
  <c r="F42" i="13"/>
  <c r="F78" i="13"/>
  <c r="F714" i="13"/>
  <c r="F1286" i="13"/>
  <c r="F374" i="13"/>
  <c r="F874" i="13"/>
  <c r="F611" i="13"/>
  <c r="F811" i="13"/>
  <c r="F898" i="13"/>
  <c r="F1261" i="13"/>
  <c r="F975" i="13"/>
  <c r="F590" i="13"/>
  <c r="F1265" i="13"/>
  <c r="F191" i="13"/>
  <c r="F221" i="13"/>
  <c r="F1160" i="13"/>
  <c r="F126" i="13"/>
  <c r="F386" i="13"/>
  <c r="F882" i="13"/>
  <c r="F281" i="13"/>
  <c r="F943" i="13"/>
  <c r="F1274" i="13"/>
  <c r="F972" i="13"/>
  <c r="F768" i="13"/>
  <c r="F870" i="13"/>
  <c r="F887" i="13"/>
  <c r="F742" i="13"/>
  <c r="F370" i="13"/>
  <c r="F161" i="13"/>
  <c r="F118" i="13"/>
  <c r="F666" i="13"/>
  <c r="F1251" i="13"/>
  <c r="F634" i="13"/>
  <c r="F631" i="13"/>
  <c r="F809" i="13"/>
  <c r="F964" i="13"/>
  <c r="F424" i="13"/>
  <c r="F101" i="13"/>
  <c r="F1263" i="13"/>
  <c r="F758" i="13"/>
  <c r="F120" i="13"/>
  <c r="F1179" i="13"/>
  <c r="F358" i="13"/>
  <c r="F27" i="13"/>
  <c r="F61" i="13"/>
  <c r="F200" i="13"/>
  <c r="F67" i="13"/>
  <c r="F1106" i="13"/>
  <c r="F217" i="13"/>
  <c r="F1089" i="13"/>
  <c r="F636" i="13"/>
  <c r="F664" i="13"/>
  <c r="F838" i="13"/>
  <c r="F9" i="13"/>
  <c r="F796" i="13"/>
  <c r="F122" i="13"/>
  <c r="F806" i="13"/>
  <c r="F698" i="13"/>
  <c r="F908" i="13"/>
  <c r="F980" i="13"/>
  <c r="F5" i="13"/>
  <c r="F50" i="13"/>
  <c r="F571" i="13"/>
  <c r="F179" i="13"/>
  <c r="F543" i="13"/>
  <c r="F40" i="13"/>
  <c r="F1185" i="13"/>
  <c r="F597" i="13"/>
  <c r="F1266" i="13"/>
  <c r="F388" i="13"/>
  <c r="F1196" i="13"/>
  <c r="F36" i="13"/>
  <c r="F53" i="13"/>
  <c r="F746" i="13"/>
  <c r="F58" i="13"/>
  <c r="F881" i="13"/>
  <c r="F165" i="13"/>
  <c r="F901" i="13"/>
  <c r="F566" i="13"/>
  <c r="F134" i="13"/>
  <c r="F873" i="13"/>
  <c r="F920" i="13"/>
  <c r="F780" i="13"/>
  <c r="F70" i="13"/>
  <c r="F682" i="13"/>
  <c r="F427" i="13"/>
  <c r="F145" i="13"/>
  <c r="F628" i="13"/>
  <c r="F692" i="13"/>
  <c r="F143" i="13"/>
  <c r="F30" i="13"/>
  <c r="F575" i="13"/>
  <c r="F290" i="13"/>
  <c r="F283" i="13"/>
  <c r="F953" i="13"/>
  <c r="F651" i="13"/>
  <c r="F892" i="13"/>
  <c r="F983" i="13"/>
  <c r="F233" i="13"/>
  <c r="F170" i="13"/>
  <c r="F108" i="13"/>
  <c r="F840" i="13"/>
  <c r="F545" i="13"/>
  <c r="F897" i="13"/>
  <c r="F1277" i="13"/>
  <c r="F624" i="13"/>
  <c r="F761" i="13"/>
  <c r="F226" i="13"/>
  <c r="F755" i="13"/>
  <c r="F844" i="13"/>
  <c r="F1191" i="13"/>
  <c r="F1224" i="13"/>
  <c r="F805" i="13"/>
  <c r="F670" i="13"/>
  <c r="F1157" i="13"/>
  <c r="F690" i="13"/>
  <c r="F289" i="13"/>
  <c r="F285" i="13"/>
  <c r="F645" i="13"/>
  <c r="F95" i="13"/>
  <c r="F362" i="13"/>
  <c r="F563" i="13"/>
  <c r="F300" i="13"/>
  <c r="F1088" i="13"/>
  <c r="F382" i="13"/>
  <c r="F21" i="13"/>
  <c r="F862" i="13"/>
  <c r="F665" i="13"/>
  <c r="F565" i="13"/>
  <c r="F1156" i="13"/>
  <c r="F721" i="13"/>
  <c r="F691" i="13"/>
  <c r="F562" i="13"/>
  <c r="F243" i="13"/>
  <c r="F1285" i="13"/>
  <c r="F156" i="13"/>
  <c r="F275" i="13"/>
  <c r="F604" i="13"/>
  <c r="F16" i="13"/>
  <c r="F1301" i="13"/>
  <c r="F1163" i="13"/>
  <c r="F1189" i="13"/>
  <c r="F128" i="13"/>
  <c r="F639" i="13"/>
  <c r="F173" i="13"/>
  <c r="F947" i="13"/>
  <c r="F674" i="13"/>
  <c r="F855" i="13"/>
  <c r="F314" i="13"/>
  <c r="F923" i="13"/>
  <c r="F278" i="13"/>
  <c r="F574" i="13"/>
  <c r="F697" i="13"/>
  <c r="F213" i="13"/>
  <c r="F141" i="13"/>
  <c r="F582" i="13"/>
  <c r="F978" i="13"/>
  <c r="F1186" i="13"/>
  <c r="F1182" i="13"/>
  <c r="F43" i="13"/>
  <c r="F26" i="13"/>
  <c r="F125" i="13"/>
  <c r="F917" i="13"/>
  <c r="F766" i="13"/>
  <c r="F936" i="13"/>
  <c r="F804" i="13"/>
  <c r="F913" i="13"/>
  <c r="F1278" i="13"/>
  <c r="F423" i="13"/>
  <c r="F147" i="13"/>
  <c r="F696" i="13"/>
  <c r="F849" i="13"/>
  <c r="F168" i="13"/>
  <c r="F1292" i="13"/>
  <c r="F1253" i="13"/>
  <c r="F986" i="13"/>
  <c r="F1056" i="13"/>
  <c r="F857" i="13"/>
  <c r="F372" i="13"/>
  <c r="F685" i="13"/>
  <c r="F153" i="13"/>
  <c r="F25" i="13"/>
  <c r="F1225" i="13"/>
  <c r="F175" i="13"/>
  <c r="F1118" i="13"/>
  <c r="F159" i="13"/>
  <c r="F598" i="13"/>
  <c r="F208" i="13"/>
  <c r="F1100" i="13"/>
  <c r="F1193" i="13"/>
  <c r="F1051" i="13"/>
  <c r="F607" i="13"/>
  <c r="F641" i="13"/>
  <c r="F371" i="13"/>
  <c r="F880" i="13"/>
  <c r="F956" i="13"/>
  <c r="F282" i="13"/>
  <c r="F223" i="13"/>
  <c r="F888" i="13"/>
  <c r="F28" i="13"/>
  <c r="F592" i="13"/>
  <c r="F387" i="13"/>
  <c r="F1139" i="13"/>
  <c r="F76" i="13"/>
  <c r="F885" i="13"/>
  <c r="F35" i="13"/>
  <c r="F984" i="13"/>
  <c r="F896" i="13"/>
  <c r="F1271" i="13"/>
  <c r="F681" i="13"/>
  <c r="F37" i="13"/>
  <c r="F918" i="13"/>
  <c r="F743" i="13"/>
  <c r="F14" i="13"/>
  <c r="F378" i="13"/>
  <c r="F186" i="13"/>
  <c r="F1107" i="13"/>
  <c r="F779" i="13"/>
  <c r="F1096" i="13"/>
  <c r="F1252" i="13"/>
  <c r="F1138" i="13"/>
  <c r="F51" i="13"/>
  <c r="F1155" i="13"/>
  <c r="F677" i="13"/>
  <c r="F824" i="13"/>
  <c r="F669" i="13"/>
  <c r="F1090" i="13"/>
  <c r="F121" i="13"/>
  <c r="F584" i="13"/>
  <c r="F83" i="13"/>
  <c r="F215" i="13"/>
  <c r="F792" i="13"/>
  <c r="F1142" i="13"/>
  <c r="F196" i="13"/>
  <c r="F919" i="13"/>
  <c r="F203" i="13"/>
  <c r="F599" i="13"/>
  <c r="F890" i="13"/>
  <c r="F1298" i="13"/>
  <c r="F945" i="13"/>
  <c r="F1145" i="13"/>
  <c r="F649" i="13"/>
  <c r="F989" i="13"/>
  <c r="F1061" i="13"/>
  <c r="F774" i="13"/>
  <c r="F907" i="13"/>
  <c r="F658" i="13"/>
  <c r="F129" i="13"/>
  <c r="F749" i="13"/>
  <c r="F931" i="13"/>
  <c r="F110" i="13"/>
  <c r="F1055" i="13"/>
  <c r="F1289" i="13"/>
  <c r="F846" i="13"/>
  <c r="F357" i="13"/>
  <c r="F425" i="13"/>
  <c r="F842" i="13"/>
  <c r="F787" i="13"/>
  <c r="F172" i="13"/>
  <c r="F850" i="13"/>
  <c r="F152" i="13"/>
  <c r="F380" i="13"/>
  <c r="F1102" i="13"/>
  <c r="F771" i="13"/>
  <c r="F784" i="13"/>
  <c r="F581" i="13"/>
  <c r="F273" i="13"/>
  <c r="F1259" i="13"/>
  <c r="F149" i="13"/>
  <c r="F925" i="13"/>
  <c r="F1254" i="13"/>
  <c r="F91" i="13"/>
  <c r="F812" i="13"/>
  <c r="F280" i="13"/>
  <c r="F234" i="13"/>
  <c r="F31" i="13"/>
  <c r="F615" i="13"/>
  <c r="F797" i="13"/>
  <c r="F119" i="13"/>
  <c r="F1276" i="13"/>
  <c r="F591" i="13"/>
  <c r="F950" i="13"/>
  <c r="F1053" i="13"/>
  <c r="F2" i="13"/>
  <c r="F851" i="13"/>
  <c r="F567" i="13"/>
  <c r="F939" i="13"/>
  <c r="F1135" i="13"/>
  <c r="F166" i="13"/>
  <c r="F601" i="13"/>
  <c r="F71" i="13"/>
  <c r="F554" i="13"/>
  <c r="F573" i="13"/>
  <c r="F1297" i="13"/>
  <c r="F814" i="13"/>
  <c r="F751" i="13"/>
  <c r="F684" i="13"/>
  <c r="F867" i="13"/>
  <c r="F1226" i="13"/>
  <c r="F1255" i="13"/>
  <c r="F544" i="13"/>
  <c r="F1260" i="13"/>
  <c r="F1151" i="13"/>
  <c r="F940" i="13"/>
  <c r="F232" i="13"/>
  <c r="F1299" i="13"/>
  <c r="F360" i="13"/>
  <c r="F982" i="13"/>
  <c r="F97" i="13"/>
  <c r="F951" i="13"/>
  <c r="F781" i="13"/>
  <c r="F154" i="13"/>
  <c r="F8" i="13"/>
  <c r="F88" i="13"/>
  <c r="F865" i="13"/>
  <c r="F876" i="13"/>
  <c r="F969" i="13"/>
  <c r="F287" i="13"/>
  <c r="F903" i="13"/>
  <c r="F853" i="13"/>
  <c r="F102" i="13"/>
  <c r="F1296" i="13"/>
  <c r="F293" i="13"/>
  <c r="F85" i="13"/>
  <c r="F1275" i="13"/>
  <c r="F1258" i="13"/>
  <c r="F62" i="13"/>
  <c r="F171" i="13"/>
  <c r="F292" i="13"/>
  <c r="F366" i="13"/>
  <c r="F952" i="13"/>
  <c r="F219" i="13"/>
  <c r="F955" i="13"/>
  <c r="F1141" i="13"/>
  <c r="F1120" i="13"/>
  <c r="F1199" i="13"/>
  <c r="F98" i="13"/>
  <c r="F276" i="13"/>
  <c r="F905" i="13"/>
  <c r="F957" i="13"/>
  <c r="F182" i="13"/>
  <c r="F1198" i="13"/>
  <c r="F163" i="13"/>
  <c r="F1147" i="13"/>
  <c r="F942" i="13"/>
  <c r="F694" i="13"/>
  <c r="F826" i="13"/>
  <c r="F860" i="13"/>
  <c r="F613" i="13"/>
  <c r="F205" i="13"/>
  <c r="F1165" i="13"/>
  <c r="F55" i="13"/>
  <c r="F241" i="13"/>
  <c r="F828" i="13"/>
  <c r="F868" i="13"/>
  <c r="F668" i="13"/>
  <c r="F834" i="13"/>
  <c r="F686" i="13"/>
  <c r="F965" i="13"/>
  <c r="F4" i="13"/>
  <c r="F204" i="13"/>
  <c r="F1058" i="13"/>
  <c r="F114" i="13"/>
  <c r="F883" i="13"/>
  <c r="F206" i="13"/>
  <c r="F786" i="13"/>
  <c r="F207" i="13"/>
  <c r="F621" i="13"/>
  <c r="F970" i="13"/>
  <c r="F1262" i="13"/>
  <c r="F1048" i="13"/>
  <c r="F212" i="13"/>
  <c r="F63" i="13"/>
  <c r="F17" i="13"/>
  <c r="F555" i="13"/>
  <c r="F1172" i="13"/>
  <c r="F38" i="13"/>
  <c r="F1197" i="13"/>
  <c r="F878" i="13"/>
  <c r="F557" i="13"/>
  <c r="F973" i="13"/>
  <c r="F906" i="13"/>
  <c r="F610" i="13"/>
  <c r="F644" i="13"/>
  <c r="F620" i="13"/>
  <c r="F148" i="13"/>
  <c r="F1148" i="13"/>
  <c r="F375" i="13"/>
  <c r="F902" i="13"/>
  <c r="F100" i="13"/>
  <c r="F652" i="13"/>
  <c r="F180" i="13"/>
  <c r="F1136" i="13"/>
  <c r="F1112" i="13"/>
  <c r="F568" i="13"/>
  <c r="F195" i="13"/>
  <c r="F1317" i="13"/>
  <c r="F966" i="13"/>
  <c r="F583" i="13"/>
  <c r="F426" i="13"/>
  <c r="F359" i="13"/>
  <c r="F1269" i="13"/>
  <c r="F271" i="13"/>
  <c r="F1111" i="13"/>
  <c r="F270" i="13"/>
  <c r="F64" i="13"/>
  <c r="F1183" i="13"/>
  <c r="F1119" i="13"/>
  <c r="F1267" i="13"/>
  <c r="F765" i="13"/>
  <c r="F954" i="13"/>
  <c r="F894" i="13"/>
  <c r="F87" i="13"/>
  <c r="F1272" i="13"/>
  <c r="F773" i="13"/>
  <c r="F1264" i="13"/>
  <c r="F1149" i="13"/>
  <c r="F187" i="13"/>
  <c r="F821" i="13"/>
  <c r="F616" i="13"/>
  <c r="F56" i="13"/>
  <c r="F1146" i="13"/>
  <c r="F1110" i="13"/>
  <c r="F113" i="13"/>
  <c r="F84" i="13"/>
  <c r="F1094" i="13"/>
  <c r="F140" i="13"/>
  <c r="F284" i="13"/>
  <c r="F93" i="13"/>
  <c r="F192" i="13"/>
  <c r="F107" i="13"/>
  <c r="F578" i="13"/>
  <c r="F1092" i="13"/>
  <c r="F138" i="13"/>
  <c r="F202" i="13"/>
  <c r="F1256" i="13"/>
  <c r="F231" i="13"/>
  <c r="F7" i="13"/>
  <c r="F926" i="13"/>
  <c r="F34" i="13"/>
  <c r="F605" i="13"/>
  <c r="F385" i="13"/>
  <c r="F612" i="13"/>
  <c r="F15" i="13"/>
  <c r="F72" i="13"/>
  <c r="F379" i="13"/>
  <c r="F23" i="13"/>
  <c r="F39" i="13"/>
  <c r="F1250" i="13"/>
  <c r="F430" i="13"/>
  <c r="F859" i="13"/>
  <c r="F791" i="13"/>
  <c r="F596" i="13"/>
  <c r="F1161" i="13"/>
  <c r="F1240" i="13"/>
  <c r="F586" i="13"/>
  <c r="F974" i="13"/>
  <c r="F619" i="13"/>
  <c r="F429" i="13"/>
  <c r="F111" i="13"/>
  <c r="F810" i="13"/>
  <c r="F929" i="13"/>
  <c r="F679" i="13"/>
  <c r="F770" i="13"/>
  <c r="F1103" i="13"/>
  <c r="F676" i="13"/>
  <c r="F673" i="13"/>
  <c r="F19" i="13"/>
  <c r="F985" i="13"/>
  <c r="F1279" i="13"/>
  <c r="F20" i="13"/>
  <c r="F297" i="13"/>
  <c r="F415" i="13"/>
  <c r="F769" i="13"/>
  <c r="F623" i="13"/>
  <c r="F117" i="13"/>
  <c r="F875" i="13"/>
  <c r="F593" i="13"/>
  <c r="F13" i="13"/>
  <c r="F626" i="13"/>
  <c r="F104" i="13"/>
  <c r="F1284" i="13"/>
  <c r="F763" i="13"/>
  <c r="F421" i="13"/>
  <c r="F829" i="13"/>
  <c r="F864" i="13"/>
  <c r="F948" i="13"/>
  <c r="F1293" i="13"/>
  <c r="F428" i="13"/>
  <c r="F889" i="13"/>
  <c r="F298" i="13"/>
  <c r="F790" i="13"/>
  <c r="F852" i="13"/>
  <c r="F373" i="13"/>
  <c r="F1067" i="13"/>
  <c r="F1335" i="13"/>
  <c r="F1164" i="13"/>
  <c r="F640" i="13"/>
  <c r="F57" i="13"/>
  <c r="F1144" i="13"/>
  <c r="F6" i="13"/>
  <c r="F167" i="13"/>
  <c r="F928" i="13"/>
  <c r="F1050" i="13"/>
  <c r="F803" i="13"/>
  <c r="F585" i="13"/>
  <c r="F130" i="13"/>
  <c r="F841" i="13"/>
  <c r="F912" i="13"/>
  <c r="F744" i="13"/>
  <c r="F570" i="13"/>
  <c r="F747" i="13"/>
  <c r="F979" i="13"/>
  <c r="F1046" i="13"/>
  <c r="F1116" i="13"/>
  <c r="F1137" i="13"/>
  <c r="F214" i="13"/>
  <c r="F687" i="13"/>
  <c r="F577" i="13"/>
  <c r="F224"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tc={A8C5C454-059C-4758-9FA8-5AAC6B720832}</author>
  </authors>
  <commentList>
    <comment ref="D1" authorId="0" shapeId="0" xr:uid="{A8C5C454-059C-4758-9FA8-5AAC6B720832}">
      <text>
        <t>[Threaded comment]
Your version of Excel allows you to read this threaded comment; however, any edits to it will get removed if the file is opened in a newer version of Excel. Learn more: https://go.microsoft.com/fwlink/?linkid=870924
Comment:
    Highlighted rows are missing from OneDrive as of 01.27.2025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tc={6B478A6B-5F7D-4342-9DE9-AB04DBBC78E6}</author>
  </authors>
  <commentList>
    <comment ref="D1" authorId="0" shapeId="0" xr:uid="{6B478A6B-5F7D-4342-9DE9-AB04DBBC78E6}">
      <text>
        <t>[Threaded comment]
Your version of Excel allows you to read this threaded comment; however, any edits to it will get removed if the file is opened in a newer version of Excel. Learn more: https://go.microsoft.com/fwlink/?linkid=870924
Comment:
    Highlighted rows are missing from OneDrive as of 01.27.2025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tc={BFD21D10-2C22-46A9-972B-0D0EBCAF953C}</author>
  </authors>
  <commentList>
    <comment ref="D1" authorId="0" shapeId="0" xr:uid="{BFD21D10-2C22-46A9-972B-0D0EBCAF953C}">
      <text>
        <t>[Threaded comment]
Your version of Excel allows you to read this threaded comment; however, any edits to it will get removed if the file is opened in a newer version of Excel. Learn more: https://go.microsoft.com/fwlink/?linkid=870924
Comment:
    Highlighted rows are missing from OneDrive as of 01.27.2025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tc={11D392AC-B06B-4784-A90A-3C81990751F2}</author>
  </authors>
  <commentList>
    <comment ref="D1" authorId="0" shapeId="0" xr:uid="{11D392AC-B06B-4784-A90A-3C81990751F2}">
      <text>
        <t>[Threaded comment]
Your version of Excel allows you to read this threaded comment; however, any edits to it will get removed if the file is opened in a newer version of Excel. Learn more: https://go.microsoft.com/fwlink/?linkid=870924
Comment:
    Highlighted rows are missing from OneDrive as of 01.27.2025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tc={D1A20D57-4EE7-4F0E-9144-7C6063A061B7}</author>
  </authors>
  <commentList>
    <comment ref="D1" authorId="0" shapeId="0" xr:uid="{D1A20D57-4EE7-4F0E-9144-7C6063A061B7}">
      <text>
        <t>[Threaded comment]
Your version of Excel allows you to read this threaded comment; however, any edits to it will get removed if the file is opened in a newer version of Excel. Learn more: https://go.microsoft.com/fwlink/?linkid=870924
Comment:
    Highlighted rows are missing from OneDrive as of 01.27.2025</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tc={ADBDAC12-CB2A-449C-A444-D29A92522636}</author>
    <author>tc={8F0E87D0-9A11-49A7-8A22-454A4BB38C1A}</author>
    <author>tc={B59257E5-D171-436C-9AEB-ACB11C0FAFEF}</author>
    <author>tc={777DA137-969E-48BA-BE19-AC02A29A5831}</author>
  </authors>
  <commentList>
    <comment ref="A1" authorId="0" shapeId="0" xr:uid="{ADBDAC12-CB2A-449C-A444-D29A92522636}">
      <text>
        <t>[Threaded comment]
Your version of Excel allows you to read this threaded comment; however, any edits to it will get removed if the file is opened in a newer version of Excel. Learn more: https://go.microsoft.com/fwlink/?linkid=870924
Comment:
    Removed for 2024 log</t>
      </text>
    </comment>
    <comment ref="B1" authorId="1" shapeId="0" xr:uid="{8F0E87D0-9A11-49A7-8A22-454A4BB38C1A}">
      <text>
        <t>[Threaded comment]
Your version of Excel allows you to read this threaded comment; however, any edits to it will get removed if the file is opened in a newer version of Excel. Learn more: https://go.microsoft.com/fwlink/?linkid=870924
Comment:
    Removed for 2024 log</t>
      </text>
    </comment>
    <comment ref="E2" authorId="2"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'old - 120A until 12/18/20</t>
      </text>
    </comment>
    <comment ref="E31" authorId="3"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'formerly 197L</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<sst xmlns="http://schemas.openxmlformats.org/spreadsheetml/2006/main" count="13671" uniqueCount="4361">
  <si>
    <r>
      <t xml:space="preserve">Location 
</t>
    </r>
    <r>
      <rPr>
        <i/>
        <sz val="11"/>
        <color theme="1"/>
        <rFont val="Calibri"/>
        <family val="2"/>
        <scheme val="minor"/>
      </rPr>
      <t>(drop-down)</t>
    </r>
  </si>
  <si>
    <t>Location ID</t>
  </si>
  <si>
    <t>#</t>
  </si>
  <si>
    <t>Assessment #</t>
  </si>
  <si>
    <t>Start Date</t>
  </si>
  <si>
    <t>End Date</t>
  </si>
  <si>
    <t>Report Issued</t>
  </si>
  <si>
    <r>
      <t xml:space="preserve">Type of Assessment 
</t>
    </r>
    <r>
      <rPr>
        <i/>
        <sz val="11"/>
        <color theme="1"/>
        <rFont val="Calibri"/>
        <family val="2"/>
        <scheme val="minor"/>
      </rPr>
      <t>(drop-down)</t>
    </r>
  </si>
  <si>
    <r>
      <t xml:space="preserve">Scope of Assessment
</t>
    </r>
    <r>
      <rPr>
        <i/>
        <sz val="11"/>
        <color theme="1"/>
        <rFont val="Calibri"/>
        <family val="2"/>
        <scheme val="minor"/>
      </rPr>
      <t>(drop-down)</t>
    </r>
  </si>
  <si>
    <t>QA In Charge 
(Get a copy of assessment report or summary)</t>
  </si>
  <si>
    <t>Assessor(s) / Auditor(s) name(s)</t>
  </si>
  <si>
    <t>Assessor's company</t>
  </si>
  <si>
    <r>
      <t xml:space="preserve">Agency Type 
(Regulatory / certification / accreditation agency)
</t>
    </r>
    <r>
      <rPr>
        <i/>
        <sz val="11"/>
        <rFont val="Calibri"/>
        <family val="2"/>
        <scheme val="minor"/>
      </rPr>
      <t>(drop-down)</t>
    </r>
  </si>
  <si>
    <t>Brief description of assessment scope</t>
  </si>
  <si>
    <t>Pittsburgh, PA</t>
  </si>
  <si>
    <t>001</t>
  </si>
  <si>
    <t xml:space="preserve">Internal  </t>
  </si>
  <si>
    <t>Inspection &amp; Laboratory</t>
  </si>
  <si>
    <t>RB</t>
  </si>
  <si>
    <t>AmSpec</t>
  </si>
  <si>
    <t>Annual internal quality systems assessment (ISO 9001)</t>
  </si>
  <si>
    <t>San Francisco (Concord), CA</t>
  </si>
  <si>
    <t>002</t>
  </si>
  <si>
    <t>AH</t>
  </si>
  <si>
    <t>MT/ AH / KA</t>
  </si>
  <si>
    <t>003</t>
  </si>
  <si>
    <t>Laboratory</t>
  </si>
  <si>
    <t>MT / AH / KA</t>
  </si>
  <si>
    <t>Annual internal quality systems assessment  (ISO 17025)</t>
  </si>
  <si>
    <t>Boston (Everett), MA</t>
  </si>
  <si>
    <t>004</t>
  </si>
  <si>
    <t>Regulatory</t>
  </si>
  <si>
    <t>Carol Carmen</t>
  </si>
  <si>
    <t>Mass Dept of Environmental Protection</t>
  </si>
  <si>
    <t>Random Oversite (unannounced) visit</t>
  </si>
  <si>
    <t>Brownsville, TX</t>
  </si>
  <si>
    <t>005</t>
  </si>
  <si>
    <t>MT / HB / RB</t>
  </si>
  <si>
    <t>006</t>
  </si>
  <si>
    <t>Cape Canaveral, FL</t>
  </si>
  <si>
    <t>007</t>
  </si>
  <si>
    <t>KA</t>
  </si>
  <si>
    <t>Cincinnati (Erlanger), OH</t>
  </si>
  <si>
    <t>008</t>
  </si>
  <si>
    <t>Puerto Rico</t>
  </si>
  <si>
    <t>009</t>
  </si>
  <si>
    <t>KA / RB</t>
  </si>
  <si>
    <t>Mont Belvieu, TX</t>
  </si>
  <si>
    <t>010</t>
  </si>
  <si>
    <t>MT</t>
  </si>
  <si>
    <t>MT / HB</t>
  </si>
  <si>
    <t>011</t>
  </si>
  <si>
    <t>Customer</t>
  </si>
  <si>
    <t>Inspection</t>
  </si>
  <si>
    <t>HM</t>
  </si>
  <si>
    <t>Chevron</t>
  </si>
  <si>
    <t>Chevron - Inspection</t>
  </si>
  <si>
    <t>New Orleans (Destrehan), LA</t>
  </si>
  <si>
    <t>012</t>
  </si>
  <si>
    <t>Certifications</t>
  </si>
  <si>
    <t>DA</t>
  </si>
  <si>
    <t>Scott Fenwick</t>
  </si>
  <si>
    <t>Clean Fuel (BQ)</t>
  </si>
  <si>
    <t>Accredited agency</t>
  </si>
  <si>
    <t>BQ 9000 Renewal</t>
  </si>
  <si>
    <t>Corpus Christi, TX</t>
  </si>
  <si>
    <t>013</t>
  </si>
  <si>
    <t xml:space="preserve">AH </t>
  </si>
  <si>
    <t>AH / MT</t>
  </si>
  <si>
    <t>014</t>
  </si>
  <si>
    <t>Mobile, AL</t>
  </si>
  <si>
    <t>015</t>
  </si>
  <si>
    <t>Michael Cahill</t>
  </si>
  <si>
    <t>A2LA</t>
  </si>
  <si>
    <t>A2LA surveillance assessment</t>
  </si>
  <si>
    <t>Baton Rouge (Gonzales), LA</t>
  </si>
  <si>
    <t>016</t>
  </si>
  <si>
    <t>017</t>
  </si>
  <si>
    <t>018</t>
  </si>
  <si>
    <t>RAQUEL A HERNANDEZANDRES</t>
  </si>
  <si>
    <t>USCBP</t>
  </si>
  <si>
    <t>USCBP Triennial</t>
  </si>
  <si>
    <t>019</t>
  </si>
  <si>
    <t>Barry Duffin</t>
  </si>
  <si>
    <t>Phillips 66</t>
  </si>
  <si>
    <t>P66</t>
  </si>
  <si>
    <t>Texas City, TX</t>
  </si>
  <si>
    <t>020</t>
  </si>
  <si>
    <t>AH / HB</t>
  </si>
  <si>
    <t>021</t>
  </si>
  <si>
    <t>Freeport, TX</t>
  </si>
  <si>
    <t>022</t>
  </si>
  <si>
    <t>KA / MT</t>
  </si>
  <si>
    <t>HOFTI / Channelview, TX</t>
  </si>
  <si>
    <t>023</t>
  </si>
  <si>
    <t>Albany, NY</t>
  </si>
  <si>
    <t>024</t>
  </si>
  <si>
    <t>025</t>
  </si>
  <si>
    <t>N. Triche / J. Chauvin</t>
  </si>
  <si>
    <t>Marathon</t>
  </si>
  <si>
    <t>026</t>
  </si>
  <si>
    <t>Joe Mackin</t>
  </si>
  <si>
    <t>California Department of Public Health</t>
  </si>
  <si>
    <t>Routine Radiation Safety and Protection Program Inspection</t>
  </si>
  <si>
    <t>027</t>
  </si>
  <si>
    <t>Steven Lerman</t>
  </si>
  <si>
    <t>A2LA renewal assessment (ISO 17025)</t>
  </si>
  <si>
    <t xml:space="preserve">Houston (HTC), TX </t>
  </si>
  <si>
    <t>028</t>
  </si>
  <si>
    <t>CS</t>
  </si>
  <si>
    <t>Robert Japiske</t>
  </si>
  <si>
    <t>Clean Fuels Alliance</t>
  </si>
  <si>
    <t>BQ9000 Renewal Accreditation</t>
  </si>
  <si>
    <t>VOIDED ASSMT/CAR/PAR NO</t>
  </si>
  <si>
    <t>VOID</t>
  </si>
  <si>
    <t>029</t>
  </si>
  <si>
    <t>Chevron:  Visit to assess Opportunities and Capabilities by Moore, Brad / Yang, Shengzu / Khuu, Hung</t>
  </si>
  <si>
    <t>030</t>
  </si>
  <si>
    <t>031</t>
  </si>
  <si>
    <t>KA / MT / RB</t>
  </si>
  <si>
    <t>032</t>
  </si>
  <si>
    <t>033</t>
  </si>
  <si>
    <t>Annual internal quality systems assessment  (BQ-9000)</t>
  </si>
  <si>
    <t>034</t>
  </si>
  <si>
    <t>S. Anthony</t>
  </si>
  <si>
    <t>Shell</t>
  </si>
  <si>
    <t>Ft Lauderdale (Davie), FL</t>
  </si>
  <si>
    <t>035</t>
  </si>
  <si>
    <t>036</t>
  </si>
  <si>
    <t>AmSpec Annual HSSE Audit by Louis</t>
  </si>
  <si>
    <t>Levis (Quebec City), Quebec</t>
  </si>
  <si>
    <t>037</t>
  </si>
  <si>
    <t>038</t>
  </si>
  <si>
    <t>039</t>
  </si>
  <si>
    <t>HB</t>
  </si>
  <si>
    <t>Jonathan Bobbett</t>
  </si>
  <si>
    <t>BP Oil</t>
  </si>
  <si>
    <t>BP Laboratory Audit Report</t>
  </si>
  <si>
    <t>Avenel (NYH), NJ</t>
  </si>
  <si>
    <t>040</t>
  </si>
  <si>
    <t>Jonathan Bobbett &amp; Laura Danhauer</t>
  </si>
  <si>
    <t>BP</t>
  </si>
  <si>
    <t>041</t>
  </si>
  <si>
    <t>ExxonMobil</t>
  </si>
  <si>
    <t>2024 ExxonMobil Audit FIELD</t>
  </si>
  <si>
    <t>New Haven, CT</t>
  </si>
  <si>
    <t>042</t>
  </si>
  <si>
    <t>Yorktown (Norfolk), VA</t>
  </si>
  <si>
    <t>043</t>
  </si>
  <si>
    <t>AGRI (HTC)</t>
  </si>
  <si>
    <t>044</t>
  </si>
  <si>
    <t>Bostco, TX</t>
  </si>
  <si>
    <t>045</t>
  </si>
  <si>
    <t>Tampa, FL</t>
  </si>
  <si>
    <t>046</t>
  </si>
  <si>
    <t xml:space="preserve">RB </t>
  </si>
  <si>
    <t>RB MT</t>
  </si>
  <si>
    <t>Chicago, IL</t>
  </si>
  <si>
    <t>047</t>
  </si>
  <si>
    <t>Pecos (West Texas), TX</t>
  </si>
  <si>
    <t>048</t>
  </si>
  <si>
    <t>Portland, ME</t>
  </si>
  <si>
    <t>049</t>
  </si>
  <si>
    <t>050</t>
  </si>
  <si>
    <t>E.Quijano/R. Lindsey/K. O'Rouke</t>
  </si>
  <si>
    <t>Valero</t>
  </si>
  <si>
    <t>Halifax (Dartmouth), NS</t>
  </si>
  <si>
    <t>051</t>
  </si>
  <si>
    <t>GF</t>
  </si>
  <si>
    <t>Kerry Costain &amp; Pramit Jethwa</t>
  </si>
  <si>
    <t>Irving</t>
  </si>
  <si>
    <t xml:space="preserve">Irving </t>
  </si>
  <si>
    <t>052</t>
  </si>
  <si>
    <t>Andrea McMullin</t>
  </si>
  <si>
    <t>Review lab files for gasoline compliance</t>
  </si>
  <si>
    <t>Cushing, OK</t>
  </si>
  <si>
    <t>053</t>
  </si>
  <si>
    <t>KA / CS</t>
  </si>
  <si>
    <t>Decatur, AL</t>
  </si>
  <si>
    <t>054</t>
  </si>
  <si>
    <t>Annual internal quality systems assessment  (ISO 9001)</t>
  </si>
  <si>
    <t>055</t>
  </si>
  <si>
    <t>ECu</t>
  </si>
  <si>
    <t>Kristina Verderame</t>
  </si>
  <si>
    <t>Conn. DEP</t>
  </si>
  <si>
    <t>Radiation exposure / safety</t>
  </si>
  <si>
    <t>Los Angeles (Signal Hill), CA</t>
  </si>
  <si>
    <t>056</t>
  </si>
  <si>
    <t xml:space="preserve">AH / RB </t>
  </si>
  <si>
    <t>057</t>
  </si>
  <si>
    <t>058</t>
  </si>
  <si>
    <t>059</t>
  </si>
  <si>
    <t>Tim Mathisen</t>
  </si>
  <si>
    <t>Motiva</t>
  </si>
  <si>
    <t>060</t>
  </si>
  <si>
    <t>JP</t>
  </si>
  <si>
    <t>Brian Ordoyne / Ashley Duplessis</t>
  </si>
  <si>
    <t>Operations and Laboratory Audit</t>
  </si>
  <si>
    <t>061</t>
  </si>
  <si>
    <t>ECC</t>
  </si>
  <si>
    <t>TBD</t>
  </si>
  <si>
    <t>062</t>
  </si>
  <si>
    <t>Ed Edelson</t>
  </si>
  <si>
    <t>063</t>
  </si>
  <si>
    <t>RB/KA/AH/Ecu/JP</t>
  </si>
  <si>
    <t>064</t>
  </si>
  <si>
    <t>065</t>
  </si>
  <si>
    <t>Hamilton (Burlington), ON</t>
  </si>
  <si>
    <t>066</t>
  </si>
  <si>
    <t xml:space="preserve">Lake Charles (Sulfur), LA  </t>
  </si>
  <si>
    <t>067</t>
  </si>
  <si>
    <t>N/A</t>
  </si>
  <si>
    <t>068</t>
  </si>
  <si>
    <t>V. Ahn</t>
  </si>
  <si>
    <t>AASHTO</t>
  </si>
  <si>
    <t>Seabrook (Chemicals), TX</t>
  </si>
  <si>
    <t>069</t>
  </si>
  <si>
    <t>RB / KA</t>
  </si>
  <si>
    <t>070</t>
  </si>
  <si>
    <t>Heather Bradley</t>
  </si>
  <si>
    <t>DNV ISO 9001</t>
  </si>
  <si>
    <t>Recertification</t>
  </si>
  <si>
    <t>071</t>
  </si>
  <si>
    <t>Don Gilstrap</t>
  </si>
  <si>
    <t>072</t>
  </si>
  <si>
    <t>073</t>
  </si>
  <si>
    <t>074</t>
  </si>
  <si>
    <t>075</t>
  </si>
  <si>
    <t>Yatish Patel</t>
  </si>
  <si>
    <t>076</t>
  </si>
  <si>
    <t>M. Fernandez &amp; S. Manzano</t>
  </si>
  <si>
    <t>Citgo</t>
  </si>
  <si>
    <t>Lab Assessment</t>
  </si>
  <si>
    <t>077</t>
  </si>
  <si>
    <t>W. Booker</t>
  </si>
  <si>
    <t>Port Arthur (Beaumont), TX</t>
  </si>
  <si>
    <t>078</t>
  </si>
  <si>
    <t>AH / KA / MT</t>
  </si>
  <si>
    <t>079</t>
  </si>
  <si>
    <t>Belle Chasse, LA</t>
  </si>
  <si>
    <t>080</t>
  </si>
  <si>
    <t>St James, LA</t>
  </si>
  <si>
    <t>081</t>
  </si>
  <si>
    <t>082</t>
  </si>
  <si>
    <t>Brian Ordoyne / Andy Rebicha</t>
  </si>
  <si>
    <t>Operations and safety audiy</t>
  </si>
  <si>
    <t>083</t>
  </si>
  <si>
    <t>Bradley Heather</t>
  </si>
  <si>
    <t>DNV</t>
  </si>
  <si>
    <t>Recertification ISO 9001</t>
  </si>
  <si>
    <t>St John, NB</t>
  </si>
  <si>
    <t>084</t>
  </si>
  <si>
    <t>Minot, ND</t>
  </si>
  <si>
    <t>085</t>
  </si>
  <si>
    <t xml:space="preserve">Owen Krauss - contract auditor        Kyle Anderson - Pembina                    </t>
  </si>
  <si>
    <t>Blue Chip MRC</t>
  </si>
  <si>
    <t>Laboratory quality audit to Pembina requirements</t>
  </si>
  <si>
    <t>086</t>
  </si>
  <si>
    <t>David Gibson / Cheri Davidson / Ellen Wilson</t>
  </si>
  <si>
    <t>087</t>
  </si>
  <si>
    <t>S Lerman</t>
  </si>
  <si>
    <t>St Croix, USVI</t>
  </si>
  <si>
    <t>088</t>
  </si>
  <si>
    <t>Annual internal quality systems assessment remote    (ISO 9001) REMOTE</t>
  </si>
  <si>
    <t>Bellingham (Ferndale), WA</t>
  </si>
  <si>
    <t>089</t>
  </si>
  <si>
    <t>RB/EC/MT</t>
  </si>
  <si>
    <t>090</t>
  </si>
  <si>
    <t>Tacoma, WA</t>
  </si>
  <si>
    <t>091</t>
  </si>
  <si>
    <t>092</t>
  </si>
  <si>
    <t>AH/EC</t>
  </si>
  <si>
    <t>093</t>
  </si>
  <si>
    <t>Providence, RI</t>
  </si>
  <si>
    <t>094</t>
  </si>
  <si>
    <t>Newfoundland (Arnold's Cove)</t>
  </si>
  <si>
    <t>095</t>
  </si>
  <si>
    <t>096</t>
  </si>
  <si>
    <t>097</t>
  </si>
  <si>
    <t>A. Howarth/C. Stevens</t>
  </si>
  <si>
    <t>Valero-Meraux</t>
  </si>
  <si>
    <t>EPA/Valero Guidelines Compliance</t>
  </si>
  <si>
    <t>098</t>
  </si>
  <si>
    <t>Tony Campbell</t>
  </si>
  <si>
    <t>099</t>
  </si>
  <si>
    <t>Weldon Booker</t>
  </si>
  <si>
    <t>100</t>
  </si>
  <si>
    <t>James Napier</t>
  </si>
  <si>
    <t>Montreal, QC</t>
  </si>
  <si>
    <t>101</t>
  </si>
  <si>
    <t>KA/RB</t>
  </si>
  <si>
    <t>102</t>
  </si>
  <si>
    <t>103</t>
  </si>
  <si>
    <t>NA</t>
  </si>
  <si>
    <t>Raquel H. Andres</t>
  </si>
  <si>
    <t>104</t>
  </si>
  <si>
    <t>Brandon Gray</t>
  </si>
  <si>
    <t>Chevron Pascagoula</t>
  </si>
  <si>
    <t>105</t>
  </si>
  <si>
    <t>ExxonMobil: Data Review / 01.21.2024 Field Equipment listed in workbook</t>
  </si>
  <si>
    <t>106</t>
  </si>
  <si>
    <t>5/54/24</t>
  </si>
  <si>
    <t>Steve Adcock</t>
  </si>
  <si>
    <t>Field Audit 05.24.2024</t>
  </si>
  <si>
    <t>107</t>
  </si>
  <si>
    <t>108</t>
  </si>
  <si>
    <t>M. Tan / G/ Furguson</t>
  </si>
  <si>
    <t>109</t>
  </si>
  <si>
    <t>Tedo Doering</t>
  </si>
  <si>
    <t>ISO 17025 surveillance audit</t>
  </si>
  <si>
    <t>Savannah, GA / Charleston, SC</t>
  </si>
  <si>
    <t>110</t>
  </si>
  <si>
    <t>KA / ECu / CS</t>
  </si>
  <si>
    <t>111</t>
  </si>
  <si>
    <t>CS/JP/RB</t>
  </si>
  <si>
    <t>112</t>
  </si>
  <si>
    <t>USCBP Triennial audit</t>
  </si>
  <si>
    <t>113</t>
  </si>
  <si>
    <t>Collins (Purvis), MS</t>
  </si>
  <si>
    <t>114</t>
  </si>
  <si>
    <t>AH/KA</t>
  </si>
  <si>
    <t>115</t>
  </si>
  <si>
    <t>Rob Lavigne / Andrew O'Toole</t>
  </si>
  <si>
    <t>Irving Oil</t>
  </si>
  <si>
    <t>Annual petroleum inspection audit</t>
  </si>
  <si>
    <t xml:space="preserve">Mickleton (Philly), NJ </t>
  </si>
  <si>
    <t>116</t>
  </si>
  <si>
    <t>RB/ECC</t>
  </si>
  <si>
    <t>117</t>
  </si>
  <si>
    <t>118</t>
  </si>
  <si>
    <t>ECo</t>
  </si>
  <si>
    <t>Chapin Piper</t>
  </si>
  <si>
    <t>DEQ</t>
  </si>
  <si>
    <t>Lab Safety</t>
  </si>
  <si>
    <t>Baytown, TX</t>
  </si>
  <si>
    <t>119</t>
  </si>
  <si>
    <t>Patrick Babin</t>
  </si>
  <si>
    <t>PS Safety</t>
  </si>
  <si>
    <t>Safety</t>
  </si>
  <si>
    <t>120</t>
  </si>
  <si>
    <t>Christie Clarke – Sr. RAD Chemist</t>
  </si>
  <si>
    <t>121</t>
  </si>
  <si>
    <t>Michelle Smith – Sr. RAD Chemist</t>
  </si>
  <si>
    <t>122</t>
  </si>
  <si>
    <t>Jose A Mendez</t>
  </si>
  <si>
    <t>USCBP - unannounced visit</t>
  </si>
  <si>
    <t>123</t>
  </si>
  <si>
    <t>Matt Breland</t>
  </si>
  <si>
    <t>Vitol</t>
  </si>
  <si>
    <t>C402-155-24</t>
  </si>
  <si>
    <t>124</t>
  </si>
  <si>
    <t>Wanda Heidelberg / Stephanie Huang</t>
  </si>
  <si>
    <t>125</t>
  </si>
  <si>
    <t>Mike Salata</t>
  </si>
  <si>
    <t>126</t>
  </si>
  <si>
    <t xml:space="preserve">Maria </t>
  </si>
  <si>
    <t>127</t>
  </si>
  <si>
    <t>Luis Quinones</t>
  </si>
  <si>
    <t>128</t>
  </si>
  <si>
    <t>129</t>
  </si>
  <si>
    <t>postponed</t>
  </si>
  <si>
    <t>postponed due to hurricane Helena</t>
  </si>
  <si>
    <t>130</t>
  </si>
  <si>
    <t>Unannounced Visit</t>
  </si>
  <si>
    <t>131</t>
  </si>
  <si>
    <t>Andrew O'Toole, Rob Lavigne, John Clark</t>
  </si>
  <si>
    <t>132</t>
  </si>
  <si>
    <t>Monty Fox</t>
  </si>
  <si>
    <t>NBAC/BQ</t>
  </si>
  <si>
    <t>Baltimore (Glen Burnie), MD</t>
  </si>
  <si>
    <t>133</t>
  </si>
  <si>
    <t>Annual internal quality systems assessment (ISO 9001) - REMOTE</t>
  </si>
  <si>
    <t>134</t>
  </si>
  <si>
    <t>AH/ECu</t>
  </si>
  <si>
    <t>135</t>
  </si>
  <si>
    <t>136</t>
  </si>
  <si>
    <t>137</t>
  </si>
  <si>
    <t>A2LA 17025 renewal assessment</t>
  </si>
  <si>
    <t>138</t>
  </si>
  <si>
    <t>Voided: St Louis Internal assessment from Dec 2024 - rescheduled to Jan 2025 and given 2025 Assessment number (A010-139-25) - KA 01.21.2025</t>
  </si>
  <si>
    <t>139</t>
  </si>
  <si>
    <t>140</t>
  </si>
  <si>
    <t>141</t>
  </si>
  <si>
    <t>142</t>
  </si>
  <si>
    <t>Andrew O’Toole</t>
  </si>
  <si>
    <t>remote Inspection only audit</t>
  </si>
  <si>
    <t>143</t>
  </si>
  <si>
    <t>Chevron CHESM</t>
  </si>
  <si>
    <t>Memphis, TN</t>
  </si>
  <si>
    <t>144</t>
  </si>
  <si>
    <t>145</t>
  </si>
  <si>
    <t>Annual internal quality systems assessment (ISO 17025)</t>
  </si>
  <si>
    <t>146</t>
  </si>
  <si>
    <t>Rob Lavigne / Andrew o'Toole</t>
  </si>
  <si>
    <t>Annual inspection audit</t>
  </si>
  <si>
    <t>147</t>
  </si>
  <si>
    <t>R Lavingne / A O'toole / J Clark</t>
  </si>
  <si>
    <t>Annual Inspection audit</t>
  </si>
  <si>
    <t>148</t>
  </si>
  <si>
    <t>Field audit on 05/31/2024, notified need CAR in Oct 2024.</t>
  </si>
  <si>
    <t>149</t>
  </si>
  <si>
    <t>Gordon Ferguson</t>
  </si>
  <si>
    <t>Annual internal quality system assessment ISO 9001</t>
  </si>
  <si>
    <t>150</t>
  </si>
  <si>
    <t>Equinor</t>
  </si>
  <si>
    <t>no report will be issued.</t>
  </si>
  <si>
    <t>151</t>
  </si>
  <si>
    <t>Alex Markins</t>
  </si>
  <si>
    <t>152</t>
  </si>
  <si>
    <t>World Energy (Air Products)</t>
  </si>
  <si>
    <t>Customer audit</t>
  </si>
  <si>
    <t>153</t>
  </si>
  <si>
    <t xml:space="preserve">Michael Cahill / Ed Edelson </t>
  </si>
  <si>
    <t>154</t>
  </si>
  <si>
    <t>Ecu / KA</t>
  </si>
  <si>
    <t>Annual Internal Quality Systems Assessment
(ISO 9001)</t>
  </si>
  <si>
    <t>155</t>
  </si>
  <si>
    <t>Annual Internal Quality Systems Assessment 
(BQ 9000)</t>
  </si>
  <si>
    <t>Marcus Hook, PA</t>
  </si>
  <si>
    <t>156</t>
  </si>
  <si>
    <t>157</t>
  </si>
  <si>
    <t>Pembina - Blue Chip MRC</t>
  </si>
  <si>
    <t>158</t>
  </si>
  <si>
    <t>R. Lavigne / A. Otoole / J Clark</t>
  </si>
  <si>
    <t>159</t>
  </si>
  <si>
    <t>R. Lavigne / A Otoole / J Clark</t>
  </si>
  <si>
    <t>160</t>
  </si>
  <si>
    <t>Kerry Costain / Pramit Jethwa</t>
  </si>
  <si>
    <t>Follow up audit from A051-198-24</t>
  </si>
  <si>
    <t>Kenai, AK</t>
  </si>
  <si>
    <t>161</t>
  </si>
  <si>
    <t>162</t>
  </si>
  <si>
    <t>NBAC</t>
  </si>
  <si>
    <t>163</t>
  </si>
  <si>
    <t>164</t>
  </si>
  <si>
    <t>A2LA ISO 17025 renewal assessment</t>
  </si>
  <si>
    <t>Valdez, AK</t>
  </si>
  <si>
    <t>165</t>
  </si>
  <si>
    <t>Ecu</t>
  </si>
  <si>
    <t>166</t>
  </si>
  <si>
    <t>Shawn Sullivan / Darren Jonhson</t>
  </si>
  <si>
    <t>167</t>
  </si>
  <si>
    <t>Scott Anthony</t>
  </si>
  <si>
    <t>168</t>
  </si>
  <si>
    <t>Internal ISO 17025 gap assessment</t>
  </si>
  <si>
    <t>169</t>
  </si>
  <si>
    <t>Denise Ortize</t>
  </si>
  <si>
    <t>TCEQ</t>
  </si>
  <si>
    <t>On site waste inspection by TX Commission on Environmental Quality</t>
  </si>
  <si>
    <t>170</t>
  </si>
  <si>
    <t xml:space="preserve">Jennifer Gastelum &amp; Marcus Galloway </t>
  </si>
  <si>
    <t xml:space="preserve">Laboratory </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</si>
  <si>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</si>
  <si>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</si>
  <si>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</si>
  <si>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</si>
  <si>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</si>
  <si>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</si>
  <si>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</si>
  <si>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</si>
  <si>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</si>
  <si>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</si>
  <si>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</si>
  <si>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</si>
  <si>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</si>
  <si>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</si>
  <si>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</si>
  <si>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</si>
  <si>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</si>
  <si>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</si>
  <si>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</si>
  <si>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</si>
  <si>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</si>
  <si>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</si>
  <si>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</si>
  <si>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</si>
  <si>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</si>
  <si>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</si>
  <si>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</si>
  <si>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</si>
  <si>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</si>
  <si>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</si>
  <si>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Location 
(drop-down)</t>
  </si>
  <si>
    <t>PTO #</t>
  </si>
  <si>
    <r>
      <t xml:space="preserve">BRIEF DESCRIPTION OF NC
</t>
    </r>
    <r>
      <rPr>
        <i/>
        <sz val="11"/>
        <color theme="1"/>
        <rFont val="Calibri"/>
        <family val="2"/>
        <scheme val="minor"/>
      </rPr>
      <t>if VOID:  "VOID, Location,  
details (initials, date)"</t>
    </r>
  </si>
  <si>
    <t>PT Program</t>
  </si>
  <si>
    <t>Parameter (s)</t>
  </si>
  <si>
    <t>Z-score (s)</t>
  </si>
  <si>
    <t>PTO initialized date</t>
  </si>
  <si>
    <t>QA team member initials</t>
  </si>
  <si>
    <t>Effectiveness Review &amp; date deemed effective</t>
  </si>
  <si>
    <t>Notes</t>
  </si>
  <si>
    <t>Number (for sorting)</t>
  </si>
  <si>
    <t>Days open if not closed</t>
  </si>
  <si>
    <t>PT: ETOH2308; D7319 - Sulfate, Existent, by DI-IC</t>
  </si>
  <si>
    <t>JN</t>
  </si>
  <si>
    <t xml:space="preserve">Meets both the precision performance and reproducibility criteria. </t>
  </si>
  <si>
    <t>PT: ETOH2308; E1064 - Water, by Coul KF, Z-Score = 12.14</t>
  </si>
  <si>
    <t>Eco</t>
  </si>
  <si>
    <t>PT: ETOH2308; D4052 - Density, Relative, @ 15.56 °C, Z-Score = 6.24</t>
  </si>
  <si>
    <t>PT: ETOH2308; D6423 - pHe, Z-Score = 2.16</t>
  </si>
  <si>
    <t>LJ</t>
  </si>
  <si>
    <t>PT: ETOH2308; D5501 - Methanol, By GC, Z-Score = 2.45</t>
  </si>
  <si>
    <t>PT: ETOH2308; D5453 - Sulfur, by UVF, Z-Score = 3.21</t>
  </si>
  <si>
    <t>PT: ETOH2308; D5501 - Methanol, By GC, Z-Score = 2.92</t>
  </si>
  <si>
    <t>PT: ETOH2308; E1064 - Water, by Coul KF, Z-Score = -6.31</t>
  </si>
  <si>
    <t>PT: ETOH2308; D7319 - Chloride, Inorganic, &amp; Sulfate, Existent, by DI-IC</t>
  </si>
  <si>
    <t>PT: ETOH2308; D5501 - Ethanol, By GC, Z-Score = 2.95</t>
  </si>
  <si>
    <t>PT: ETOH2308; E1064 - Water, by Coul KF, Z-Score = 11.49</t>
  </si>
  <si>
    <t>PT: CE511; D86 - Distillation, Auto, 20% , Z-Score = 3.46</t>
  </si>
  <si>
    <t>Confirmed Transcription Error.</t>
  </si>
  <si>
    <t>PT: CE511; D5453 - Sulfur, by UVF</t>
  </si>
  <si>
    <t>PT: CE511; D5188 - V/L Temp, Z-Score = -2.50</t>
  </si>
  <si>
    <t>PT: CE511; D3606 - Benzene, Z-Score = -3.01</t>
  </si>
  <si>
    <t>PT: CE512; D86 - Distillation, Auto, 30%, 40%, 50%, &amp; E200</t>
  </si>
  <si>
    <t>2.28, 2.38, 2.01, &amp; -2.52</t>
  </si>
  <si>
    <t>PT: CE512; D2699 - Research Octane Number, Z-Score = 2.45</t>
  </si>
  <si>
    <t>PT: CE512; D86 - Distillation, Auto, 80% , Z-Score = -6.32</t>
  </si>
  <si>
    <t>-6.32</t>
  </si>
  <si>
    <t>PT: CE512; D4052 - API,</t>
  </si>
  <si>
    <t>PT: CE512; D86 - Distillation, Auto, 95%, Recovery, &amp; Residue</t>
  </si>
  <si>
    <t>-2.01, 2.13, &amp; -2.31</t>
  </si>
  <si>
    <t>PT: CE512; D5580 - C9+ Aromatics,</t>
  </si>
  <si>
    <t>PT: CE512; D2699 - Research Octane Number</t>
  </si>
  <si>
    <t>D2699 - Research Octane Number</t>
  </si>
  <si>
    <t>PT: RFG2309; D1319 - HC Type, Aromatics, Corrected (EPA), Z-Score = -2.24</t>
  </si>
  <si>
    <t>PT: RFG2309; D1319 - HC Type, Olefins, Corrected, Z-Score = 11.44</t>
  </si>
  <si>
    <t>PT: RFG2309; D4052 - Density, Digital, 15 °C</t>
  </si>
  <si>
    <t>PT: RFG2309; D86 - Distillation, Auto, 50%, 60%, 70%, 80%,°F, E200, E300, &amp; Resid, % (EPA)</t>
  </si>
  <si>
    <t>Multiple Outliers</t>
  </si>
  <si>
    <t>PT: RFG2309; D1319 - HC Type, Aromatics, Corrected (EPA), Z-Score = 2.14</t>
  </si>
  <si>
    <t>PT: RFG2309; D5191 - Vapor Pressure, DVPE, 1L (EPA) &amp; TVP, Z-Scores = 13.62 &amp; 19.50</t>
  </si>
  <si>
    <t>13.62 &amp; 19.50</t>
  </si>
  <si>
    <t>PT: RFG2309; D86 - Distillation, Auto, 20%°F (EPA)</t>
  </si>
  <si>
    <t>PT: RFG2309; D5769 - Toluene, by GC/MS</t>
  </si>
  <si>
    <t>PT: RFG2309; D1319 - HC Type, Olefins, Corrected (EPA), Z-Score = -2.14</t>
  </si>
  <si>
    <t>PT: RFG2309; D6550 - HC Type, Olefins, by SFC, Z-Score = -2.86</t>
  </si>
  <si>
    <t>PT: RFG2309; D86 - Distillation, Auto, 90%°F (EPA)</t>
  </si>
  <si>
    <t>PT: RFG2309; D86 - Distillation, Auto, 95% &amp; 95%,°F (EPA), &amp; E300 %</t>
  </si>
  <si>
    <t>-2.36, -2.41, &amp; 2.10</t>
  </si>
  <si>
    <t>PT: RFG2309; D86 - Distillation, Auto, % Resid (EPA), Z-Score = -3.00</t>
  </si>
  <si>
    <t xml:space="preserve">PT: RFG2309; D1319-19 - HC Type, Aromatics, Oxy-Free (EPA), Z-Score = 2.39, D1319-20a - HC Type, Aromatics &amp; Saturates, Oxy-Free, Z-Scores = 2.37 &amp; -2.31 </t>
  </si>
  <si>
    <t>2.39, 2.37, &amp; -2.31</t>
  </si>
  <si>
    <t>PT: RFG2309; D5769 - Benzene &amp; Toluene, by GC/MS (EPA), Z-Scores =  -20.44 &amp; 4.71</t>
  </si>
  <si>
    <t>-20.44 &amp; 4.71</t>
  </si>
  <si>
    <t>PT: RFG2309; D5580 - C9+ Aromatics, Total Aromatics, Benzene, &amp; Toluene, Z-Scores =  -9.83, -14.91, -9.01, &amp; -15.72</t>
  </si>
  <si>
    <t>-9.83, -14.91, -9.01, &amp;-15.72</t>
  </si>
  <si>
    <t>PT: RFG2309; D2622 - Sulfur by WDXRF &amp; EPA, Z-Scores = 2.65 &amp; 2.99</t>
  </si>
  <si>
    <t>2.65 &amp; 2.99</t>
  </si>
  <si>
    <t>PT: RFG2309; D3606-20e1 &amp; D3606-22; Benzene, by GC, Proc B (EPA) &amp; Benzene, by GC, Proc B</t>
  </si>
  <si>
    <t>2.37 &amp; 2.12</t>
  </si>
  <si>
    <t>PT: RFG2309: D6839 - HC Type/Oxy, Olefins, by M-D GC, Z-Score = 2.27</t>
  </si>
  <si>
    <t>Consolidated with PTO289-165-23.</t>
  </si>
  <si>
    <t>PT: RFG2309; D5191 - Vapor Pressure, TVP, 1L &amp; Vapor Pressure, TVP, 1L (EPA) , Z-Scores = -2.01 &amp; -2.04</t>
  </si>
  <si>
    <t>2.01 &amp; -2.04</t>
  </si>
  <si>
    <t>2.72 &amp; 2.43</t>
  </si>
  <si>
    <t>PT: RFG2309; D86 - Distillation, Auto, 40% &amp; 40%, oF (EPA), Z-Scores = 5.84 &amp; 5.60</t>
  </si>
  <si>
    <t>5.84 &amp; 5.60</t>
  </si>
  <si>
    <t>2.23 &amp; 2.58</t>
  </si>
  <si>
    <t>PT: RFG2309: D5191 - Vapor Pressure, DVPE, 1L (EPA), Z-Score = 2.16</t>
  </si>
  <si>
    <t>PT: RFG2309; D86 - Distillation, Auto, 70%°F (EPA)</t>
  </si>
  <si>
    <t>PT: RFG2309; D3606-22; Benzene, by GC, Proc B</t>
  </si>
  <si>
    <t>-2.22</t>
  </si>
  <si>
    <t>PT: RFG2309: D4815 - Oxygenates, Ethanol, by GC, Z-Score = -2.51</t>
  </si>
  <si>
    <t>Bahamas (Freeport), GBI</t>
  </si>
  <si>
    <t>PT: RFG2309; D5580 - C9+ Aromatics, Total Aromatics, &amp; Toluene, Z-Scores =  9.03, 11.01, &amp; 8.33</t>
  </si>
  <si>
    <t>9.03, 11.01, &amp; 8.33</t>
  </si>
  <si>
    <t>oided per local MOC 132 due to lab fire on 11/2/24.</t>
  </si>
  <si>
    <t>PT: RFG2309; D7039 - Sulfur, by MWDXRF, Z-Score =  -3.30</t>
  </si>
  <si>
    <t>-3.30</t>
  </si>
  <si>
    <t>PT: RFG2309; D86 - Distillation, Auto, 70% &amp; Distillation, Auto, 70%, &amp; 80% °F (EPA)</t>
  </si>
  <si>
    <t>2.04, 2.13, &amp; 2.13</t>
  </si>
  <si>
    <t>PT: CO2307; D1298 - API Gravity, Hydrometer, Opaque, at 15 °C, Z-Score =  -235.50</t>
  </si>
  <si>
    <t>PT: CO2307; D5708 - Element, Nickel, ICPAES, Method A</t>
  </si>
  <si>
    <t>PT: CO2307; D664 - Acid Number, A, 60 mL, inflection EP</t>
  </si>
  <si>
    <t>PT: CO2307; D5708 - Element, Vanadium, ICPAES, Method A</t>
  </si>
  <si>
    <t xml:space="preserve">PT: CO2307; D6377 - Vapor Pressure, Crude Oil, Expansion Method </t>
  </si>
  <si>
    <t>PT: CO2307; D4928 - Water, Coulometric KF, Z-Score =  4.35</t>
  </si>
  <si>
    <t>-3.15</t>
  </si>
  <si>
    <t>PT: CO2307; D4006 - Water,by Distillation</t>
  </si>
  <si>
    <t>PT: CO2307; D7169 - BP Dist by HT-GC, Cut 1, 82.2C (180F), Cut 2, Cut 3, Cut 4, Cut 5, Cut 6, &amp; Cut 7, Z-Scores =  22.68, 88.23, 53.37, 28.81, 15.57, 4.53, &amp; 2.82</t>
  </si>
  <si>
    <t>22.68, 88.23, 53.37, 28.81, 15.57, 4.53, &amp; 2.82</t>
  </si>
  <si>
    <t>PT: CO2307; D445 - Viscosity, Kinematic, 40 °C, Z-Score =  4.93</t>
  </si>
  <si>
    <t>PT: CO2307; D4007 - Water and Sediment, Centrifuge, Z-Score =  4.29</t>
  </si>
  <si>
    <t>PT: CO2307: D4294 - Sulfur, by EDXRF, Z-Score = -2.19</t>
  </si>
  <si>
    <t>-2.19</t>
  </si>
  <si>
    <t>PT: CO2307: D4530 - Carbon Residue, Micro, Z-Score = -2.25</t>
  </si>
  <si>
    <t>PT: CO2307; D5002 - Density, digital, 15 °C, Z-Score =  -3.27</t>
  </si>
  <si>
    <t>PT: CO2307; D7169 - BP Dist by HT-GC, IBP - FBP Z-Scores =  Multiple Outliers</t>
  </si>
  <si>
    <t>Multiple</t>
  </si>
  <si>
    <t>PT: CO2307: D473 - Sediment, Z-Score = 2.32</t>
  </si>
  <si>
    <t>PT: CO2307; D445 - Viscosity, Kinematic, 40 °C, Z-Score =  -20.40</t>
  </si>
  <si>
    <t>PT: CO2307: D4928 - Water, Coulometric KF, Z-Score = -2.82</t>
  </si>
  <si>
    <t>PT: CO2307; D473 - Sediment, Z-Score =  4.35</t>
  </si>
  <si>
    <t>PT: CO2307; D4807 - Sediment, Z-Score =  4.17</t>
  </si>
  <si>
    <t>PT: CO2307; D97 - Pour Point, residual fuels</t>
  </si>
  <si>
    <t>PT: CO2307; D445 - Viscosity, Kinematic, 25 °C, Z-Score =  -24.94</t>
  </si>
  <si>
    <t>St Louis, MO</t>
  </si>
  <si>
    <t>PT: OC2308; D2699 - Research Octane Number, Z-Score = -3.57</t>
  </si>
  <si>
    <t>PT: OC2308; D2700 - Motor Octane Number, Z-Score = -2.74</t>
  </si>
  <si>
    <t>PT: OC2308; D2699 - Research Octane Number</t>
  </si>
  <si>
    <t>PT: OC2308; Sulfur Content, Z-Score = 3.05</t>
  </si>
  <si>
    <t>PT: OC2308; D2700 - Motor Octane Number, Z-Score = 2.47</t>
  </si>
  <si>
    <t>PT: OC2308; D86 - Distillation, IBP, 10%, 50%, 90%, &amp; FBP, Z-Scores = 15.34, 21.15, 34.31, 27.07, &amp; 46.27</t>
  </si>
  <si>
    <t>15.34, 21.15, 34.31, 27.07, &amp; 46.27</t>
  </si>
  <si>
    <t>PT: OC2308; D1319 - Hydrocarbon Type D1319, Oxy-free - Aromatics</t>
  </si>
  <si>
    <t>PT: OC2308; Vapor Pressure DVPE</t>
  </si>
  <si>
    <t>Vapor Pressure</t>
  </si>
  <si>
    <t>PT: LPG2307; D2163 - Hydrocarbons, Propane</t>
  </si>
  <si>
    <t>PT: LPG2307; D6667 - Sulfur in LPG by UVF, Z-Score = -2.02</t>
  </si>
  <si>
    <t>PT: LPG2307; D2163 - Hydrocarbons, n-Butane, Z-Score = 8.89</t>
  </si>
  <si>
    <t>PT: BIOD2308; EN 14103 - Linolenic Acid Methyl Ester , Z-Score = 2.81</t>
  </si>
  <si>
    <t>PT: BIOD2308; D5453 - Sulfur, by UVF, Z-Score = 2.01</t>
  </si>
  <si>
    <t>PT: BIOD2308; E203 - Water, by Volumetric KF, Z-Score = -4.55</t>
  </si>
  <si>
    <t>PT: BIOD2308; EN 14538 - Elements, Na + K, by ICP/OES</t>
  </si>
  <si>
    <t>PT: BIOD2308; EN 14103 - FAME (ester), Total, Z-Score = -33.25</t>
  </si>
  <si>
    <t>PT: BIOD2308; D5453 - Sulfur, by UVF, Z-Score = 3.59</t>
  </si>
  <si>
    <t>PT: BIOD2308; D664 - Acid Number, Potentiometric B, Z-Score = -2.41</t>
  </si>
  <si>
    <t>PT: CET2310; D86 - Distillation, Auto, 90% &amp; Recov%</t>
  </si>
  <si>
    <t>2.05 &amp; -2.32</t>
  </si>
  <si>
    <t>PT: CET2310; D86 - Distillation, Auto, IBP, Z-Score = -2.03</t>
  </si>
  <si>
    <t>See PTO927-120-24</t>
  </si>
  <si>
    <t>PT: CET2310; Multiple Methods and Outliers</t>
  </si>
  <si>
    <t>Multiple Methods</t>
  </si>
  <si>
    <t>Mulitple Outliers</t>
  </si>
  <si>
    <t>Confirmed transcription error. Wrong sample ran and reported.</t>
  </si>
  <si>
    <t>PT: CET2310; D86 - Distillation, Auto, IBP, Z-Score = 2.27</t>
  </si>
  <si>
    <t>PT: CET2310; D93 - Flash Point, PMCC, Proc A, corrected, Z-Score = 2.46</t>
  </si>
  <si>
    <t>Sample Handling. See PTO101-170-24 for more information.</t>
  </si>
  <si>
    <t>PT: CET2310; D2622 - Sulfur by WDXRF, Z-Score = 2.25</t>
  </si>
  <si>
    <t>PT: CET2310; D1319 - HC Type, Aromatics &amp; Saturates, Oxy-Free</t>
  </si>
  <si>
    <t>2.38 &amp; -2.12</t>
  </si>
  <si>
    <t>PT: CET2310; D4052 - Density, Digital, 15 °C</t>
  </si>
  <si>
    <t>PT: CET2310; D445 - Viscosity, Kinematic, 40 °C, Z-Score = 6.26</t>
  </si>
  <si>
    <t>PT: CET2310; D86 - Distillation, Auto, IBP - FBP, Z-Scores = Multiple Outliers</t>
  </si>
  <si>
    <t>PT: CET2310; D445 - Viscosity, Kinematic, 40 °C, Z-Score = -4.43</t>
  </si>
  <si>
    <t>PT: JF2307; D93 - Flash Point, PMCC, Proc A, corrected, Z-Score = 2.17</t>
  </si>
  <si>
    <t>PT: JF2307; D6379 - HC Type by HPLC, Mono-Aromatics &amp; Total Aromatics, Z-Scores = 3.14 &amp; 2.82</t>
  </si>
  <si>
    <t>3.14 &amp; 2.82</t>
  </si>
  <si>
    <t>PT: JF2307; D6379 - HC Type by HPLC, Di-aromatics, Total Aromatics, &amp; Mono-Aromatics, Z-Scores = 20.71, 4.86, &amp; 2.90</t>
  </si>
  <si>
    <t>20.71, 4.86, &amp; 2.90</t>
  </si>
  <si>
    <t>PT: JF2307; D1840 - Napthalenes, by UVS, Z-Score = 17.27</t>
  </si>
  <si>
    <t>PT: JF2307; D3338 - Net Heat of Combustion, Z-Score = -2.94</t>
  </si>
  <si>
    <t>PT: JF2307; D2622 - Sulfur by WDXRF, Z-Score = -8.25</t>
  </si>
  <si>
    <t>PT: JF2307; D3948 - Water Separation, by Portable Sep, Z-Score = -5.90</t>
  </si>
  <si>
    <t>PT: JF2307; D86 - Distillation, Auto, 5% - 80%, FBP, &amp; % Resid</t>
  </si>
  <si>
    <t>PT: JF2307; D2622 - Sulfur by WDXRF, Z-Score = -2.14</t>
  </si>
  <si>
    <t>PT: JF2307; D3242 - Acidity, Z-Score = 3.14</t>
  </si>
  <si>
    <t>PT: JF2307; D2887 - BP Distribution, GC, Proc A, IBP, Z-Score = -3.38</t>
  </si>
  <si>
    <t>PT: JF2307; D86 - Distillation, Auto, IBP, Z-Score = -7.23</t>
  </si>
  <si>
    <t>PT: JF2307; D1319 - HC Type, Olefins, Oxy-Free, Z-Score = 3.16</t>
  </si>
  <si>
    <t>PT: JF2307; D3227 - Mercaptan Sulfur, Potentiometric, Z-Score = 4.51</t>
  </si>
  <si>
    <t>PT: JF2307; D3338 - Net Heat of Combustion, Z-Score = 9.38</t>
  </si>
  <si>
    <t>Confirmed Calculation Error.</t>
  </si>
  <si>
    <t>PT: JF2307; D4294 - Sulfur, by EDXRF, Z-Score = 6.00</t>
  </si>
  <si>
    <t>PT: JF2307; D7039- Sulfur, by MWDXRF, Z-Score = -3.00</t>
  </si>
  <si>
    <t>-3.00</t>
  </si>
  <si>
    <t>PT: JF2307; D2887 - BP Distribution, GC, Proc A, 30%, 80%, &amp; 95%, Z-Scores = -2.03, -2.39, &amp; -2.17</t>
  </si>
  <si>
    <t>2.03, -2.39, &amp; -2.17</t>
  </si>
  <si>
    <t>PT: JF2307; D6379 - HC Type by HPLC, Di-aromatics, Z-Score = 23.79</t>
  </si>
  <si>
    <t>PT: JF2307; D1322 - Smoke Point, Man, Z-Score = -2.74</t>
  </si>
  <si>
    <t>-2.74</t>
  </si>
  <si>
    <t>See PTO512-165-24</t>
  </si>
  <si>
    <t>PT: JF2307; D2386 - Freeze Point, Z-Score = 2.12</t>
  </si>
  <si>
    <t>PT: JF2307; D2887 - BP Distribution, GC, Proc B, 30%, Z-Score = 2.45</t>
  </si>
  <si>
    <t>PT: JF2307; D2386 - Freeze Point, Z-Score = -18.00</t>
  </si>
  <si>
    <t>-18.00</t>
  </si>
  <si>
    <t>PT: JF2307; D6379 - HC Type by HPLC, Mono-Aromatics &amp; Total Aromatics, Z-Scores = 4.92 &amp; 4.43</t>
  </si>
  <si>
    <t>4.92 &amp; 4.43</t>
  </si>
  <si>
    <t>PT: JF2307; D3338 - Net Heat of Combustion, Z-Score = -7.07</t>
  </si>
  <si>
    <t>7.07</t>
  </si>
  <si>
    <t>PT: JF2307; D56 - Flash Point,TAG, corrected, Z-Score = 2.17</t>
  </si>
  <si>
    <t>PT: JF2307; D4294 - Sulfur, by EDXRF</t>
  </si>
  <si>
    <t>Meets both the precision performance and reproducibility criteria.</t>
  </si>
  <si>
    <t>PT: JF2307; D1322 - Smoke Point, Auto, Z-Score = -7.84</t>
  </si>
  <si>
    <t>-7.84</t>
  </si>
  <si>
    <t>PT: JF2307; D976 - Cetane Index, Caluclated, Z-Score = 3.07</t>
  </si>
  <si>
    <t>PT: JF2307; D4529 - Heat of Combustion, Z-Score = 2.60</t>
  </si>
  <si>
    <t>PT: JF2307; D3241 - Thermal Stability, Interferometric, @260 Thickness &amp; Volume, &amp; @275 Thickness &amp; Volume, Z-Scores = 126.55 &amp; 15.92, 13.10 &amp; 10.39</t>
  </si>
  <si>
    <t>126.55 &amp; 15.92, 13.10 &amp; 10.39</t>
  </si>
  <si>
    <t>PT: JF2307; D3948 - Water Separation, by Portable Sep, Z-Score = -3.50</t>
  </si>
  <si>
    <t>-3.50</t>
  </si>
  <si>
    <t>PT: JF2307; D86 - Distillation, Auto, IBP, Z-Score = -2.78</t>
  </si>
  <si>
    <t>-2.78</t>
  </si>
  <si>
    <t>PT: JF2307; D7039- Sulfur, by MWDXRF, Z-Score = 3.00</t>
  </si>
  <si>
    <t>PT: JF2307; D86 - Distillation, Auto, IBP, Z-Score = -2.12</t>
  </si>
  <si>
    <t>-2.12</t>
  </si>
  <si>
    <t>PT: JF2307; D5001 - Lubricity, BOCLE, Proc B, auto, Z-Score = -2.45</t>
  </si>
  <si>
    <t>-2.45</t>
  </si>
  <si>
    <t>PT: JF2307; D445 - Viscosity, Kinematic, -20 °C, Z-Score = -2.59</t>
  </si>
  <si>
    <t>-2.59</t>
  </si>
  <si>
    <t>PT: JF2307; D86 - Distillation, Auto, IBP, FBP &amp; %Loss, Z-Score =-2.05 &amp; -3.76, &amp; 3.32</t>
  </si>
  <si>
    <t>2.05, -3.76, &amp; 3.32</t>
  </si>
  <si>
    <t>PT: JF2307; D1319 - HC Type, Aromatics &amp; Saturates, Oxy-Free, Z-Score = 9.87 &amp; -10.07</t>
  </si>
  <si>
    <t>9.87 &amp; -10.07</t>
  </si>
  <si>
    <t>PT: JF2307; D3338 - Net Heat of Combustion, Z-Score = -7.17</t>
  </si>
  <si>
    <t>-7.17</t>
  </si>
  <si>
    <t>PT: JF2307; D6304 - Water, by Coul KF, Meth A Direct Injection, mg/kg, Z-Score = 7.30</t>
  </si>
  <si>
    <t>PT: RFG2310; D1319 - HC Type, Saturates, Oxy-Free (EPA), Z-Score = -3.17</t>
  </si>
  <si>
    <t>-3.17</t>
  </si>
  <si>
    <t>PT: RFG2310; D4052 - Density, Digital, 15 °C, Z-Score = 15.67</t>
  </si>
  <si>
    <t>PT: RFG2310; D2622-16 - Sulfur by WDXRF &amp; EPA, Z-Scores = -2.34, -2.69</t>
  </si>
  <si>
    <t>-2.34 &amp; -2.69</t>
  </si>
  <si>
    <t>PT: RFG2310; D5443 - HC Type, C6 Naphthenes, by MD-GC, Z-Score = 8.69</t>
  </si>
  <si>
    <t>PT: RFG2310; D8071 - HC Type, Xylenes, GC-VUV, Z-Score = -2.02</t>
  </si>
  <si>
    <t>-2.02</t>
  </si>
  <si>
    <t>PT: RFG2310; D4815 - Oxygenates, Oxygen, Total, by GC, Z-Score = -38.88</t>
  </si>
  <si>
    <t>-38.88</t>
  </si>
  <si>
    <t>PT: RFG2310; D5191 - Vapor Pressure, TVP, 1L (EPA), Z-Score = -12.07</t>
  </si>
  <si>
    <t>-12.07</t>
  </si>
  <si>
    <t>PT: RFG2310; D86 - Distillation, Auto, 50%, °F (EPA)</t>
  </si>
  <si>
    <t>PT: RFG2310; D4815 - Oxygenates, Ethanol, by GC</t>
  </si>
  <si>
    <t>PT: RFG2310; D5580 - Toluene &amp; Total Aromatics, by GC, Z-Scores = 4.18 &amp; 2.66</t>
  </si>
  <si>
    <t>4.18 &amp; 2.66</t>
  </si>
  <si>
    <t>PT: RFG2310; D4052 - Density, Digital, 15 °C, Z-Score = 3.10</t>
  </si>
  <si>
    <t>PT: RFG2310; D1319 - HC Type, Multiple Parameters, Z-Scores = Multiple Outliers</t>
  </si>
  <si>
    <t>PT: RFG2310; D6550 - HC Type, Olefins, by SFC, Z-Score = -2.18</t>
  </si>
  <si>
    <t>-2.18</t>
  </si>
  <si>
    <t>PT: RFG2310; D4815 - Oxygenates, Oxygen, Total, by GC, Z-Score = -36.53</t>
  </si>
  <si>
    <t>-36.53</t>
  </si>
  <si>
    <t>PT: RFG2310; D3606 - Benzene, by GC, Proc B (EPA), Z-Score = 2.03</t>
  </si>
  <si>
    <t>PT: RFG2310; D5188 - V/L Ratio Temp, Evac Chamber, Z-Score = -2.88</t>
  </si>
  <si>
    <t>-2.88</t>
  </si>
  <si>
    <t>PT: RFG2310; D86 - Distillation, Auto, FBP, °F (EPA), Z-Score = -3.05</t>
  </si>
  <si>
    <t>-3.05</t>
  </si>
  <si>
    <t>PT: RFG2310; D1319 - HC Type, Aromatics, Oxy-Free(EPA) &amp; Saturates, Corrected (EPA), Z-Scores = -2.03 &amp; 2.36</t>
  </si>
  <si>
    <t>-2.03 &amp; 2.36</t>
  </si>
  <si>
    <t>PT: RFG2310; D86 - Distillation, Auto, 90% &amp; 90%, °F (EPA), Z-Scores = -4.46 &amp; -2.80</t>
  </si>
  <si>
    <t>-4.46 &amp; -2.80</t>
  </si>
  <si>
    <t>PT: RFG2310; D4052 - Density, Digital, 15 °C, Z-Score = 12.53</t>
  </si>
  <si>
    <t>PT: RFG2310; D1319 - HC Type, Olefins, Corrected &amp; Oxy-Free (EPA), Z-Scores = -2.18 &amp; -2.24</t>
  </si>
  <si>
    <t>2.18 &amp; -2.24</t>
  </si>
  <si>
    <t>PT: RFG2310; D3606 - Toluene, by GC, Proc B &amp; (EPA), Z-Scores = -2.73 &amp; -2.20</t>
  </si>
  <si>
    <t>2.73 &amp; -2.20</t>
  </si>
  <si>
    <t>PT: RFG2310; D5769 - Total Aromatics, Benzene, &amp; Toluene, Z-Scores = Multiple Outliers</t>
  </si>
  <si>
    <t>PT: RFG2310; D3606 - Benzene, by GC, Proc B &amp; (EPA), Z-Scores = 181.67 &amp; 136.5</t>
  </si>
  <si>
    <t>181.67 &amp; 136.5</t>
  </si>
  <si>
    <t>PT: RFG2310; D86 - Distillation, Auto, %Resid (EPA), Z-Score =3.67</t>
  </si>
  <si>
    <t>PT: RFG2310; D4815 - Oxygenates, Oxygen, Total, by GC, Z-Score = 93.87</t>
  </si>
  <si>
    <t>PT: RFG2310; D6839 - HC Type/Oxy, Olefins, by M-D GC, Z-Score = 6.19</t>
  </si>
  <si>
    <t>See PTO569-165-24</t>
  </si>
  <si>
    <t>PT: RFG2310; D4052 - Density, Digital, 15 °C, Z-Score = 7.03</t>
  </si>
  <si>
    <t>PT: RFG2310; D5191 - Vapor Pressure, DVPE, 1L, DVPE, 1L (EPA), &amp; TVP, 1L (EPA), Z-Scores = 2.20, 9.90, &amp; 2.96</t>
  </si>
  <si>
    <t>2.20, 9.90, &amp; 2.96</t>
  </si>
  <si>
    <t>PT: RFG2310; D5580 - Toluene, by GC</t>
  </si>
  <si>
    <t>-2.15</t>
  </si>
  <si>
    <t>PT: RFG2310; D86 - Distillation, Auto, E200 &amp; E300, °F (EPA)</t>
  </si>
  <si>
    <t>-2.77 &amp; -2.59</t>
  </si>
  <si>
    <t>PT: RFG2310; D86 - Distillation, Auto, E300, °F (EPA)</t>
  </si>
  <si>
    <t>-2.04</t>
  </si>
  <si>
    <t>PT: RFG2310; D5453 - Sulfur, by UVF</t>
  </si>
  <si>
    <t>PT: MG2308; D6550 - HC Type, Olefins, by SFC</t>
  </si>
  <si>
    <t>PT: MG2308; D86 - Distillation, Auto, 5%, 10%, 20%, 30%, &amp; 70% °F (EPA)</t>
  </si>
  <si>
    <t>2.37, 2.51, 2.46, 2.14, &amp; 2.07</t>
  </si>
  <si>
    <t>PT: MG2308; D5188 - V/L Ratio Temp, Evac Chamber, Z-Score = -6.29</t>
  </si>
  <si>
    <t>PT: MG2308; D6378 - Vapor Pressure, Triple Expansion, Z-Score = 9.60</t>
  </si>
  <si>
    <t>PT: MG2308; D4052 - Density, Digital, 15 °C, Z-Score = 3.04</t>
  </si>
  <si>
    <t>PT: MG2308; D5453 - Sulfur, by UVF, Z-Score = -3.87</t>
  </si>
  <si>
    <t>PT: MG2308; D86 - Distillation, Auto, % Resid (EPA), Z-Score = -6.21</t>
  </si>
  <si>
    <t>PT: MG2308; D3231 - Element, Phosphorus, by combusition/colorometric, Z-Score = 0.00 (Rejected result)</t>
  </si>
  <si>
    <t>PT: MG2308; D86 - Distillation, Auto, IBP, Z-Score = -2.20</t>
  </si>
  <si>
    <t>PT: MG2308; D1319 - HC Type, Saturates, Oxy-Free (EPA), Z-Score = -2.18</t>
  </si>
  <si>
    <t>PT: MG2308; D86 - Distillation, Auto, 80% °F (EPA) &amp; % Evap</t>
  </si>
  <si>
    <t>-2.23 &amp; -2.44</t>
  </si>
  <si>
    <t>PT: MG2308; D3606 - Toluene, by GC, Proc B, Z-Score = -2.12</t>
  </si>
  <si>
    <t>See PTO 173-155-24.</t>
  </si>
  <si>
    <t>PT: MG2308; D4052 - Density, Digital, 15 °C, Z-Score = 7.07</t>
  </si>
  <si>
    <t>PT: MG2308; D3606 - Benzene, by GC, Proc B &amp; EPA, Z-Scores = -4.66 &amp; -2.65</t>
  </si>
  <si>
    <t>-4.66 &amp; -2.65</t>
  </si>
  <si>
    <t>PT: MG2308; D86 - Distillation, Auto, % Resid (EPA), Z-Score = 4.91</t>
  </si>
  <si>
    <t>PT: MG2308; D6550 - HC Type, Olefins, by SFC, Z-Score = 72.31</t>
  </si>
  <si>
    <t>201</t>
  </si>
  <si>
    <t>PT: MG2308; D3237 - Element, Lead, by AAS, Z-Score = 0.00 (Rejected result)</t>
  </si>
  <si>
    <t>202</t>
  </si>
  <si>
    <t>PT: MG2308; D86 - Distillation, Auto, 5%, °F &amp; (EPA)</t>
  </si>
  <si>
    <t>-2.75 &amp; -2.32</t>
  </si>
  <si>
    <t>203</t>
  </si>
  <si>
    <t>PT: MG2308; D6730 - HC Type, Multiple Parameters, by pCHR-GC, Z-Scores = Multiple Outliers</t>
  </si>
  <si>
    <t>204</t>
  </si>
  <si>
    <t>PT: MG2308; D5443 - HC Type, C9 Paraffins, by MD-GC, Z-Score = -17.95</t>
  </si>
  <si>
    <t>-17.95</t>
  </si>
  <si>
    <t>205</t>
  </si>
  <si>
    <t>206</t>
  </si>
  <si>
    <t>PT: MG2308; D6839 - HC Type/Oxy, Aromatics, Olefins, &amp; Saturates, by M-D GC, Z-Scores = 7.68, 3.06, &amp; -8.13</t>
  </si>
  <si>
    <t>7.68, 3.06, &amp; -8.13</t>
  </si>
  <si>
    <t>207</t>
  </si>
  <si>
    <t>PT: MG2308; D6730 - HC Type, Benzene, by pCHR-GC, Z-Score = -2.04</t>
  </si>
  <si>
    <t>208</t>
  </si>
  <si>
    <t>PT: MG2308; D5769 - Benzene, by GC/MS</t>
  </si>
  <si>
    <t>209</t>
  </si>
  <si>
    <t>PT: MG2308; D1319 - HC Type, Olefins, Corrected &amp; (EPA), Z-Scores = -2.26 &amp; -2.33</t>
  </si>
  <si>
    <t>-2.26 &amp; -2.33</t>
  </si>
  <si>
    <t>210</t>
  </si>
  <si>
    <t>PT: MG2308; D86 - Distillation, Auto, % Evap, Z-Score = -145.61</t>
  </si>
  <si>
    <t>211</t>
  </si>
  <si>
    <t>PT: MG2308; D86 - Distillation, Auto, 20%, 30%, &amp; 40%, °F &amp; (EPA)</t>
  </si>
  <si>
    <t>2.33, 2.57, &amp; 2.54</t>
  </si>
  <si>
    <t>212</t>
  </si>
  <si>
    <t>PT: MG2308; D1319 - HC Type, Olefins, Corrected (EPA) &amp; Saturates, Oxy-Free (EPA), Z-Scores = 117.02 &amp; -56.21</t>
  </si>
  <si>
    <t>117.02 &amp; -56.21</t>
  </si>
  <si>
    <t>213</t>
  </si>
  <si>
    <t>PT: MG2308; D3227 - Mercaptan Sulfur, Potentiometric</t>
  </si>
  <si>
    <t>214</t>
  </si>
  <si>
    <t>PT: MG2308; D2622 - Sulfur by WDXRF, Z-Score = -2.81</t>
  </si>
  <si>
    <t>215</t>
  </si>
  <si>
    <t>PT: MG2312; D6550 - HC Type, Olefins, by SFC, Z-Score = -2.29</t>
  </si>
  <si>
    <t>-2.29</t>
  </si>
  <si>
    <t>216</t>
  </si>
  <si>
    <t>PT: MG2312; D6550 - HC Type, Olefins, by SFC, Z-Score = -2.19</t>
  </si>
  <si>
    <t>217</t>
  </si>
  <si>
    <t>PT: MG2312; D86 - Distillation, Auto, 40%</t>
  </si>
  <si>
    <t>218</t>
  </si>
  <si>
    <t>PT: MG2312; D1319 - HC Type, Olefins, Corrected, Z-Score = -2.51</t>
  </si>
  <si>
    <t>-2.51</t>
  </si>
  <si>
    <t>219</t>
  </si>
  <si>
    <t>PT: MG2312; D7039 - Sulfur, by MWDXRF, Z-Score = 2.04</t>
  </si>
  <si>
    <t>220</t>
  </si>
  <si>
    <t>PT: MG2312; D86 - Distillation, Auto, 70% &amp; 80%, °F (EPA)</t>
  </si>
  <si>
    <t>2.09 &amp; 2.01</t>
  </si>
  <si>
    <t>221</t>
  </si>
  <si>
    <t>PT: MG2312; D86 - Distillation, Auto, FBP, °F (EPA)</t>
  </si>
  <si>
    <t>222</t>
  </si>
  <si>
    <t>PT: MG2312; D4052 - Density, Digital, 15 °C</t>
  </si>
  <si>
    <t>223</t>
  </si>
  <si>
    <t>PT: MG2312; D86 - Distillation, Auto, % Evap, Z-Score = -149.63</t>
  </si>
  <si>
    <t>224</t>
  </si>
  <si>
    <t>PT: MG2312; D3227 - Mercaptan Sulfur, Potentiometric</t>
  </si>
  <si>
    <t>225</t>
  </si>
  <si>
    <t>PT: MG2312; D5191 - Vapor Pressure, DVPE &amp; TVP, 1L, Z-Scores = 73.24 &amp; 89.13</t>
  </si>
  <si>
    <t>73.24 &amp; 89.13</t>
  </si>
  <si>
    <t>226</t>
  </si>
  <si>
    <t>PT: MG2312; D3606 - Benzene &amp; Toluene, by GC, Proc B &amp; (EPA), Z-Scores = -6.31, -3.36, -2.50, &amp; -2.46</t>
  </si>
  <si>
    <t>6.31, -3.36, -2.50, &amp; -2.46</t>
  </si>
  <si>
    <t>227</t>
  </si>
  <si>
    <t>PT: MG2312; D3237 - Element, Lead, by AAS, Z-Score = 21.39</t>
  </si>
  <si>
    <t>228</t>
  </si>
  <si>
    <t>PT: MG2312; D3231 - Element, Phosphorus, by combusition/colorometric, Z-Score = 0.00 (Rejected result)</t>
  </si>
  <si>
    <t>229</t>
  </si>
  <si>
    <t>PT: MG2312; D5453 - Sulfur, by UVF, Z-Score = -2.04</t>
  </si>
  <si>
    <t>230</t>
  </si>
  <si>
    <t>PT: MG2312; D86 - Distillation, Auto, % Resid &amp; FBP, °F (EPA)</t>
  </si>
  <si>
    <t>2.21 &amp; -2.33</t>
  </si>
  <si>
    <t>231</t>
  </si>
  <si>
    <t>PT: MG2312; D3237 - Element, Lead, by AAS, Z-Score = 3.32</t>
  </si>
  <si>
    <t>232</t>
  </si>
  <si>
    <t>PT: MG2312; D5453 - Sulfur, by UVF, Z-Score = -2.16</t>
  </si>
  <si>
    <t>233</t>
  </si>
  <si>
    <t>PT: MG2312; D86 - Distillation, Auto, 80%, °F (EPA), Z-Score = -6.32</t>
  </si>
  <si>
    <t>234</t>
  </si>
  <si>
    <t>PT: MG2312; D1319 - HC Type Olefins, Oxy-Free (EPA)</t>
  </si>
  <si>
    <t>235</t>
  </si>
  <si>
    <t>PT: OC2310; D86 - Distillation, IBP °F</t>
  </si>
  <si>
    <t>236</t>
  </si>
  <si>
    <t>PT: OC2310; D2700 - Motor Octane Number, Z-Score = -2.15</t>
  </si>
  <si>
    <t>237</t>
  </si>
  <si>
    <t>PT: OC2312; Vapor Pressure, Z-Score = -32.40</t>
  </si>
  <si>
    <t>-32.40</t>
  </si>
  <si>
    <t>238</t>
  </si>
  <si>
    <t>PT: OC2312; D86 - Distillation, FBP °F</t>
  </si>
  <si>
    <t>239</t>
  </si>
  <si>
    <t>PT: OC2312; D2700 - Motor Octane Number, Z-Score = 2.27</t>
  </si>
  <si>
    <t>2.27</t>
  </si>
  <si>
    <t>240</t>
  </si>
  <si>
    <t>PT: OC2402; API Gravity, Z-Score = 7.75</t>
  </si>
  <si>
    <t>241</t>
  </si>
  <si>
    <t>PT: OC2402; D2699 - Research Octane Number, Z-Score = 5.01</t>
  </si>
  <si>
    <t>242</t>
  </si>
  <si>
    <t>PT: OC2312; D86 - Distillation, % Loss &amp; % Recovery</t>
  </si>
  <si>
    <t>2.06 &amp; -2.38</t>
  </si>
  <si>
    <t>243</t>
  </si>
  <si>
    <t>PT: OC2402; D2699 - Research Octane Number, Z-Score = 4.67</t>
  </si>
  <si>
    <t>244</t>
  </si>
  <si>
    <t>PT: OC2402; D2699 - Research Octane Number, Z-Score = -6.87</t>
  </si>
  <si>
    <t>-6.87</t>
  </si>
  <si>
    <t>245</t>
  </si>
  <si>
    <t>PT: TM12-23; D86 - Distillation, 50%, °F</t>
  </si>
  <si>
    <t>TRG</t>
  </si>
  <si>
    <t>246</t>
  </si>
  <si>
    <t>PT: TM12C-23; D86 - Distillation, FBP</t>
  </si>
  <si>
    <t>-2.54</t>
  </si>
  <si>
    <t>247</t>
  </si>
  <si>
    <t>PT: TM12C-23; D2699 - Research Octane Number</t>
  </si>
  <si>
    <t>-2.33</t>
  </si>
  <si>
    <t>248</t>
  </si>
  <si>
    <t>PT: AT-355A; D86 - Distillation, 90%, °F</t>
  </si>
  <si>
    <t>ARG</t>
  </si>
  <si>
    <t>-2.08</t>
  </si>
  <si>
    <t>249</t>
  </si>
  <si>
    <t>PT: AT-355A; D2700 - Motor Octane Number</t>
  </si>
  <si>
    <t>D2700 - Motor Octane Number</t>
  </si>
  <si>
    <t>250</t>
  </si>
  <si>
    <t>PT: AT-358; D2699 - Research Octane Number</t>
  </si>
  <si>
    <t>-2.06</t>
  </si>
  <si>
    <t>251</t>
  </si>
  <si>
    <t>PT: AT-358; D86 - Distillation, FBP</t>
  </si>
  <si>
    <t>-2.05</t>
  </si>
  <si>
    <t>252</t>
  </si>
  <si>
    <t>PT: CE513; D86 - Distillation - 40% - 95%, E200 &amp; E300, Z-Scores = Multiple Outliers</t>
  </si>
  <si>
    <t>GLRE</t>
  </si>
  <si>
    <t>253</t>
  </si>
  <si>
    <t>PT: CE513; D6550 - Olefins, Z-Score = 2.01</t>
  </si>
  <si>
    <t>254</t>
  </si>
  <si>
    <t>PT: CE513; D86 - Distillation - 80% &amp; Residue</t>
  </si>
  <si>
    <t>D86 - Distillation</t>
  </si>
  <si>
    <t>2.04 &amp; 2.34</t>
  </si>
  <si>
    <t>255</t>
  </si>
  <si>
    <t>PT: CE513; D5453 - Sulfur, Z-Score = -4.22</t>
  </si>
  <si>
    <t>-4.22</t>
  </si>
  <si>
    <t>256</t>
  </si>
  <si>
    <t>PT: CE513; D5769 - Aromatics, Z-Score = -17.15</t>
  </si>
  <si>
    <t>-17.15</t>
  </si>
  <si>
    <t>257</t>
  </si>
  <si>
    <t>PT: CE513; D5580 - Total Aromatics, Z-Score = 2.04</t>
  </si>
  <si>
    <t>258</t>
  </si>
  <si>
    <t>PT: CE513; D86 - Distillation - 5% - 95%, Z-Scores = Multiple Outliers</t>
  </si>
  <si>
    <t>Confirmed Transcription Errors.</t>
  </si>
  <si>
    <t>259</t>
  </si>
  <si>
    <t>PT: DF22310; D2624 - Electrical Conductivity, Proc A, Z-Score = 11.80</t>
  </si>
  <si>
    <t>DF2</t>
  </si>
  <si>
    <t>260</t>
  </si>
  <si>
    <t>PT: CE514; D86 - Distillation - 5% &amp; 10%</t>
  </si>
  <si>
    <t>261</t>
  </si>
  <si>
    <t>PT: CE514; D2699 - Research Octane Number &amp; R-M Sensitivity, Z-Scores = 2.59 &amp; 2.90</t>
  </si>
  <si>
    <t>2.59 &amp; 2.90</t>
  </si>
  <si>
    <t>262</t>
  </si>
  <si>
    <t>PT: CE514; D86 - Distillation - E200 &amp; E300</t>
  </si>
  <si>
    <t>-2.83 &amp; -2.61</t>
  </si>
  <si>
    <t>263</t>
  </si>
  <si>
    <t>PT: CE514; D3606 - Benzene, Z-Score = 2.46</t>
  </si>
  <si>
    <t>264</t>
  </si>
  <si>
    <t>PT: CE514; D5769 - Benzene, Z-Score = 5.06</t>
  </si>
  <si>
    <t>265</t>
  </si>
  <si>
    <t>PT: CE514; D5580 - HC Type, Toluene</t>
  </si>
  <si>
    <t>266</t>
  </si>
  <si>
    <t>PT: CE514; D5188 - V/L Temp, Z-Score = -2.06</t>
  </si>
  <si>
    <t>267</t>
  </si>
  <si>
    <t>-2.34 &amp; -2.42</t>
  </si>
  <si>
    <t>268</t>
  </si>
  <si>
    <t>PT: RFG2311; D5188 - V/L Ratio Temp, Evac Chamber, Z-Score = -2.59</t>
  </si>
  <si>
    <t>269</t>
  </si>
  <si>
    <t>PT: RFG2311; D86 - Distillation, Auto, 95%, °F &amp; (EPA)</t>
  </si>
  <si>
    <t>2.23 &amp; 2.53</t>
  </si>
  <si>
    <t>270</t>
  </si>
  <si>
    <t>PT: RFG2311; D4815 - Oxygenates, Ethanol, &amp; Total Oxygen, by GC, Z-Scores = -3.39 &amp; -36.40</t>
  </si>
  <si>
    <t>-3.39 &amp; -36.40</t>
  </si>
  <si>
    <t>271</t>
  </si>
  <si>
    <t>PT: RFG2311; D86 - Distillation, Auto, 90%, °F (EPA)</t>
  </si>
  <si>
    <t>272</t>
  </si>
  <si>
    <t>PT: RFG2311; D86 - Distillation, Auto, % Resid (EPA), Z-Score = 8.28</t>
  </si>
  <si>
    <t>273</t>
  </si>
  <si>
    <t>PT: RFG2311; D5580 - Benzene, by GC</t>
  </si>
  <si>
    <t>274</t>
  </si>
  <si>
    <t>PT: RFG2311; D4052 - Density, Digital, 15 °C, Z-Score =3.67</t>
  </si>
  <si>
    <t>275</t>
  </si>
  <si>
    <t>PT: RFG2311; D86 - Distillation, Auto, Multiple Parameters, Z-Scores = Multiple Outliers</t>
  </si>
  <si>
    <t>276</t>
  </si>
  <si>
    <t>PT: RFG2311; D6550 - HC Type, Olefins, by SFC, Z-Score = -3.01</t>
  </si>
  <si>
    <t>-3.01</t>
  </si>
  <si>
    <t>277</t>
  </si>
  <si>
    <t>PT: RFG2311; D4815 - Oxygenates, Total Oxygen, by GC, Z-Score = 71.35</t>
  </si>
  <si>
    <t>278</t>
  </si>
  <si>
    <t>PT: RFG2311; D5188 - V/L Ratio Temp, Evac Chamber, Z-Score = 112.34</t>
  </si>
  <si>
    <t>279</t>
  </si>
  <si>
    <t>PT: RFG2311; D86 - Distillation, Auto, FBP, °F (EPA)</t>
  </si>
  <si>
    <t>280</t>
  </si>
  <si>
    <t>PT: RFG2311; D6550 - HC Type, Olefins, by SFC, Z-Score = -6.05</t>
  </si>
  <si>
    <t>-6.05</t>
  </si>
  <si>
    <t>281</t>
  </si>
  <si>
    <t>PT: RFG2311; D4815 - Oxygenates, Total Oxygen, by GC, Z-Score = 89.40</t>
  </si>
  <si>
    <t>282</t>
  </si>
  <si>
    <t>PT: RFG2311; D2622 - Sulfur by WDXRF (EPA), Z-Score = -4.94</t>
  </si>
  <si>
    <t>-4.94</t>
  </si>
  <si>
    <t>283</t>
  </si>
  <si>
    <t>PT: RFG2311; D5453 - Sulfur, by UVF, Z-Score = 13.12</t>
  </si>
  <si>
    <t>284</t>
  </si>
  <si>
    <t>PT: RFG2311; D5188 - V/L Ratio Temp, Evac Chamber, Z-Score = 4.82</t>
  </si>
  <si>
    <t>285</t>
  </si>
  <si>
    <t>PT: RFG2311; D5769 - Benzene, by GC/MS (EPA)</t>
  </si>
  <si>
    <t>286</t>
  </si>
  <si>
    <t>PT: RFG2311; D86 - Distillation, Auto, 95%, °F (EPA)</t>
  </si>
  <si>
    <t>287</t>
  </si>
  <si>
    <t>PT: RFG2311; D1319 - HC Type, Olefins, Corrected &amp; Oxy-Free(EPA) &amp; Saturates, Oxy-Free (EPA), Z-Scores = 2.81, 2.47, &amp; -2.22</t>
  </si>
  <si>
    <t>2.81, 2.47, &amp; -2.22</t>
  </si>
  <si>
    <t>288</t>
  </si>
  <si>
    <t>PT: RFG2311; D4052 - Density, Digital, 15 °C, Z-Score =-5.58</t>
  </si>
  <si>
    <t>-5.58</t>
  </si>
  <si>
    <t>289</t>
  </si>
  <si>
    <t>PT: RFG2311; D86 - Distillation, Auto, 20%, °F (EPA), Z-Score = -5.75</t>
  </si>
  <si>
    <t>-5.75</t>
  </si>
  <si>
    <t>290</t>
  </si>
  <si>
    <t>PT: RFG2311; D1319 - HC Type, Olefins &amp; Saturates, Oxy-Free (EPA), Z-Scores = 2.24 &amp; -2.53</t>
  </si>
  <si>
    <t>2.24 &amp; -2.53</t>
  </si>
  <si>
    <t>291</t>
  </si>
  <si>
    <t>PT: RFG2311; D1319 - HC Type, Olefins, Corrected (EPA) &amp; Saturates, Oxy-Free (EPA), Z-Scores = 2.21 &amp; -2.30</t>
  </si>
  <si>
    <t>2.21 &amp; -2.30</t>
  </si>
  <si>
    <t>292</t>
  </si>
  <si>
    <t>PT: RFG2311; D2622 - Sulfur by WDXRF &amp; (EPA), Z-Scores = -2.94 &amp; -3.38</t>
  </si>
  <si>
    <t>-2.94 &amp; -3.38</t>
  </si>
  <si>
    <t>293</t>
  </si>
  <si>
    <t>PT: RFG2311; D5453 - Sulfur, by UVF, Z-Score = -2.30</t>
  </si>
  <si>
    <t>-2.30</t>
  </si>
  <si>
    <t>294</t>
  </si>
  <si>
    <t>PT: RFG2311; D6839 - HC Type/Oxy, Olefins, by M-D GC, Z-Score = 2.25</t>
  </si>
  <si>
    <t>295</t>
  </si>
  <si>
    <t>PT: RFG2311; D5599 - Oxygenates, Ethanol, by GC OFID</t>
  </si>
  <si>
    <t>296</t>
  </si>
  <si>
    <t>PT: RFG2311; D4052 - Density, Digital, 15 °C</t>
  </si>
  <si>
    <t>297</t>
  </si>
  <si>
    <t>298</t>
  </si>
  <si>
    <t>PT: RFG2311; D5191 - Vapor Pressure, TVP, 1L (EPA)</t>
  </si>
  <si>
    <t>299</t>
  </si>
  <si>
    <t>PT: RFG2311; D86 - Distillation, Auto, % Resid (EPA)</t>
  </si>
  <si>
    <t>300</t>
  </si>
  <si>
    <t>-2.26</t>
  </si>
  <si>
    <t>301</t>
  </si>
  <si>
    <t>PT: RFG2311; D1319 - HC Type, Aromatics, Oxy-Free, Z-Score = 2.03</t>
  </si>
  <si>
    <t>302</t>
  </si>
  <si>
    <t>PT: CE515; D2699 - Research Octane Number, Z-Score = 2.08</t>
  </si>
  <si>
    <t>303</t>
  </si>
  <si>
    <t>PT: CE515; D86 - Distillation - 90%</t>
  </si>
  <si>
    <t>304</t>
  </si>
  <si>
    <t>PT: CE515; D86 - Distillation - 40%, Z-Score = 3.07</t>
  </si>
  <si>
    <t>305</t>
  </si>
  <si>
    <t>306</t>
  </si>
  <si>
    <t>PT: CE516; D86 - Distillation - EP</t>
  </si>
  <si>
    <t>-2.73</t>
  </si>
  <si>
    <t>307</t>
  </si>
  <si>
    <t>PT: CE516; D86 - Distillation - 95%</t>
  </si>
  <si>
    <t>308</t>
  </si>
  <si>
    <t>PT: CE516; D5769 - Benzene, Z-Score = -4.67</t>
  </si>
  <si>
    <t>-4.67</t>
  </si>
  <si>
    <t>309</t>
  </si>
  <si>
    <t>PT: CE516; D4052 - API</t>
  </si>
  <si>
    <t>D4052 - API</t>
  </si>
  <si>
    <t>-2.28</t>
  </si>
  <si>
    <t>310</t>
  </si>
  <si>
    <t>PT: CE516; D86 - Distillation - 90%, Z-Score = -3.11</t>
  </si>
  <si>
    <t>-3.11</t>
  </si>
  <si>
    <t>311</t>
  </si>
  <si>
    <t>PT: CE516; D5580 - C9+ Aromatics, Z-Score =5.34</t>
  </si>
  <si>
    <t>312</t>
  </si>
  <si>
    <t>PT: NP2310; D5443 - HC Type, Benzene, by MD-GC, Z-Score = -4.80</t>
  </si>
  <si>
    <t>-4.80</t>
  </si>
  <si>
    <t>313</t>
  </si>
  <si>
    <t>PT: NP2310; D4294 - Sulfur, by EDXRF</t>
  </si>
  <si>
    <t>-2.10</t>
  </si>
  <si>
    <t>314</t>
  </si>
  <si>
    <t>PT: NP2310; D6730 - HC Type, C8 Aromatics, by pCHR-GC</t>
  </si>
  <si>
    <t>315</t>
  </si>
  <si>
    <t>PT: F242310; D93 - Flash Point, PMCC, Proc A, corrected, Z-Score = 2.83</t>
  </si>
  <si>
    <t>F24</t>
  </si>
  <si>
    <t>316</t>
  </si>
  <si>
    <t>PT: F242310; D3343 - Hydrogen, Estimate, Z-Score = -5.75</t>
  </si>
  <si>
    <t>317</t>
  </si>
  <si>
    <t>PT: F242310; D3338/D3338M - Net Heat of Combustion, Z-Score = -2.15</t>
  </si>
  <si>
    <t>318</t>
  </si>
  <si>
    <t>PT: F242310; D1094 - Water Reaction, Change in Volume of Aqueous</t>
  </si>
  <si>
    <t>319</t>
  </si>
  <si>
    <t>PT: F242310; D5452 - Particulates, Lab Filtration (mg/L), Z-Score = 4.27</t>
  </si>
  <si>
    <t>320</t>
  </si>
  <si>
    <t>PT: F242310; D3241 - Thermal Stability, Ellipsometric, @260, Thickness, Z-Score = 6.01</t>
  </si>
  <si>
    <t>321</t>
  </si>
  <si>
    <t>PT: F242310; D3948 - Water Separation, by Portable Sep, Z-Score = -4.60</t>
  </si>
  <si>
    <t>-4.60</t>
  </si>
  <si>
    <t>322</t>
  </si>
  <si>
    <t>PT: R-1342; D2700 - Motor Octane Number, Z-Score = -2.46</t>
  </si>
  <si>
    <t>R-1342</t>
  </si>
  <si>
    <t>323</t>
  </si>
  <si>
    <t>PT: R-1342; Sulfur</t>
  </si>
  <si>
    <t>Sulfur</t>
  </si>
  <si>
    <t>-2.13</t>
  </si>
  <si>
    <t>324</t>
  </si>
  <si>
    <t>PT: R-1342; D2700 - Motor Octane Number, Z-Score = 2.74</t>
  </si>
  <si>
    <t>325</t>
  </si>
  <si>
    <t>PT: D-1200; D445 - Viscosity, 40°C</t>
  </si>
  <si>
    <t>D-1200</t>
  </si>
  <si>
    <t>2.20</t>
  </si>
  <si>
    <t>326</t>
  </si>
  <si>
    <t>PT: D-1200; D93 - Flash Point, Z-Score = -18.61</t>
  </si>
  <si>
    <t>327</t>
  </si>
  <si>
    <t>PT: D-1201; D613 - Cetane Number, Z-Score = 21.89</t>
  </si>
  <si>
    <t>D-1201</t>
  </si>
  <si>
    <t>328</t>
  </si>
  <si>
    <t>PT: D-1201; D86 - Distillation, IBP Recovered</t>
  </si>
  <si>
    <t>2.34</t>
  </si>
  <si>
    <t>329</t>
  </si>
  <si>
    <t>PT: D-1201; D613 - Cetane Number, Z-Score = -5.45</t>
  </si>
  <si>
    <t>330</t>
  </si>
  <si>
    <t>PT: D-1202; D445 - Viscosity, 40°C</t>
  </si>
  <si>
    <t>D-1202</t>
  </si>
  <si>
    <t>331</t>
  </si>
  <si>
    <t>PT: R-1343; Olefins</t>
  </si>
  <si>
    <t>R-1343</t>
  </si>
  <si>
    <t>Olefins</t>
  </si>
  <si>
    <t>332</t>
  </si>
  <si>
    <t>PT: R-1344; Sulfur</t>
  </si>
  <si>
    <t>R-1344</t>
  </si>
  <si>
    <t>333</t>
  </si>
  <si>
    <t>PT: R-1344; D86 - Distillation, 50% Evaporated</t>
  </si>
  <si>
    <t>334</t>
  </si>
  <si>
    <t>PT: R-1345; D2699 - Research Octane Number, Z-Score = -2.35</t>
  </si>
  <si>
    <t>R-1345</t>
  </si>
  <si>
    <t>335</t>
  </si>
  <si>
    <t>PT: R-1345; Saturates</t>
  </si>
  <si>
    <t>Saturates</t>
  </si>
  <si>
    <t>336</t>
  </si>
  <si>
    <t>PT: D-1204; D445 - Viscosity, at 40°C, Z-Score =-16.44</t>
  </si>
  <si>
    <t>D-1204</t>
  </si>
  <si>
    <t>337</t>
  </si>
  <si>
    <t>PT: D-1204; D86 - Distillation, 10% Recovered, Z-Score =-8.36</t>
  </si>
  <si>
    <t>338</t>
  </si>
  <si>
    <t>PT: D-1204; Sulfur</t>
  </si>
  <si>
    <t>339</t>
  </si>
  <si>
    <t>PT: D-1204; D445 - Viscosity, at 40°C, Z-Score =-9.18</t>
  </si>
  <si>
    <t>-9.18</t>
  </si>
  <si>
    <t>340</t>
  </si>
  <si>
    <t>PT: D-1204; D93 - Flash Point</t>
  </si>
  <si>
    <t>D93 - Flash Point</t>
  </si>
  <si>
    <t>341</t>
  </si>
  <si>
    <t>PT: R-1364; D4052 - Gravity, API at 60 °F, Z-Score =-7.57</t>
  </si>
  <si>
    <t>R-1364</t>
  </si>
  <si>
    <t>-7.57</t>
  </si>
  <si>
    <t>342</t>
  </si>
  <si>
    <t>PT: R-1346; Sulfur D7039, Z-Score =-5.69</t>
  </si>
  <si>
    <t>R-1346</t>
  </si>
  <si>
    <t>-5.69</t>
  </si>
  <si>
    <t>343</t>
  </si>
  <si>
    <t>PT: M974; D4052 - Density, at 15°C</t>
  </si>
  <si>
    <t>M974</t>
  </si>
  <si>
    <t>344</t>
  </si>
  <si>
    <t>PT: M974; D86 - Distillation, Residue, Z-Score = -6.22</t>
  </si>
  <si>
    <t>-6.22</t>
  </si>
  <si>
    <t>345</t>
  </si>
  <si>
    <t>PT: M974; D86 - Distillation, 90% Evaporated &amp; % Evaporated @ 149°C</t>
  </si>
  <si>
    <t>2.46 &amp; -2.94</t>
  </si>
  <si>
    <t>346</t>
  </si>
  <si>
    <t>PT: M974; CAN/CGSB-3.0 No.14.3 - HC Type - Aromatics, Olefins, &amp; Benzene</t>
  </si>
  <si>
    <t>-2.05, -2.67, &amp; 2.62</t>
  </si>
  <si>
    <t>347</t>
  </si>
  <si>
    <t>PT: M974; D4052 - Density, at 15°C, Z-Score = -3.20</t>
  </si>
  <si>
    <t>-3.20</t>
  </si>
  <si>
    <t>348</t>
  </si>
  <si>
    <t>PT: M974; D3227 - Mercaptan Sulfur</t>
  </si>
  <si>
    <t>D3227 - Mercaptan Sulfur</t>
  </si>
  <si>
    <t>349</t>
  </si>
  <si>
    <t>PT: M974; D7039 - Sulfur, Z-Score = 2.35</t>
  </si>
  <si>
    <t>D7039 - Sulfur</t>
  </si>
  <si>
    <t>350</t>
  </si>
  <si>
    <t>PT: M974; D2700 - Motor Octane Number</t>
  </si>
  <si>
    <t>351</t>
  </si>
  <si>
    <t xml:space="preserve">PT: M977; D86 - Distillation, % Evaporated @149°C </t>
  </si>
  <si>
    <t>M977</t>
  </si>
  <si>
    <t>352</t>
  </si>
  <si>
    <t>PT: M977; CAN/CGSB-3.0 No.14.3 - Olefins, Z-Score = 9.31</t>
  </si>
  <si>
    <t>353</t>
  </si>
  <si>
    <t>PT: M977; CAN/CGSB-3.0 No.14.3 - Olefins, Z-Score = 2.55</t>
  </si>
  <si>
    <t>354</t>
  </si>
  <si>
    <t>PT: M977; CAN/CGSB-3.5 - Driveability Index</t>
  </si>
  <si>
    <t>CAN/CGSB-3.5 - Driveability Index</t>
  </si>
  <si>
    <t>355</t>
  </si>
  <si>
    <t>PT: R-1344; D2699 - Research Octane Number, Z-Score = -2.94</t>
  </si>
  <si>
    <t>-2.94</t>
  </si>
  <si>
    <t>356</t>
  </si>
  <si>
    <t>PT: RFG2312; D8071 - HC Type, Ethanol, GC-VUV, Z-Score = -2.30</t>
  </si>
  <si>
    <t>357</t>
  </si>
  <si>
    <t>PT: RFG2312; D86 - Distillation, Auto, E300 °F, % (EPA)</t>
  </si>
  <si>
    <t>358</t>
  </si>
  <si>
    <t>PT: RFG2312; D5188 - V/L Ratio Temp, Evac Chamber, Z-Score = -2.11</t>
  </si>
  <si>
    <t>359</t>
  </si>
  <si>
    <t>PT: RFG2312; D5580 - Benzene, by GC</t>
  </si>
  <si>
    <t>360</t>
  </si>
  <si>
    <t>PT: RFG2312; D86 - Distillation, Auto, % Resid (EPA), Z-Score = 4.41</t>
  </si>
  <si>
    <t>361</t>
  </si>
  <si>
    <t>PT: RFG2312; D4815 - Oxygenates, Ethanol &amp; Total Oxygen, by GC, Z-Scores = 4.36 &amp; 4.92</t>
  </si>
  <si>
    <t>4.36 &amp; 4.92</t>
  </si>
  <si>
    <t>362</t>
  </si>
  <si>
    <t>363</t>
  </si>
  <si>
    <t>PT: RFG2312; D5580 - Benzene, Toluene, &amp; Total Aromatics, by GC , Z-Scores = 7.25, 6.12, &amp; 6.56</t>
  </si>
  <si>
    <t>7.25, 6.12, &amp; 6.56</t>
  </si>
  <si>
    <t>364</t>
  </si>
  <si>
    <t>PT: RFG2312; D4052 - Density, Digital, 15 °C</t>
  </si>
  <si>
    <t>365</t>
  </si>
  <si>
    <t>PT: RFG2312; D1319-20a &amp; D1319-19 - HC Type, Olefins &amp; Saturates, Z-Scores = Multiple Outliers</t>
  </si>
  <si>
    <t>366</t>
  </si>
  <si>
    <t>PT: RFG2312; D1319 - HC Type, Olefins, Corrected (EPA), Z-Score = 2.05</t>
  </si>
  <si>
    <t>367</t>
  </si>
  <si>
    <t>PT: RFG2312; D5188 - V/L Ratio Temp, Evac Chamber, Z-Score = -2.96</t>
  </si>
  <si>
    <t>-2.96</t>
  </si>
  <si>
    <t>368</t>
  </si>
  <si>
    <t>PT: RFG2312; D5769 - Benzene, by GC/MS (EPA)</t>
  </si>
  <si>
    <t>369</t>
  </si>
  <si>
    <t>PT: RFG2312; D86 - Distillation, Auto, % Evap (EPA)</t>
  </si>
  <si>
    <t>370</t>
  </si>
  <si>
    <t>PT: RFG2312; D4052 - Density, Digital, 15 °C, Z-Score = 3.42</t>
  </si>
  <si>
    <t>371</t>
  </si>
  <si>
    <t>PT: RFG2312; D4815 - Oxygenates, Total Oxygen, by GC, Z-Score = 74.17</t>
  </si>
  <si>
    <t>372</t>
  </si>
  <si>
    <t>PT: RFG2312; D86 - Distillation, Auto, IBP, °F (EPA)</t>
  </si>
  <si>
    <t>373</t>
  </si>
  <si>
    <t>PT: RFG2312; D86 - Distillation, Auto, FBP, °F (EPA), Z-Score = 3.79</t>
  </si>
  <si>
    <t>374</t>
  </si>
  <si>
    <t>PT: RFG2312; D86 - Distillation, Auto, 90%</t>
  </si>
  <si>
    <t>375</t>
  </si>
  <si>
    <t>PT: RFG2312; D86 - Distillation, Auto, 90%, °F (EPA), Z-Score = -4.13</t>
  </si>
  <si>
    <t>-4.13</t>
  </si>
  <si>
    <t>376</t>
  </si>
  <si>
    <t>PT: RFG2312; D5769 - Total Aromatics, by GC/MS (EPA)</t>
  </si>
  <si>
    <t>377</t>
  </si>
  <si>
    <t>PT: RFG2312; D5191 - Vapor Pressure, DVPE, 1L, Z-Score = -2.16</t>
  </si>
  <si>
    <t>-2.16</t>
  </si>
  <si>
    <t>See PTO571-165-24</t>
  </si>
  <si>
    <t>378</t>
  </si>
  <si>
    <t>PT: RFG2312; D3606-22 &amp; D3606-20e1 - Benzene, by GC, Proc B &amp; (EPA)</t>
  </si>
  <si>
    <t>2.23 &amp; 2.01</t>
  </si>
  <si>
    <t>379</t>
  </si>
  <si>
    <t>PT: RFG2312; D5769-22 - Benzene, by GC/MS, Z-Score = 6.46</t>
  </si>
  <si>
    <t>380</t>
  </si>
  <si>
    <t>PT: RFG2312; D86-23 - Distillation, Auto, 90%,&amp;  °F (EPA), Z-Scores = -5.38 &amp; -4.22</t>
  </si>
  <si>
    <t>-5.32 &amp; -4.22</t>
  </si>
  <si>
    <t>381</t>
  </si>
  <si>
    <t>PT: RFG2312; D1319-20a &amp; D1319-19, HC Type, Aromatics, Corrected &amp; Oxy-Free, Z-Scores = 2.87, 2.34, 2.03, &amp; 2.15</t>
  </si>
  <si>
    <t>2.87, 2.34, 2.03, &amp; 2.15</t>
  </si>
  <si>
    <t>382</t>
  </si>
  <si>
    <t>PT: RFG2312; D5188 - V/L Ratio Temp, Evac Chamber, Z-Scores = 101.41</t>
  </si>
  <si>
    <t>383</t>
  </si>
  <si>
    <t>PT: RFG2312; D86- Distillation, Auto, % Resid (EPA), Z-Score = 5.85</t>
  </si>
  <si>
    <t>384</t>
  </si>
  <si>
    <t>PT: RFG2312; D4815 - Oxygenates, Oxygen, Total, by GC</t>
  </si>
  <si>
    <t>385</t>
  </si>
  <si>
    <t>PT: RFG2312; D86 - Distillation, Auto, 90%, °F (EPA)</t>
  </si>
  <si>
    <t>-2.24</t>
  </si>
  <si>
    <t>386</t>
  </si>
  <si>
    <t>PT: RFG2312; D4052 - Density, Digital, 15 °C, Z-Score = 3.61</t>
  </si>
  <si>
    <t>387</t>
  </si>
  <si>
    <t>388</t>
  </si>
  <si>
    <t>PT: RFG2312; D5769 - Toluene, by GC/MS (EPA)</t>
  </si>
  <si>
    <t>-2.63</t>
  </si>
  <si>
    <t>389</t>
  </si>
  <si>
    <t>PT: F62305; D93 - Flash Point, PMCC, Proc B, corr, Z-Score =46.57</t>
  </si>
  <si>
    <t>F6</t>
  </si>
  <si>
    <t>390</t>
  </si>
  <si>
    <t>PT: F62305; D4052 - Density, Digital, 15 °C, Z-Score = -35.94</t>
  </si>
  <si>
    <t>-35.24</t>
  </si>
  <si>
    <t>391</t>
  </si>
  <si>
    <t>PT: F62305; D95 - Water, by Distillation, Z-Score = -2.42</t>
  </si>
  <si>
    <t>-2.42</t>
  </si>
  <si>
    <t>392</t>
  </si>
  <si>
    <t>PT: F62305; D4052 - Density, Digital, 15 °C, Z-Score = -36.41</t>
  </si>
  <si>
    <t>393</t>
  </si>
  <si>
    <t>PT: F62305; D664 - Acid Number, A, 60 mL, inflection EP, Z-Score = -24.01</t>
  </si>
  <si>
    <t>394</t>
  </si>
  <si>
    <t>395</t>
  </si>
  <si>
    <t>PT: F62305; D4530 - Carbon Residue, Micro, Z-Score = -2.27</t>
  </si>
  <si>
    <t>396</t>
  </si>
  <si>
    <t>PT: F62305; D524 - Carbon Residue, Ramsbottom, Z-Score = 6.58</t>
  </si>
  <si>
    <t>397</t>
  </si>
  <si>
    <t>PT: F62305; D95 - Water, by Distillation, Z-Score = 2.29</t>
  </si>
  <si>
    <t>398</t>
  </si>
  <si>
    <t>PT: F62305; D664 - Acid Number, A, 125 mL, inflection EP, Z-Score = -21.43</t>
  </si>
  <si>
    <t>399</t>
  </si>
  <si>
    <t>PT: F62305; D4870 - Sediment, Total &amp; Predicted, A Thermal Aging, Z-Scores = 4.37 &amp; 3.08</t>
  </si>
  <si>
    <t>4.37 &amp; 3.08</t>
  </si>
  <si>
    <t>400</t>
  </si>
  <si>
    <t>PT: F62305; D445 - Viscosity, Kinematic, 100 °C</t>
  </si>
  <si>
    <t>-2.91</t>
  </si>
  <si>
    <t>401</t>
  </si>
  <si>
    <t>PT: F62305; D4052 - Density, Digital, 15 °C, Z-Score = -36.06</t>
  </si>
  <si>
    <t>402</t>
  </si>
  <si>
    <t>PT: F62305; D1298 - Density, by Hydrometer, @ 15°C, Z-Score = -36.62</t>
  </si>
  <si>
    <t>403</t>
  </si>
  <si>
    <t>-2.97</t>
  </si>
  <si>
    <t>404</t>
  </si>
  <si>
    <t>PT: F62305; D482 - Ash</t>
  </si>
  <si>
    <t>D482 - Ash</t>
  </si>
  <si>
    <t>-2.81</t>
  </si>
  <si>
    <t>405</t>
  </si>
  <si>
    <t>PT: F62305; D5185 - Element, Aluminum, ICPAES</t>
  </si>
  <si>
    <t>406</t>
  </si>
  <si>
    <t>PT: F62305; D4530 - Carbon Residue, Micro, Z-Score = -2.06</t>
  </si>
  <si>
    <t>407</t>
  </si>
  <si>
    <t>PT: F62305; D5184 - Element, Aluminum, by ICPAES, Z-Score = 2.80</t>
  </si>
  <si>
    <t>408</t>
  </si>
  <si>
    <t>PT: F62305; D445 - Viscosity, Kinematic, 50 °C, Z-Score = -4.69</t>
  </si>
  <si>
    <t>409</t>
  </si>
  <si>
    <t>PT: F62305; D4052 - Density, Digital, 15 °C, Z-Score = 4.33</t>
  </si>
  <si>
    <t>410</t>
  </si>
  <si>
    <t>PT: F62305; D5708 - Element, Vanadium, ICPAES, Method A</t>
  </si>
  <si>
    <t>-2.11</t>
  </si>
  <si>
    <t>411</t>
  </si>
  <si>
    <t>PT: F62305; D3279 - Insolubles, n-Heptane</t>
  </si>
  <si>
    <t>412</t>
  </si>
  <si>
    <t>PT: F62305; D-5762 - Nitrogen, Boat-Inlet Chemilum, Z-Score = -2.60</t>
  </si>
  <si>
    <t>413</t>
  </si>
  <si>
    <t>PT: F62305; D664 - Acid Number, A, 60 mL, Buffer EP &amp; Inflection EP, Z-Scores = -9.15 &amp; -24.16</t>
  </si>
  <si>
    <t>414</t>
  </si>
  <si>
    <t>PT: ETOH2312; E1064 - Water, by Coul KF, Z-Score = 8.45</t>
  </si>
  <si>
    <t>415</t>
  </si>
  <si>
    <t>PT: F62305; D95 - Water, by Distillation, Z-Score = 2.58</t>
  </si>
  <si>
    <t>416</t>
  </si>
  <si>
    <t>417</t>
  </si>
  <si>
    <t>PT: F62305; D5762 - Nitrogen, Boat-Inlet Chemilum, Z-Score = -2.20</t>
  </si>
  <si>
    <t>418</t>
  </si>
  <si>
    <t>PT: F62305; D95 - Water, by Distillation, Z-Score = -2.05</t>
  </si>
  <si>
    <t>419</t>
  </si>
  <si>
    <t>PT: RFG2312; D6550 - HC Type, Olefins, by SFC, Z-Score = -2.73</t>
  </si>
  <si>
    <t>420</t>
  </si>
  <si>
    <t>PT: ETOH2312; D5501 - Methanol, By GC, Z-Score = 9.58</t>
  </si>
  <si>
    <t>421</t>
  </si>
  <si>
    <t>PT: ETOH2312; D6423 - pHe, Z-Score = 2.97</t>
  </si>
  <si>
    <t>422</t>
  </si>
  <si>
    <t>PT: ETOH2312; D7795 - Acidity, Proc A, Z-Score = 4.39</t>
  </si>
  <si>
    <t>423</t>
  </si>
  <si>
    <t>PT: ETOH2312; D7319 - Chloride, Inorganic, by DI-IC</t>
  </si>
  <si>
    <t>424</t>
  </si>
  <si>
    <t>PT: ETOH2312; D4052 - Density, Relative, @ 15.56 °C</t>
  </si>
  <si>
    <t>425</t>
  </si>
  <si>
    <t>PT: ETOH2312; D1613 - Acidity, Z-Score = 3.11</t>
  </si>
  <si>
    <t>426</t>
  </si>
  <si>
    <t>PT: ETOH2312; D5501 - Methanol, By GC, Z-Score = 2.10</t>
  </si>
  <si>
    <t>427</t>
  </si>
  <si>
    <t>PT: ETOH2312; E1064 - Water, by Coul KF, Z-Score = 6.95</t>
  </si>
  <si>
    <t>428</t>
  </si>
  <si>
    <t>PT: ETOH2312; D6423 - pHe, Z-Score = 2.58</t>
  </si>
  <si>
    <t>429</t>
  </si>
  <si>
    <t>430</t>
  </si>
  <si>
    <t>PT: ETOH2312; E1064 - Water, by Coul KF</t>
  </si>
  <si>
    <t>431</t>
  </si>
  <si>
    <t>PT: ETOH2312; D5501 - Methanol, By GC, Z-Score = 7.39</t>
  </si>
  <si>
    <t>432</t>
  </si>
  <si>
    <t>PT: T341; D86 - Distillation, 10% Recovered</t>
  </si>
  <si>
    <t>T341</t>
  </si>
  <si>
    <t>433</t>
  </si>
  <si>
    <t>PT: T341; D4052 - Density, at 15°C</t>
  </si>
  <si>
    <t>434</t>
  </si>
  <si>
    <t>PT: T341; D3241 - Pressure Drop, Z-Score = 21.64</t>
  </si>
  <si>
    <t>435</t>
  </si>
  <si>
    <t>PT: T341; D3227 - Sulfur, Mercaptan, Z-Score = -7.08</t>
  </si>
  <si>
    <t>-7.08</t>
  </si>
  <si>
    <t>436</t>
  </si>
  <si>
    <t>PT: T343; D7224 - Water Separation of Kerosine-type Aviation Turbine, MSEP rating</t>
  </si>
  <si>
    <t>T343</t>
  </si>
  <si>
    <t>437</t>
  </si>
  <si>
    <t>PT: T343; D1840 - Naphthalenes,  Z-Score = 10.45</t>
  </si>
  <si>
    <t>438</t>
  </si>
  <si>
    <t>PT: T343; D86 - Distillation, FBP Recovered</t>
  </si>
  <si>
    <t>-2.5</t>
  </si>
  <si>
    <t>439</t>
  </si>
  <si>
    <t>PT: T343; D86 - Distillation, 10% Recovered, Recovery, &amp; Loss</t>
  </si>
  <si>
    <t>2.12, -2.24, &amp; 2.32</t>
  </si>
  <si>
    <t>440</t>
  </si>
  <si>
    <t>PT: T343; Density, at 15°C,  Z-Score = 4.86</t>
  </si>
  <si>
    <t>441</t>
  </si>
  <si>
    <t>PT: T343; D2624 - Electrical Conductivity @ 20°C,  Z-Score = 5.39</t>
  </si>
  <si>
    <t>442</t>
  </si>
  <si>
    <t>PT: T343; D1840 - Naphthalenes,  Z-Score = 5.48</t>
  </si>
  <si>
    <t>443</t>
  </si>
  <si>
    <t>PT: T343; D3338 - Net Heat of Combustion,  Z-Score = -48.21</t>
  </si>
  <si>
    <t>-48.21</t>
  </si>
  <si>
    <t>444</t>
  </si>
  <si>
    <t>PT: DF22310; D664 - Acid Number, A, 125 mL Inflection EP</t>
  </si>
  <si>
    <t>445</t>
  </si>
  <si>
    <t>PT: DF22310; D86 - Distillation, Auto, 95%</t>
  </si>
  <si>
    <t>446</t>
  </si>
  <si>
    <t>PT: DF22310; D7042 - Viscosity, Stabinger, Kin, 40 °C, Z-Score = -3.13</t>
  </si>
  <si>
    <t>-3.13</t>
  </si>
  <si>
    <t>447</t>
  </si>
  <si>
    <t>PT: DF22310; D2887 - BP Distribution, GC, Proc A, IBP, Z-Score = -3.47</t>
  </si>
  <si>
    <t>-3.47</t>
  </si>
  <si>
    <t>448</t>
  </si>
  <si>
    <t>PT: DF22310; D97 - Pour Point, Z-Score = -3.30</t>
  </si>
  <si>
    <t>449</t>
  </si>
  <si>
    <t>PT: DF22310; D86 - Distillation, Auto, % Loss &amp; % Recov</t>
  </si>
  <si>
    <t>2.50 &amp; -2.68</t>
  </si>
  <si>
    <t>450</t>
  </si>
  <si>
    <t>PT: DF22310; D4294 - Sulfur, by EDXRF, Z-Score = 5.47</t>
  </si>
  <si>
    <t>451</t>
  </si>
  <si>
    <t>PT: DF22310; D2887 - BP Distribution, GC, Proc, B, 95%, Z-Score = -2.77</t>
  </si>
  <si>
    <t>-2.77</t>
  </si>
  <si>
    <t>452</t>
  </si>
  <si>
    <t>PT: DF22310; D445 - Viscosity, Kinematic, 40 °C, Z-Score = 2.24</t>
  </si>
  <si>
    <t>453</t>
  </si>
  <si>
    <t>PT: DF22310; D2887 - BP Distribution, GC, Proc A, 5% &amp; 90%, Z-Scores = -2.04 &amp; -58.62</t>
  </si>
  <si>
    <t>-2.01 &amp; -58.62</t>
  </si>
  <si>
    <t>454</t>
  </si>
  <si>
    <t>PT: DF22310; D445 - Viscosity, Kinematic, 40 °C, Z-Score = -9.15</t>
  </si>
  <si>
    <t>-9.15</t>
  </si>
  <si>
    <t>455</t>
  </si>
  <si>
    <t>PT: DF22310; D97 - Pour Point, Z-Score = -2.20</t>
  </si>
  <si>
    <t>-2.20</t>
  </si>
  <si>
    <t>456</t>
  </si>
  <si>
    <t>PT: DF22310; D1796 - Water and Sediment, by Centrifuge, Z-Score = Rejected</t>
  </si>
  <si>
    <t>Rejected</t>
  </si>
  <si>
    <t>457</t>
  </si>
  <si>
    <t>2.50 &amp; -2.46</t>
  </si>
  <si>
    <t>458</t>
  </si>
  <si>
    <t>459</t>
  </si>
  <si>
    <t>PT: DF22310; D445 - Viscosity, Kinematic, 40 °C, Z-Score = -3.74</t>
  </si>
  <si>
    <t>-3.74</t>
  </si>
  <si>
    <t>460</t>
  </si>
  <si>
    <t>PT: DF22310; D86 - Distillation, Auto, IBP, Z-Score = -2.30</t>
  </si>
  <si>
    <t>461</t>
  </si>
  <si>
    <t>PT: DF22310; D1319 - HC Type, Olefins, Oxy-Free, Z-Score = 5.75</t>
  </si>
  <si>
    <t>462</t>
  </si>
  <si>
    <t>PT: DF22310; D6468 - Stability, High Temp, 90 min. &amp; 180 min. aging, Z-Scores = -4.70 &amp; -2.20</t>
  </si>
  <si>
    <t>-4.70 &amp; -2.20</t>
  </si>
  <si>
    <t>463</t>
  </si>
  <si>
    <t>PT: DF22310; D4530 - Carbon Residue, Micro, 10% btm, Z-Score = 9.88</t>
  </si>
  <si>
    <t>464</t>
  </si>
  <si>
    <t>PT: DF22310; D86 - Distillation, Auto, IBP, Z-Score = -8.49</t>
  </si>
  <si>
    <t>8.49</t>
  </si>
  <si>
    <t>465</t>
  </si>
  <si>
    <t>PT: DF22310; D445 - Viscosity, Kinematic, 40 °C, Z-Score = -4.02</t>
  </si>
  <si>
    <t>-4.02</t>
  </si>
  <si>
    <t>466</t>
  </si>
  <si>
    <t>PT: DF22310; D6591 - HC Type, by HPLC, Mono-Aro, Z-Score = -2.81</t>
  </si>
  <si>
    <t>467</t>
  </si>
  <si>
    <t>PT: DF22310; D4629 - Nitrogen, by Chemiluminescence, Z-Score = -3.41</t>
  </si>
  <si>
    <t>-3.41</t>
  </si>
  <si>
    <t>468</t>
  </si>
  <si>
    <t>PT: DF22310; D445 - Viscosity, Kinematic, 40 °C, Z-Score = -3.11</t>
  </si>
  <si>
    <t>469</t>
  </si>
  <si>
    <t>PT: DF22310; D664 - Acid Number, A, 125 mL Inflection EP, Z-Score = 9.31</t>
  </si>
  <si>
    <t>470</t>
  </si>
  <si>
    <t>PT: DF22310; D4629 - Nitrogen, by Chemiluminescence</t>
  </si>
  <si>
    <t>471</t>
  </si>
  <si>
    <t>PT: DF22310; D6217 - Particulates, Lab Filtration, Z-Score = 8.74</t>
  </si>
  <si>
    <t>472</t>
  </si>
  <si>
    <t>PT: DF22310; D6371 - Cold Filter Plugging Point, CFPP, Z-Score = -3.80</t>
  </si>
  <si>
    <t>-3.80</t>
  </si>
  <si>
    <t>473</t>
  </si>
  <si>
    <t>PT: DF22310; D86 - Distillation, Auto, 10%, Z-Score = -2.04</t>
  </si>
  <si>
    <t>474</t>
  </si>
  <si>
    <t>PT: DF22310; D6217 - Particulates, Lab Filtration, Z-Score = 189.79</t>
  </si>
  <si>
    <t>475</t>
  </si>
  <si>
    <t>PT: DF22310; D7039 - Sulfur, by MWDXRF, Z-Score = 4.77</t>
  </si>
  <si>
    <t>476</t>
  </si>
  <si>
    <t>477</t>
  </si>
  <si>
    <t>PT: DF22310; D86 - Distillation, Auto, 20% - 60%, Z-Scores = -5.83, -13.00, -12.44, -11.27, &amp; -11.76</t>
  </si>
  <si>
    <t>-5.83, -13.00, -12.44, -11.27, &amp; -11.76</t>
  </si>
  <si>
    <t>478</t>
  </si>
  <si>
    <t>PT: DF22310; D5762 - Nitrogen, Boat-Inlet Chemilum, Z-Score = 594.52</t>
  </si>
  <si>
    <t>479</t>
  </si>
  <si>
    <t>480</t>
  </si>
  <si>
    <t>PT: DF22310; D7039 - Sulfur, by MWDXRF, Z-Score =-2.98</t>
  </si>
  <si>
    <t>-2.98</t>
  </si>
  <si>
    <t>481</t>
  </si>
  <si>
    <t>PT: DF22310; D5453 - Sulfur, by UVF, Z-Score =-2.19</t>
  </si>
  <si>
    <t>482</t>
  </si>
  <si>
    <t>PT: DF22310; D445 - Viscosity, Kinematic, 40 °C, Z-Score =2.50</t>
  </si>
  <si>
    <t>483</t>
  </si>
  <si>
    <t>PT: DF22310; D7042 - Viscosity, Stabinger, Kin, 40 °C, Z-Score = 4.95</t>
  </si>
  <si>
    <t>484</t>
  </si>
  <si>
    <t>PT: D-1203; Sulfur - All Methods</t>
  </si>
  <si>
    <t>D-1203</t>
  </si>
  <si>
    <t>All Methods - Sulfur</t>
  </si>
  <si>
    <t>485</t>
  </si>
  <si>
    <t>PT: AT-359; Benzene - All Methods</t>
  </si>
  <si>
    <t>AT-359</t>
  </si>
  <si>
    <t>All Methods - Benzene</t>
  </si>
  <si>
    <t>486</t>
  </si>
  <si>
    <t>PT: AT-359; D5191 - Vapor Pressure, PTOT</t>
  </si>
  <si>
    <t>D5191 - Vapor Pressure</t>
  </si>
  <si>
    <t>487</t>
  </si>
  <si>
    <t>PT: AT-359; D86 - Distillation, 90%</t>
  </si>
  <si>
    <t>488</t>
  </si>
  <si>
    <t>PT: F62309; D4052 - Density, Digital, 15 °C, Z-Score = 30.75</t>
  </si>
  <si>
    <t>489</t>
  </si>
  <si>
    <t>PT: F62309; D5184 - Element, Silicon, by ICPAES, Z-Score = 2.60</t>
  </si>
  <si>
    <t>490</t>
  </si>
  <si>
    <t>PT: F62309; D93 - Flash Point, PMCC, Proc B, corr, Z-Score = 2.21</t>
  </si>
  <si>
    <t>491</t>
  </si>
  <si>
    <t>PT: F62309; D445 - Viscosity, Kinematic, 100 °C, Z-Score = 14.13</t>
  </si>
  <si>
    <t>492</t>
  </si>
  <si>
    <t>PT: F62309; D6560 - Asphaltenes (Heptane Insolubles), Z-Score = 5.16</t>
  </si>
  <si>
    <t>493</t>
  </si>
  <si>
    <t>PT: F62309; D664 - Acid Number, A, 60 mL, Buffer EP &amp; Inflection EP, Z-Scores = -10.34 &amp; -19.05</t>
  </si>
  <si>
    <t>-10.34 &amp; -19.05</t>
  </si>
  <si>
    <t>494</t>
  </si>
  <si>
    <t>PT: F62309; D240 - Heat of Combustion, Gross, by Bomb Calorimeter, Z-Score = 2.53</t>
  </si>
  <si>
    <t>495</t>
  </si>
  <si>
    <t>PT: F62309; D445 - Viscosity, Kinematic, 50 °C</t>
  </si>
  <si>
    <t>-2.56</t>
  </si>
  <si>
    <t>496</t>
  </si>
  <si>
    <t>PT: F62309; D664 - Acid Number, A, 60 mL, Buffer EP, Z-Score = -18.93</t>
  </si>
  <si>
    <t>-18.93</t>
  </si>
  <si>
    <t>497</t>
  </si>
  <si>
    <t>PT: F62309; D4530 - Carbon Residue, Micro, Z-Score = 11.57</t>
  </si>
  <si>
    <t>498</t>
  </si>
  <si>
    <t>PT: F62309; D445 - Viscosity, Kinematic, 50 °C, Z-Score = -10.47</t>
  </si>
  <si>
    <t>-10.47</t>
  </si>
  <si>
    <t>499</t>
  </si>
  <si>
    <t>PT: F62309; D445 - Viscosity, Kinematic, 50 °C, Z-Score = -3.74</t>
  </si>
  <si>
    <t>500</t>
  </si>
  <si>
    <t>PT: F62309; D4052 - Density, Digital, 15 °C</t>
  </si>
  <si>
    <t>501</t>
  </si>
  <si>
    <t>-2.61</t>
  </si>
  <si>
    <t>502</t>
  </si>
  <si>
    <t>PT: F62309; D664 - Acid Number, A, 125 mL Inflection EP</t>
  </si>
  <si>
    <t>503</t>
  </si>
  <si>
    <t>504</t>
  </si>
  <si>
    <t>PT: F62309; D7042 - Viscosity, Stabinger, Kin, 50 °C</t>
  </si>
  <si>
    <t>505</t>
  </si>
  <si>
    <t>PT: F62309; D482 - Ash, Z-Score = 3.33</t>
  </si>
  <si>
    <t>506</t>
  </si>
  <si>
    <t>507</t>
  </si>
  <si>
    <t>PT: F62309; D664 - Acid Number, A, 60 mL Inflection EP</t>
  </si>
  <si>
    <t>508</t>
  </si>
  <si>
    <t>509</t>
  </si>
  <si>
    <t>PT: F62309; D97 - Pour Point, Residual Fuels, Z-Score = 11.50</t>
  </si>
  <si>
    <t>510</t>
  </si>
  <si>
    <t>511</t>
  </si>
  <si>
    <t>PT: F62309; D189 - Carbon Residue, Conradson, Z-Score = 2.63</t>
  </si>
  <si>
    <t>512</t>
  </si>
  <si>
    <t>PT: F62309; D93 - Flash Point, PMCC, Proc B, corr, Z-Score = 2.41</t>
  </si>
  <si>
    <t>513</t>
  </si>
  <si>
    <t>514</t>
  </si>
  <si>
    <t>515</t>
  </si>
  <si>
    <t>516</t>
  </si>
  <si>
    <t>PT: F62309; D97 - Pour Point, Residual Fuels, Z-Score = -2.70</t>
  </si>
  <si>
    <t>-2.70</t>
  </si>
  <si>
    <t>517</t>
  </si>
  <si>
    <t>PT: F62309; D445 - Viscosity, Kinematic, 50 °C, Z-Score = -11.54</t>
  </si>
  <si>
    <t>-11.54</t>
  </si>
  <si>
    <t>518</t>
  </si>
  <si>
    <t>PT: F62309; D5184 - Element, Aluminum, by ICPAES</t>
  </si>
  <si>
    <t>519</t>
  </si>
  <si>
    <t>PT: F62309; D473 - Sediment, Z-Score = 2.65</t>
  </si>
  <si>
    <t>520</t>
  </si>
  <si>
    <t>521</t>
  </si>
  <si>
    <t>PT: F62309; D473 - Sediment, Z-Score = 2.53</t>
  </si>
  <si>
    <t>522</t>
  </si>
  <si>
    <t>PT: F62309; D5184 - Element, Silicon, by ICPAES, Z-Score = 2.30</t>
  </si>
  <si>
    <t>523</t>
  </si>
  <si>
    <t>PT: F62309; D4629 - Nitrogen, by Chemiluminescence, Z-Score = -2.60</t>
  </si>
  <si>
    <t>-2.60</t>
  </si>
  <si>
    <t>524</t>
  </si>
  <si>
    <t>PT: F62309; D6304 - Water, by Coul KF, Meth A Direct Injection, mg/kg, Z-Score = -5.30</t>
  </si>
  <si>
    <t>-5.30</t>
  </si>
  <si>
    <t>525</t>
  </si>
  <si>
    <t>526</t>
  </si>
  <si>
    <t>PT: F62309; D664 - Acid Number, A, 60 mL, inflection EP</t>
  </si>
  <si>
    <t>527</t>
  </si>
  <si>
    <t>PT: F62309; D4530 - Carbon Residue, Micro, Z-Score = 2.14</t>
  </si>
  <si>
    <t>528</t>
  </si>
  <si>
    <t>PT: F62309; D5762 - Nitrogen, Boat-Inlet Chemilum, Z-Score = -2.90</t>
  </si>
  <si>
    <t>-2.90</t>
  </si>
  <si>
    <t>529</t>
  </si>
  <si>
    <t>PT: F62309; D445 - Viscosity, Kinematic, 50 °C, Z-Score = 3.00</t>
  </si>
  <si>
    <t>530</t>
  </si>
  <si>
    <t>PT: TM04-24; D86 - Distillation, 90%</t>
  </si>
  <si>
    <t>-2.27</t>
  </si>
  <si>
    <t>531</t>
  </si>
  <si>
    <t>PT: TM04-24; D2699 - Research Octane Number, Z-Score =-3.36</t>
  </si>
  <si>
    <t>-3.36</t>
  </si>
  <si>
    <t>532</t>
  </si>
  <si>
    <t>PT: TM04-24; D2700 - Motor Octane Number, Z-Score = 4.32</t>
  </si>
  <si>
    <t>533</t>
  </si>
  <si>
    <t>PT: TM04C-24; D86 - Distillation, FBP &amp; 50%, Z-Scores = 6.79 &amp; 2.15</t>
  </si>
  <si>
    <t>6.79 &amp; 2.15</t>
  </si>
  <si>
    <t>534</t>
  </si>
  <si>
    <t>PT: TM04C-24; D2699 - Research Octane Number, Z-Score = -2.40</t>
  </si>
  <si>
    <t>-2.40</t>
  </si>
  <si>
    <t>535</t>
  </si>
  <si>
    <t>PT: TM04C-24; D2700 - Motor Octane Number, Z-Score = 3.00</t>
  </si>
  <si>
    <t>536</t>
  </si>
  <si>
    <t>PT: TM04C-24; D86 - Distillation, 90%</t>
  </si>
  <si>
    <t>537</t>
  </si>
  <si>
    <t>PT: TM04C-24; All Methods - API</t>
  </si>
  <si>
    <t>All Methods - API</t>
  </si>
  <si>
    <t>538</t>
  </si>
  <si>
    <t>PT: TM04C-24; D86 - Distillation, 10%</t>
  </si>
  <si>
    <t>539</t>
  </si>
  <si>
    <t>PT: D337; D86 - Distillation, 90% Recovered</t>
  </si>
  <si>
    <t>D337</t>
  </si>
  <si>
    <t>540</t>
  </si>
  <si>
    <t>PT: D337; D86 - Distillation, FBP Recovered, Recovery, and Loss</t>
  </si>
  <si>
    <t>-2.21, -2.57, &amp; 2.28</t>
  </si>
  <si>
    <t>541</t>
  </si>
  <si>
    <t>PT: D337; D611 - Aniline Point, Z-Score = 7.17</t>
  </si>
  <si>
    <t>542</t>
  </si>
  <si>
    <t>PT: RFG2401; D86 - Distillation, Auto, % Resid (EPA)</t>
  </si>
  <si>
    <t>543</t>
  </si>
  <si>
    <t>PT: RFG2401; D4815 - Oxygenates, Oxygen, Total, by GC</t>
  </si>
  <si>
    <t>544</t>
  </si>
  <si>
    <t>PT: RFG2401; D86 - Distillation - 70% &amp; 90%, °F (EPA), Z-Scores = -4.56 &amp; -3.03</t>
  </si>
  <si>
    <t>-4.56 &amp; -3.03</t>
  </si>
  <si>
    <t>545</t>
  </si>
  <si>
    <t>PT: RFG2401; D1319 - HC Type, Olefins &amp; Saturates, Oxy-Free (EPA), Z-Scores = 40.79 &amp; -10.79</t>
  </si>
  <si>
    <t>40.79 &amp; -10.79</t>
  </si>
  <si>
    <t>546</t>
  </si>
  <si>
    <t>PT: RFG2401; D5191 - Vapor Pressure, DVPE, 1L (EPA), Z-Score = 2.27</t>
  </si>
  <si>
    <t>547</t>
  </si>
  <si>
    <t>PT: RFG2401; D86 - Distillation, Auto, FBP, °F (EPA)</t>
  </si>
  <si>
    <t>548</t>
  </si>
  <si>
    <t>PT: RFG2401; D4815 - Oxygenates, Ethanol, by GC, Z-Score = 2.50</t>
  </si>
  <si>
    <t>549</t>
  </si>
  <si>
    <t>PT: RFG2401; D1319 - HC Type, Olefins &amp; Saturates, Corrected &amp; Oxy-Free (EPA)</t>
  </si>
  <si>
    <t>2.23, 2.27, -2.33, &amp; -2.49</t>
  </si>
  <si>
    <t>550</t>
  </si>
  <si>
    <t>PT: RFG2401; D5453 - Sulfur, by UVF, Z-Score = -2.41</t>
  </si>
  <si>
    <t>-2.41</t>
  </si>
  <si>
    <t>551</t>
  </si>
  <si>
    <t>PT: RFG2401; D5769 - Benzene, by GC/MS (EPA), Z-Score = 6.86</t>
  </si>
  <si>
    <t>552</t>
  </si>
  <si>
    <t>PT: RFG2401; D4052 - Density, Digital, 15 °C</t>
  </si>
  <si>
    <t>-2.21</t>
  </si>
  <si>
    <t>553</t>
  </si>
  <si>
    <t>PT: RFG2401; D4815 - Oxygenates, Ethanol &amp; Oxygen, Total, by GC, Z-Scores = -32.52 &amp; -19.99</t>
  </si>
  <si>
    <t>-32.52 &amp; -19.99</t>
  </si>
  <si>
    <t>554</t>
  </si>
  <si>
    <t>PT: RFG2401; D2622 - Sulfur by WDXRF (EPA), Z-Score = 2.82</t>
  </si>
  <si>
    <t>555</t>
  </si>
  <si>
    <t>PT: RFG2401; D5191 - Vapor Pressure, TVP, 1L (EPA),  Z-Score = -13.57</t>
  </si>
  <si>
    <t>556</t>
  </si>
  <si>
    <t>PT: RFG2401; D86 - Distillation, Auto, 60%, °F (EPA)</t>
  </si>
  <si>
    <t>557</t>
  </si>
  <si>
    <t>PT: RFG2401; D86 - Distillation, Auto, 95%, °F (EPA)</t>
  </si>
  <si>
    <t>558</t>
  </si>
  <si>
    <t>PT: RFG2401; D1319 - HC Type, Olefins, Corrected &amp; Oxy-Free (EPA),  Z-Scores = 5.39 &amp; 5.40</t>
  </si>
  <si>
    <t>5.39 &amp; 5.40</t>
  </si>
  <si>
    <t>559</t>
  </si>
  <si>
    <t>PT: RFG2401; D1319 - HC Type, Olefins Oxy-Free (EPA)</t>
  </si>
  <si>
    <t>560</t>
  </si>
  <si>
    <t>PT: RFG2401; D86 - Distillation, Auto, E200 °F, % (EPA)</t>
  </si>
  <si>
    <t>561</t>
  </si>
  <si>
    <t>PT: RFG2401; D3606-20e1 &amp; -22 - Benzene, by GC, Proc B &amp; EPA, Z-Scores = -2.05 &amp; -2.14</t>
  </si>
  <si>
    <t>-2.05 &amp; -2.14</t>
  </si>
  <si>
    <t>562</t>
  </si>
  <si>
    <t>PT: RFG2401; D86 - Distillation, Auto, 5%, 5%, °F (EPA), &amp; E200 °F, % (EPA)</t>
  </si>
  <si>
    <t>-2.15, -2.15, &amp; 2.39</t>
  </si>
  <si>
    <t>1041</t>
  </si>
  <si>
    <t>PT: MG2404; D5769 - Aromatics, Total, by GC/MS, Z-Score = -2.19</t>
  </si>
  <si>
    <t>564</t>
  </si>
  <si>
    <t>PT: RFG2401; D5191-20 &amp; -22 - Vapor Pressure, DVPE &amp; TVP, 1L &amp; (EPA),  Z-Scores= 9.00, 9.68, -12.54, &amp; -10.69</t>
  </si>
  <si>
    <t>9.00, 9.68, -12.54, &amp; -10.69</t>
  </si>
  <si>
    <t>565</t>
  </si>
  <si>
    <t>PT: RFG2401; D2622 - Sulfur by WDXRF, Z-Score = 2.10</t>
  </si>
  <si>
    <t>566</t>
  </si>
  <si>
    <t>PT: RFG2401; D3606-20e1 &amp; -22 - Toluene, by GC, Proc B &amp; (EPA), Z-Scores = 2.33 &amp; 2.32</t>
  </si>
  <si>
    <t>2.33 &amp; 2.32</t>
  </si>
  <si>
    <t>567</t>
  </si>
  <si>
    <t>PT: RFG2401; D5188 - V/L Ratio Temp, Evac Chamber,  Z-Score = -4.79</t>
  </si>
  <si>
    <t>-4.79</t>
  </si>
  <si>
    <t>568</t>
  </si>
  <si>
    <t>569</t>
  </si>
  <si>
    <t>PT: RFG2401; D6839 - HC Type/Oxy, Olefins, by M-D GC,  Z-Score = 11.98</t>
  </si>
  <si>
    <t>570</t>
  </si>
  <si>
    <t>PT: RFG2401; D5599 - Oxygenates, Ethanol &amp; Total Oxygen, by GC OFID &amp; (EPA),  Z-Scores = -2.33, -3.35, -2.33, &amp; -3.07</t>
  </si>
  <si>
    <t>-2.33, -3.35, -2.33, &amp; -3.07</t>
  </si>
  <si>
    <t>571</t>
  </si>
  <si>
    <t>PT: RFG2401; D5191-20 &amp; -22 - Vapor Pressure, DVPE, 1L &amp; (EPA), Z-Scores = -2.41 &amp; -2.44</t>
  </si>
  <si>
    <t>-2.41 &amp; -2.44</t>
  </si>
  <si>
    <t>See PTO915-165-24</t>
  </si>
  <si>
    <t>572</t>
  </si>
  <si>
    <t xml:space="preserve">PT: RFG2401; D5580 - C9+ Aromatics &amp; Toluene, by GC </t>
  </si>
  <si>
    <t>2.30 &amp; -2.13</t>
  </si>
  <si>
    <t>573</t>
  </si>
  <si>
    <t>PT: RFG2401; D1319 - HC Type, Aromatics, Corrected &amp; Oxy-Free (EPA), Z-Scores = 2.06 &amp; 2.07</t>
  </si>
  <si>
    <t>2.06 &amp; 2.07</t>
  </si>
  <si>
    <t>574</t>
  </si>
  <si>
    <t>PT: RFG2401; D86 - Distillation, Auto, 10%, 60%, &amp; FBP °F, % (EPA)</t>
  </si>
  <si>
    <t>-2.30, -2.43, &amp; -2.69</t>
  </si>
  <si>
    <t>575</t>
  </si>
  <si>
    <t>PT: RFG2401; D86 - Distillation, Auto, 70%, °F (EPA),  Z-Score = -4.95</t>
  </si>
  <si>
    <t>-4.95</t>
  </si>
  <si>
    <t>576</t>
  </si>
  <si>
    <t>PT: RFG2401; D86 - Distillation, Auto, 10%, °F (EPA),  Z-Score = 4.84</t>
  </si>
  <si>
    <t>577</t>
  </si>
  <si>
    <t>PT: RFG2402; D86 - Distillation, Multiple Parameters, Z-Scores = Multiple Parameters</t>
  </si>
  <si>
    <t>578</t>
  </si>
  <si>
    <t>PT: RFG2402; D86 - Distillation, Auto, 60%, °F (EPA)</t>
  </si>
  <si>
    <t>579</t>
  </si>
  <si>
    <t>PT: RFG2402; D5188 - V/L Ratio Temp, Evac Chamber, Z-Score = -2.57</t>
  </si>
  <si>
    <t>-2.57</t>
  </si>
  <si>
    <t>580</t>
  </si>
  <si>
    <t>PT: RFG2402; D5188 - V/L Ratio Temp, Evac Chamber, Z-Score = 6.79</t>
  </si>
  <si>
    <t>581</t>
  </si>
  <si>
    <t xml:space="preserve">PT: RFG2402; D5580 - Aromatics, C9 plus, by GC </t>
  </si>
  <si>
    <t>582</t>
  </si>
  <si>
    <t>PT: RFG2402; D7039 - Sulfur, by MWDXRF, Z-Score = 2.79</t>
  </si>
  <si>
    <t>583</t>
  </si>
  <si>
    <t>PT: RFG2402; D5453 - Sulfur, by UVF</t>
  </si>
  <si>
    <t>584</t>
  </si>
  <si>
    <t>PT: RFG2402; D4052 - Density, Digital, 15 °C, Z-Score = 3.12</t>
  </si>
  <si>
    <t>585</t>
  </si>
  <si>
    <t>586</t>
  </si>
  <si>
    <t>PT: RFG2402; D1319-19 &amp; -20a- HC Type, Olefins Corrected &amp; Oxy-Free, Z-Scores = -4.87, -5.29, -5.09, &amp; -5.09</t>
  </si>
  <si>
    <t>-4.87, -5.29, -5.09, &amp; -5.09</t>
  </si>
  <si>
    <t>587</t>
  </si>
  <si>
    <t>PT: RFG2402; D2622 - Sulfur by WDXRF, Z-Score = 146.64</t>
  </si>
  <si>
    <t>588</t>
  </si>
  <si>
    <t>PT: RFG2402; D5769 - Benzene, by GC/MS (EPA), Z-Score = 17.12</t>
  </si>
  <si>
    <t>589</t>
  </si>
  <si>
    <t>PT: RFG2402; D86 - Distillation, Auto, 90% &amp; 95%, °F (EPA)</t>
  </si>
  <si>
    <t>2.08 &amp; 2.85</t>
  </si>
  <si>
    <t>590</t>
  </si>
  <si>
    <t>PT: RFG2402; D4815 - Oxygenates, Oxygen, Total, by GC, Z-Score = 80.83</t>
  </si>
  <si>
    <t>591</t>
  </si>
  <si>
    <t>PT: RFG2402; D2622 - Sulfur by WDXRF, Z-Score = 5.32</t>
  </si>
  <si>
    <t>592</t>
  </si>
  <si>
    <t>PT: RFG2402; D5191 - Vapor Pressure, TVP, 1L (EPA), Z-Score = -14.75</t>
  </si>
  <si>
    <t>-14.75</t>
  </si>
  <si>
    <t>593</t>
  </si>
  <si>
    <t>PT: RFG2402; D86 - Distillation, Auto, FBP, °F (EPA)</t>
  </si>
  <si>
    <t>-2.09</t>
  </si>
  <si>
    <t>594</t>
  </si>
  <si>
    <t>PT: RFG2402; D4815 - Oxygenates, Ethanol, by GC, Z-Score = 2.26</t>
  </si>
  <si>
    <t>595</t>
  </si>
  <si>
    <t>PT: RFG2402; D86 - Distillation, Auto, 70%, &amp; °F (EPA)</t>
  </si>
  <si>
    <t>-2.20 &amp; -2.52</t>
  </si>
  <si>
    <t>596</t>
  </si>
  <si>
    <t>PT: RFG2402; D5443 - HC Type, Benzene &amp; C6 Naphthenes, by MD-GC, Z-Scores = 13.97 &amp; -13.46</t>
  </si>
  <si>
    <t>13.97 &amp; -13.46</t>
  </si>
  <si>
    <t>597</t>
  </si>
  <si>
    <t>PT: RFG2402; D86 - Distillation, Auto, 70%, Z-Score = -5.65</t>
  </si>
  <si>
    <t>-5.65</t>
  </si>
  <si>
    <t>598</t>
  </si>
  <si>
    <t>599</t>
  </si>
  <si>
    <t>PT: RFG2402; D2622 - Sulfur by WDXRF</t>
  </si>
  <si>
    <t>D2622 - Sulfur</t>
  </si>
  <si>
    <t>600</t>
  </si>
  <si>
    <t>PT: RFG2402; D4052 - Density, Digital, 15 °C</t>
  </si>
  <si>
    <t>601</t>
  </si>
  <si>
    <t>PT: RFG2402; D86 - Distillation, Auto, % Loss (EPA), Z-Score = 3.08</t>
  </si>
  <si>
    <t>602</t>
  </si>
  <si>
    <t>PT: RFG2402; D5580 - Aromatics, Total, by GC , Z-Score = -2.01</t>
  </si>
  <si>
    <t>-2.01</t>
  </si>
  <si>
    <t>603</t>
  </si>
  <si>
    <t>PT: RFG2402; D86 - Distillation, Auto, 50%, 80%, 90%, 95%, &amp; E300 °F (EPA)</t>
  </si>
  <si>
    <t>2.42, 2.23, 2.59, 2.21, &amp; -2.26</t>
  </si>
  <si>
    <t>604</t>
  </si>
  <si>
    <t>PT: RFG2402; D86 - Distillation, Auto, 95%, &amp; FBP °F (EPA)</t>
  </si>
  <si>
    <t>2.09 &amp; -2.34</t>
  </si>
  <si>
    <t>605</t>
  </si>
  <si>
    <t>606</t>
  </si>
  <si>
    <t>PT: RFG2402; D86 - Distillation, Auto, 70%, &amp; FBP °F (EPA)</t>
  </si>
  <si>
    <t>-2.60 &amp; -2.94</t>
  </si>
  <si>
    <t>607</t>
  </si>
  <si>
    <t>PT: RFG2402; D86 - Distillation, Auto, 10%, 50%, &amp; 60%, °F (EPA), Z-Scores = 3.00, 3.84, &amp; 3.22</t>
  </si>
  <si>
    <t>3.00, 3.84, &amp; 3.22</t>
  </si>
  <si>
    <t>608</t>
  </si>
  <si>
    <t>PT: RFG2403; D5188 - V/L Ratio Temp, Evac Chamber, Z-Score = -2.19</t>
  </si>
  <si>
    <t>609</t>
  </si>
  <si>
    <t>PT: RFG2403; D86 - Distillation,  Multiple Parameters, Z-Scores = Multiple Outliers</t>
  </si>
  <si>
    <t>610</t>
  </si>
  <si>
    <t>PT: RFG2403; D86 - Distillation, Auto, % Resid (EPA), Z-Score = 5.18</t>
  </si>
  <si>
    <t>611</t>
  </si>
  <si>
    <t>PT: RFG2403; D1319 - HC Type, Aromatics, Corrected (EPA), Z-Score = 35.04</t>
  </si>
  <si>
    <t>612</t>
  </si>
  <si>
    <t>613</t>
  </si>
  <si>
    <t>PT: RFG2403; D86 - Distillation, Auto, 10%-50%, 70%, FBP, &amp; E200, °F (EPA), Z-Scores = Multiple Outliers</t>
  </si>
  <si>
    <t>614</t>
  </si>
  <si>
    <t>PT: RFG2403; D2622 - Sulfur by WDXRF, Z-Score = 2.14</t>
  </si>
  <si>
    <t>615</t>
  </si>
  <si>
    <t>PT: RFG2403; D5769 - Total Aromatics &amp; Benzene, by GC/MS (EPA), Z-Scores = -3.20 &amp; 62.73</t>
  </si>
  <si>
    <t>-3.20 &amp; 62.73</t>
  </si>
  <si>
    <t>616</t>
  </si>
  <si>
    <t>PT: RFG2403; D86 - Distillation, Auto, 20%-80%, °F (EPA), Z-Scores = Multiple Outliers</t>
  </si>
  <si>
    <t>617</t>
  </si>
  <si>
    <t>PT: RFG2403; D4815 - Oxygenates, Oxygen, Total, by GC, Z-Score = 86.85</t>
  </si>
  <si>
    <t>618</t>
  </si>
  <si>
    <t>PT: RFG2403; D2622 - Sulfur by WDXRF (EPA), Z-Score = 5.07</t>
  </si>
  <si>
    <t>619</t>
  </si>
  <si>
    <t>PT: RFG2403; D5188 - V/L Ratio Temp, Evac Chamber, Z-Score = 3.30</t>
  </si>
  <si>
    <t>620</t>
  </si>
  <si>
    <t>PT: RFG2403; D5191 - Vapor Pressure, TVP, 1L (EPA), Z-Score = -8.35</t>
  </si>
  <si>
    <t>-8.35</t>
  </si>
  <si>
    <t>621</t>
  </si>
  <si>
    <t>PT: RFG2403; D5769 - Aromatics, Total, by GC/MS</t>
  </si>
  <si>
    <t>622</t>
  </si>
  <si>
    <t>PT: RFG2403; D86 - Distillation, Auto, FBP, °F (EPA)</t>
  </si>
  <si>
    <t>623</t>
  </si>
  <si>
    <t>PT: RFG2403; D86 - Distillation, Auto, E300 °F, % (EPA)</t>
  </si>
  <si>
    <t>624</t>
  </si>
  <si>
    <t>PT: RFG2403; D5599 - Oxygenates, Oxygen, Total, by GC OFID (EPA), Z-Score = 2.01</t>
  </si>
  <si>
    <t>625</t>
  </si>
  <si>
    <t>PT: RFG2403; D86 - Distillation, Auto, IBP, Z-Score = -2.12</t>
  </si>
  <si>
    <t>626</t>
  </si>
  <si>
    <t>PT: RFG2403; D1319 - HC Type, Aromatics, Oxy-Free, Aromatics, Oxy-Free (EPA), &amp; Saturates, Oxy-Free (EPA), Z-Scores =6.30, 3.22, &amp; -3.19</t>
  </si>
  <si>
    <t>6.30, 3.22, &amp; -3.19</t>
  </si>
  <si>
    <t>627</t>
  </si>
  <si>
    <t>PT: RFG2403; D4052 - Density, Digital, 15 °C</t>
  </si>
  <si>
    <t>628</t>
  </si>
  <si>
    <t>PT: RFG2403; D5191-20 &amp; -22 - Vapor Pressure, DVPE, 1L &amp; EPA, Z-Scores = -2.38 &amp; -2.08</t>
  </si>
  <si>
    <t>2.38 &amp; -2.08</t>
  </si>
  <si>
    <t>629</t>
  </si>
  <si>
    <t>PT: RFG2403; D2622 - Sulfur by WDXRF &amp; (EPA), Z-Scores = 48.80 &amp; 41.86</t>
  </si>
  <si>
    <t>48.80 &amp; 41.86</t>
  </si>
  <si>
    <t>630</t>
  </si>
  <si>
    <t>PT: RFG2403; D3606 - Toluene, by GC, Proc B, Z-Score = -2.11</t>
  </si>
  <si>
    <t>631</t>
  </si>
  <si>
    <t>PT: RFG2403; D5188 - V/L Ratio Temp, Evac Chamber, Z-Score = -16.46</t>
  </si>
  <si>
    <t>-16.46</t>
  </si>
  <si>
    <t>632</t>
  </si>
  <si>
    <t xml:space="preserve">PT: RFG2403; D5580 - Aromatics, C9 plus, by GC </t>
  </si>
  <si>
    <t>633</t>
  </si>
  <si>
    <t>PT: RFG2403; D86 - Distillation, Auto, 5%, &amp; 20%, °F (EPA)</t>
  </si>
  <si>
    <t>2.23 &amp; 2.10</t>
  </si>
  <si>
    <t>634</t>
  </si>
  <si>
    <t>635</t>
  </si>
  <si>
    <t>PT: RFG2403; D8071 - HC Type, Isoparaffins &amp; Naphthenes, GC-VUV, Z-Scores = -2.33 &amp; 2.16</t>
  </si>
  <si>
    <t>-2.33 &amp; 2.16</t>
  </si>
  <si>
    <t>See PTO921-180-24</t>
  </si>
  <si>
    <t>636</t>
  </si>
  <si>
    <t>PT: RFG2403; D86 - Multiple Parameters, Z-Scores = Multiple Outliers</t>
  </si>
  <si>
    <t>Multiple Parameters</t>
  </si>
  <si>
    <t>637</t>
  </si>
  <si>
    <t>638</t>
  </si>
  <si>
    <t>PT: RFG2403; D4815 - Oxygenates, Ethanol &amp; Total Oxygen, by GC, Z-Scores = -3.12 &amp; -3.20</t>
  </si>
  <si>
    <t>-3.12 &amp; -3.20</t>
  </si>
  <si>
    <t>639</t>
  </si>
  <si>
    <t>PT: RFG2403; Distillation, Auto, % Resid (EPA), Z-Score = 17.78</t>
  </si>
  <si>
    <t>640</t>
  </si>
  <si>
    <t>PT: RFG2403; D1319 - HC Type, Olefins, Oxy-Free</t>
  </si>
  <si>
    <t>641</t>
  </si>
  <si>
    <t>PT: RFG2403; D4815 - Oxygenates, Oxygen, Total, by GC</t>
  </si>
  <si>
    <t>642</t>
  </si>
  <si>
    <t>PT: CET2402; D86 - Distillation, Auto, 20%, Z-Score = 77.35</t>
  </si>
  <si>
    <t>643</t>
  </si>
  <si>
    <t>PT: CET2402; D2622 - Sulfur by WDXRF, Z-Score = 2.76</t>
  </si>
  <si>
    <t>644</t>
  </si>
  <si>
    <t>PT: CET2402; D4052 - Density, Digital, 15 °C, Z-Score = 5.55</t>
  </si>
  <si>
    <t>645</t>
  </si>
  <si>
    <t>PT: CET2402; D86 - Distillation, Auto, 20%, 50%, 90%, &amp; 95%, Z-Scores =-3.11, -2.05, -64.07, &amp; -42.00</t>
  </si>
  <si>
    <t>-3.11, -2.05, -64.07, &amp; -42.00</t>
  </si>
  <si>
    <t>646</t>
  </si>
  <si>
    <t>PT: CET2402; D1319 - HC Type, Aromatics &amp; Saturates, Oxy-Free, Z-Scores = 2.42 &amp; -2.29</t>
  </si>
  <si>
    <t>2.42, &amp; -2.29</t>
  </si>
  <si>
    <t>647</t>
  </si>
  <si>
    <t>PT: CET2402; D86 - Distillation, Auto, 90% &amp; 95%, Z-Scores = 2.28 &amp; 3.01</t>
  </si>
  <si>
    <t>2.28 &amp; 3.01</t>
  </si>
  <si>
    <t>648</t>
  </si>
  <si>
    <t>PT: NP2402; D86 - Distillation, Auto, FBP, Z-Score =-7.42</t>
  </si>
  <si>
    <t>-7.42</t>
  </si>
  <si>
    <t>649</t>
  </si>
  <si>
    <t>PT: NP2402; D5443 - HC Type, Benzene, by MD-GC</t>
  </si>
  <si>
    <t>650</t>
  </si>
  <si>
    <t>PT: NP2402; D4052 - Density, Digital, 15 °C</t>
  </si>
  <si>
    <t>651</t>
  </si>
  <si>
    <t>PT: NP2402; D86 - Distillation, Multiple Parameters, Z-Scores =Multiple Outliers</t>
  </si>
  <si>
    <t>652</t>
  </si>
  <si>
    <t>PT: CE517; D86 - Distillation, Auto, 20% - 40%</t>
  </si>
  <si>
    <t>2.04, 2.04, &amp; 2.07</t>
  </si>
  <si>
    <t>653</t>
  </si>
  <si>
    <t>PT: CE517; D5191 - Vapor Pressure, PTOT = Z-Score = 2.05</t>
  </si>
  <si>
    <t>654</t>
  </si>
  <si>
    <t>PT: CE517; D86 - Distillation, Auto, 60%, 80%, &amp; EP</t>
  </si>
  <si>
    <t>2.11, 2.19, &amp; 2.30</t>
  </si>
  <si>
    <t>655</t>
  </si>
  <si>
    <t>PT: CE517; D3606 - Benzene</t>
  </si>
  <si>
    <t>D3606 - Benzene</t>
  </si>
  <si>
    <t>656</t>
  </si>
  <si>
    <t>PT: CE517; D5580 - HC Type, C9+ Aromatics</t>
  </si>
  <si>
    <t>D5580 - HC Type</t>
  </si>
  <si>
    <t>657</t>
  </si>
  <si>
    <t>PT: NP2402; D6730 - HC Type, Paraffins, Total, by pCHR-GC, Z-Score = 22.02</t>
  </si>
  <si>
    <t>658</t>
  </si>
  <si>
    <t>PT: RFG2401; D5188 - V/L Ratio Temp, Evac Chamber,  Z-Score = 4.13</t>
  </si>
  <si>
    <t>659</t>
  </si>
  <si>
    <t>PT: D339; D976 - Cetane Index, Calculated</t>
  </si>
  <si>
    <t>DXXX</t>
  </si>
  <si>
    <t>660</t>
  </si>
  <si>
    <t>PT: D339; D4737B - Cetane Index, Calculated</t>
  </si>
  <si>
    <t>661</t>
  </si>
  <si>
    <t>PT: CO2311; D7169 - BP Dist by HT-GC, Multiple Parameters</t>
  </si>
  <si>
    <t>662</t>
  </si>
  <si>
    <t>PT: BIOD2311; D1298 - Density, by Hydrometer, at 15 °C, Z-Score = -2.32</t>
  </si>
  <si>
    <t>-2.32</t>
  </si>
  <si>
    <t>663</t>
  </si>
  <si>
    <t>PT: BIOD2311; EN14103 - Linolenic Acid Methyl Ester, Z-Score = 2.84</t>
  </si>
  <si>
    <t>664</t>
  </si>
  <si>
    <t>PT: BIOD2311; D6584 - Triglyceride, by GC, Z-Score = 3.11</t>
  </si>
  <si>
    <t>665</t>
  </si>
  <si>
    <t>PT: BIOD2311; E203 - Water, by Volumetric KF, Z-Score = 2.29</t>
  </si>
  <si>
    <t>666</t>
  </si>
  <si>
    <t>PT: BIOD2311; D2500 - Cloud Point, biodiesel</t>
  </si>
  <si>
    <t>667</t>
  </si>
  <si>
    <t>PT: BIOD2311; D4951 - Element, Phosphorus by ICPAES, Z-Score = 3.75</t>
  </si>
  <si>
    <t>668</t>
  </si>
  <si>
    <t>PT: BIOD2311; EN14538 - Elements, Na + K, by ICP/OES</t>
  </si>
  <si>
    <t>669</t>
  </si>
  <si>
    <t>PT: BIOD2311; EN15751 - Oxidation Stability, Z-Score = 4.45</t>
  </si>
  <si>
    <t>670</t>
  </si>
  <si>
    <t>PT: BIOD2311; D6079 - Lubricity, HFRR, Scar Diameter, Z-Score = 10.00</t>
  </si>
  <si>
    <t>671</t>
  </si>
  <si>
    <t>PT: BIOD2311; D455 - Viscosity, Kinematic, 40 °C, Z-Score = -3.57</t>
  </si>
  <si>
    <t>-3.57</t>
  </si>
  <si>
    <t>672</t>
  </si>
  <si>
    <t>PT: BIOD2311; D974 - Acid Number, by Color Indicator, Z-Score = -2.27</t>
  </si>
  <si>
    <t>673</t>
  </si>
  <si>
    <t>674</t>
  </si>
  <si>
    <t>PT: BIOD2404; D4951 - Element, Phosphorus by ICPAES, Z-Score = 700.00</t>
  </si>
  <si>
    <t>675</t>
  </si>
  <si>
    <t>PT: BIOD2404; EN14538 - Elements, Na + K, by ICP/OES, Z-Score = 6.69</t>
  </si>
  <si>
    <t>676</t>
  </si>
  <si>
    <t>PT: BIOD2404; EN14103 - FAME (ester), Total</t>
  </si>
  <si>
    <t>677</t>
  </si>
  <si>
    <t>PT: BIOD2404; D2500 - Cloud Point, biodiesel</t>
  </si>
  <si>
    <t>2.40 &amp; 2.40</t>
  </si>
  <si>
    <t>678</t>
  </si>
  <si>
    <t>PT: BIOD2404; EN14538 - Elements, Ca + Mg, by ICP/OES, Z-Score = 4.23</t>
  </si>
  <si>
    <t>679</t>
  </si>
  <si>
    <t>PT: BIOD2404; EN15751 - Oxidation Stability, Z-Score = 2.42</t>
  </si>
  <si>
    <t>680</t>
  </si>
  <si>
    <t>PT: BIOD2404; D664 - Acid Number, Potentiometric B, Z-Score = 2.51</t>
  </si>
  <si>
    <t>1042</t>
  </si>
  <si>
    <t>PT: MG2404; D86 - Distillation, Auto, 90% &amp; 95%, °F (EPA), Z-Scores = -3.29 &amp; -4.12</t>
  </si>
  <si>
    <t>-3.29 &amp; -4.12</t>
  </si>
  <si>
    <t>682</t>
  </si>
  <si>
    <t>PT: BIOD2404; EN15751 - Oxidation Stability, Z-Score = -3.31</t>
  </si>
  <si>
    <t>683</t>
  </si>
  <si>
    <t>PT: BIOD2404; D482 - Ash</t>
  </si>
  <si>
    <t>684</t>
  </si>
  <si>
    <t>PT: BIOD2404; D189 - Carbon Residue, Conradson, Z-Score = -3.31</t>
  </si>
  <si>
    <t>-3.31</t>
  </si>
  <si>
    <t>685</t>
  </si>
  <si>
    <t>PT: BIOD2404; D4052 &amp; ISO 12185 - Density, Digital, 15 °C, Z-Scores = 190.88 &amp; 127.42</t>
  </si>
  <si>
    <t>190.88 &amp; 127.42</t>
  </si>
  <si>
    <t>686</t>
  </si>
  <si>
    <t>PT: BIOD2404; D4951 - Element, Phosphorus by ICPAES, Z-Score = 2550.00</t>
  </si>
  <si>
    <t>687</t>
  </si>
  <si>
    <t>PT: BIOD2404; D5185 - Elements, Na + K, by ICP/AES</t>
  </si>
  <si>
    <t>688</t>
  </si>
  <si>
    <t>PT: BIOD2404; D5773 - Cloud Point, Constant Cool, Z-Scores = -6.44 &amp; -6.44</t>
  </si>
  <si>
    <t>-6.44 &amp; -6.44</t>
  </si>
  <si>
    <t>689</t>
  </si>
  <si>
    <t>PT: BIOD2404; EN15751 - Oxidation Stability, Z-Score = -2.60</t>
  </si>
  <si>
    <t>690</t>
  </si>
  <si>
    <t>PT: BIOD2404; D7321 - Particulates, Lab Filtration, Z-Score = 14.80</t>
  </si>
  <si>
    <t>691</t>
  </si>
  <si>
    <t>PT: GGO2311; D482 - Ash, Z-Score = 5.38</t>
  </si>
  <si>
    <t>692</t>
  </si>
  <si>
    <t>PT: GGO2311; D189 - Carbon Residue, Conradson</t>
  </si>
  <si>
    <t>693</t>
  </si>
  <si>
    <t>PT: GGO2311; D4052 - Density, Digital, 15 °C, Z-Score = 10.08</t>
  </si>
  <si>
    <t>694</t>
  </si>
  <si>
    <t>PT: GGO2311; D611 - Aniline Point, Meth E, Auto, Z-Score = -10.59</t>
  </si>
  <si>
    <t>-10.59</t>
  </si>
  <si>
    <t>695</t>
  </si>
  <si>
    <t>PT: GGO2311; D5708 - Element, Nickel, ICPAES, Method B</t>
  </si>
  <si>
    <t>696</t>
  </si>
  <si>
    <t>697</t>
  </si>
  <si>
    <t>698</t>
  </si>
  <si>
    <t>PT: LPG2311; D7423 - Oxygenates by GC-FID, Dimethyl Ether &amp; Methanol</t>
  </si>
  <si>
    <t>2.27 &amp; 2.27</t>
  </si>
  <si>
    <t>699</t>
  </si>
  <si>
    <t>PT: LPG2403; D7423 - Oxygenates by GC-FID, Methanol</t>
  </si>
  <si>
    <t>0.00 - Rejected</t>
  </si>
  <si>
    <t>700</t>
  </si>
  <si>
    <t>PT: LPG2403; D2163 - Hydrocarbons - C5+, Propane, n-Pentane, &amp; n-Butane, Z-Scores = 23.06, -147.67, 4.25, &amp; 423.0</t>
  </si>
  <si>
    <t>23.06, -147.67, 4.25, &amp; 423.0</t>
  </si>
  <si>
    <t>701</t>
  </si>
  <si>
    <t>PT: LPG2403; D6667 - Sulfur in LPG, by UVF</t>
  </si>
  <si>
    <t>D6667 - Sulfur in LPG</t>
  </si>
  <si>
    <t>702</t>
  </si>
  <si>
    <t>PT: LPG2403; D2163 - Hydrocarbons - C5+, Ethane, &amp; Propane, Z-Scores = 5.49, 4.25, &amp; 4.25</t>
  </si>
  <si>
    <t>5.49, 4.25, &amp; 4.25</t>
  </si>
  <si>
    <t>703</t>
  </si>
  <si>
    <t>704</t>
  </si>
  <si>
    <t>PT: LPG2403; D2163 - Hydrocarbons - C5+, Z-Score = 64.04</t>
  </si>
  <si>
    <t>705</t>
  </si>
  <si>
    <t>PT: D339; D86 - Distillation, Residue , Z-Score = 3.81</t>
  </si>
  <si>
    <t>706</t>
  </si>
  <si>
    <t>PT: F242403; D86 - Distillation, Auto, 95%</t>
  </si>
  <si>
    <t>-2.72</t>
  </si>
  <si>
    <t>707</t>
  </si>
  <si>
    <t>PT: F242403; D5006 - Fuel System Icing Inhibitors, Ether Type, Z-Score = -12.12</t>
  </si>
  <si>
    <t>-12.12</t>
  </si>
  <si>
    <t>708</t>
  </si>
  <si>
    <t>PT: F242403; D86 - Distillation, Auto, 90%, Z-Score = 217.54</t>
  </si>
  <si>
    <t>709</t>
  </si>
  <si>
    <t>PT: F242403; D2624 - Electrical Conductivity, Proc A, Z-Score =-7.80</t>
  </si>
  <si>
    <t>-7.80</t>
  </si>
  <si>
    <t>710</t>
  </si>
  <si>
    <t>PT: F242403; D3338/D3338M - Net Heat of Combustion, Z-Score = -285.71</t>
  </si>
  <si>
    <t>-285.71</t>
  </si>
  <si>
    <t>711</t>
  </si>
  <si>
    <t>PT: ETOH2404; D4052 - Density, Relative, @ 15.56 °C</t>
  </si>
  <si>
    <t>712</t>
  </si>
  <si>
    <t>PT: ETOH2404; D5501 - Ethanol, by GC, Z-Score = 3.17</t>
  </si>
  <si>
    <t>713</t>
  </si>
  <si>
    <t>PT: ETOH2404; E1064 - Water, by Coul KF, Z-Score = 4.15</t>
  </si>
  <si>
    <t>714</t>
  </si>
  <si>
    <t>PT: ETOH2404; D7795 - Acidity, Proc A, Z-Score = 7.25</t>
  </si>
  <si>
    <t>715</t>
  </si>
  <si>
    <t>PT: ETOH2404; D7319 - Chloride, Inorganic, by DI-IC</t>
  </si>
  <si>
    <t>716</t>
  </si>
  <si>
    <t>PT: ETOH2404; E1064 - Water, by Coul KF, Z-Score = -3.27</t>
  </si>
  <si>
    <t>-3.27</t>
  </si>
  <si>
    <t>717</t>
  </si>
  <si>
    <t>PT: ETOH2404; D7795 - Acidity, Proc A, Z-Score = -9.88</t>
  </si>
  <si>
    <t>718</t>
  </si>
  <si>
    <t>PT: ETOH2404; D7328 - Sulfate, Existent Inorganic, by IC, Z-Score = 5.19</t>
  </si>
  <si>
    <t>719</t>
  </si>
  <si>
    <t>PT: ETOH2404; D7319 - Sulfate, Existent, by DI-IC</t>
  </si>
  <si>
    <t>720</t>
  </si>
  <si>
    <t>PT: ETOH2404; E1064 - Water, by Coul KF, Z-Score = -7.15</t>
  </si>
  <si>
    <t>-7.05</t>
  </si>
  <si>
    <t>721</t>
  </si>
  <si>
    <t>PT: CE518; D86 - Distillation, 90% &amp; Residue</t>
  </si>
  <si>
    <t>2.16 &amp; 2.13</t>
  </si>
  <si>
    <t>722</t>
  </si>
  <si>
    <t>PT: CE518; D5769 - Benzene, GC/MS</t>
  </si>
  <si>
    <t>723</t>
  </si>
  <si>
    <t>PT: CE518; D86 - Distillation, E300</t>
  </si>
  <si>
    <t>724</t>
  </si>
  <si>
    <t>PT: CE518; D3606 - Benzene, Z-Score = -2.63</t>
  </si>
  <si>
    <t>725</t>
  </si>
  <si>
    <t>PT: CE518; D4052 - API, Z-Score = -3.44</t>
  </si>
  <si>
    <t>-3.44</t>
  </si>
  <si>
    <t>726</t>
  </si>
  <si>
    <t>PT: CE519; D4052 - API, Z-Score = -13.12</t>
  </si>
  <si>
    <t>-13.12</t>
  </si>
  <si>
    <t>727</t>
  </si>
  <si>
    <t>PT: CE519; D5769 - Aromatics, Z-Score = 2.63</t>
  </si>
  <si>
    <t>728</t>
  </si>
  <si>
    <t>PT: CE519; D86 - Distillation, IBP</t>
  </si>
  <si>
    <t>729</t>
  </si>
  <si>
    <t>PT: CE519; D86 - Distillation, 95%</t>
  </si>
  <si>
    <t>730</t>
  </si>
  <si>
    <t>PT: CE519; D86 - Distillation, 80%</t>
  </si>
  <si>
    <t>731</t>
  </si>
  <si>
    <t>PT: CE519; D86 - Distillation, 10% &amp; 20%</t>
  </si>
  <si>
    <t>2.24 &amp; 2.53</t>
  </si>
  <si>
    <t>732</t>
  </si>
  <si>
    <t>PT: CE519; D3606 - Benzene, Z-Score = -3.33</t>
  </si>
  <si>
    <t>-3.33</t>
  </si>
  <si>
    <t>733</t>
  </si>
  <si>
    <t>PT: D-1206; D93 - Flash Point, Z-Score = 12.09</t>
  </si>
  <si>
    <t>NEG-D</t>
  </si>
  <si>
    <t>734</t>
  </si>
  <si>
    <t>PT: D-1207; D445 - Viscosity, 40°C</t>
  </si>
  <si>
    <t>735</t>
  </si>
  <si>
    <t>PT: D-1207; D86 - Distillation, 90% Recovered, Z-Score = 2231.82</t>
  </si>
  <si>
    <t>736</t>
  </si>
  <si>
    <t>PT: R-1347; D86 - Distillation, FBP Evaporated, oF</t>
  </si>
  <si>
    <t>NEG-R</t>
  </si>
  <si>
    <t>737</t>
  </si>
  <si>
    <t>PT: TM06-24; D86 - Distillation, 50%, oF</t>
  </si>
  <si>
    <t>738</t>
  </si>
  <si>
    <t>PT: T344; D3242 - Acid Number, Z-Score = 23.00</t>
  </si>
  <si>
    <t>TXXX</t>
  </si>
  <si>
    <t>739</t>
  </si>
  <si>
    <t>PT: T344; D5453 - Sulfur, Z-Score = 16.06</t>
  </si>
  <si>
    <t>740</t>
  </si>
  <si>
    <t>PT: T344; D7224 - Water Separation of Kerosine-type Aviation Turbine, MSEP rating</t>
  </si>
  <si>
    <t>741</t>
  </si>
  <si>
    <t>PT: OC2404; D5191 - Vapor Pressure, DVPE</t>
  </si>
  <si>
    <t>742</t>
  </si>
  <si>
    <t>PT: OC2404; D1319 - Hydrocarbon Types, Olefins &amp; Saturates, Oxy-Free, Z-Scores = 40.65 &amp; -29.90</t>
  </si>
  <si>
    <t>40.65 &amp; -29.90</t>
  </si>
  <si>
    <t>743</t>
  </si>
  <si>
    <t>PT: OC2404; D2699 - Research Octane Number, Z-Score =-3.41</t>
  </si>
  <si>
    <t>744</t>
  </si>
  <si>
    <t>PT: OC2404; D1319 - Hydrocarbon Type, Aromatics, Oxy-Free, Z-Score = 5.48</t>
  </si>
  <si>
    <t>745</t>
  </si>
  <si>
    <t>PT: OC2404; D5453 - Sulfur, by UVF</t>
  </si>
  <si>
    <t>746</t>
  </si>
  <si>
    <t>PT: OC2404; D86 - Distillation, FBP °F</t>
  </si>
  <si>
    <t>747</t>
  </si>
  <si>
    <t>PT: OC2404; D86 - Distillation, % Residual, Z-Score = 4.26</t>
  </si>
  <si>
    <t>748</t>
  </si>
  <si>
    <t>PT: OC2404; D1319 - Hydrocarbon Type, Olefins, Oxy-Free</t>
  </si>
  <si>
    <t>749</t>
  </si>
  <si>
    <t>PT: OC2404; D86 - Distillation, FBP °F, Z-Score = -31.63</t>
  </si>
  <si>
    <t>-31.63</t>
  </si>
  <si>
    <t>750</t>
  </si>
  <si>
    <t>PT: OC2404; D1319 - Hydrocarbon Types, Olefins, Saturates, &amp; Aromatics, Oxy-Free, Z-Scores = 10.98, -15.18, &amp; 15.46</t>
  </si>
  <si>
    <t>10.98, -15.18, &amp; 15.46</t>
  </si>
  <si>
    <t>751</t>
  </si>
  <si>
    <t>PT: CO2311; D664 - Acid Number, A, 60 mL, inflection EP, Z-Score = -20.92</t>
  </si>
  <si>
    <t>752</t>
  </si>
  <si>
    <t>PT: CO2311; D97 - Pour Point, residual fuels, Z-Score = 3.10</t>
  </si>
  <si>
    <t>753</t>
  </si>
  <si>
    <t>PT: CO2311; D5708 - Element, Nickel, ICPAES, Method B, Z-Score = 3.07</t>
  </si>
  <si>
    <t>754</t>
  </si>
  <si>
    <t>PT: CO2311; D664 - Acid Number, A, 60 mL, inflection EP, Z-Score = -20.72</t>
  </si>
  <si>
    <t>See PTO784-132-24.</t>
  </si>
  <si>
    <t>755</t>
  </si>
  <si>
    <t>PT: CO2311; D5002 - Density, digital, 15 °C</t>
  </si>
  <si>
    <t>756</t>
  </si>
  <si>
    <t>PT: CO2311; D6560 - Asphaltenes, (Heptane Insolubles)</t>
  </si>
  <si>
    <t>757</t>
  </si>
  <si>
    <t>PT: CO2311; D5708 - Element, Iron, ICPAES, Method A, Z-Score = -9.23</t>
  </si>
  <si>
    <t>758</t>
  </si>
  <si>
    <t>PT: CO2311; D7900 - Multiple Parameters, Z-Scores = Multiple Outliers</t>
  </si>
  <si>
    <t>759</t>
  </si>
  <si>
    <t>PT: CO2311; D5708 - Element, Vanadium, ICPAES, Method B, Z-Score = 3.29</t>
  </si>
  <si>
    <t>760</t>
  </si>
  <si>
    <t>PT: CO2311; D445 - Viscosity, Kinematic, 40 °C</t>
  </si>
  <si>
    <t>761</t>
  </si>
  <si>
    <t>PT: CO2311; D4530 - Carbon Residue, Micro, Z-Score = -6.47</t>
  </si>
  <si>
    <t>-6.47</t>
  </si>
  <si>
    <t>762</t>
  </si>
  <si>
    <t>PT: CO2311; D5002 - Density, digital, 15 °C, Z-Score = -3.34</t>
  </si>
  <si>
    <t>-3.34</t>
  </si>
  <si>
    <t>763</t>
  </si>
  <si>
    <t xml:space="preserve">PT: CO2311; D287 - API Gravity, hydrometer at 60 °F </t>
  </si>
  <si>
    <t>-2.44</t>
  </si>
  <si>
    <t>764</t>
  </si>
  <si>
    <t>PT: CO2311; D473 - Sediment, Z-Score = 3.55</t>
  </si>
  <si>
    <t>See PTO795-165-24.</t>
  </si>
  <si>
    <t>765</t>
  </si>
  <si>
    <t>PT: CO2311; D7169 - BP Dist by HT-GC, Cut 8, 720C (1328F) &amp; Tot % Rec @ FBP, Z-Scores = -3.10 &amp; -3.27</t>
  </si>
  <si>
    <t>-3.10 &amp; -3.27</t>
  </si>
  <si>
    <t>766</t>
  </si>
  <si>
    <t>PT: CO2311; D5002 - Density, digital, 15 °C, Z-Score = 4.22</t>
  </si>
  <si>
    <t>767</t>
  </si>
  <si>
    <t>PT: CO2311; D4928 - Water, Coulometric KF, Z-Score =-3.28</t>
  </si>
  <si>
    <t>-3.28</t>
  </si>
  <si>
    <t>768</t>
  </si>
  <si>
    <t>PT: CO2311; D4006 - Water, by Distillation</t>
  </si>
  <si>
    <t>769</t>
  </si>
  <si>
    <t>770</t>
  </si>
  <si>
    <t>PT: CO2311; D664 - Acid Number, A, 125 mL, inflection EP, Z-Score = 3.37</t>
  </si>
  <si>
    <t>771</t>
  </si>
  <si>
    <t>PT: CO2311; D5002 - Density, digital, 15 °C, Z-Score = -4.76</t>
  </si>
  <si>
    <t>4.76</t>
  </si>
  <si>
    <t>772</t>
  </si>
  <si>
    <t>773</t>
  </si>
  <si>
    <t>PT: CO2311; D5863 - Element, Nickel, AAS, Proc A, Z-Score = 7.23</t>
  </si>
  <si>
    <t>774</t>
  </si>
  <si>
    <t>PT: CO2311; D4294 - Sulfur, by EDXRF, Z-Score = 261.00</t>
  </si>
  <si>
    <t>775</t>
  </si>
  <si>
    <t>PT: CO2403; D7169 - BP Dist by HT-GC, Multiple Parameters, Z-Scores = Multiple Outliers</t>
  </si>
  <si>
    <t>776</t>
  </si>
  <si>
    <t>PT: CO2403; D4530 - Carbon Residue, Micro, Z-Score = 2.07</t>
  </si>
  <si>
    <t>777</t>
  </si>
  <si>
    <t>PT: CO2403; D4052 - Density, digital, 15 °C, Z-Score = 4.58</t>
  </si>
  <si>
    <t>778</t>
  </si>
  <si>
    <t>779</t>
  </si>
  <si>
    <t>780</t>
  </si>
  <si>
    <t>PT: CO2403; D7900 - HC Type, Total Naphth &amp; n-Hexane</t>
  </si>
  <si>
    <t>781</t>
  </si>
  <si>
    <t>PT: CO2403; D323 - Vapor Pressure, Reid, Z-Score = 4.37</t>
  </si>
  <si>
    <t>782</t>
  </si>
  <si>
    <t>PT: CO2403; D445 - Viscosity, Kinematic, 40 °C, Z-Score = 8.57</t>
  </si>
  <si>
    <t>783</t>
  </si>
  <si>
    <t>PT: CO2403; D4052 - Density, digital, 15 °C, Z-Score = 5.07</t>
  </si>
  <si>
    <t>784</t>
  </si>
  <si>
    <t>PT: CO2403; D664 - Acid Number, A, 60 mL, inflection EP, Z-Score = -8.87</t>
  </si>
  <si>
    <t>-8.87</t>
  </si>
  <si>
    <t>785</t>
  </si>
  <si>
    <t>PT: CO2403; D473 - Sediment, Z-Score = 2.55</t>
  </si>
  <si>
    <t>786</t>
  </si>
  <si>
    <t>PT: CO2403; D4294 - Sulfur, by EDXRF, Z-Score = -2.92</t>
  </si>
  <si>
    <t>-2.92</t>
  </si>
  <si>
    <t>787</t>
  </si>
  <si>
    <t>PT: CO2403; D7169 - BP Dist by HT-GC, 10% &amp; Cut 7, 596.1C (1105F), Z-Score = -8.17 &amp; 2.13</t>
  </si>
  <si>
    <t>-8.17 &amp; 2.13</t>
  </si>
  <si>
    <t>788</t>
  </si>
  <si>
    <t>PT: CO2403; D7900 - HC Type, Toluene, Z-Score = 5.25</t>
  </si>
  <si>
    <t>789</t>
  </si>
  <si>
    <t>PT: CO2403; D6377 - Vapor Pressure, Crude Oil, Expansion Method, Z-Score = 16.01</t>
  </si>
  <si>
    <t>790</t>
  </si>
  <si>
    <t>PT: CO2403; D7042 - Viscosity, Stabinger, Kin, 40 °C, Z-Score = 5.10</t>
  </si>
  <si>
    <t>791</t>
  </si>
  <si>
    <t>PT: CO2403; D5002 - Density, digital, 15 °C</t>
  </si>
  <si>
    <t>792</t>
  </si>
  <si>
    <t>PT: CO2403; D664 - Acid Number, A, 125 mL Inflection EP</t>
  </si>
  <si>
    <t>793</t>
  </si>
  <si>
    <t>PT: CO2403; D7169 - BP Dist by HT-GC, 70% &amp; Cut 8, 720C (1328F), Z-Scores = -2.26 &amp; -2.99</t>
  </si>
  <si>
    <t>-2.26 &amp; -2.99</t>
  </si>
  <si>
    <t>794</t>
  </si>
  <si>
    <t>PT: CO2403; D4530 - Carbon Residue, Micro, Z-Score = -3.30</t>
  </si>
  <si>
    <t>795</t>
  </si>
  <si>
    <t>796</t>
  </si>
  <si>
    <t>PT: CO2403; D6377 - Vapor Pressure, Crude Oil, Expansion Method</t>
  </si>
  <si>
    <t>797</t>
  </si>
  <si>
    <t>PT: CO2403; D445 - Viscosity, Kinematic, 40 °C</t>
  </si>
  <si>
    <t>798</t>
  </si>
  <si>
    <t>PT: CO2403; D7900 - HC Type, C1 C9 Recovery, Z-Score = -3.30</t>
  </si>
  <si>
    <t>799</t>
  </si>
  <si>
    <t>PT: CO2403; D7042 - Viscosity, Stabinger, Kin, 40 °C</t>
  </si>
  <si>
    <t>800</t>
  </si>
  <si>
    <t>PT: CO2403; D7900 - HC Type, methylcycpen</t>
  </si>
  <si>
    <t>-2.35</t>
  </si>
  <si>
    <t>801</t>
  </si>
  <si>
    <t>PT: CO2403; D4007 - Water and Sediment, Centrifuge, Z-Score = 2.67</t>
  </si>
  <si>
    <t>802</t>
  </si>
  <si>
    <t>PT: JF2311; D3242 - Acidity, Z-Score = 2.57</t>
  </si>
  <si>
    <t>803</t>
  </si>
  <si>
    <t>PT: JF2311; D3227 - Mercaptan Sulfur, Potentiometric, Z-Score = 2.60</t>
  </si>
  <si>
    <t>804</t>
  </si>
  <si>
    <t>PT: JF2311; D2887 - BP Distribution, GC, Proc A, FBP</t>
  </si>
  <si>
    <t>805</t>
  </si>
  <si>
    <t>PT: JF2311; D976 - Cetane Index, Calculated, Z-Score = 5.06</t>
  </si>
  <si>
    <t>806</t>
  </si>
  <si>
    <t>PT: JF2311; D86 - Distillation, Auto, IBP, Z-Score =-2.81</t>
  </si>
  <si>
    <t>807</t>
  </si>
  <si>
    <t>PT: JF2311; D6379 - HC Type by HPLC, Mono-Aromatics &amp; Total Aromatics, Z-Scores =2.81 &amp; 2.30</t>
  </si>
  <si>
    <t>2.81 &amp; 2.30</t>
  </si>
  <si>
    <t>808</t>
  </si>
  <si>
    <t>PT: JF2311; D1840 - Napthalenes, by UVS, Z-Score =-2.22</t>
  </si>
  <si>
    <t>2.22</t>
  </si>
  <si>
    <t>809</t>
  </si>
  <si>
    <t>PT: JF2311; D5972 - Freeze Point, Auto Phase Trans, Z-Score = 206.14</t>
  </si>
  <si>
    <t>810</t>
  </si>
  <si>
    <t>PT: JF2311; D6379 - HC Type by HPLC, Mono-Aromatics, Z-Score = 2.10</t>
  </si>
  <si>
    <t>811</t>
  </si>
  <si>
    <t>PT: JF2311; D1840 - Napthalenes, by UVS, Z-Score = 6.11</t>
  </si>
  <si>
    <t>812</t>
  </si>
  <si>
    <t>PT: JF2311; D86 - Distillation, Auto, 70% &amp; 80%</t>
  </si>
  <si>
    <t>-2.12 &amp; -2.27</t>
  </si>
  <si>
    <t>813</t>
  </si>
  <si>
    <t>PT: JF2311; D5453 - Sulfur, by UVF, Z-Score = 2.30</t>
  </si>
  <si>
    <t>814</t>
  </si>
  <si>
    <t>PT: JF2311; D56 - Flash Point, TAG, Corrected, Z-Score = 3.33</t>
  </si>
  <si>
    <t>815</t>
  </si>
  <si>
    <t>PT: JF2311; D5972 - Freeze Point, Auto Phase Trans, Z-Score = -13.92</t>
  </si>
  <si>
    <t>-13.92</t>
  </si>
  <si>
    <t>816</t>
  </si>
  <si>
    <t>PT: JF2311; D3338 - Net Heat of Combustion, Z-Score = 3.45</t>
  </si>
  <si>
    <t>817</t>
  </si>
  <si>
    <t>PT: JF2311; D1322 - Smoke Point, Man, Z-Score = 3.27</t>
  </si>
  <si>
    <t>818</t>
  </si>
  <si>
    <t>PT: JF2311; D4294 - Sulfur, by EDXRF, Z-Score = 9.70</t>
  </si>
  <si>
    <t>819</t>
  </si>
  <si>
    <t>PT: JF2311; D3948 - Water Separation, by Portable Sep, Z-Score = 2.20</t>
  </si>
  <si>
    <t>820</t>
  </si>
  <si>
    <t>PT: JF2311; D2887 - BP Distribution, GC, Proc A, 50% - 95%, Z-Scores = -2.14, -2.51, -2.41, -2.55, -2.46, &amp; -2.39</t>
  </si>
  <si>
    <t>821</t>
  </si>
  <si>
    <t>PT: JF2311; D1840 - Napthalenes, by UVS, Z-Score =-2.42</t>
  </si>
  <si>
    <t>2.42</t>
  </si>
  <si>
    <t>See PTO868-141-24.</t>
  </si>
  <si>
    <t>822</t>
  </si>
  <si>
    <t>PT: JF2311; D2386 - Freeze Point, Z-Score =-2.05</t>
  </si>
  <si>
    <t>823</t>
  </si>
  <si>
    <t>PT: JF2311; D3338 - Net Heat of Combustion, Z-Score =-2.20</t>
  </si>
  <si>
    <t>824</t>
  </si>
  <si>
    <t>PT: JF2311; D3242 - Acidity, Z-Score = 7.69</t>
  </si>
  <si>
    <t xml:space="preserve">JN </t>
  </si>
  <si>
    <t>825</t>
  </si>
  <si>
    <t>PT: JF2311; D86 - Distillation, Auto, % Resid, Z-Score = 646.87</t>
  </si>
  <si>
    <t>826</t>
  </si>
  <si>
    <t>PT: JF2311; D976 - Cetane Index, Calculated, Z-Score = 5.33</t>
  </si>
  <si>
    <t>827</t>
  </si>
  <si>
    <t>PT: JF2311; D86 - Distillation, Auto, % Resid</t>
  </si>
  <si>
    <t>828</t>
  </si>
  <si>
    <t>PT: JF2311; D3241 - Thermal Stability, Ellipsometric, @260, Thickness &amp; Volume, &amp; @275 Thickness, Z-Scores = 11.00, 14.73, &amp; 6.60</t>
  </si>
  <si>
    <t>11.00, 14.73, &amp; 6.60</t>
  </si>
  <si>
    <t>829</t>
  </si>
  <si>
    <t>PT: JF2311; D1322 - Smoke Point, Man, Z-Score = -2.67</t>
  </si>
  <si>
    <t>2.67</t>
  </si>
  <si>
    <t>830</t>
  </si>
  <si>
    <t>PT: JF2311; D3241 - Thermal Stability, Ellipsometric, @260, Volume, Z-Score = 7.54</t>
  </si>
  <si>
    <t>831</t>
  </si>
  <si>
    <t>PT: JF2311; D445 - Viscosity, Kinematic, -20 °C, Z-Score = 2.78</t>
  </si>
  <si>
    <t>832</t>
  </si>
  <si>
    <t>PT: JF2311; D3948 - Water Separation, by Portable Sep, Z-Score = -2.10</t>
  </si>
  <si>
    <t>833</t>
  </si>
  <si>
    <t>See PTO884-170-24.</t>
  </si>
  <si>
    <t>834</t>
  </si>
  <si>
    <t>PT: JF2311; D86 - Distillation, Auto, 5% &amp; % Loss</t>
  </si>
  <si>
    <t>-2.47 &amp; 2.36</t>
  </si>
  <si>
    <t>835</t>
  </si>
  <si>
    <t>PT: JF2311; D6379 - HC Type by HPLC, Mono-Aromatics, Di-Aromatics, &amp; Total Aromatics, Z-Scores = 6.20, 3.38, &amp; 5.18</t>
  </si>
  <si>
    <t>6.20, 3.38, &amp; 5.18</t>
  </si>
  <si>
    <t>See PTO885-170-24.</t>
  </si>
  <si>
    <t>836</t>
  </si>
  <si>
    <t>PT: JF2311; D1319 - HC Type, Aromatics &amp; Saturates, Oxy-Free, Z-Scores = 7.19 &amp; -6.75</t>
  </si>
  <si>
    <t>7.19 &amp; -6.75</t>
  </si>
  <si>
    <t>837</t>
  </si>
  <si>
    <t>PT: JF2311; D3343 - Hydrogen, Estimate, Z-Score = -2.38</t>
  </si>
  <si>
    <t>-2.38</t>
  </si>
  <si>
    <t>838</t>
  </si>
  <si>
    <t>PT: JF2311; D3338 - Net Heat of Combustion, Z-Score = -3.08</t>
  </si>
  <si>
    <t>-3.08</t>
  </si>
  <si>
    <t>See PTO888-170-24.</t>
  </si>
  <si>
    <t>839</t>
  </si>
  <si>
    <t>PT: JF2311; D445 - Viscosity, Kinematic, -20 °C, Z-Score = -4.57</t>
  </si>
  <si>
    <t>-4.57</t>
  </si>
  <si>
    <t>840</t>
  </si>
  <si>
    <t>PT: JF2311; D7042 - Viscosity, Stabinger, Kin, -20 °C, Z-Score = -3.05</t>
  </si>
  <si>
    <t>841</t>
  </si>
  <si>
    <t>PT: JF2311; D86 - Distillation, Auto, % Resid, Z-Score = -5.16</t>
  </si>
  <si>
    <t>5.16</t>
  </si>
  <si>
    <t>842</t>
  </si>
  <si>
    <t>PT: JF2311; D5453 - Sulfur, by UVF, Z-Score = 2.10</t>
  </si>
  <si>
    <t>843</t>
  </si>
  <si>
    <t>PT: JF2311; D3338 - Net Heat of Combustion, Z-Score = 5.89</t>
  </si>
  <si>
    <t>844</t>
  </si>
  <si>
    <t>PT: JF2311; D4052 - Density, Digital &amp; API Gravity, 15 °C</t>
  </si>
  <si>
    <t>845</t>
  </si>
  <si>
    <t>PT: JF2311; D1319 - HC Type, Saturates, Oxy-Free, Z-Score = -7.49</t>
  </si>
  <si>
    <t>-7.49</t>
  </si>
  <si>
    <t>846</t>
  </si>
  <si>
    <t>PT: JF2311; D1319 - HC Type, Olefins, Oxy-Free, Z-Score = 3.13</t>
  </si>
  <si>
    <t>847</t>
  </si>
  <si>
    <t>PT: JF2311; D3338 - Net Heat of Combustion, Z-Score = 4.96</t>
  </si>
  <si>
    <t>848</t>
  </si>
  <si>
    <t>PT: JF2403; D3343 - Hydrogen, Estimate, Z-Score = -52.80</t>
  </si>
  <si>
    <t>849</t>
  </si>
  <si>
    <t>PT: JF2403; D3227 - Mercaptan Sulfur, Potentiometric, Z-Score = 2.99</t>
  </si>
  <si>
    <t>850</t>
  </si>
  <si>
    <t>PT: JF2403; D1840 - Napthalenes, by UVS, Z-Score = 4.05</t>
  </si>
  <si>
    <t>851</t>
  </si>
  <si>
    <t>PT: JF2403; D3338 - Net Heat of Combustion, Z-Score = 3.71</t>
  </si>
  <si>
    <t>852</t>
  </si>
  <si>
    <t>PT: JF2403; D4052 - API Gravity, Digital, 60°F</t>
  </si>
  <si>
    <t>853</t>
  </si>
  <si>
    <t>PT: JF2403; D976 - Cetanex Index, Calculated</t>
  </si>
  <si>
    <t>854</t>
  </si>
  <si>
    <t>PT: JF2403; D86 - Distillation, Auto, 30 -80% &amp; FBP</t>
  </si>
  <si>
    <t>855</t>
  </si>
  <si>
    <t>PT: JF2403; D1319 - HC Type, Aromatics, Oxy-Free, Z-Score = -2.12</t>
  </si>
  <si>
    <t>856</t>
  </si>
  <si>
    <t>PT: JF2403; D3338 - Net Heat of Combustion, Z-Score = 8.04</t>
  </si>
  <si>
    <t>857</t>
  </si>
  <si>
    <t>858</t>
  </si>
  <si>
    <t>PT: JF2403; D86 - Distillation, Auto, 50 -90%, Z-Scores = -3.02, -3.41, -3.38, -3.22, &amp; -2.39</t>
  </si>
  <si>
    <t>859</t>
  </si>
  <si>
    <t>PT: JF2403; D2386 - Freeze Point, Z-Score = 2.35</t>
  </si>
  <si>
    <t>860</t>
  </si>
  <si>
    <t>PT: JF2403; D3227 - Mercaptan Sulfur, Potentiometric, Z-Score = -3.78</t>
  </si>
  <si>
    <t>-3.78</t>
  </si>
  <si>
    <t>861</t>
  </si>
  <si>
    <t>PT: JF2403; D1322 - Smoke Point, Man, Z-Score = -2.06</t>
  </si>
  <si>
    <t>862</t>
  </si>
  <si>
    <t>PT: JF2403; D86 - Distillation, Auto, 95%, Z-Score = 17.46</t>
  </si>
  <si>
    <t>863</t>
  </si>
  <si>
    <t>PT: JF2403; D86 - Distillation, Auto, 90%, Z-Score = -7.69</t>
  </si>
  <si>
    <t>-7.69</t>
  </si>
  <si>
    <t>864</t>
  </si>
  <si>
    <t>PT: JF2403; D56 - Flash Point, TAG, Corrected, Z-Score = 2.58</t>
  </si>
  <si>
    <t>865</t>
  </si>
  <si>
    <t>PT: JF2403; D5972 - Freeze Point, Auto Phase Trans, Z-Score = 4.98</t>
  </si>
  <si>
    <t>866</t>
  </si>
  <si>
    <t>PT: JF2403; D3227 - Mercaptan Sulfur, Potentiometric, Z-Score = 7.95</t>
  </si>
  <si>
    <t>867</t>
  </si>
  <si>
    <t>PT: JF2403; D86 - Distillation, Auto, 30%</t>
  </si>
  <si>
    <t>868</t>
  </si>
  <si>
    <t>PT: JF2403; D1840 - Napthalenes, by UVS, Z-Score = 4.78</t>
  </si>
  <si>
    <t>869</t>
  </si>
  <si>
    <t>PT: JF2403; D86 - Distillation, Auto, % Resid</t>
  </si>
  <si>
    <t>870</t>
  </si>
  <si>
    <t>PT: JF2403; D1840 - Napthalenes, by UVS, Z-Score = 2.38</t>
  </si>
  <si>
    <t>871</t>
  </si>
  <si>
    <t>872</t>
  </si>
  <si>
    <t>873</t>
  </si>
  <si>
    <t>PT: JF2403; D1840 - Napthalenes, by UVS, Z-Score = -6.29</t>
  </si>
  <si>
    <t>-6.29</t>
  </si>
  <si>
    <t>874</t>
  </si>
  <si>
    <t>PT: JF2403; D4052 - Density, Digital, 15 °C, Z-Score = 5.53</t>
  </si>
  <si>
    <t>875</t>
  </si>
  <si>
    <t>PT: JF2403; D86 - Distillation, Auto, IBP, Z-Score = -2.29</t>
  </si>
  <si>
    <t>876</t>
  </si>
  <si>
    <t>PT: JF2403; D3338 - Net Heat of Combustion</t>
  </si>
  <si>
    <t>D3338 - Net Heat of Combustion</t>
  </si>
  <si>
    <t>877</t>
  </si>
  <si>
    <t>PT: JF2403; D1319 - HC Type, Olefins, Oxy-Free</t>
  </si>
  <si>
    <t>878</t>
  </si>
  <si>
    <t>PT: JF2403; D4529 - Heat of Combustion, Z-Score = -9.07</t>
  </si>
  <si>
    <t>-9.07</t>
  </si>
  <si>
    <t>879</t>
  </si>
  <si>
    <t>PT: JF2403; D56 - Flash Point, TAG, Corrected, Z-Score = 2.15</t>
  </si>
  <si>
    <t>880</t>
  </si>
  <si>
    <t>PT: JF2403; D2386 - Freeze Point, Z-Score = -2.55</t>
  </si>
  <si>
    <t>-2.55</t>
  </si>
  <si>
    <t>881</t>
  </si>
  <si>
    <t>PT: JF2403; D1319 - HC Type, Olefins &amp; Saturates, Oxy-Free, Z-Scores = 8.49 &amp; -5.33</t>
  </si>
  <si>
    <t>8.49 &amp; -5.33</t>
  </si>
  <si>
    <t>882</t>
  </si>
  <si>
    <t>PT: JF2403; D1840 - Napthalenes, by UVS, Z-Score = 4.23</t>
  </si>
  <si>
    <t>883</t>
  </si>
  <si>
    <t>PT: JF2403; D1840 - Napthalenes, by UVS, Z-Score = 11.06</t>
  </si>
  <si>
    <t>884</t>
  </si>
  <si>
    <t>PT: JF2403; D3242 - Acidity, Z-Score = 2.44</t>
  </si>
  <si>
    <t>885</t>
  </si>
  <si>
    <t>PT: JF2403; D1319 - HC Type, Aromatics &amp; Saturates, Oxy-Free, Z-Scores = 4.82 &amp; -5.45</t>
  </si>
  <si>
    <t>4.82 &amp; -5.45</t>
  </si>
  <si>
    <t>886</t>
  </si>
  <si>
    <t>PT: JF2403; D5001 - Lubricity, BOCLE, Proc B, auto, Z-Score = -3.18</t>
  </si>
  <si>
    <t>-3.18</t>
  </si>
  <si>
    <t>887</t>
  </si>
  <si>
    <t>PT: JF2403; D1840 - Napthalenes, by UVS, Z-Score = 9.03</t>
  </si>
  <si>
    <t>888</t>
  </si>
  <si>
    <t>PT: JF2403; D3338 - Net Heat of Combustion, Z-Score = -4.22</t>
  </si>
  <si>
    <t>889</t>
  </si>
  <si>
    <t>PT: JF2403; D2887 - BP Distribution, GC, Proc A, FBP, Z-Score = 65.19</t>
  </si>
  <si>
    <t>890</t>
  </si>
  <si>
    <t>PT: JF2403; D5453 - Sulfur, by UVF, Z-Score = -2.30</t>
  </si>
  <si>
    <t>891</t>
  </si>
  <si>
    <t>PT: JF2403; D6304 - Water, by Coul KF, Meth A Direct Injection, mg/kg, Z-Score = -2.40</t>
  </si>
  <si>
    <t>892</t>
  </si>
  <si>
    <t>PT: JF2403; D1840 - Napthalenes, by UVS, Z-Score = 3.31</t>
  </si>
  <si>
    <t>893</t>
  </si>
  <si>
    <t>894</t>
  </si>
  <si>
    <t>PT: JF2403; D3242 - Acidity, Z-Score = 3.70</t>
  </si>
  <si>
    <t>895</t>
  </si>
  <si>
    <t>PT: JF2403; D7039 - Sulfur, by MWDXRF,  Z-Score = -2.80</t>
  </si>
  <si>
    <t>-2.80</t>
  </si>
  <si>
    <t>896</t>
  </si>
  <si>
    <t>897</t>
  </si>
  <si>
    <t>PT: JF2403; D7039 - Sulfur, by MWDXRF, Z-Score = -5.10</t>
  </si>
  <si>
    <t>-5.10</t>
  </si>
  <si>
    <t>898</t>
  </si>
  <si>
    <t>PT: JF2403; D4052 - Density, Digital, 15 °C, Z-Score = 4.75</t>
  </si>
  <si>
    <t>899</t>
  </si>
  <si>
    <t>900</t>
  </si>
  <si>
    <t>PT: JF2403; D4052 - Density, Digital, 15 °C, 60°F</t>
  </si>
  <si>
    <t>901</t>
  </si>
  <si>
    <t>902</t>
  </si>
  <si>
    <t>PT: RFG2404; D5188 - V/L Ratio Temp, Evac Chamber, Z-Score = -2.19</t>
  </si>
  <si>
    <t>903</t>
  </si>
  <si>
    <t>PT: RFG2404; D6550 - HC Type, Olefins, by SFC</t>
  </si>
  <si>
    <t>904</t>
  </si>
  <si>
    <t>PT: RFG2404; D86 - Distillation, Auto, 40%, &amp; 20% &amp; 40%, °F (EPA), Z-Scores = 3.27, 3.05, &amp; 4.64</t>
  </si>
  <si>
    <t>3.27, 3.05, &amp; 4.64</t>
  </si>
  <si>
    <t>905</t>
  </si>
  <si>
    <t>-2.53</t>
  </si>
  <si>
    <t>906</t>
  </si>
  <si>
    <t>PT: RFG2404; D86 - Distillation, Auto, 90%, °F (EPA)</t>
  </si>
  <si>
    <t>-2.07</t>
  </si>
  <si>
    <t>907</t>
  </si>
  <si>
    <t>PT: RFG2404; D5769 - Benzene, by GC/MS (EPA)</t>
  </si>
  <si>
    <t>-2.68</t>
  </si>
  <si>
    <t>908</t>
  </si>
  <si>
    <t>PT: RFG2404; D1319 - HC Type, Olefins &amp; Saturates, Corrected &amp; Oxy-Free (EPA), Z-Scores = -8.56, 4.17, -7.85, &amp; 3.34</t>
  </si>
  <si>
    <t>-8.56, 4.17, -7.85, &amp; 3.34</t>
  </si>
  <si>
    <t>909</t>
  </si>
  <si>
    <t>PT: RFG2404; D5188 - V/L Ratio Temp, Evac Chamber, Z-Score = -3.21</t>
  </si>
  <si>
    <t>-3.21</t>
  </si>
  <si>
    <t>910</t>
  </si>
  <si>
    <t>PT: RFG2404; D2622 - Sulfur by WDXRF (EPA), Z-Score = 7.67</t>
  </si>
  <si>
    <t>911</t>
  </si>
  <si>
    <t>PT: RFG2404; D5599 - Oxygenates, Ethanol &amp; Total Oxygen, by GC OFID &amp; EPA, Z-Scores = -2.14, -2.33, -2.07, &amp; -2.37</t>
  </si>
  <si>
    <t>-2.14, -2.33, -2.07, &amp; -2.37</t>
  </si>
  <si>
    <t>912</t>
  </si>
  <si>
    <t>PT: RFG2404; D86 - Distillation, Auto, IBP, °F (EPA)</t>
  </si>
  <si>
    <t>2.26</t>
  </si>
  <si>
    <t>1332</t>
  </si>
  <si>
    <t>PT: JF2407; D86 - Distillation, Auto, % Loss, Z-Score = 295.64</t>
  </si>
  <si>
    <t>914</t>
  </si>
  <si>
    <t>PT: RFG2404; D86 - Distillation, Auto, 70%</t>
  </si>
  <si>
    <t>915</t>
  </si>
  <si>
    <t>PT: RFG2404; D5191 - Vapor Pressure, DVPE, 1L &amp; EPA, Z-Scores = -2.14 &amp; -2.40</t>
  </si>
  <si>
    <t>-2.14 &amp; -2.40</t>
  </si>
  <si>
    <t>916</t>
  </si>
  <si>
    <t>PT: RFG2404; D6378 - Vapor Pressure, Triple Expansion, Z-Score = -2.45</t>
  </si>
  <si>
    <t>917</t>
  </si>
  <si>
    <t>PT: RFG2404; D3606 - Benzene, by GC, Proc B (EPA)</t>
  </si>
  <si>
    <t>918</t>
  </si>
  <si>
    <t>PT: RFG2404; D86 - Distillation, Auto, % Evap &amp; % Loss (EPA)</t>
  </si>
  <si>
    <t>-2.11 &amp; 2.32</t>
  </si>
  <si>
    <t>919</t>
  </si>
  <si>
    <t>PT: RFG2404; D1319 - HC Type, Aromatics, Oxy-Free (EPA), Z-Score = 2.19</t>
  </si>
  <si>
    <t>920</t>
  </si>
  <si>
    <t>PT: RFG2404; D5769 - Toluene, by GC/MS</t>
  </si>
  <si>
    <t>-2.03</t>
  </si>
  <si>
    <t>921</t>
  </si>
  <si>
    <t>PT: RFG2404; D8071 - HC Type, Isoparaffins &amp; Naphthenes, GC-VUV, Z-Scores =-5.11 &amp; 2.22</t>
  </si>
  <si>
    <t>-5.11 &amp; 2.22</t>
  </si>
  <si>
    <t>922</t>
  </si>
  <si>
    <t>PT: RFG2404; D4052 - Density, Digital, 15 °C</t>
  </si>
  <si>
    <t>923</t>
  </si>
  <si>
    <t>PT: RFG2404; D86 - Distillation, Auto, 95%, °F (EPA)</t>
  </si>
  <si>
    <t>924</t>
  </si>
  <si>
    <t>PT: RFG2404; D4052 - Density, Digital, 15 °C, Z-Score = -18.19</t>
  </si>
  <si>
    <t>-18.19</t>
  </si>
  <si>
    <t>925</t>
  </si>
  <si>
    <t>PT: RFG2404; D86 - Distillation, Auto, E200 &amp; E300 °F, % (EPA)</t>
  </si>
  <si>
    <t>-2.80 &amp; -2.81</t>
  </si>
  <si>
    <t>926</t>
  </si>
  <si>
    <t>PT: RFG2404; D86 - Distillation, Auto, 60%, °F (EPA)</t>
  </si>
  <si>
    <t>927</t>
  </si>
  <si>
    <t>PT: RFG2405; D86 - Distillation, Auto, Multiple Parameters, Z-Scores = Multiple Outliers</t>
  </si>
  <si>
    <t>928</t>
  </si>
  <si>
    <t>PT: RFG2405; D8071 - HC Type, Ethylbenzene, GC-VUV, Z-Score = -2.24</t>
  </si>
  <si>
    <t>929</t>
  </si>
  <si>
    <t>PT: RFG2405; D86 - Distillation, Auto, 80%, °F (EPA), Z-Score = -5.37</t>
  </si>
  <si>
    <t>-5.37</t>
  </si>
  <si>
    <t>930</t>
  </si>
  <si>
    <t>PT: RFG2405; D5191 - Vapor Pressure, DVPE &amp; TVP, 1L (EPA)</t>
  </si>
  <si>
    <t>2.28 &amp; 2.24</t>
  </si>
  <si>
    <t>931</t>
  </si>
  <si>
    <t>PT: RFG2405; D5580 - Aromatics, Total, by GC , Z-Score = 2.03</t>
  </si>
  <si>
    <t>2.03</t>
  </si>
  <si>
    <t>932</t>
  </si>
  <si>
    <t>PT: RFG2405; D4052 - Density, Digital, 15 °C</t>
  </si>
  <si>
    <t>933</t>
  </si>
  <si>
    <t>PT: RFG2405; D86 - Distillation, Auto, % Resid (EPA)</t>
  </si>
  <si>
    <t>934</t>
  </si>
  <si>
    <t>PT: RFG2405; D4815 - Oxygenates, Ethanol, by GC, Z-Score = 2.33</t>
  </si>
  <si>
    <t>2.33</t>
  </si>
  <si>
    <t>935</t>
  </si>
  <si>
    <t>PT: RFG2405; D5580 - Aromatics, C9+, by GC</t>
  </si>
  <si>
    <t>936</t>
  </si>
  <si>
    <t>PT: RFG2405; D86 - Distillation, Auto, 60%, °F (EPA), Z-Score = 79.91</t>
  </si>
  <si>
    <t>937</t>
  </si>
  <si>
    <t>PT: RFG2405; D4815 - Oxygenates, Ethanol &amp; Total Oxygen, by GC, Z-Score = 10.82 &amp; 10.11</t>
  </si>
  <si>
    <t>10.82 &amp; 10.11</t>
  </si>
  <si>
    <t>938</t>
  </si>
  <si>
    <t>PT: RFG2405; D7039 - Sulfur, by MWDXRF, Z-Score = -2.41</t>
  </si>
  <si>
    <t>939</t>
  </si>
  <si>
    <t>PT: RFG2405; D5453 - Sulfur, by UVF, Z-Score = -2.16</t>
  </si>
  <si>
    <t>940</t>
  </si>
  <si>
    <t>PT: RFG2405; D5453 - Sulfur, by UVF, Z-Score = -4.18</t>
  </si>
  <si>
    <t>-4.18</t>
  </si>
  <si>
    <t>941</t>
  </si>
  <si>
    <t>PT: RFG2405; D5188 - V/L Ratio Temp, Evac Chamber, Z-Score = 2.80</t>
  </si>
  <si>
    <t>See PTO965-139-24</t>
  </si>
  <si>
    <t>942</t>
  </si>
  <si>
    <t>PT: RFG2405; D86 - Distillation, Auto, 95%, °F (EPA)</t>
  </si>
  <si>
    <t>943</t>
  </si>
  <si>
    <t>PT: RFG2405; D3606 - Benzene, by GC, Proc B (EPA)</t>
  </si>
  <si>
    <t>944</t>
  </si>
  <si>
    <t>PT: RFG2405; D3606 - Benzene, by GC, Proc B, Z-Score = 2.08</t>
  </si>
  <si>
    <t>945</t>
  </si>
  <si>
    <t>946</t>
  </si>
  <si>
    <t>PT: RFG2405; D86 - Distillation, Auto, % Evap &amp; EPA, &amp; % Loss (EPA) , Z-Scores = -4.29, -3.11, &amp; 3.73</t>
  </si>
  <si>
    <t>-4.29, -3.11, &amp; 3.73</t>
  </si>
  <si>
    <t>947</t>
  </si>
  <si>
    <t>PT: RFG2405; D2622 - Sulfur, by WDXRF, Z-Score = -2.40</t>
  </si>
  <si>
    <t>948</t>
  </si>
  <si>
    <t>PT: RFG2405; D5191 - Vapor Pressure, TVP, 1L (EPA)</t>
  </si>
  <si>
    <t>949</t>
  </si>
  <si>
    <t>PT: RFG2405; D4815 - Oxygenates, Ethanol, by GC, Z-Score = -2.13</t>
  </si>
  <si>
    <t>950</t>
  </si>
  <si>
    <t>PT: RFG2405; D86 - Distillation, Auto, 5% &amp; FBP, °F (EPA) &amp; E200 °F, % (EPA)</t>
  </si>
  <si>
    <t>-2.46, -2.95, -2.99, &amp; 2.01</t>
  </si>
  <si>
    <t>951</t>
  </si>
  <si>
    <t>PT: RFG2405; D86 - Distillation, Auto, IBP &amp; 40%, °F (EPA)</t>
  </si>
  <si>
    <t>2.14 &amp; 2.15</t>
  </si>
  <si>
    <t>952</t>
  </si>
  <si>
    <t>PT: RFG2405; D5599 - Oxygenates, Oxygen, Total, by GC OFID, Z-Score = 2.67</t>
  </si>
  <si>
    <t>953</t>
  </si>
  <si>
    <t>PT: RFG2405; D3606 - Toluene, by GC, Proc B &amp; (EPA), Z-Scores = -2.74 &amp; -2.76</t>
  </si>
  <si>
    <t>-2.74 &amp; -2.76</t>
  </si>
  <si>
    <t>954</t>
  </si>
  <si>
    <t>PT: RFG2405; D5769 - Toluene, by GC/MS &amp; (EPA)</t>
  </si>
  <si>
    <t>-2.35 &amp; -2.53</t>
  </si>
  <si>
    <t>955</t>
  </si>
  <si>
    <t>956</t>
  </si>
  <si>
    <t>PT: RFG2405; D86 - Distillation, Auto, 70%, °F (EPA), Z-Score = -4.99</t>
  </si>
  <si>
    <t>-4.99</t>
  </si>
  <si>
    <t>957</t>
  </si>
  <si>
    <t>PT: RFG2405; D86 - Distillation, Auto, 90%, Z-Score = -3.08</t>
  </si>
  <si>
    <t>958</t>
  </si>
  <si>
    <t>PT: RFG2406; D5769 - Total Aromatics &amp; Benzene, by GC/MS (EPA), Z-Scores = -3.11 &amp; -5.25</t>
  </si>
  <si>
    <t>-3.11 &amp; -5.25</t>
  </si>
  <si>
    <t>959</t>
  </si>
  <si>
    <t>PT: RFG2406; D86 - Distillation, Auto, FBP °F (EPA)</t>
  </si>
  <si>
    <t>960</t>
  </si>
  <si>
    <t>PT: RFG2406; D86 - Distillation, Auto, 20%</t>
  </si>
  <si>
    <t>961</t>
  </si>
  <si>
    <t>PT: RFG2406; D5580 - C9+ Aromatics &amp; Total Aromatics, by GC, Z-Scores = -8.90 &amp; -3.03</t>
  </si>
  <si>
    <t>-8.90 &amp; -3.03</t>
  </si>
  <si>
    <t>962</t>
  </si>
  <si>
    <t>PT: RFG2406; D86 - Distillation, Auto, FBP, °F (EPA), Z-Score = -44.83</t>
  </si>
  <si>
    <t>-44.83</t>
  </si>
  <si>
    <t>963</t>
  </si>
  <si>
    <t>PT: RFG2406; D4815 - Oxygenates, Ethanol &amp; Total Oxygen, by GC</t>
  </si>
  <si>
    <t>2.45 &amp; 2.51</t>
  </si>
  <si>
    <t>964</t>
  </si>
  <si>
    <t>PT: RFG2406; D86 - Distillation, Auto, IBP, Z-Score = -2.04</t>
  </si>
  <si>
    <t>965</t>
  </si>
  <si>
    <t>PT: RFG2406; D5188 - V/L Ratio Temp, Evac Chamber, Z-Score = 3.22</t>
  </si>
  <si>
    <t>966</t>
  </si>
  <si>
    <t>PT: RFG2406; D86 - Distillation, Auto, E300 °F, % (EPA)</t>
  </si>
  <si>
    <t>967</t>
  </si>
  <si>
    <t>PT: RFG2406; D86 - Distillation, Auto, 60%, 70%, &amp; 80%, °F (EPA)</t>
  </si>
  <si>
    <t>2.12, 2.36, &amp; 2.05</t>
  </si>
  <si>
    <t>968</t>
  </si>
  <si>
    <t>PT: RFG2406; D86 - Distillation, Auto, 95%, °F (EPA)</t>
  </si>
  <si>
    <t>969</t>
  </si>
  <si>
    <t>PT: RFG2406; D4052 - Density, Digital, 15 °C</t>
  </si>
  <si>
    <t>970</t>
  </si>
  <si>
    <t>PT: RFG2406; D86 - Distillation, Auto, 5%, °F (EPA), 60%, &amp; 60%, °F (EPA)</t>
  </si>
  <si>
    <t>2.06, 2.24, &amp; 2.12</t>
  </si>
  <si>
    <t>971</t>
  </si>
  <si>
    <t>PT: RFG2406; D1319 - HC Type, Olefins &amp; Saturates, Oxy-Free &amp; Olefins, Oxy-Free (EPA), Z-Scores = -2.18, 2.69, &amp; -2.31</t>
  </si>
  <si>
    <t>-2.18, 2.69, &amp; -2.31</t>
  </si>
  <si>
    <t>972</t>
  </si>
  <si>
    <t>PT: RFG2406; D86 - Distillation, Auto, % Evap (EPA)</t>
  </si>
  <si>
    <t>973</t>
  </si>
  <si>
    <t>PT: RFG2406; D3606 - Toluene &amp; Benzene, by GC, Proc B &amp; (EPA), Z-Scores = 2.75, 3.16, 2.07, &amp; 2.81</t>
  </si>
  <si>
    <t>2.75, 3.16, 2.07, &amp; 2.81</t>
  </si>
  <si>
    <t>974</t>
  </si>
  <si>
    <t>PT: RFG2406; D287 - API Gravity, Hydrometer, Z-Score = 2.34</t>
  </si>
  <si>
    <t>975</t>
  </si>
  <si>
    <t>976</t>
  </si>
  <si>
    <t>2.65 &amp; -2.68</t>
  </si>
  <si>
    <t>977</t>
  </si>
  <si>
    <t>978</t>
  </si>
  <si>
    <t>PT: RFG2406; D86 - Distillation, Auto, 95%, °F (EPA), % Resid, &amp; % Resid (EPA), Z-Scores = 3.48, 4.95, &amp; 5.59</t>
  </si>
  <si>
    <t>3.48, 4.95, &amp; 5.59</t>
  </si>
  <si>
    <t>979</t>
  </si>
  <si>
    <t>PT: RFG2406; D5580 - C9+ Aromatics , by GC, Z-Score = 3.06</t>
  </si>
  <si>
    <t>980</t>
  </si>
  <si>
    <t xml:space="preserve">PT: RFG2406; D5599 - Oxygenates, Oxygen, Total, by GC OFID (EPA) </t>
  </si>
  <si>
    <t>981</t>
  </si>
  <si>
    <t>PT: RFG2406; D5453 - Sulfur, by UVF, Z-Score = 4.33</t>
  </si>
  <si>
    <t>982</t>
  </si>
  <si>
    <t>PT: RFG2406; D86 - Distillation, Auto, % Resid (EPA), Z-Score = 3.27</t>
  </si>
  <si>
    <t>983</t>
  </si>
  <si>
    <t>PT: RFG2406; D5580 - Benzene, by GC</t>
  </si>
  <si>
    <t>984</t>
  </si>
  <si>
    <t>-2.37</t>
  </si>
  <si>
    <t>985</t>
  </si>
  <si>
    <t>PT: RFG2406; D86 - Distillation, Auto, % Resid (EPA)</t>
  </si>
  <si>
    <t>986</t>
  </si>
  <si>
    <t>PT: DF22402; D664 - Acid Number, A, 60 mL, Buffer EP &amp; inflection EP</t>
  </si>
  <si>
    <t>2.48 &amp; 2.36</t>
  </si>
  <si>
    <t>987</t>
  </si>
  <si>
    <t>PT: DF22406; D664 - Acid Number, A, 60 mL, Buffer EP, Z-Score = 4.77</t>
  </si>
  <si>
    <t>988</t>
  </si>
  <si>
    <t>PT: MG2404; D86 - Distillation, Auto, 20% &amp; 30%, °F (EPA), Z-Scores = -6.97 &amp; -13.05</t>
  </si>
  <si>
    <t>-6.97 &amp; -13.05</t>
  </si>
  <si>
    <t>989</t>
  </si>
  <si>
    <t>PT: DF22402; D5773 - Cloud Point, Constant Cool, Z-Score = 2.26</t>
  </si>
  <si>
    <t>990</t>
  </si>
  <si>
    <t>PT: DF22402; D86 - Distillation, Auto, IBP - FBP, Z-Scores = Multiple Outliers</t>
  </si>
  <si>
    <t>991</t>
  </si>
  <si>
    <t>PT: DF22402; D93 - Flash Point, PMCC, Proc A, corrected, Z-Score = 51.18</t>
  </si>
  <si>
    <t>992</t>
  </si>
  <si>
    <t>PT: DF22402; D6079 - Lubricity, HFRR, Scar Diameter, Z-Score = 2.30</t>
  </si>
  <si>
    <t>993</t>
  </si>
  <si>
    <t>PT: DF22402; D86 - Distillation, Auto, 60%, Z-Score = -49.88</t>
  </si>
  <si>
    <t>994</t>
  </si>
  <si>
    <t>PT: DF22402; D97 - Pour Point</t>
  </si>
  <si>
    <t>D97 - Pour Point</t>
  </si>
  <si>
    <t>995</t>
  </si>
  <si>
    <t>PT: DF22402; D664 - Acid Number, A, 60 mL, inflection EP</t>
  </si>
  <si>
    <t>996</t>
  </si>
  <si>
    <t>PT: DF22402; D86 - Distillation, Auto, % Resid</t>
  </si>
  <si>
    <t>997</t>
  </si>
  <si>
    <t>PT: DF22402; D5186 - HC Type, by SFC, Aromatics, Total, Z-Score = -2.07</t>
  </si>
  <si>
    <t>998</t>
  </si>
  <si>
    <t>PT: DF22402; D4294 - Sulfur, by EDXRF, Z-Score = 11.51</t>
  </si>
  <si>
    <t>999</t>
  </si>
  <si>
    <t>PT: DF22402; D6304 - Water, by Coul KF, Meth A Direct Injection, uL/mL, Z-Score = 8.05</t>
  </si>
  <si>
    <t>1000</t>
  </si>
  <si>
    <t>PT: D-1208; D445 - Viscosity, @ 40°C</t>
  </si>
  <si>
    <t>1001</t>
  </si>
  <si>
    <t>PT: OC2406; API Gravity</t>
  </si>
  <si>
    <t>API Gravity</t>
  </si>
  <si>
    <t>1002</t>
  </si>
  <si>
    <t>PT: DF22402; D93 - Flash Point, PMCC, Proc A, corrected, Z-Score = -2.55</t>
  </si>
  <si>
    <t>1003</t>
  </si>
  <si>
    <t>PT: DF22402; D664 - Acid Number, A, 60 mL, inflection EP, Z-Score = 4.25</t>
  </si>
  <si>
    <t>VV</t>
  </si>
  <si>
    <t>1004</t>
  </si>
  <si>
    <t>PT: DF22402; D1319 - HC Type, Aromatics &amp; Olefins, Oxy-Free , Z-Scores = -3.19 &amp; 3.38</t>
  </si>
  <si>
    <t>-3.19 &amp; 3.38</t>
  </si>
  <si>
    <t>1005</t>
  </si>
  <si>
    <t>1006</t>
  </si>
  <si>
    <t>PT: DF22404; D86 - Distillation, Auto, 80%</t>
  </si>
  <si>
    <t>-2.25</t>
  </si>
  <si>
    <t>1007</t>
  </si>
  <si>
    <t>PT: DF22404; D6371 - Cold Filter Plugging Point, CFPP</t>
  </si>
  <si>
    <t>1008</t>
  </si>
  <si>
    <t>PT: DF22402; D1319 - HC Type, Aromatics &amp; Olefins, Oxy-Free , Z-Scores = -2.53 &amp; 5.36</t>
  </si>
  <si>
    <t>-2.53 &amp; 5.36</t>
  </si>
  <si>
    <t>1009</t>
  </si>
  <si>
    <t>PT: DF22402; D7042 - Viscosity, Stabinger, Kin, 40 °C, Z-Score = 2.16</t>
  </si>
  <si>
    <t>1010</t>
  </si>
  <si>
    <t>PT: DF22402; D2622 - Sulfur by WDXRF, Z-Score = 3.56</t>
  </si>
  <si>
    <t>1011</t>
  </si>
  <si>
    <t>PT: DF22402; D445 - Viscosity, Kinematic, 40 °C, Z-Score = 3.60</t>
  </si>
  <si>
    <t>1012</t>
  </si>
  <si>
    <t>PT: DF22402; D6468 - Stability, High Temp, 90 min. aging, Z-Score = -6.90</t>
  </si>
  <si>
    <t>-6.90</t>
  </si>
  <si>
    <t>1013</t>
  </si>
  <si>
    <t>PT: DF22402; D664 - Acid Number, A, 125 mL, inflection EP, Z-Score = 3.27</t>
  </si>
  <si>
    <t>1014</t>
  </si>
  <si>
    <t>PT: DF22402; D6468 - Stability, High Temp, 90 min. aging, Z-Score = -2.20</t>
  </si>
  <si>
    <t>1015</t>
  </si>
  <si>
    <t>PT: DF22404; D189 - Carbon Residue, Conradson</t>
  </si>
  <si>
    <t>1016</t>
  </si>
  <si>
    <t>PT: DF22404; D4530 - Carbon Residue, Micro, 10% btm</t>
  </si>
  <si>
    <t>1017</t>
  </si>
  <si>
    <t>PT: DF22402; D1319 - HC Type, Saturates, Oxy-Free, Z-Score = -2.23</t>
  </si>
  <si>
    <t>-2.23</t>
  </si>
  <si>
    <t>1018</t>
  </si>
  <si>
    <t>PT: DF22402; D6591 - HC Type, by HPLC, Di-Aro &amp; PAH, Z-Scores = 4.84 &amp; 3.52</t>
  </si>
  <si>
    <t>4.84 &amp; 3.52</t>
  </si>
  <si>
    <t>1019</t>
  </si>
  <si>
    <t>PT: DF22402; D5453 - Sulfur, by UVF, Z-Score = -2.21</t>
  </si>
  <si>
    <t>1020</t>
  </si>
  <si>
    <t>PT: DF22402; D4052 - API Gravity, Digital, 60 °F, Z-Score = 2.50</t>
  </si>
  <si>
    <t>1021</t>
  </si>
  <si>
    <t>PT: DF22402; D4629 - Nitrogen, by Chemiluminescence, Z-Score = 4.84</t>
  </si>
  <si>
    <t>1022</t>
  </si>
  <si>
    <t>PT: DF22404; D86 - Distillation, Auto, % Resid</t>
  </si>
  <si>
    <t>1023</t>
  </si>
  <si>
    <t>PT: DF22402; D1319 - HC Type, Saturates, Oxy-Free, Z-Score = -2.34</t>
  </si>
  <si>
    <t>-2.34</t>
  </si>
  <si>
    <t>1024</t>
  </si>
  <si>
    <t>PT: DF22402; D4294 - Sulfur, by EDXRF, Z-Score = 23.54</t>
  </si>
  <si>
    <t>1025</t>
  </si>
  <si>
    <t>PT: DF22402; D6304 - Water, by Coul KF, Meth A Direct Injection, mg/kg, Z-Score = -2.70</t>
  </si>
  <si>
    <t>1026</t>
  </si>
  <si>
    <t>PT: DF22402; D6217 - Particulates, Lab Filtration, Z-Score = 2.17</t>
  </si>
  <si>
    <t>1027</t>
  </si>
  <si>
    <t>PT: DF22402; D240 - Heat of Combustion, Gross, by Bomb Calorimeter, Z-Score = 3.07</t>
  </si>
  <si>
    <t>1028</t>
  </si>
  <si>
    <t>PT: DF22402; D6079 - Lubricity, HFRR, Scar Diameter, Z-Score = -12.80</t>
  </si>
  <si>
    <t>-12.80</t>
  </si>
  <si>
    <t>1029</t>
  </si>
  <si>
    <t>PT: DF22402; D6304 - Water, by Coul KF, Meth A Direct Injection, mg/kg, Z-Score = 2.30</t>
  </si>
  <si>
    <t>1030</t>
  </si>
  <si>
    <t>PT: R-1349; Vapor Pressure - All Methods</t>
  </si>
  <si>
    <t>1031</t>
  </si>
  <si>
    <t>PT: R-1349; D2699 - Research Octane Number, Z-Score = 2.33</t>
  </si>
  <si>
    <t>1032</t>
  </si>
  <si>
    <t>PT: R-1349; D2700 - Motor Octane Number, Z-Score = 2.15</t>
  </si>
  <si>
    <t>1033</t>
  </si>
  <si>
    <t>PT: TM07-24; D2699 - Research Octane Number, Z-Score = -2.62</t>
  </si>
  <si>
    <t>-2.62</t>
  </si>
  <si>
    <t>1034</t>
  </si>
  <si>
    <t>PT: M980; D86 - Distillation, Recovery &amp; Loss, Z-Scores = -3.18 &amp; 4.36</t>
  </si>
  <si>
    <t>MXXX</t>
  </si>
  <si>
    <t>-3.18 &amp; 4.36</t>
  </si>
  <si>
    <t>1035</t>
  </si>
  <si>
    <t>PT: M980; Can/CGSB-3.0 No. 14.3 - Aromatics, Z-Score = -4.83</t>
  </si>
  <si>
    <t>-4.83</t>
  </si>
  <si>
    <t>1036</t>
  </si>
  <si>
    <t>PT: M980; D381 - Gum, Unwashed Content, Z-Score = 2.09</t>
  </si>
  <si>
    <t>1037</t>
  </si>
  <si>
    <t>PT: M980; D7039 - Sulfur, Z-Score = -2.12</t>
  </si>
  <si>
    <t>1038</t>
  </si>
  <si>
    <t>PT: M980; D1319 - Aromatics (Corrected), Z-Score = 5.71</t>
  </si>
  <si>
    <t>1039</t>
  </si>
  <si>
    <t>PT: DF22406; D2622 - Sulfur by WDXRF, Z-Score = -2.23</t>
  </si>
  <si>
    <t>1040</t>
  </si>
  <si>
    <t>PT: DF22406; D445 - Viscosity, Kinematic, 40 °C, Z-Score = 2.87</t>
  </si>
  <si>
    <t>1334</t>
  </si>
  <si>
    <t>PT: JF2407; D2622 - Sulfur, by WDXRF, Z-Score = -4.25</t>
  </si>
  <si>
    <t>-4.25</t>
  </si>
  <si>
    <t>563</t>
  </si>
  <si>
    <t>PT: RFG2401; D5453 - Sulfur, by UVF, Z-Score = 2.74</t>
  </si>
  <si>
    <t>1043</t>
  </si>
  <si>
    <t>PT: MG2404; D5769 - Benzene, by GC/MS</t>
  </si>
  <si>
    <t>1044</t>
  </si>
  <si>
    <t>PT: MG2404; D4052 - Density, Digital, 15 °C</t>
  </si>
  <si>
    <t>1045</t>
  </si>
  <si>
    <t>PT: MG2404; D5769 - Aromatics, Total, by GC/MS (EPA)</t>
  </si>
  <si>
    <t>1046</t>
  </si>
  <si>
    <t>PT: MG2404; D86 - Distillation, Auto, % Resid (EPA), Z-Score = -4.50</t>
  </si>
  <si>
    <t>-4.50</t>
  </si>
  <si>
    <t>1047</t>
  </si>
  <si>
    <t>PT: MG2404; D6730 - HC Type, Toluene, by pCHR-G</t>
  </si>
  <si>
    <t>1048</t>
  </si>
  <si>
    <t>PT: MG2404; D86 - Distillation, Auto, 60% &amp; E200, °F (EPA)</t>
  </si>
  <si>
    <t>2.14 &amp; -2.38</t>
  </si>
  <si>
    <t>1049</t>
  </si>
  <si>
    <t>PT: MG2404; D4052 - API Gravity, Digital, 15 °C, Z-Score = 176.47</t>
  </si>
  <si>
    <t>1050</t>
  </si>
  <si>
    <t>PT: MG2404; D86 - Distillation, Auto, 90% &amp; 95%, Z-Scores = 3.10 &amp; 4.51</t>
  </si>
  <si>
    <t>3.10 &amp; 4.51</t>
  </si>
  <si>
    <t>1051</t>
  </si>
  <si>
    <t>PT: MG2404; D1319 - HC Type, Aromatics &amp; Saturates, Corrected, Z-Scores = 2.59 &amp; -2.22</t>
  </si>
  <si>
    <t>2.59 &amp; -2.22</t>
  </si>
  <si>
    <t>1052</t>
  </si>
  <si>
    <t>PT: MG2404; D86 - Distillation, Auto, FBP &amp; FBP, °F (EPA)</t>
  </si>
  <si>
    <t>-2.40 &amp; -2.25</t>
  </si>
  <si>
    <t>1053</t>
  </si>
  <si>
    <t>PT: MG2404; D6730 - HC Type, Benzene, C8 Aromatics, &amp; C8 Naphthenes, by pCHR-G, Z-Scores = 5.31, -46.82, &amp; 47.38</t>
  </si>
  <si>
    <t>5.31, -46.82, &amp; 47.38</t>
  </si>
  <si>
    <t>1054</t>
  </si>
  <si>
    <t>PT: MG2404; D3227 - Mercaptan Sulfur, Potentiometric</t>
  </si>
  <si>
    <t>1055</t>
  </si>
  <si>
    <t>PT: MG2404; D5443 - HC Type, C6 Naphthenes, by MD-GC, Z-Score = 2.17</t>
  </si>
  <si>
    <t>1056</t>
  </si>
  <si>
    <t>PT: MG2404; D3606 - Benzene, by GC, Proc B &amp; (EPA), Z-Scores = -2.17 &amp; -2.71</t>
  </si>
  <si>
    <t>-2.17 &amp; -2.71</t>
  </si>
  <si>
    <t>1057</t>
  </si>
  <si>
    <t>PT: MG2404; D86 - Distillation, Auto, FBP, Z-Score =-3.09</t>
  </si>
  <si>
    <t>-3.09</t>
  </si>
  <si>
    <t>1058</t>
  </si>
  <si>
    <t>PT: MG2404; D5443 - HC Type, Aromatics, Total, by MD-GC, Z-Score = 2.15</t>
  </si>
  <si>
    <t>1059</t>
  </si>
  <si>
    <t>PT: MG2404; D6730 - HC Type, C8 Aromatics &amp; C8 Naphthenes, by pCHR-G, Z-Scores = -44.00 &amp; 48.88</t>
  </si>
  <si>
    <t>-44.00 &amp; 48.88</t>
  </si>
  <si>
    <t>1060</t>
  </si>
  <si>
    <t>PT: MG2404; D5191 - Vapor Pressure, DVPE &amp; TVP, 1L (EPA), Z-Scores = 7.46 &amp; -7.98</t>
  </si>
  <si>
    <t>7.46 &amp; -7.98</t>
  </si>
  <si>
    <t>1061</t>
  </si>
  <si>
    <t>PT: MG2404; D86 - Distillation, Auto, 5%, FBP, %Loss, &amp; % Recov, Z-Scores =-2.93, 5.52, 4.92, &amp; -4.52</t>
  </si>
  <si>
    <t>-2.93, 5.52, 4.92, &amp; -4.52</t>
  </si>
  <si>
    <t>1062</t>
  </si>
  <si>
    <t>PT: MG2404; D3231 - Element, Phosphorus, by combusition/colorometric, Z-Score = 105.00</t>
  </si>
  <si>
    <t>1063</t>
  </si>
  <si>
    <t>PT: MG2404; D3231 - Element, Phosphorus, by combusition/colorometric, Z-Score = 3.48</t>
  </si>
  <si>
    <t>1064</t>
  </si>
  <si>
    <t>PT: MG2404; D86 - Distillation, Auto, 70%, °F (EPA), Z-Score = 3.15</t>
  </si>
  <si>
    <t>1065</t>
  </si>
  <si>
    <t>PT: MG2404; D5191 - Vapor Pressure, DVPE, 1L &amp; (EPA), Z-Scores = 2.36 &amp; 2.15</t>
  </si>
  <si>
    <t>2.36 &amp; 2.15</t>
  </si>
  <si>
    <t>1066</t>
  </si>
  <si>
    <t>PT: MG2404; D1319 - HC Type, Aromatics &amp; Olefins, Oxy-Free (EPA), Z-Scores = 2.11 &amp; -4.24</t>
  </si>
  <si>
    <t>2.11 &amp; -4.24</t>
  </si>
  <si>
    <t>1189</t>
  </si>
  <si>
    <t>PT: RFG2410; D86 - Distillation, Auto, FBP, °F (EPA), Z-Score = 3.16</t>
  </si>
  <si>
    <t>1068</t>
  </si>
  <si>
    <t>PT: MG2404; D86 - Distillation, Auto, % Resid (EPA), Z-Score = 3.40</t>
  </si>
  <si>
    <t>1069</t>
  </si>
  <si>
    <t>PT: MG2404; D3237 - Element, Lead, by AAS, Z-Score = 0.00 (Rejected)</t>
  </si>
  <si>
    <t>0.00 (Rejected)</t>
  </si>
  <si>
    <t>1070</t>
  </si>
  <si>
    <t>PT: D340; D445 - Viscosity, 40°C, Z-Score = -7.28</t>
  </si>
  <si>
    <t>-7.28</t>
  </si>
  <si>
    <t>1071</t>
  </si>
  <si>
    <t>PT: D340; D2624 - Electrical Conductivity, @ 20°C, Z-Score = 2.29</t>
  </si>
  <si>
    <t>1072</t>
  </si>
  <si>
    <t>PT: D340; D445 - Viscosity, 40°C, Z-Score = -137.90</t>
  </si>
  <si>
    <t>-137.9</t>
  </si>
  <si>
    <t>1073</t>
  </si>
  <si>
    <t>PT: CE520; D5191 - RVP PTOT, Z-Score = 2.38</t>
  </si>
  <si>
    <t>1074</t>
  </si>
  <si>
    <t>PT: CE520; D86 - Distillation, 10%</t>
  </si>
  <si>
    <t>1075</t>
  </si>
  <si>
    <t>1076</t>
  </si>
  <si>
    <t>PT: CE520; D5769 - Total Aromatics, by GCMS, Z-Score = -2.02</t>
  </si>
  <si>
    <t>1077</t>
  </si>
  <si>
    <t>PT: CE520; D5453 - Sulfur, by UVF</t>
  </si>
  <si>
    <t>1078</t>
  </si>
  <si>
    <t>PT: CE520; D86 - Distillation, IBP</t>
  </si>
  <si>
    <t>1079</t>
  </si>
  <si>
    <t>PT: CE520; D86 - Distillation, 30%, 40%, 60% - 90%, &amp; E300</t>
  </si>
  <si>
    <t>-2.07, -2.46, -2.28, -2.45, -2.19, -2.25, &amp; 2.09</t>
  </si>
  <si>
    <t>1080</t>
  </si>
  <si>
    <t>PT: T345; D86 - Distillation, Residue</t>
  </si>
  <si>
    <t>1081</t>
  </si>
  <si>
    <t>PT: T345; D7224 - Water Separation of Kerosine-type Aviation Turbine, MSEP rating</t>
  </si>
  <si>
    <t>1082</t>
  </si>
  <si>
    <t>PT: T345; D86 - Distillation, Residue, Z-Score = -7.19</t>
  </si>
  <si>
    <t>-7.19</t>
  </si>
  <si>
    <t>1083</t>
  </si>
  <si>
    <t>PT: T345; D86 - Distillation, 10% Recovered &amp; Residue, Z-Scores = 6.27 &amp; 8.08</t>
  </si>
  <si>
    <t>6.27 &amp; 8.08</t>
  </si>
  <si>
    <t>1084</t>
  </si>
  <si>
    <t>PT: T345; D4052 - Density, @ 15°C, Z-Score = 2.66</t>
  </si>
  <si>
    <t>1085</t>
  </si>
  <si>
    <t>PT: T345; D5972 - Freezing Point, Z-Score = 110.13</t>
  </si>
  <si>
    <t>1086</t>
  </si>
  <si>
    <t>PT: T345; D445 - Viscosity, @ -20°C, Z-Score = -69.29</t>
  </si>
  <si>
    <t>1087</t>
  </si>
  <si>
    <t>PT: CET2406; D93 - Flash Point, PMCC, Proc A, corrected, Z-Score = 65.46</t>
  </si>
  <si>
    <t>1088</t>
  </si>
  <si>
    <t>PT: CET2406; D86 - Distillation, Auto, 30%</t>
  </si>
  <si>
    <t>1089</t>
  </si>
  <si>
    <t>PT: CET2406; D4052 - Density, Digital, 15 °C, Z-Score = 3.30</t>
  </si>
  <si>
    <t>1090</t>
  </si>
  <si>
    <t>PT: CET2406; D86 - Distillation, Auto, %Recov</t>
  </si>
  <si>
    <t>1091</t>
  </si>
  <si>
    <t>PT: CET2406; D1319 - HC Type, Aromatics, Oxy-Free, Z-Score = 2.15</t>
  </si>
  <si>
    <t>1092</t>
  </si>
  <si>
    <t>PT: CET2406; D86 - Distillation, Auto, 20%, Z-Score = -3.10</t>
  </si>
  <si>
    <t>-3.10</t>
  </si>
  <si>
    <t>1093</t>
  </si>
  <si>
    <t>PT: RFG2407; D86 - Distillation, Auto, 80% &amp; 80%, °F (EPA)</t>
  </si>
  <si>
    <t>-2.36 &amp; -2.61</t>
  </si>
  <si>
    <t>1094</t>
  </si>
  <si>
    <t>PT: RFG2407; D5769 - Aromatics, Total, by GC/MS (EPA)</t>
  </si>
  <si>
    <t>1095</t>
  </si>
  <si>
    <t>PT: RFG2407; D86 - Distillation, Auto, FBP, °F &amp; % Resid (EPA)</t>
  </si>
  <si>
    <t>-2.07 &amp; 2.08</t>
  </si>
  <si>
    <t>1096</t>
  </si>
  <si>
    <t>PT: RFG2407; D5188 - V/L Ratio Temp, Evac Chamber, Z-Score = -2.14</t>
  </si>
  <si>
    <t>-2.14</t>
  </si>
  <si>
    <t>1097</t>
  </si>
  <si>
    <t>PT: RFG2407; D5769 - Toluene, by GC/MS (EPA)</t>
  </si>
  <si>
    <t>1098</t>
  </si>
  <si>
    <t>PT: RFG2407; D86 - Distillation, Auto, 10%, 20%, &amp; 30%, °F (EPA)</t>
  </si>
  <si>
    <t>2.19, 2.28, &amp; 2.01</t>
  </si>
  <si>
    <t>1099</t>
  </si>
  <si>
    <t>PT: RFG2407 &amp; RFG2408; D5580 - HC Type, Multiple Parameters, Z-Scores = Multiple Outliers</t>
  </si>
  <si>
    <t>1100</t>
  </si>
  <si>
    <t>PT: RFG2407 &amp; RFG2408; D4052 - Density, Digital, 15 °C, Z-Scores = 25.28 &amp; 3.41</t>
  </si>
  <si>
    <t>D4052 - Density</t>
  </si>
  <si>
    <t>25.28 &amp; 3.41</t>
  </si>
  <si>
    <t>1101</t>
  </si>
  <si>
    <t>PT: RFG2407; D4815 - Oxygenates, Ethanol, by GC, Z-Score = 3.01</t>
  </si>
  <si>
    <t>1102</t>
  </si>
  <si>
    <t>PT: RFG2407; D5191 - Vapor Pressure, DVPE &amp; TVP, 1L &amp; (EPA), Z-Scores = 43.11, 51.81, 38.96, &amp; 46.78</t>
  </si>
  <si>
    <t>43.11, 51.81, 38.96, &amp; 46.78</t>
  </si>
  <si>
    <t>1103</t>
  </si>
  <si>
    <t>PT: RFG2407; D3606 - Toluene, by GC, Proc B, Z-Score = 2.44</t>
  </si>
  <si>
    <t>1104</t>
  </si>
  <si>
    <t>PT: RFG2407; D3606 - Benzene, by GC, Proc B &amp; (EPA), Z-Scores = -3.06 &amp; -2.54</t>
  </si>
  <si>
    <t>-3.06 &amp; -2.54</t>
  </si>
  <si>
    <t>1105</t>
  </si>
  <si>
    <t>PT: RFG2407; D3606 - Toluene, by GC, Proc B &amp; (EPA), Z-Scores = -6.51 &amp; -4.89</t>
  </si>
  <si>
    <t>-6.51 &amp; -4.89</t>
  </si>
  <si>
    <t>1106</t>
  </si>
  <si>
    <t>PT: RFG2407; D1319 - HC Type, Corrected &amp; Uncorrected, &amp; (EPA),  Z-Scores = Multiple Outliers</t>
  </si>
  <si>
    <t>1107</t>
  </si>
  <si>
    <t>PT: RFG2407; D4815 - Oxygenates, Oxygen, Total, by GC, Z-Score = 64.22</t>
  </si>
  <si>
    <t>1108</t>
  </si>
  <si>
    <t>PT: RFG2407; D4815 - Oxygenates, Ethanol &amp; Total Oxygen, by GC, Z-Scores =-3.51 &amp; -3.48</t>
  </si>
  <si>
    <t>-3.51 &amp; -3.48</t>
  </si>
  <si>
    <t>1109</t>
  </si>
  <si>
    <t>PT: RFG2407; D5188 - V/L Ratio Temp, Evac Chamber, Z-Score = 2.83</t>
  </si>
  <si>
    <t>1110</t>
  </si>
  <si>
    <t>PT: RFG2407; D5191 - Vapor Pressure, DVPE &amp; TVP, 1L &amp; (EPA)</t>
  </si>
  <si>
    <t>-2.12,-2.31, -2.13, &amp; -2.02</t>
  </si>
  <si>
    <t>1111</t>
  </si>
  <si>
    <t>PT: RFG2407; D86 - Distillation, Auto, % Resid &amp; (EPA), Z-Scores = -6.05 &amp; -4.89</t>
  </si>
  <si>
    <t>-6.05 &amp; -4.89</t>
  </si>
  <si>
    <t>1112</t>
  </si>
  <si>
    <t>PT: RFG2407; D86 - Distillation, Auto, IBP, Z-Score = 2.76</t>
  </si>
  <si>
    <t>1113</t>
  </si>
  <si>
    <t>PT: RFG2407; D1319 - HC Type, Olefins, Oxy-Free (EPA), Z-Score = -2.06</t>
  </si>
  <si>
    <t>1114</t>
  </si>
  <si>
    <t>PT: RFG2407; D86 - Distillation, Auto, E300 °F, % (EPA)</t>
  </si>
  <si>
    <t>1115</t>
  </si>
  <si>
    <t>PT: RFG2407; D86 - Distillation, Auto, 5%, °F, &amp; % Loss (EPA)</t>
  </si>
  <si>
    <t>2.11 &amp; -2.02</t>
  </si>
  <si>
    <t>1116</t>
  </si>
  <si>
    <t>PT: RFG2405; D2622 - Sulfur, by WDXRF, Z-Score = -2.80</t>
  </si>
  <si>
    <t>1117</t>
  </si>
  <si>
    <t>PT: RFG2407; D5188 - V/L Ratio Temp, Evac Chamber, Z-Score = 144.64</t>
  </si>
  <si>
    <t>1118</t>
  </si>
  <si>
    <t>PT: RFG2407; D86 - Distillation, Auto, % Resid &amp; (EPA), Z-Scores = 5.17 &amp; 4.52</t>
  </si>
  <si>
    <t>5.17 &amp; 4.52</t>
  </si>
  <si>
    <t>1119</t>
  </si>
  <si>
    <t>PT: RFG2407; D1319 - HC Type, Aromatics &amp; Olefins, Corrected &amp; Uncorrected, Z-Scores = 5.50, -7.11, 6.39, &amp; -5.34</t>
  </si>
  <si>
    <t>5.50, -7.11, 6.39, &amp; -5.34</t>
  </si>
  <si>
    <t>1120</t>
  </si>
  <si>
    <t>PT: RFG2407; D2622 - Sulfur, by WDXRF, Z-Score = 2.21</t>
  </si>
  <si>
    <t>1121</t>
  </si>
  <si>
    <t>PT: R-1350; Vapor Pressure</t>
  </si>
  <si>
    <t>1122</t>
  </si>
  <si>
    <t>PT: R-1350; API Gravity, at 60 °F</t>
  </si>
  <si>
    <t>1123</t>
  </si>
  <si>
    <t>PT: R-1350; D86 - Distillation, 10% Evaporated, Z-Score = -10.82</t>
  </si>
  <si>
    <t>1124</t>
  </si>
  <si>
    <t>PT: TM08C-24; D86 - Distillation, 10% , Z-Score = -32.47</t>
  </si>
  <si>
    <t>-32.47</t>
  </si>
  <si>
    <t>1125</t>
  </si>
  <si>
    <t>PT: TM08C-24; Vapor Pressure</t>
  </si>
  <si>
    <t>1126</t>
  </si>
  <si>
    <t>PT: D341; D86 - Distillation, Recovery</t>
  </si>
  <si>
    <t>1127</t>
  </si>
  <si>
    <t>PT: D341; D611 - Aniline Point, Z-Score = 2.26</t>
  </si>
  <si>
    <t>1128</t>
  </si>
  <si>
    <t>PT: CE521; D86 - Distillation, 40%</t>
  </si>
  <si>
    <t>1129</t>
  </si>
  <si>
    <t>PT: CE521; D86 - Distillation, EP</t>
  </si>
  <si>
    <t>1130</t>
  </si>
  <si>
    <t>PT: CE521; D1319 - HC Types, Saturates &amp; Olefins (Oxy-Free), Z-Scores = -2.10 &amp; 2.32</t>
  </si>
  <si>
    <t>-2.10 &amp; 2.32</t>
  </si>
  <si>
    <t>1131</t>
  </si>
  <si>
    <t>PT: CE521; D1319 - HC Type, Saturates, Aromatics, &amp; Olefins (Oxy-Free), Z-Scores = -39.10, 11.67, &amp; 45.32</t>
  </si>
  <si>
    <t>-39.10, 11.67, &amp; 45.32</t>
  </si>
  <si>
    <t>1132</t>
  </si>
  <si>
    <t>PT: CE521; D5580 - HC Type, C9+ Aromatics</t>
  </si>
  <si>
    <t>1133</t>
  </si>
  <si>
    <t>PT: CE521; D4815 - Oxygenates, Total Oxygen, Z-Score = 11.34</t>
  </si>
  <si>
    <t>1134</t>
  </si>
  <si>
    <t>PT: NP2406; D5443 - HC Type, Benzene, by MD-GC</t>
  </si>
  <si>
    <t>1135</t>
  </si>
  <si>
    <t>PT: NP2406; D2887 - BP Distribution, GC, Proc A, FBP</t>
  </si>
  <si>
    <t>1136</t>
  </si>
  <si>
    <t>PT: RFG2408; D5769 - Aromatics, Total, by GC/MS (EPA), Z-Score = 6.53</t>
  </si>
  <si>
    <t>1137</t>
  </si>
  <si>
    <t>PT: RFG2408; D4815 - Oxygenates, Oxygen, Total, by GC, Z-Score = -46.66</t>
  </si>
  <si>
    <t>-46.66</t>
  </si>
  <si>
    <t>1138</t>
  </si>
  <si>
    <t>PT: RFG2408; D86 - Distillation, Auto, 20% - 80%, °F (EPA), Z-Scores = Multiple Outliers</t>
  </si>
  <si>
    <t>1139</t>
  </si>
  <si>
    <t>PT: RFG2408; D1319 - HC Type, Olefins, Oxy-Free (EPA), Z-Score = 2.99</t>
  </si>
  <si>
    <t>1140</t>
  </si>
  <si>
    <t>PT: RFG2408; D5191 - Vapor Pressure, DVPE, 1L (EPA), Z-Score = 2.68</t>
  </si>
  <si>
    <t>1141</t>
  </si>
  <si>
    <t>PT: RFG2408; D5769 - Aromatics, Total, by GC/MS (EPA)</t>
  </si>
  <si>
    <t>1142</t>
  </si>
  <si>
    <t>PT: RFG2408; D86 - Distillation, Auto, 70%, °F (EPA)</t>
  </si>
  <si>
    <t>-2.58</t>
  </si>
  <si>
    <t>1143</t>
  </si>
  <si>
    <t>PT: RFG2408; D5191 - Vapor Pressure, TVP, 1L (EPA), Z-Score = -12.51</t>
  </si>
  <si>
    <t>-12.51</t>
  </si>
  <si>
    <t>1144</t>
  </si>
  <si>
    <t>PT: RFG2408; D4052 - Density, Digital, 15 °C, Z-Score = 25.72</t>
  </si>
  <si>
    <t>1145</t>
  </si>
  <si>
    <t>PT: RFG2408; D86 - Distillation, Auto, 60%, &amp; 60%°F (EPA)</t>
  </si>
  <si>
    <t>2.02 &amp; 2.80</t>
  </si>
  <si>
    <t>1146</t>
  </si>
  <si>
    <t>PT: RFG2408; D86 - Distillation, Auto, 95%, °F (EPA)</t>
  </si>
  <si>
    <t>1147</t>
  </si>
  <si>
    <t>PT: RFG2408; D1319 - HC Type, Olefins, Oxy-Free &amp; (EPA), Z-Scores = 2.61 &amp; 2.26</t>
  </si>
  <si>
    <t>2.61 &amp; 2.26</t>
  </si>
  <si>
    <t>1148</t>
  </si>
  <si>
    <t>PT: RFG2408; D86 - Distillation, Auto, E200°F, % (EPA)</t>
  </si>
  <si>
    <t>1149</t>
  </si>
  <si>
    <t>PT: RFG2408; D3606 - Benzene &amp; Toluene, by GC, Proc B &amp; (EPA), Z-Scores = -2.13, -2.05, -2.88, &amp; -3.36</t>
  </si>
  <si>
    <t>-2.13, -2.05, -2.88, &amp; -3.36</t>
  </si>
  <si>
    <t>1150</t>
  </si>
  <si>
    <t>PT: RFG2408; D86 - Distillation, Auto, IBP &amp; E200°F, % (EPA)</t>
  </si>
  <si>
    <t>-2.08 &amp; 2.32</t>
  </si>
  <si>
    <t>1151</t>
  </si>
  <si>
    <t>PT: RFG2408; D4815 - Oxygenates, Oxygen, Total, by GC, Z-Score = 91.64</t>
  </si>
  <si>
    <t>1152</t>
  </si>
  <si>
    <t>PT: RFG2408; D86 - Distillation, Auto, 90%, E200, &amp; E300, °F &amp; (EPA), Z-Scores = -4.50, -4.33, 4.20, &amp; 3.82</t>
  </si>
  <si>
    <t>-4.50, -4.33, 4.20, &amp; 3.82</t>
  </si>
  <si>
    <t>1153</t>
  </si>
  <si>
    <t>PT: RFG2408; D6839 - HC Type/Oxy, Olefins, by M-D GC, Z-Score = -2.46</t>
  </si>
  <si>
    <t>-2.46</t>
  </si>
  <si>
    <t>1154</t>
  </si>
  <si>
    <t>PT: RFG2408; D5191 - Vapor Pressure, DVPE &amp; TVP, 1L</t>
  </si>
  <si>
    <t>-2.02 &amp; -2.43</t>
  </si>
  <si>
    <t>1155</t>
  </si>
  <si>
    <t>PT: RFG2408; D86 - Distillation, Auto, 90%, °F, &amp; (EPA)</t>
  </si>
  <si>
    <t>-2.38 &amp; -2.35</t>
  </si>
  <si>
    <t>1156</t>
  </si>
  <si>
    <t>PT: RFG2408; D4815 - Oxygenates, Ethanol &amp; Total Oxygen, by GC</t>
  </si>
  <si>
    <t>2.20 &amp; 2.16</t>
  </si>
  <si>
    <t>1157</t>
  </si>
  <si>
    <t>PT: RFG2408; D5599 - Oxygenates, Oxygen, Total, by GC OFID, Z-Score = 2.03</t>
  </si>
  <si>
    <t>1158</t>
  </si>
  <si>
    <t>PT: RFG2408; D5453 - Sulfur, by UVF</t>
  </si>
  <si>
    <t>1159</t>
  </si>
  <si>
    <t>PT: RFG2408; D86 - Distillation, Auto, FBP, °F (EPA), Z-Score = 3.27</t>
  </si>
  <si>
    <t>1160</t>
  </si>
  <si>
    <t>PT: RFG2408; D86 - Distillation, Auto, E300 °F, % (EPA)</t>
  </si>
  <si>
    <t>1161</t>
  </si>
  <si>
    <t>PT: RFG2406; D4052 - Density, Digital, 15 °C, Z-Score = 2477420.37</t>
  </si>
  <si>
    <t>1162</t>
  </si>
  <si>
    <t>PT: RFG2408; D5769 - Benzene, by GC/MS (EPA)</t>
  </si>
  <si>
    <t>1163</t>
  </si>
  <si>
    <t>PT: RFG2408; D4052 - Density, Digital, 15 °C</t>
  </si>
  <si>
    <t>1164</t>
  </si>
  <si>
    <t>PT: RFG2408; D86 - Distillation, Auto, FBP, °F (EPA)</t>
  </si>
  <si>
    <t>1165</t>
  </si>
  <si>
    <t>PT: DF22406; D664 - Acid Number, A, 125 mL, Inflection EP, Z-Score = 3.67</t>
  </si>
  <si>
    <t>1166</t>
  </si>
  <si>
    <t>PT: DF22406; D86 - Distillation, Auto, % Resid, Z-Score = -3.13</t>
  </si>
  <si>
    <t>1167</t>
  </si>
  <si>
    <t>PT: DF22406; D664 - Acid Number, A, 60 mL, inflection EP</t>
  </si>
  <si>
    <t>1168</t>
  </si>
  <si>
    <t>PT: DF22406; D6468 - Stability, High Temp, 180 min. aging, Z-Score = -4.70</t>
  </si>
  <si>
    <t>-4.70</t>
  </si>
  <si>
    <t>1169</t>
  </si>
  <si>
    <t>PT: DF22406; D2500 - Cloud Point, Z-Score = 2.40</t>
  </si>
  <si>
    <t>1170</t>
  </si>
  <si>
    <t>PT: DF22406; D86 - Distillation, Auto, 40%, Z-Score = 31.16</t>
  </si>
  <si>
    <t>913</t>
  </si>
  <si>
    <t>PT: RFG2404; D5769 - Benzene, by GC/MS (EPA), Z-Score = 4.16</t>
  </si>
  <si>
    <t>1172</t>
  </si>
  <si>
    <t>PT: DF22406; D86 - Distillation, Auto, 50%, Z-Score = -2.02</t>
  </si>
  <si>
    <t>1173</t>
  </si>
  <si>
    <t>PT: DF22406; D240 - Heat of Combustion, Gross, by Bomb Calorimeter, Z-Score = 71971.48</t>
  </si>
  <si>
    <t>1174</t>
  </si>
  <si>
    <t>PT: D-1210; Gravity, API at 60 °F</t>
  </si>
  <si>
    <t>1175</t>
  </si>
  <si>
    <t>PT: D-1210; D445 - Viscosity, @40°C</t>
  </si>
  <si>
    <t>1176</t>
  </si>
  <si>
    <t>PT: T347; D1840 - Naphthalenes, by UV-Spectrophotometer</t>
  </si>
  <si>
    <t>1177</t>
  </si>
  <si>
    <t>PT: T347; D4052 - Density, @ 15oC</t>
  </si>
  <si>
    <t>1178</t>
  </si>
  <si>
    <t>PT: LPG2407; D7423 - Oxygenates by GC-FID, Methanol</t>
  </si>
  <si>
    <t>1179</t>
  </si>
  <si>
    <t>PT: LPG2407; D2163 - Hydrocarbons, C5+, Z-Score = 4.25</t>
  </si>
  <si>
    <t>1180</t>
  </si>
  <si>
    <t>PT: LPG2407; D2163 - Hydrocarbons, n-Butane, Z-Score = 9.30</t>
  </si>
  <si>
    <t>1181</t>
  </si>
  <si>
    <t>PT: GGO2407; D1159 - Bromine Number, Titration, Z-Score = 5.13</t>
  </si>
  <si>
    <t>1182</t>
  </si>
  <si>
    <t>PT: GGO2407; D5708 - Element, Nickel, ICPAES, Method A, Z-Score = 47.83</t>
  </si>
  <si>
    <t>1171</t>
  </si>
  <si>
    <t>PT: DF22406; D2887 - BP Distribution, GC, Proc A, FBP, Z-Score = 2.18</t>
  </si>
  <si>
    <t>1184</t>
  </si>
  <si>
    <t>PT: GGO2407; D1159 - Bromine Number, Titration</t>
  </si>
  <si>
    <t>1183</t>
  </si>
  <si>
    <t>PT: GGO2407; D7169 - BP Distribution, HT-GC, 20% &amp; 92%, Z-Scores = 30.80 &amp; 10.12</t>
  </si>
  <si>
    <t>30.80 &amp; 10.12</t>
  </si>
  <si>
    <t>1186</t>
  </si>
  <si>
    <t>PT: D342; D86 - Distillation, Residue, Z-Score = -11613501.90</t>
  </si>
  <si>
    <t>-11613501.9</t>
  </si>
  <si>
    <t>Meets R criteria, STD = 0. See PTO for more info.</t>
  </si>
  <si>
    <t>1187</t>
  </si>
  <si>
    <t>PT: D342; D86 - Distillation, FBP Recovered, Z-Score = -4.81</t>
  </si>
  <si>
    <t>-4.81</t>
  </si>
  <si>
    <t>1185</t>
  </si>
  <si>
    <t>PT: GGO2407; D97 - Upper Pour Point, Z-Score = -2.90</t>
  </si>
  <si>
    <t>1316</t>
  </si>
  <si>
    <t>PT: CO2407; D664 - Acid Number, A, 125 mL Inflection EP, Z-Score = -16.52</t>
  </si>
  <si>
    <t>-16.52</t>
  </si>
  <si>
    <t>1190</t>
  </si>
  <si>
    <t>PT: RFG2410; D1319 - HC Type, Aromatics, Corrected, Z-Score = 44.10</t>
  </si>
  <si>
    <t>1191</t>
  </si>
  <si>
    <t>PT: RFG2410; D8071 - HC Type, Naphthalene, GC-VUV, Z-Score = 2783.33</t>
  </si>
  <si>
    <t>1192</t>
  </si>
  <si>
    <t>PT: RFG2410; D5191-22 &amp; -20 - Vapor Pressure, TVP, 1L &amp; (EPA), Z-Score = -13.67 &amp; -13.75</t>
  </si>
  <si>
    <t>-13.67 &amp; -13.75</t>
  </si>
  <si>
    <t>1193</t>
  </si>
  <si>
    <t>PT: RFG2410; D86 - Distillation, Auto, 95%, °F, Z-Score = 4.65</t>
  </si>
  <si>
    <t>1194</t>
  </si>
  <si>
    <t>PT: RFG2409; D86 - Distillation, Auto, % Evap (EPA), Z-Score = -171.95</t>
  </si>
  <si>
    <t>-171.95</t>
  </si>
  <si>
    <t>1195</t>
  </si>
  <si>
    <t>PT: RFG2409; D1319 - HC Type, Aromatics, Corrected (EPA), Olefins, Corrected (EPA) &amp; Olefins Oxy-Free (EPA) , Z-Scores = 2.14, -2.16, &amp; -2.17</t>
  </si>
  <si>
    <t>2.14, -2.16, &amp; -2.17</t>
  </si>
  <si>
    <t>1196</t>
  </si>
  <si>
    <t>PT: RFG2409; D4815 - Oxygenates, Ethanol &amp; Total Oxygen, by GC, Z-Scores = -3.22 &amp; -3.10</t>
  </si>
  <si>
    <t>-3.22 &amp; -3.10</t>
  </si>
  <si>
    <t>1197</t>
  </si>
  <si>
    <t>PT: RFG2409; D5191 - Vapor Pressure, DVPE &amp; TVP, 1L, Z-Scores = 10.77 &amp; -13.36</t>
  </si>
  <si>
    <t>10.77 &amp;-13.36</t>
  </si>
  <si>
    <t>1198</t>
  </si>
  <si>
    <t>PT: RFG2408; D2622 - Sulfur, by WDXRF (EPA), Z-Score = -3.42</t>
  </si>
  <si>
    <t>-3.42</t>
  </si>
  <si>
    <t>1199</t>
  </si>
  <si>
    <t>PT: DF22406; D86 - Distillation, Auto, IBP - FBP, Z-Scores = Multiple Outliers</t>
  </si>
  <si>
    <t>1200</t>
  </si>
  <si>
    <t>PT: DF22406; D97 - Pour Point, Z-Score = -3.50</t>
  </si>
  <si>
    <t>1201</t>
  </si>
  <si>
    <t>PT: DF22406; D5949 - Pour Point, Z-Score = -3.70</t>
  </si>
  <si>
    <t>-3.70</t>
  </si>
  <si>
    <t>1202</t>
  </si>
  <si>
    <t>PT: DF22406; D445 - Viscosity, Kinematic, 40 °C, Z-Score = -2.02</t>
  </si>
  <si>
    <t>1203</t>
  </si>
  <si>
    <t>PT: DF22406; D4052 - Density, Digital, 15 °C, Z-Score = 3.29</t>
  </si>
  <si>
    <t>1204</t>
  </si>
  <si>
    <t>PT: DF22406; D93 - Flash Point, PMCC, Proc A, corrected, Z-Score = 3.28</t>
  </si>
  <si>
    <t>1205</t>
  </si>
  <si>
    <t>PT: DF22406; D445 - Viscosity, Kinematic, 40 °C, Z-Score = 5.67</t>
  </si>
  <si>
    <t>1206</t>
  </si>
  <si>
    <t>PT: DF22406; D4737 - Cetane Index by Four Var Eq</t>
  </si>
  <si>
    <t>D4737 - Cetane Index by 4 Var Eq</t>
  </si>
  <si>
    <t>1207</t>
  </si>
  <si>
    <t>PT: DF22406; D5762 - Nitrogen, Boat-Inlet Chemilum</t>
  </si>
  <si>
    <t>1208</t>
  </si>
  <si>
    <t>PT: DF22406; D2500 - Cloud Point, Z-Score = 3.60</t>
  </si>
  <si>
    <t>1209</t>
  </si>
  <si>
    <t>PT: DF22406; D4052 - Density, Digital, 15 °C, Z-Score = -43.96</t>
  </si>
  <si>
    <t>-43.96</t>
  </si>
  <si>
    <t>1210</t>
  </si>
  <si>
    <t>PT: DF22406; D86 - Distillation, Auto, % Resid, Z-Score = -3.54</t>
  </si>
  <si>
    <t>-3.54</t>
  </si>
  <si>
    <t>1211</t>
  </si>
  <si>
    <t>PT: DF22406; D97 - Pour Point, Z-Score = -4.70</t>
  </si>
  <si>
    <t>1212</t>
  </si>
  <si>
    <t>PT: DF22406; D445 - Viscosity, Kinematic, 40 °C, Z-Score = -2.89</t>
  </si>
  <si>
    <t>-2.89</t>
  </si>
  <si>
    <t>1213</t>
  </si>
  <si>
    <t>PT: DF22406; D5453 - Sulfur, by UVF</t>
  </si>
  <si>
    <t>1214</t>
  </si>
  <si>
    <t>PT: DF22406; D664 - Acid Number, A, 125 mL, Inflection EP, Z-Score = 5.12</t>
  </si>
  <si>
    <t>1215</t>
  </si>
  <si>
    <t>PT: DF22406; D189 - Carbon Residue, Conradson, Z-Score = 3.29</t>
  </si>
  <si>
    <t>1216</t>
  </si>
  <si>
    <t>PT: DF22406; D4530 - Carbon Residue, Micro, 10% btm</t>
  </si>
  <si>
    <t>1217</t>
  </si>
  <si>
    <t>PT: DF22406; D6468 - Stability, High Temp, 90 min. aging, Z-Score = -2.60</t>
  </si>
  <si>
    <t>1218</t>
  </si>
  <si>
    <t>PT: DF22406; D445 - Viscosity, Kinematic, 40 °C, Z-Score = 3.97</t>
  </si>
  <si>
    <t>1219</t>
  </si>
  <si>
    <t>PT: DF22406; D5186 - HC Type, by SFC, Mono Aromatics</t>
  </si>
  <si>
    <t>1220</t>
  </si>
  <si>
    <t>PT: DF22406; D4052 - Density, Digital, 15 °C</t>
  </si>
  <si>
    <t>1221</t>
  </si>
  <si>
    <t>1222</t>
  </si>
  <si>
    <t>PT: DF22406; D86 - Distillation, Auto, 40%</t>
  </si>
  <si>
    <t>1223</t>
  </si>
  <si>
    <t>PT: RFG2409; D86 - Distillation, Auto, 90%, 90% °F (EPA), % Loss (EPA) &amp; E300 °F, % (EPA), Z-Scores = -3.22, -3.63, 3.03, &amp; 3.36</t>
  </si>
  <si>
    <t>-3.22, -3.63, 3.03, &amp; 3.36</t>
  </si>
  <si>
    <t>1224</t>
  </si>
  <si>
    <t>PT: RFG2409; D6839 - HC Type/Oxy, Olefins, by M-D GC, Z-Score = 10.16</t>
  </si>
  <si>
    <t>1225</t>
  </si>
  <si>
    <t>PT: RFG2409; D5191 - Vapor Pressure, DVPE, 1L (EPA)</t>
  </si>
  <si>
    <t>1226</t>
  </si>
  <si>
    <t>1227</t>
  </si>
  <si>
    <t>PT: DF22406; D86 - Distillation, Auto, 95%, Z-Score = -2.21</t>
  </si>
  <si>
    <t>1228</t>
  </si>
  <si>
    <t>PT: DF22406; D4629 - Nitrogen, by Chemiluminescence, Z-Score = -2.15</t>
  </si>
  <si>
    <t>1229</t>
  </si>
  <si>
    <t>PT: DF22406; D445 - Viscosity, Kinematic, 40 °C, Z-Score = 3.16</t>
  </si>
  <si>
    <t>1230</t>
  </si>
  <si>
    <t>PT: DF22406; D2622 - Sulfur by WDXRF, Z-Score = 2.53</t>
  </si>
  <si>
    <t>1231</t>
  </si>
  <si>
    <t>PT: DF22406; D664 - Acid Number, A, 60 mL, Inflection EP, Z-Score = 3.01</t>
  </si>
  <si>
    <t>1232</t>
  </si>
  <si>
    <t>PT: DF22406; D6468 - Stability, High Temp, 180 min. aging &amp; 90 min. aging, Z-Scores = -6.90 &amp; -8.70</t>
  </si>
  <si>
    <t>-6.90 &amp; -8.70</t>
  </si>
  <si>
    <t>1233</t>
  </si>
  <si>
    <t>PT: DF22406; D4294 - Sulfur, by EDXRF, Z-Score = 3.19</t>
  </si>
  <si>
    <t>1234</t>
  </si>
  <si>
    <t>PT: DF22406; D524 - Carbon Residue, Ramsbottom, Z-Score = -2.27</t>
  </si>
  <si>
    <t>1235</t>
  </si>
  <si>
    <t>PT: DF22406; D1319 - HC Type, Aromatics &amp; Saturates, Oxy-Free, Z-Scores = 2.37 &amp; -2.22</t>
  </si>
  <si>
    <t>2.37 &amp; -2.22</t>
  </si>
  <si>
    <t>1236</t>
  </si>
  <si>
    <t>PT: DF22406; D6591 - HC Type, by HPLC, Di-Aro, Mono-Aro, &amp; PAH, Z-Scores = 4.66, -2.25, &amp; 3.64</t>
  </si>
  <si>
    <t>4.66, -2.25, &amp; 3.64</t>
  </si>
  <si>
    <t>1237</t>
  </si>
  <si>
    <t>PT: DF22406; D445 - Viscosity, Kinematic, 40 °C, Z-Score = -2.62</t>
  </si>
  <si>
    <t>1238</t>
  </si>
  <si>
    <t>PT: DF22406; D7042 - Viscosity, Stabinger, Kin, 40 °C, Z-Score = -2.18</t>
  </si>
  <si>
    <t>1239</t>
  </si>
  <si>
    <t>PT: RFG2409; D86 - Distillation, Auto, % Resid (EPA), Z-Score = -3.06</t>
  </si>
  <si>
    <t>-3.06</t>
  </si>
  <si>
    <t>1240</t>
  </si>
  <si>
    <t>PT: RFG2409; D5191 - Vapor Pressure, DVPE, 1L &amp; (EPA)</t>
  </si>
  <si>
    <t>2.56 &amp; 2.15</t>
  </si>
  <si>
    <t>1241</t>
  </si>
  <si>
    <t>PT: CE522; D5769 - GC/MS, Benzene</t>
  </si>
  <si>
    <t>1242</t>
  </si>
  <si>
    <t>PT: CE522; D2699 - Octane Number, Research &amp; R-M Sensitivity, Z-Scores = -2.85 &amp; -3.41</t>
  </si>
  <si>
    <t>-2.85 &amp; -3.41</t>
  </si>
  <si>
    <t>1243</t>
  </si>
  <si>
    <t>PT: CE522; D5191 - Vapor Pressure, PTOT, Z-Score = 3.13</t>
  </si>
  <si>
    <t>1244</t>
  </si>
  <si>
    <t>PT: CE522; D86 - Distillation, Residue %, Z-Score = -7.28</t>
  </si>
  <si>
    <t>1245</t>
  </si>
  <si>
    <t>PT: CE522; D86 - Distillation, 20% - 50%, Z-Scores = 3.02, 3.27, 3.21, &amp; 3.20</t>
  </si>
  <si>
    <t>3.02, 3.27, 3.21, &amp; 3.20</t>
  </si>
  <si>
    <t>1246</t>
  </si>
  <si>
    <t>PT: CE522; D86 - Distillation, Residue %, Z-Score = -5.72</t>
  </si>
  <si>
    <t>-5.72</t>
  </si>
  <si>
    <t>1247</t>
  </si>
  <si>
    <t>1248</t>
  </si>
  <si>
    <t>PT: CO2407; D7169 - BP Dist by HT-GC, Cut 3, 248.9C (480F), Z-Score = -2.25</t>
  </si>
  <si>
    <t>1249</t>
  </si>
  <si>
    <t>PT: CO2407; D4928 - Water, Coulometric KF, Z-Score = -2.46</t>
  </si>
  <si>
    <t>1250</t>
  </si>
  <si>
    <t>PT: CO2407; D664 - Acid Number, A, 125 mL Inflection EP, Z-Score = -16.70</t>
  </si>
  <si>
    <t>-16.70</t>
  </si>
  <si>
    <t>1251</t>
  </si>
  <si>
    <t>PT: CO2407; D664 - Acid Number, A, 125 mL, inflection EP</t>
  </si>
  <si>
    <t>1252</t>
  </si>
  <si>
    <t>PT: CO2407; D7169 - BP Dist by HT-GC, 20%, Z-Score = 619.45</t>
  </si>
  <si>
    <t>Confirmed Transcription Error</t>
  </si>
  <si>
    <t>1253</t>
  </si>
  <si>
    <t>PT: CO2407; D5863 - Element, Vanadium, AAS, Proc A</t>
  </si>
  <si>
    <t>1254</t>
  </si>
  <si>
    <t>PT: CO2407; D5708 - Element, Vanadium, ICPAES, Method B, Z-Score = -5.06</t>
  </si>
  <si>
    <t>-5.06</t>
  </si>
  <si>
    <t>1255</t>
  </si>
  <si>
    <t>PT: CO2407; D7900 - HC Type, n-nonane, Z-Score = 8.08</t>
  </si>
  <si>
    <t>1256</t>
  </si>
  <si>
    <t>PT: CO2407; D4929 - Organic Chloride, Procedure B, Distillation Microcoulometry, &amp; Procedure C, Distillation MWDXRF, Z-Scores = 20.96 &amp; 5.51</t>
  </si>
  <si>
    <t>20.96 &amp; 5.51</t>
  </si>
  <si>
    <t>1257</t>
  </si>
  <si>
    <t>PT: CO2407; D6377 - Vapor Pressure, Crude Oil, Expansion Method , Z-Score = 6.41</t>
  </si>
  <si>
    <t>1258</t>
  </si>
  <si>
    <t>PT: ETOH2408; D7319 - Existent Sulfate, by DI-IC, Z-Score = 4.60</t>
  </si>
  <si>
    <t>1259</t>
  </si>
  <si>
    <t>PT: ETOH2408; D6423 - pHe, Z-Score = -2.46</t>
  </si>
  <si>
    <t>1260</t>
  </si>
  <si>
    <t>PT: RFG2409; D5769 - Total Aromatics, Benzene, &amp; Toluene, by GC/MS (EPA), Z-Scores = -4.97, -3.32, &amp; -4.61</t>
  </si>
  <si>
    <t>-4.97, -3.32, &amp; -4.61</t>
  </si>
  <si>
    <t>1261</t>
  </si>
  <si>
    <t>PT: RFG2409; D4815 - Oxygenates, Ethanol, by GC, Z-Score = -2.16</t>
  </si>
  <si>
    <t>1262</t>
  </si>
  <si>
    <t>PT: RFG2409; D86 - Distillation, Auto, % Evap (EPA)</t>
  </si>
  <si>
    <t>1263</t>
  </si>
  <si>
    <t>PT: RFG2409; D5769 - Toluene, by GC/MS, Z-Score = 2.32</t>
  </si>
  <si>
    <t>1264</t>
  </si>
  <si>
    <t>PT: RFG2409; D86 - Distillation, Auto, IBP, °F (EPA)</t>
  </si>
  <si>
    <t>1265</t>
  </si>
  <si>
    <t>PT: RFG2409; D86 - Distillation, Auto, 95%, °F &amp; % Resid (EPA)</t>
  </si>
  <si>
    <t>2.06 &amp; -2.27</t>
  </si>
  <si>
    <t>1266</t>
  </si>
  <si>
    <t>PT: RFG2409; D5188 - V/L Ratio Temp, Evac Chamber, Z-Score = -2.54</t>
  </si>
  <si>
    <t>1267</t>
  </si>
  <si>
    <t>PT: RFG2409; D5191 - Vapor Pressure, DVPE &amp; TVP, 1L (EPA)</t>
  </si>
  <si>
    <t>2.51 &amp; 2.16</t>
  </si>
  <si>
    <t>1268</t>
  </si>
  <si>
    <t>-9.99 &amp; -7.22</t>
  </si>
  <si>
    <t>See PTO1282-132-24.</t>
  </si>
  <si>
    <t>1269</t>
  </si>
  <si>
    <t>PT: RFG2409; D86 - Distillation, Auto, 10%, 20%, &amp; 40%, °F (EPA)</t>
  </si>
  <si>
    <t>2.15, 2.12, &amp; 2.28</t>
  </si>
  <si>
    <t>1270</t>
  </si>
  <si>
    <t>PT: RFG2409; D6550 - HC Type, Olefins, by SFC, Z-Score = -4.38</t>
  </si>
  <si>
    <t>-4.38</t>
  </si>
  <si>
    <t>See PTO1285-132-24.</t>
  </si>
  <si>
    <t>1271</t>
  </si>
  <si>
    <t>PT: RFG2409; D4815 - Oxygenates, Ethanol, by GC, Z-Score = 2.81</t>
  </si>
  <si>
    <t>See PTO1286-132-24.</t>
  </si>
  <si>
    <t>1272</t>
  </si>
  <si>
    <t>PT: RFG2409; D5769 - Benzene, by GC/MS, Z-Score = 4.41</t>
  </si>
  <si>
    <t>1273</t>
  </si>
  <si>
    <t>PT: RFG2409; D5188 - V/L Ratio Temp, Evac Chamber , Z-Score = 3.05</t>
  </si>
  <si>
    <t>1274</t>
  </si>
  <si>
    <t>PT: RFG2409; D86 - Distillation, Auto, 95%, °F (EPA)</t>
  </si>
  <si>
    <t>1275</t>
  </si>
  <si>
    <t>PT: RFG2409; D86 - Distillation, Auto, % Resid &amp; (EPA)</t>
  </si>
  <si>
    <t>2.71 &amp; 2.46</t>
  </si>
  <si>
    <t>1276</t>
  </si>
  <si>
    <t>PT: RFG2409; D5191-22 &amp; -20 - Vapor Pressure, TVP, 1L &amp; (EPA)</t>
  </si>
  <si>
    <t>2.23 &amp; 2.16</t>
  </si>
  <si>
    <t>1277</t>
  </si>
  <si>
    <t>PT: RFG2409; D3606-24 &amp; -20e1 - Benzene, by GC, Proc B &amp; (EPA), Z-Scores = 3.14 &amp; 3.05</t>
  </si>
  <si>
    <t>3.14 &amp; 3.05</t>
  </si>
  <si>
    <t>1278</t>
  </si>
  <si>
    <t>PT: RFG2409; D4815 - Oxygenates, Ethanol, by GC, Z-Score = -2.27</t>
  </si>
  <si>
    <t>See PTO1294-160-24.</t>
  </si>
  <si>
    <t>1279</t>
  </si>
  <si>
    <t xml:space="preserve">PT: RFG2409; D5580 - Aromatics, C9 plus, by GC </t>
  </si>
  <si>
    <t>1280</t>
  </si>
  <si>
    <t>PT: RFG2409; D1319 - HC Type, Olefins &amp; Saturates, Corrected &amp; Oxy-Free &amp; (EPA) , Z-Scores = Multiple Parameters</t>
  </si>
  <si>
    <t>See PTO1280-170-24.</t>
  </si>
  <si>
    <t>1281</t>
  </si>
  <si>
    <t>PT: RFG2409; D86 - Distillation, Auto, E300 °F, % (EPA)</t>
  </si>
  <si>
    <t>1282</t>
  </si>
  <si>
    <t>PT: RFG2410; D5580 - C9+ &amp; Total Aromatics, by GC, Z-Score = -13.85 &amp; -8.16</t>
  </si>
  <si>
    <t>-13.85 &amp; -8.16</t>
  </si>
  <si>
    <t>1283</t>
  </si>
  <si>
    <t>PT: RFG2410; D4052 - Density, Digital, 15 °C</t>
  </si>
  <si>
    <t>1284</t>
  </si>
  <si>
    <t>PT: RFG2410; D1319 - HC Type, Olefins, Corrected &amp; Oxy-Free(EPA), Z-Scores = -2.30 &amp; -2.02</t>
  </si>
  <si>
    <t>-2.30 &amp; -2.02</t>
  </si>
  <si>
    <t>1285</t>
  </si>
  <si>
    <t>PT: RFG2410; D6550 - HC Type, Olefins, by SFC, Z-Score = -5.14</t>
  </si>
  <si>
    <t>-5.14</t>
  </si>
  <si>
    <t>1286</t>
  </si>
  <si>
    <t>PT: RFG2410; D4815 - Oxygenates, Ethanol, by GC, Z-Score = 2.79</t>
  </si>
  <si>
    <t>1287</t>
  </si>
  <si>
    <t>PT: RFG2410; D2622-24 &amp; -16 - Sulfur by WDXRF &amp; (EPA), Z-Scores = -8.33 &amp; -6.06</t>
  </si>
  <si>
    <t>-8.33 &amp; -6.06</t>
  </si>
  <si>
    <t>1288</t>
  </si>
  <si>
    <t>PT: RFG2410; D7039 - Sulfur, by MWDXRF, Z-Score = -5.92</t>
  </si>
  <si>
    <t>-5.92</t>
  </si>
  <si>
    <t>1289</t>
  </si>
  <si>
    <t>PT: RFG2410; D5188 - V/L Ratio Temp, Evac Chamber, Z-Score = 6.21</t>
  </si>
  <si>
    <t>1290</t>
  </si>
  <si>
    <t>PT: RFG2410; D4052 - Density, Digital, 15 °C, Z-Score = -5.75</t>
  </si>
  <si>
    <t>1291</t>
  </si>
  <si>
    <t>PT: RFG2410; D5188 - V/L Ratio Temp, Evac Chamber, Z-Score = 146.17</t>
  </si>
  <si>
    <t>1292</t>
  </si>
  <si>
    <t xml:space="preserve">PT: RFG2410; D5580 - Aromatics, C9 plus, by GC </t>
  </si>
  <si>
    <t>1293</t>
  </si>
  <si>
    <t>PT: RFG2410; D1319 - HC Type, Aromatics &amp; Saturates, Corrected &amp; Oxy-Free &amp; (EPA), Z-Scores = Multiple Outliers</t>
  </si>
  <si>
    <t>1294</t>
  </si>
  <si>
    <t>PT: RFG2410; D4815 - Oxygenates, Ethanol &amp; Total Oxygen, by GC, Z-Scores = -3.60 &amp; -3.59</t>
  </si>
  <si>
    <t>-3.60 &amp; -3.59</t>
  </si>
  <si>
    <t>1295</t>
  </si>
  <si>
    <t>PT: RFG2410; D86 - Distillation, Auto, % Loss &amp; % Loss (EPA)</t>
  </si>
  <si>
    <t>2.17 &amp; 2.01</t>
  </si>
  <si>
    <t>1296</t>
  </si>
  <si>
    <t>PT: RFG2410; D86 - Distillation, Auto, Multiple Parameters, Z-Scores = Multiple Outliers</t>
  </si>
  <si>
    <t>1297</t>
  </si>
  <si>
    <t>PT: RFG2410; D1319 - HC Type, Aromatics Olefins, Corrected &amp; Oxy-Free, &amp; EPA, Z-Scores = Multiple Outliers</t>
  </si>
  <si>
    <t>1298</t>
  </si>
  <si>
    <t>PT: CO2407; D6377 - Vapor Pressure, Crude Oil, Expansion Method , Z-Score = 7.66</t>
  </si>
  <si>
    <t>1299</t>
  </si>
  <si>
    <t xml:space="preserve">PT: CO2407; D5002 - Density, digital, 15 °C </t>
  </si>
  <si>
    <t>1300</t>
  </si>
  <si>
    <t>PT: CO2407; D7169 - BP Dist by HT-GC, FBP</t>
  </si>
  <si>
    <t>1301</t>
  </si>
  <si>
    <t>PT: CO2407; D7900 - HC Type, Methylcyclopentane &amp; Total Naphthenes</t>
  </si>
  <si>
    <t>2.10 &amp; 2.18</t>
  </si>
  <si>
    <t>1302</t>
  </si>
  <si>
    <t>PT: CO2407; D445 - Viscosity, Kinematic, 25 °C, Z-Score = -37.47</t>
  </si>
  <si>
    <t>-37.47</t>
  </si>
  <si>
    <t>1303</t>
  </si>
  <si>
    <t>PT: CO2407; D5708 - Element, Vanadium, ICPAES, Method B, Z-Score = 7.38</t>
  </si>
  <si>
    <t>1304</t>
  </si>
  <si>
    <t>PT: CO2407; D3230 - Salts, Z-Score = -2.22</t>
  </si>
  <si>
    <t>1305</t>
  </si>
  <si>
    <t>PT: CO2407; D5863 - Element, Nickel&amp; Vanadium, AAS, Proc B, Z-Scores = 52.80 &amp; 9.80</t>
  </si>
  <si>
    <t>52.80 &amp; 9.80</t>
  </si>
  <si>
    <t>1306</t>
  </si>
  <si>
    <t>PT: CO2407; D7042 - Viscosity, Stabinger, Kin, 25 °C, Z-Score = -6.05</t>
  </si>
  <si>
    <t>1307</t>
  </si>
  <si>
    <t>PT: CO2407; D445- Viscosity, Kinematic, 40 °C</t>
  </si>
  <si>
    <t>1308</t>
  </si>
  <si>
    <t>PT: CO2407; D5708 - Element, Nickel, ICPAES, Method A</t>
  </si>
  <si>
    <t>1309</t>
  </si>
  <si>
    <t>PT: CO2407; D4530 - Carbon Residue, Micro, Z-Score = 3.01</t>
  </si>
  <si>
    <t>1310</t>
  </si>
  <si>
    <t>PT: CO2407; D664 - Acid Number, A, 60 mL, inflection EP</t>
  </si>
  <si>
    <t>1311</t>
  </si>
  <si>
    <t>PT: CO2407; D7169 - BP Dist by HT-GC, Cut 4, 343.3C (650F), Cut 5, 426.7C (800F), Cut 6, 565.6C (1050F), &amp; Cut 7, 596.1C (1105F), Z-Scores = -2.08, -2.58, -2.44, &amp; -2.46</t>
  </si>
  <si>
    <t>-2.08, -2.58, -2.44, &amp; -2.46</t>
  </si>
  <si>
    <t>1312</t>
  </si>
  <si>
    <t>PT: CO2407; D4807 - Sediment, Membrane Filtration, Z-Score = 2.80</t>
  </si>
  <si>
    <t>1313</t>
  </si>
  <si>
    <t>PT: CO2407; D7169 - BP Dist by HT-GC, IBP</t>
  </si>
  <si>
    <t>1314</t>
  </si>
  <si>
    <t>PT: CO2407; D7900 - HC Type, i-butane &amp; i-pentane</t>
  </si>
  <si>
    <t>2.12 &amp; 2.29</t>
  </si>
  <si>
    <t>1315</t>
  </si>
  <si>
    <t>-2.67</t>
  </si>
  <si>
    <t>681</t>
  </si>
  <si>
    <t>1317</t>
  </si>
  <si>
    <t>PT: CO2407; D7042 - Viscosity, Stabinger, Kin, 25 °C, Z-Score = 4.84</t>
  </si>
  <si>
    <t>1318</t>
  </si>
  <si>
    <t>PT: ETOH2408; E203 - Water, by Volumetric KF, Z-Score = 8.67</t>
  </si>
  <si>
    <t>1319</t>
  </si>
  <si>
    <t>PT: ETOH2408; D6423 - pHe, Z-Score = 4.75</t>
  </si>
  <si>
    <t>1320</t>
  </si>
  <si>
    <t>PT: ETOH2408; D7795 - Acidty, Proc A, Z-Score = 4.27</t>
  </si>
  <si>
    <t>1321</t>
  </si>
  <si>
    <t>PT: ETOH2408; D7319 - Inorganic Chloride &amp; Existent Sulfate, by DI-IC, Z-Scores = 14.94 &amp; 6.17</t>
  </si>
  <si>
    <t>14.94 &amp; 6.17</t>
  </si>
  <si>
    <t>1322</t>
  </si>
  <si>
    <t xml:space="preserve">PT: ETOH2408; D4052 - Density, Relative, 15.56 °C </t>
  </si>
  <si>
    <t>1323</t>
  </si>
  <si>
    <t>PT: ETOH2408; D5501 - Methanol, by GC, Z-Score = 7.06</t>
  </si>
  <si>
    <t>1324</t>
  </si>
  <si>
    <t>PT: ETOH2408; D4052 - Density, Relative, @ 15.56 °C, Z-Score = -8.54</t>
  </si>
  <si>
    <t>1325</t>
  </si>
  <si>
    <t>PT: ETOH2408; D5501 - Methanol, by GC, Z-Score = 5.88</t>
  </si>
  <si>
    <t>1326</t>
  </si>
  <si>
    <t>PT: ETOH2408; D6423 - pHe, Z-Score =3.17</t>
  </si>
  <si>
    <t>1327</t>
  </si>
  <si>
    <t>PT: ETOH2408; D1613 - Acidity</t>
  </si>
  <si>
    <t>D1613 - Acidity</t>
  </si>
  <si>
    <t>1328</t>
  </si>
  <si>
    <t>PT: ETOH2408; ABNT NBR 9866 - Acidity</t>
  </si>
  <si>
    <t>ABNT NBR 9866 - Acidity</t>
  </si>
  <si>
    <t>1329</t>
  </si>
  <si>
    <t>PT: ETOH2408; E1064 - Water, by Coul KF</t>
  </si>
  <si>
    <t>1330</t>
  </si>
  <si>
    <t>1331</t>
  </si>
  <si>
    <t>PT: ETOH2408; D6423 - pHe, Z-Score = 2.60</t>
  </si>
  <si>
    <t>1067</t>
  </si>
  <si>
    <t>PT: MG2404; D3231 - Element, Phosphorus, by combusition/colorometric, Z-Score = 4.54</t>
  </si>
  <si>
    <t>1333</t>
  </si>
  <si>
    <t>PT: JF2407; D86 - Distillation, Auto, IBP, 10%, 50%, 90%, &amp; FBP, Z-Scores = 64.19, 205.93, 255.77, 196.19, 193.12</t>
  </si>
  <si>
    <t>64.19, 205.93, 255.77, 196.19, &amp; 193.12</t>
  </si>
  <si>
    <t>1188</t>
  </si>
  <si>
    <t>PT: RFG2410; D86 - Distillation, Auto, 95%, °F &amp; % Resid, Z-Scores = -162.89, 3.10</t>
  </si>
  <si>
    <t>-162.89 &amp; 3.10</t>
  </si>
  <si>
    <t>1335</t>
  </si>
  <si>
    <t>PT: JF2407; D86 - Distillation, Auto, IBP</t>
  </si>
  <si>
    <t>1336</t>
  </si>
  <si>
    <t>PT: JF2407; D3242 - Acidity, Z-Score = 2.88</t>
  </si>
  <si>
    <t>1337</t>
  </si>
  <si>
    <t>PT: JF2407; D3227 - Mercaptan Sulfur, Potentiometric, Z-Score = 2.34</t>
  </si>
  <si>
    <t>1338</t>
  </si>
  <si>
    <t>PT: JF2407; D1319 - HC Type, Olefins, Oxy-Free, Z-Score = 3.11</t>
  </si>
  <si>
    <t>1339</t>
  </si>
  <si>
    <t>PT: JF2407; D2622 - Sulfur, by WDXRF</t>
  </si>
  <si>
    <t>1340</t>
  </si>
  <si>
    <t>PT: JF2407; D86 - Distillation, Auto, 30%</t>
  </si>
  <si>
    <t>1341</t>
  </si>
  <si>
    <t>PT: JF2407; D3338 - Net Heat of Combustion, Z-Score = 11.96</t>
  </si>
  <si>
    <t>1342</t>
  </si>
  <si>
    <t>PT: JF2407; D86 - Distillation, Auto, % Resid</t>
  </si>
  <si>
    <t>1343</t>
  </si>
  <si>
    <t>PT: JF2407; D3227 - Mercaptan Sulfur, Potentiometric, Z-Score = -3.75</t>
  </si>
  <si>
    <t>-3.75</t>
  </si>
  <si>
    <t>1344</t>
  </si>
  <si>
    <t>PT: JF2407; D4052 - API Gravity, Digital, 60°F &amp; Density, Digital, 15 °C, Z-Scores = -5.35 &amp; 5.49</t>
  </si>
  <si>
    <t>-5.35 &amp; 5.49</t>
  </si>
  <si>
    <t>1345</t>
  </si>
  <si>
    <t>PT: JF2407; D86 - Distillation, Auto, 50%, Z-Score = -11.37</t>
  </si>
  <si>
    <t>-11.37</t>
  </si>
  <si>
    <t>1346</t>
  </si>
  <si>
    <t>PT: JF2407; D1319 - HC Type, Aromatics, Oxy-Free, Z-Score = 2.90</t>
  </si>
  <si>
    <t>1347</t>
  </si>
  <si>
    <t>PT: JF2407; D3338 - Net Heat of Combustion, Z-Score = -2.30</t>
  </si>
  <si>
    <t>1348</t>
  </si>
  <si>
    <t>PT: JF2407; D3948 - Water Separation, by Portable Sep, Z-Score = -2.70</t>
  </si>
  <si>
    <t>1349</t>
  </si>
  <si>
    <t>1350</t>
  </si>
  <si>
    <t>PT: JF2407; D3241 - Thermal Stability, Interferometric, @260 Thickness, Z-Score = 2.90</t>
  </si>
  <si>
    <t>1351</t>
  </si>
  <si>
    <t>PT: JF2407; D93 - Flash Point, PMCC, Proc A, corrected, Z-Score = -2.70</t>
  </si>
  <si>
    <t>1352</t>
  </si>
  <si>
    <t>PT: JF2407; D4294 - Sulfur, by EDXRF</t>
  </si>
  <si>
    <t>1353</t>
  </si>
  <si>
    <t>PT: JF2407; D3242 - Acidity, Z-Score = 3.62</t>
  </si>
  <si>
    <t>1354</t>
  </si>
  <si>
    <t>PT: JF2407; D2386 - Freeze Point, Z-Score = -6.02</t>
  </si>
  <si>
    <t>-6.02</t>
  </si>
  <si>
    <t>1355</t>
  </si>
  <si>
    <t>PT: JF2407; D1319 - HC Type, Aromatics &amp; Olefins, Oxy-Free, Z-Scores = -3.23 &amp; 5.89</t>
  </si>
  <si>
    <t>-3.23 &amp; 5.89</t>
  </si>
  <si>
    <t>1356</t>
  </si>
  <si>
    <t>PT: JF2407; D3948 - Water Separation, by Portable Sep, Z-Score = -3.20</t>
  </si>
  <si>
    <t>1357</t>
  </si>
  <si>
    <t>PT: JF2407; D86 - Distillation, Auto 40%, Z-Score = -2.19</t>
  </si>
  <si>
    <t>1358</t>
  </si>
  <si>
    <t>PT: JF2407; D445 - Viscosity, Kinematic, -20 °C, Z-Score = 6.83</t>
  </si>
  <si>
    <t>1359</t>
  </si>
  <si>
    <t>1360</t>
  </si>
  <si>
    <t>PT: JF2407; D1319 - HC Type, Aromatics, Oxy-Free, Z-Score = -3.02</t>
  </si>
  <si>
    <t>-3.02</t>
  </si>
  <si>
    <t>1361</t>
  </si>
  <si>
    <t>PT: JF2407; D6304 - Water, by Coul KF, Meth A Direct Injection, mg/kg &amp; uL/mL, Z-Scores = 23.10 &amp; 13.19</t>
  </si>
  <si>
    <t>23.10 &amp; 13.19</t>
  </si>
  <si>
    <t>1362</t>
  </si>
  <si>
    <t>PT: JF2407; D1840 - Napthalenes, by UVS, Z-Score = -2.47</t>
  </si>
  <si>
    <t>-2.47</t>
  </si>
  <si>
    <t>1363</t>
  </si>
  <si>
    <t>PT: JF2407; D445 - Viscosity, Kinematic, -20 °C, Z-Score = 5.11</t>
  </si>
  <si>
    <t>1364</t>
  </si>
  <si>
    <t>PT: JF2407; D3948 - Water Separation, by Portable Sep, Z-Score = -2.20</t>
  </si>
  <si>
    <t>1365</t>
  </si>
  <si>
    <t>PT: JF2407; D2887 - BP Distribution, GC, Proc B, IBP</t>
  </si>
  <si>
    <t>-2.50</t>
  </si>
  <si>
    <t>1366</t>
  </si>
  <si>
    <t>PT: JF2407; D86 - Distillation, Auto, 90%, 95%, &amp; % Loss, Z-Scores = 2.09, 2.17, &amp; 3.25</t>
  </si>
  <si>
    <t>2.09, 2.17, &amp; 3.25</t>
  </si>
  <si>
    <t>1367</t>
  </si>
  <si>
    <t>PT: JF2407; D1319 - HC Type, Aromatics, Oxy-Free, Z-Score = 2.28</t>
  </si>
  <si>
    <t>1368</t>
  </si>
  <si>
    <t>PT: JF2407; D1319 - HC Type, Olefins, Oxy-Free, Z-Score = 4.63</t>
  </si>
  <si>
    <t>1369</t>
  </si>
  <si>
    <t>PT: JF2407; D3227 - Mercaptan Sulfur, Potentiometric, Z-Score = -2.73</t>
  </si>
  <si>
    <t>1370</t>
  </si>
  <si>
    <t>PT: JF2407; D1322 - Smoke Point, Auto, Z-Score =-2.31</t>
  </si>
  <si>
    <t>1371</t>
  </si>
  <si>
    <t>1372</t>
  </si>
  <si>
    <t>PT: JF2407; D56 - Flash Point, TAG, Corrected, Z-Score = 2.77</t>
  </si>
  <si>
    <t>1373</t>
  </si>
  <si>
    <t>PT: JF2407; D5453 - Sulfur, by UVF, Z-Score = 2.99</t>
  </si>
  <si>
    <t>1374</t>
  </si>
  <si>
    <t>PT: JF2407; D3948 - Water Separation, by Portable Sep, Z-Score = -5.80</t>
  </si>
  <si>
    <t>-5.80</t>
  </si>
  <si>
    <t>1375</t>
  </si>
  <si>
    <t>PT: JF2407; D86 - Distillation, Auto, 10%, Z-Score = 3.35</t>
  </si>
  <si>
    <t>1376</t>
  </si>
  <si>
    <t>1377</t>
  </si>
  <si>
    <t>PT: JF2407; D7042 - Viscosity, Stabinger, Kin, -20 °C, Z-Score = 7.16</t>
  </si>
  <si>
    <t>1378</t>
  </si>
  <si>
    <t>PT: JF2407; D86 - Distillation, 50%, 60%, 70%, 80%, &amp; % Loss</t>
  </si>
  <si>
    <t>2.18, 2.41, 2.27, 2.02, &amp; 2.33</t>
  </si>
  <si>
    <t>1379</t>
  </si>
  <si>
    <t>PT: JF2407; D6304 - Water, by Coul KF, Meth A Direct Injection, mg/kg</t>
  </si>
  <si>
    <t>1380</t>
  </si>
  <si>
    <t>PT: M983; Oxygenates - Ethanol - All Methods, Z-Score = -4.81</t>
  </si>
  <si>
    <t>1381</t>
  </si>
  <si>
    <t>PT: M983; Oxygenates - Ethanol - All Methods, Z-Score = -27.61</t>
  </si>
  <si>
    <t>-27.61</t>
  </si>
  <si>
    <t>1382</t>
  </si>
  <si>
    <t>PT: TM10-24; D86 - Distillation, 10%, Z-Score = 8.55</t>
  </si>
  <si>
    <t>1383</t>
  </si>
  <si>
    <t>PT: TM10-24; Vapor Pressure, RVP</t>
  </si>
  <si>
    <t>-2.36</t>
  </si>
  <si>
    <t>1384</t>
  </si>
  <si>
    <t>PT: TM10C-24; D2699 - Octane Number, Research, Z-Score = 2.72</t>
  </si>
  <si>
    <t>1385</t>
  </si>
  <si>
    <t>PT: TM10C-24; API - Gravity, @ 60oF, Z-Score = -7.31</t>
  </si>
  <si>
    <t>-7.31</t>
  </si>
  <si>
    <t>1386</t>
  </si>
  <si>
    <t>PT: TM10C-24; D86 - Distillation, FBP</t>
  </si>
  <si>
    <t>1387</t>
  </si>
  <si>
    <t>PT: TM10C-24; API - Gravity, @ 60oF, Z-Score = -5.77</t>
  </si>
  <si>
    <t>-5.77</t>
  </si>
  <si>
    <t>1388</t>
  </si>
  <si>
    <t>PT: CE523; D86 - Distillation, 80% - 85% &amp; E300, Z-Scores = -3.00, -3.42, -6.69, &amp; 5.80</t>
  </si>
  <si>
    <t>-3.00, -3.42, -6.69, &amp; 5.80</t>
  </si>
  <si>
    <t>1389</t>
  </si>
  <si>
    <t>PT: CE523; Octanes - Pump - AKI &amp; R-M Sensitivity, Z-Scores = 2.72 &amp; -2.74</t>
  </si>
  <si>
    <t>2.72 &amp; -2.74</t>
  </si>
  <si>
    <t>1390</t>
  </si>
  <si>
    <t>PT: CE523; D4815 - Oxygenates, Total Oxyen, Z-Score = 64.86</t>
  </si>
  <si>
    <t>1391</t>
  </si>
  <si>
    <t>PT: CE523; D5769 - GCMS, Aromatics, Z-Score = 2.70</t>
  </si>
  <si>
    <t>1392</t>
  </si>
  <si>
    <t>PT: CE523; D86 - Distillation, Residue %</t>
  </si>
  <si>
    <t>1393</t>
  </si>
  <si>
    <t>PT: CE523; D5599 - Oxygenates, Total Oxyen, Z-Score = 86.67</t>
  </si>
  <si>
    <t>1394</t>
  </si>
  <si>
    <t>PT: CE523; D5453 - Sulfur, by UVF, Z-Score = 30.61</t>
  </si>
  <si>
    <t>1395</t>
  </si>
  <si>
    <t>PT: CE523; D5599 - Oxygenates, Total Oxyen, Z-Score = -46.09</t>
  </si>
  <si>
    <t>1396</t>
  </si>
  <si>
    <t>PT: CE523; D2700 - Octane Number, Motor, Z-Score = -2.64</t>
  </si>
  <si>
    <t>-2.64</t>
  </si>
  <si>
    <t>1397</t>
  </si>
  <si>
    <t>PT: CE523; D86 - Distillation, 30% &amp; 40%</t>
  </si>
  <si>
    <t>2.11 &amp; 2.53</t>
  </si>
  <si>
    <t>1398</t>
  </si>
  <si>
    <t>PT: CE523; D5453 - Sulfur, by UVF</t>
  </si>
  <si>
    <t>1399</t>
  </si>
  <si>
    <t>PT: CE523; D5580 - GC, C9+ Aromatics</t>
  </si>
  <si>
    <t>1400</t>
  </si>
  <si>
    <t>PT: CE523; D86 - Distillation, 95%</t>
  </si>
  <si>
    <t>1401</t>
  </si>
  <si>
    <t>PT: CE523; D4815 - Oxygenates, Total Oxyen, Z-Score = 67.30</t>
  </si>
  <si>
    <t>1402</t>
  </si>
  <si>
    <t>PT: OC2408; D86 - Distillation, Auto, IBP°F &amp; % Recovery</t>
  </si>
  <si>
    <t>-2.02 &amp; 2.86</t>
  </si>
  <si>
    <t>1403</t>
  </si>
  <si>
    <t>PT: OC2408; D86 - Distillation, 10% °F, Z-Score = -3.24</t>
  </si>
  <si>
    <t>-3.24</t>
  </si>
  <si>
    <t>1404</t>
  </si>
  <si>
    <t>PT: OC2408; Sulfur, Content, All Methods</t>
  </si>
  <si>
    <t>1405</t>
  </si>
  <si>
    <t>PT: OC2408; D1319 - Hydrocarbon Type, Oxy-Free, Olefins, Saturates, &amp; Aromatics, Z-Scores = 81.62, -24.37, &amp;-10.30</t>
  </si>
  <si>
    <t>81.62, -24.37, &amp; -10.30</t>
  </si>
  <si>
    <t>1406</t>
  </si>
  <si>
    <t>PT: OC2408; D2699 - Octane Number, Research &amp; RON Compression Ratio Procedure C, Z-Scores = 2.55 &amp; 4.21</t>
  </si>
  <si>
    <t>2.55 &amp; 4.21</t>
  </si>
  <si>
    <t>1407</t>
  </si>
  <si>
    <t>PT: OC2408; Vapor Pressure, DVPE, Z-Score = 4.83</t>
  </si>
  <si>
    <t>1408</t>
  </si>
  <si>
    <t>PT: F242410; D5006 - Fuel System Icing Inhibitors, Ether Type, Z-Score = -11.68</t>
  </si>
  <si>
    <t>-11.68</t>
  </si>
  <si>
    <t>1409</t>
  </si>
  <si>
    <t>PT: F242410; D1094 - Water Reaction, Change in Volume of Aqueous</t>
  </si>
  <si>
    <t>1410</t>
  </si>
  <si>
    <t>PT: F242410; D4737 - Cetane Index by Four Var Eq, Z-Score = -7.62</t>
  </si>
  <si>
    <t>-7.62</t>
  </si>
  <si>
    <t>1411</t>
  </si>
  <si>
    <t>PT: F242410; D976 - Cetane Index, Calculated, Z-Score = -8.09</t>
  </si>
  <si>
    <t>-8.09</t>
  </si>
  <si>
    <t>1412</t>
  </si>
  <si>
    <t>PT: F242410; D1319 - HC Type, Aromatics, Oxy-Free, Z-Score = -2.21</t>
  </si>
  <si>
    <t>1413</t>
  </si>
  <si>
    <t>PT: F242410; D5001 - Lubricity, Bocle, Proc B, auto, Z-Score = 3151.50</t>
  </si>
  <si>
    <t>1414</t>
  </si>
  <si>
    <t>PT: F242410; D3338 - Net Heat of Combustion, Z-Score = -37.79</t>
  </si>
  <si>
    <t>-37.79</t>
  </si>
  <si>
    <t>1415</t>
  </si>
  <si>
    <t>PT: RFG2410; D86 - Distillation, Auto, 80%, °F (EPA), Z-Score = -19.82</t>
  </si>
  <si>
    <t>-19.82</t>
  </si>
  <si>
    <t>1416</t>
  </si>
  <si>
    <t>1417</t>
  </si>
  <si>
    <t>CAF#</t>
  </si>
  <si>
    <t>Area</t>
  </si>
  <si>
    <t>Date initiated</t>
  </si>
  <si>
    <t>Date shared w/ customer</t>
  </si>
  <si>
    <t>Date closed after effectiveness review</t>
  </si>
  <si>
    <t>Brief description of complaint</t>
  </si>
  <si>
    <r>
      <t xml:space="preserve">Area (Lab, Ops, Lab &amp; Ops, Admin, Other, Void)
</t>
    </r>
    <r>
      <rPr>
        <i/>
        <sz val="11"/>
        <rFont val="Calibri"/>
        <family val="2"/>
        <scheme val="minor"/>
      </rPr>
      <t>(drop-down)</t>
    </r>
  </si>
  <si>
    <t>CAR / PAR # (if applicable)</t>
  </si>
  <si>
    <t>Aramco - Inspector used Vessels equipment without notifying supervisor</t>
  </si>
  <si>
    <t>Ops</t>
  </si>
  <si>
    <t>C001-160-24</t>
  </si>
  <si>
    <t xml:space="preserve">Valero - D1125 results reported in the wrong unit of measure. </t>
  </si>
  <si>
    <t>Lab</t>
  </si>
  <si>
    <t>C003-110-24</t>
  </si>
  <si>
    <t>ExxonMobil - Performance failures with customer communication.</t>
  </si>
  <si>
    <t>C010-120-24</t>
  </si>
  <si>
    <t>Trafigura 158-23-01216 Metals result came out higher on barge composite, recheck on new composit was more inline with what client expected.</t>
  </si>
  <si>
    <t>No CAR initiated</t>
  </si>
  <si>
    <t>EB approved</t>
  </si>
  <si>
    <t>Marathon Loss Control - Inspector failed to have copies of his equipment certificates with him, Gauge Tape grounding cable was missing.</t>
  </si>
  <si>
    <t>C033-125-24</t>
  </si>
  <si>
    <t>Trafigura- Erroneous TSE/TSA/TSP reported (too low) by methods ISO 10307-1; ISO 10307-2.</t>
  </si>
  <si>
    <t>C034-128-24</t>
  </si>
  <si>
    <t>VOID CAR no longer needed for Valero. Issue resolved by B Dalton &amp; W. Hilliard.</t>
  </si>
  <si>
    <t>P66 - Inspection Samples were lost when inspector left the terminal.</t>
  </si>
  <si>
    <t>C047-141-24</t>
  </si>
  <si>
    <t>Truck bed tailgate was left open.</t>
  </si>
  <si>
    <t>CORPORATE, NJ</t>
  </si>
  <si>
    <t>Lab turnaround times for irving Oil oversight sampling and testing exceed 72 hours.</t>
  </si>
  <si>
    <t>C002-101-24</t>
  </si>
  <si>
    <t xml:space="preserve">Irving Oil - Inspector did not use AmSpec's inspection equipment and or verify the vessels equipment after use. </t>
  </si>
  <si>
    <t>C053-199-24</t>
  </si>
  <si>
    <t>Unipec - Failure to obtain VEF Data from the Vessel.</t>
  </si>
  <si>
    <t>C068-155-24</t>
  </si>
  <si>
    <t>Irving Oil - LTFT D4539 Outlier</t>
  </si>
  <si>
    <t>C052-189-24</t>
  </si>
  <si>
    <t>3/26 MB</t>
  </si>
  <si>
    <t>Valero - Incorrect H2S Results reported.</t>
  </si>
  <si>
    <t>C076-150-24 also voided</t>
  </si>
  <si>
    <t>Voided by Ed B &amp; CS in Oct 2024</t>
  </si>
  <si>
    <t>Chevron - UML API and Viscosity not matching results of comp.</t>
  </si>
  <si>
    <t>C077-150-24 also voided</t>
  </si>
  <si>
    <t>Total - Sediment &amp; Haze result was off spec.</t>
  </si>
  <si>
    <t>C093-160-24</t>
  </si>
  <si>
    <t>PBF - Incorrect samples were tested and reported</t>
  </si>
  <si>
    <t>C106-180-24</t>
  </si>
  <si>
    <t>PBF - EN12196 Improper Integration</t>
  </si>
  <si>
    <t>C117-170-24</t>
  </si>
  <si>
    <t xml:space="preserve">P66 - High levels of Methanol were detected. The dedicated sampler was not used as per SOP. </t>
  </si>
  <si>
    <t>C131-157-24</t>
  </si>
  <si>
    <t>St Benard Renewables - PBF - Inspector miscalculated stop gauge on ST406 at Chalmette Refinery</t>
  </si>
  <si>
    <t>C136-170-24</t>
  </si>
  <si>
    <t>4/23/2024 FT</t>
  </si>
  <si>
    <t>PBF - Reported a higher-than-expected sodium on a Shore tank 286, prior to loading the Green Attitude</t>
  </si>
  <si>
    <t>C137-180-24</t>
  </si>
  <si>
    <t>Simon sent to PBF</t>
  </si>
  <si>
    <t>MPC - Delay in reporting results for the HTCO 3090 / Kirby 29065</t>
  </si>
  <si>
    <t>C138-180-24 also voided</t>
  </si>
  <si>
    <t xml:space="preserve">Valero - Vessel sampler had some product remining in tube and dripped on the dock and gangway while disembarking the vessel. The sampler was in the proper case.  </t>
  </si>
  <si>
    <t>C228-194-24</t>
  </si>
  <si>
    <t>PBF - Issue with reported AASHTO T201 Kinematic Viscosity on GM 1000/1010 VTB</t>
  </si>
  <si>
    <t>C234-170-24</t>
  </si>
  <si>
    <t>P66 Jones Creek - The inspector failed to arrive at the job on time and prepared.</t>
  </si>
  <si>
    <t>C243-157-24</t>
  </si>
  <si>
    <t>Pilot - Octane result off spec</t>
  </si>
  <si>
    <t>C244-130-24</t>
  </si>
  <si>
    <t xml:space="preserve">ExonMobil Research - mishandling research samples on two occasions </t>
  </si>
  <si>
    <t>C259-120-24                                            C260-120-24</t>
  </si>
  <si>
    <t>C260 MV 7/1</t>
  </si>
  <si>
    <t>Fuel oil shore tank sample contaminated with water</t>
  </si>
  <si>
    <t>C279-199-24</t>
  </si>
  <si>
    <t>CG</t>
  </si>
  <si>
    <t xml:space="preserve">VOID </t>
  </si>
  <si>
    <t>File # 171-24-00422  
D7169 SimDis Analysis reported lower recovery and discrepancies.</t>
  </si>
  <si>
    <t>C309-171-24</t>
  </si>
  <si>
    <t>Luis, Simon / Improper Procedure not a complaint</t>
  </si>
  <si>
    <t xml:space="preserve">BP - inconsistent data reported to the client with multiple revisions.  </t>
  </si>
  <si>
    <t>C280-132-24</t>
  </si>
  <si>
    <t xml:space="preserve">Unipec -  Inspectors failed to take multiple temperatures of stratified cargo. </t>
  </si>
  <si>
    <t>C295-128-24</t>
  </si>
  <si>
    <t>Corpus &amp; Channelview</t>
  </si>
  <si>
    <t>Exxon - Sampling Issues</t>
  </si>
  <si>
    <t>C296-120-24</t>
  </si>
  <si>
    <t>CAR requested was from a customer audit, not a complaint. RB</t>
  </si>
  <si>
    <t>ExxonMobil - Sampling issue at Baytown</t>
  </si>
  <si>
    <t>C297-161-24</t>
  </si>
  <si>
    <t>Location 161 Baytown / J. Banuelos</t>
  </si>
  <si>
    <t>SBR / PBF - not pulling representative samples</t>
  </si>
  <si>
    <t>C329-170-24</t>
  </si>
  <si>
    <t>Freepoint - Sampling Issues</t>
  </si>
  <si>
    <t>C348-180-24</t>
  </si>
  <si>
    <t xml:space="preserve">SBR - Barge overloaded due to incorrect volume in job order. Inspector failed to verify with terminal. </t>
  </si>
  <si>
    <t>Per J Walton, no CAR is required.</t>
  </si>
  <si>
    <t>AmSpec failed to clarify Vibra’s instructions and add the expected 26% of EtOH spike to the vessel samples after load.</t>
  </si>
  <si>
    <t>C398-120-24</t>
  </si>
  <si>
    <t>PBF - Lubricity result issue</t>
  </si>
  <si>
    <t>C399-170-24</t>
  </si>
  <si>
    <t>Vitol - Safe work practices</t>
  </si>
  <si>
    <t>CAR originated from a Vitol audit</t>
  </si>
  <si>
    <t>SK Energy D7423 - Result off spec</t>
  </si>
  <si>
    <t>C410-130-24</t>
  </si>
  <si>
    <t>ATMI - RON Off Spec / Hand Blend Deficiencies</t>
  </si>
  <si>
    <t>C261-160-24 / C262-160-24</t>
  </si>
  <si>
    <t>Delay due to DM revision</t>
  </si>
  <si>
    <t>PBF - D4928 Water issue</t>
  </si>
  <si>
    <t>C417-130-24</t>
  </si>
  <si>
    <t>Marathon - Misgauging of Tank</t>
  </si>
  <si>
    <t>C418-130-24</t>
  </si>
  <si>
    <t>PBF-Line replacement &amp; trim correction</t>
  </si>
  <si>
    <t>C442-120-24</t>
  </si>
  <si>
    <t>Irving - Water KF</t>
  </si>
  <si>
    <t>C443-120-24</t>
  </si>
  <si>
    <t>Trafigura - LPG</t>
  </si>
  <si>
    <t>C453-160-24</t>
  </si>
  <si>
    <t>Irving Oil - Wrong vessels tanks sampled</t>
  </si>
  <si>
    <t>C464-199-24</t>
  </si>
  <si>
    <t>Chevron - D5191 / D5188 Discrepancies</t>
  </si>
  <si>
    <t>C469-130-24</t>
  </si>
  <si>
    <t xml:space="preserve">Lyondell - Inhibitor dosing </t>
  </si>
  <si>
    <t>C488-121-24</t>
  </si>
  <si>
    <t>CAR #</t>
  </si>
  <si>
    <t>CAR Type</t>
  </si>
  <si>
    <t>ASSOCIATED ORGANIZATION
(required for Complaints, Customer audits/alerts, 
3rd party audits)</t>
  </si>
  <si>
    <r>
      <t xml:space="preserve">BRIEF DESCRIPTION OF NC
</t>
    </r>
    <r>
      <rPr>
        <i/>
        <sz val="11"/>
        <color theme="1"/>
        <rFont val="Calibri"/>
        <family val="2"/>
        <scheme val="minor"/>
      </rPr>
      <t>if VOID:  "VOID, Location, type, 
details (initials, date)"</t>
    </r>
  </si>
  <si>
    <r>
      <t xml:space="preserve">Area 
(Lab, Ops, Misc.)
</t>
    </r>
    <r>
      <rPr>
        <i/>
        <sz val="11"/>
        <color theme="1"/>
        <rFont val="Calibri"/>
        <family val="2"/>
        <scheme val="minor"/>
      </rPr>
      <t>(drop-down)</t>
    </r>
  </si>
  <si>
    <t>CAR initialized date</t>
  </si>
  <si>
    <t>Complaint</t>
  </si>
  <si>
    <t>Aramco</t>
  </si>
  <si>
    <t>Operations</t>
  </si>
  <si>
    <t>CS - sign off</t>
  </si>
  <si>
    <t>Irving Oil retail site sampling and testing turn around times exceed contract Canada and US</t>
  </si>
  <si>
    <t>Internal assessment (9001 &amp; 17025)</t>
  </si>
  <si>
    <t>IA - Control of Data</t>
  </si>
  <si>
    <t>IA - Chemicals</t>
  </si>
  <si>
    <t>IA - Equipment Management</t>
  </si>
  <si>
    <t>IA - Test Witnessing</t>
  </si>
  <si>
    <t>IA - SQC Charts</t>
  </si>
  <si>
    <t>IA - File Review</t>
  </si>
  <si>
    <t>Follow up review on 7/11/24</t>
  </si>
  <si>
    <t>Procurement - qaulity statement on purchase orders, COAs not being reviewed</t>
  </si>
  <si>
    <t>Quality + technical bulletins not being reviewed within 30 days</t>
  </si>
  <si>
    <t xml:space="preserve">Inspector training records </t>
  </si>
  <si>
    <t>VOID: San Fran IA 9001/17025 - number no longer needed</t>
  </si>
  <si>
    <t>Duplicate number logged accidently - NC addressed using C021 (AH 12/12)</t>
  </si>
  <si>
    <t>Test method witnessing - ASTM D3227, D93, D2709, D2624</t>
  </si>
  <si>
    <t>QC charting / validity of results</t>
  </si>
  <si>
    <t>Metrological traceability</t>
  </si>
  <si>
    <t>Amendments to reports</t>
  </si>
  <si>
    <t>Technical records</t>
  </si>
  <si>
    <t>Reporting of results</t>
  </si>
  <si>
    <t>Review of requests, tenders, ad contracts</t>
  </si>
  <si>
    <t>IA - Clause 6.2.3</t>
  </si>
  <si>
    <t>IA - Clause 6.4.4</t>
  </si>
  <si>
    <t>IA - Clause 6.4.10 &amp; 6.4.13</t>
  </si>
  <si>
    <t>IA - Clause 7.5.1</t>
  </si>
  <si>
    <t>IA - Clause 7.7</t>
  </si>
  <si>
    <t>IA - Clause 8.3.2</t>
  </si>
  <si>
    <t>IA - File Review Recording and Controlling Field Data</t>
  </si>
  <si>
    <t>IA:  D2699/D2700</t>
  </si>
  <si>
    <t>IA:  D3227</t>
  </si>
  <si>
    <t>IA:  Inspector TRBs</t>
  </si>
  <si>
    <t>Other (QC, customer alert, improper procedure)</t>
  </si>
  <si>
    <t>Test Witnessing D4007 improper procedure</t>
  </si>
  <si>
    <t>Trafigura</t>
  </si>
  <si>
    <t>3rd party audit (DNV, A2LA, AASHTO…)</t>
  </si>
  <si>
    <t>Equipment OOS - D3606, D5599, D4815 and D1840</t>
  </si>
  <si>
    <t xml:space="preserve">IA - File Review   </t>
  </si>
  <si>
    <t>IA - Reagents Chemical Labels</t>
  </si>
  <si>
    <t>IA - MOC</t>
  </si>
  <si>
    <t>IA -Chemical List</t>
  </si>
  <si>
    <t>IA - Lab Training</t>
  </si>
  <si>
    <t>CQI Reporting</t>
  </si>
  <si>
    <t>VOID, CQI Reporting / Combined with C042-1332-24</t>
  </si>
  <si>
    <t>See C042</t>
  </si>
  <si>
    <t>Customer audit   </t>
  </si>
  <si>
    <t>Inspector FIT Test Expired</t>
  </si>
  <si>
    <t>Lab &amp; Ops</t>
  </si>
  <si>
    <t>3/27/2024 / 4/2/24</t>
  </si>
  <si>
    <t>P66 - Inspecton Samples were lost when the inspector was leaving the terminal.</t>
  </si>
  <si>
    <t>SQC</t>
  </si>
  <si>
    <t>Instrument Binder</t>
  </si>
  <si>
    <t>Training</t>
  </si>
  <si>
    <t>Reporting / COA</t>
  </si>
  <si>
    <t>MB</t>
  </si>
  <si>
    <t>Inspector did not use AmSpec's inspection equipment  / and verify vessels equipment after use.</t>
  </si>
  <si>
    <t>SJ purchased an additional UTI for crude jobs.</t>
  </si>
  <si>
    <t>Lab Training: 2023 &amp; 2024 LSOP-1 records for R. Peth</t>
  </si>
  <si>
    <t>No current calibration record for balances (CIN 120, CIN 107), thermometer SN 11948</t>
  </si>
  <si>
    <t>Thermometer SN 2869 only verified at one temperature</t>
  </si>
  <si>
    <t>ASTM D4294: QCs and control charts</t>
  </si>
  <si>
    <t>Hydrogen sulfide cylinder expired</t>
  </si>
  <si>
    <t>Clause 6.2.3</t>
  </si>
  <si>
    <t>Clause 6.4.3 and 6.4.4</t>
  </si>
  <si>
    <t>Clause 7.2.1.2</t>
  </si>
  <si>
    <t>Clause 7.5.1</t>
  </si>
  <si>
    <t>Clause 7.8.3.1</t>
  </si>
  <si>
    <t>Clause 7.7.1</t>
  </si>
  <si>
    <t>Clause 8.4.2</t>
  </si>
  <si>
    <t>Inspector Equipment</t>
  </si>
  <si>
    <t>VOID, Corpus, IA, no longer needed</t>
  </si>
  <si>
    <t>Unipec</t>
  </si>
  <si>
    <t xml:space="preserve">D4807- Lack of a grounding wire within the solvent flask to a grounded source. </t>
  </si>
  <si>
    <t xml:space="preserve">ASTM D95 – Expired Annual Calibration for the receiving flask. </t>
  </si>
  <si>
    <t>NStop Gasoline Lack of process-Trafigura Trading LLC</t>
  </si>
  <si>
    <t>IA - Inspectors TRB/H2S Bump Station/Field Equipment</t>
  </si>
  <si>
    <t>Clause 7.10.2</t>
  </si>
  <si>
    <t>P66 Sweeny Terminal</t>
  </si>
  <si>
    <t>Inspector driving incident at P66 Sweeny Terminal with no injury or damage.</t>
  </si>
  <si>
    <t>VOID: Complaint, Valero - Incorrect H2S Results reported. TX City</t>
  </si>
  <si>
    <t>Voided by Ed Bachar &amp; C Seested in oct 2024.</t>
  </si>
  <si>
    <t>VOID: Complaint, Chevron - UML API and Viscosity not matching results of compsition. TX City</t>
  </si>
  <si>
    <t>IA: Equipment calibration/verification</t>
  </si>
  <si>
    <t>IA: Equipment status</t>
  </si>
  <si>
    <t>IA:  Viscometer verification</t>
  </si>
  <si>
    <t>IA: QC</t>
  </si>
  <si>
    <t>IA: Test witnessing</t>
  </si>
  <si>
    <t>IA: Technical record</t>
  </si>
  <si>
    <t>IA: Inspector TRBs &amp; certificates</t>
  </si>
  <si>
    <t>IA: Probe checks on gauge tickets</t>
  </si>
  <si>
    <t>IA: No FL 13.1a &amp; FL 13.1b 2023</t>
  </si>
  <si>
    <t>IA: Lab training</t>
  </si>
  <si>
    <t>IA: D5191 instrument calibration</t>
  </si>
  <si>
    <t>IA: Document review</t>
  </si>
  <si>
    <t>IA: File Review</t>
  </si>
  <si>
    <t>IA: CQI Report</t>
  </si>
  <si>
    <t>Total</t>
  </si>
  <si>
    <t>Sediment &amp; Haze result was off spec.</t>
  </si>
  <si>
    <t>IA Clause 7.8.2.1 / 7.8.3.1</t>
  </si>
  <si>
    <t>IA Clause 7.2.1.7 / 7.5.1</t>
  </si>
  <si>
    <t>IA Clause 7.5.1</t>
  </si>
  <si>
    <t>IA Clause 6.4.13</t>
  </si>
  <si>
    <t>IA Clause 6.4.4</t>
  </si>
  <si>
    <t>IA Clause 6.2.2</t>
  </si>
  <si>
    <t>additional document pending. HB</t>
  </si>
  <si>
    <t>IA Clause 7.7.1</t>
  </si>
  <si>
    <t>Inspector training records</t>
  </si>
  <si>
    <t>Job File review - traceability of field inspector raw data and final inspection reports, missing JSAs, write overs on field raw data</t>
  </si>
  <si>
    <t>Deficiencies observed during 10/15 effectiveness review - follow up in 30 days</t>
  </si>
  <si>
    <t>IA: Solutions prep + records</t>
  </si>
  <si>
    <t>IA Job File review</t>
  </si>
  <si>
    <t>D4928 - Water Content Chart Range Discrepancy Identified</t>
  </si>
  <si>
    <t>PBF</t>
  </si>
  <si>
    <t>Incorrect samples were tested and reported</t>
  </si>
  <si>
    <t>3/27/2024 / 4/3/24</t>
  </si>
  <si>
    <t>Data traceability: Instrument Out of Service during Phillips 66 CARBOB sample analysis - D6550</t>
  </si>
  <si>
    <t>Use of uncontrolled documents for Y intercept calculation in laboratory - D5580, D1322</t>
  </si>
  <si>
    <t xml:space="preserve">Identified issues in personnel training records and discrepancies in method verifications. D6550, D1322, D5580, </t>
  </si>
  <si>
    <t>Training matrix to be added to closed CAR</t>
  </si>
  <si>
    <t>Expired and untraceable verification standards - D5453, IP570/D7671</t>
  </si>
  <si>
    <t>Lack of monitoring and documentation for QC chart recalculation - D6550, D4052</t>
  </si>
  <si>
    <t>No Accuracy verification in place for D6550.</t>
  </si>
  <si>
    <t>No Verification / Calibration records for D1322, IP 570/D7621</t>
  </si>
  <si>
    <t>The station book for D1322 not filled in properly.</t>
  </si>
  <si>
    <t>IA: Clause 6.4.1 (equipment OOS)</t>
  </si>
  <si>
    <t>A025-170-24 - PTP Outliers - late investigation</t>
  </si>
  <si>
    <t>EN12196 - Improper integration</t>
  </si>
  <si>
    <t>Rev 1 reissued 5/13/24</t>
  </si>
  <si>
    <t>IA:  File review (9001)</t>
  </si>
  <si>
    <t>IA:  Clause 6.2.3</t>
  </si>
  <si>
    <t>IA:  Clause 6.4.1</t>
  </si>
  <si>
    <t>IA:  Clause 6.4.4</t>
  </si>
  <si>
    <t>IA:  Clause 7.2.1.3</t>
  </si>
  <si>
    <t>IA:  Clause 7.5.1</t>
  </si>
  <si>
    <t>IA:  Clause 7.7.1</t>
  </si>
  <si>
    <t>Unlabeled samples, including blends and LCS materials, have led to resource wastage, time loss, and work disruptions.</t>
  </si>
  <si>
    <t>Inspection equipment &amp; training record</t>
  </si>
  <si>
    <t>Job file review</t>
  </si>
  <si>
    <t>Sample transportation</t>
  </si>
  <si>
    <t>Clasue 7.4.2 Sample ID</t>
  </si>
  <si>
    <t>Clause 7.7.3 QC charts</t>
  </si>
  <si>
    <t>Follow up conducted on 5/14/24</t>
  </si>
  <si>
    <t>Mass DEP</t>
  </si>
  <si>
    <t xml:space="preserve">Air Quality / laboratory emissions </t>
  </si>
  <si>
    <t>Hazardous waste container labelling / satellite waste streams / waste drum determination</t>
  </si>
  <si>
    <t>Weekly waste inspections</t>
  </si>
  <si>
    <t>St. Bernard Renewables - PBF</t>
  </si>
  <si>
    <t>Inspector miscalculated stop gauge for ST 406 at Chalmette Refinery.</t>
  </si>
  <si>
    <t>Reported a higher-than-expected sodium on a Shore tank 286, prior to loading the Green Attitude</t>
  </si>
  <si>
    <t>VOID: Complaint, MPC - Delay in reporting results for the HTCO 3090 / Kirby 29065. TX City</t>
  </si>
  <si>
    <t>A034-170-24: Job File: D1319 section 10.3</t>
  </si>
  <si>
    <t>A034-170-24: Job File: Jet COAs missing footnote  that the Jet meets latest version of  specification</t>
  </si>
  <si>
    <t>A034-170-24: Calibration: D4815 y-intercepts are not checked for acceptability per 12.3.6</t>
  </si>
  <si>
    <t>A034-170-24: SQC: Reactions to MR Rule violations is not always consistent</t>
  </si>
  <si>
    <t>A034-170-24: SQC: Charts are not ASTM D6299 compliant as the historical means and limits are oiverriden each time the data is pooled</t>
  </si>
  <si>
    <t>A034-170-24: Training: No training records for D3227 for the tech who ran the test</t>
  </si>
  <si>
    <t>A034-170-24: QSM: Familiarity with the corporate recheck procedure is not fully embedded throughout the site.</t>
  </si>
  <si>
    <t>Lab equipment + records</t>
  </si>
  <si>
    <t>Solutions preparation + records</t>
  </si>
  <si>
    <t>Test witnessing</t>
  </si>
  <si>
    <t>QC charts / outliers</t>
  </si>
  <si>
    <t>Lab training records</t>
  </si>
  <si>
    <t>MOC</t>
  </si>
  <si>
    <t>Review of external certificates</t>
  </si>
  <si>
    <t xml:space="preserve">Inspection equipment </t>
  </si>
  <si>
    <t>Sample retain</t>
  </si>
  <si>
    <t>Lab equipment caibration/verification</t>
  </si>
  <si>
    <t>IA:  Data traceability / test properties on LW</t>
  </si>
  <si>
    <t>IA:  Random field audits overdue</t>
  </si>
  <si>
    <t>IA: Expired tachometer</t>
  </si>
  <si>
    <t>IA: Test witnessing (D5191)</t>
  </si>
  <si>
    <t>IA: Lab training records</t>
  </si>
  <si>
    <t>IA: QC charts</t>
  </si>
  <si>
    <t>Reporting D5708</t>
  </si>
  <si>
    <t>Safety shower and eyewash checks</t>
  </si>
  <si>
    <t>D3242 trisolvent prep record - expired water</t>
  </si>
  <si>
    <t>D3242 over titration</t>
  </si>
  <si>
    <t>Green / Red tag info</t>
  </si>
  <si>
    <t>D1319 procedure</t>
  </si>
  <si>
    <t>IA - File Review: Gauge tickets - probe check not recorded, writeovers</t>
  </si>
  <si>
    <t>IA - QC - D4530 not charted</t>
  </si>
  <si>
    <t>HSE - risk and record</t>
  </si>
  <si>
    <t>QAS - managing method revisions</t>
  </si>
  <si>
    <t>Operations SOP for BP</t>
  </si>
  <si>
    <t>Equipment calibration - vendor qualification</t>
  </si>
  <si>
    <t>Sample management - SOP for prep composite</t>
  </si>
  <si>
    <t>COA</t>
  </si>
  <si>
    <t>Sample disposal - ventilation</t>
  </si>
  <si>
    <t>Testing</t>
  </si>
  <si>
    <t>IA - Instrument Calibration/Verification</t>
  </si>
  <si>
    <t>IA - Testing</t>
  </si>
  <si>
    <t>IA - Original observed data recorded on uncontrolled datasheets</t>
  </si>
  <si>
    <t>IA - Training Records</t>
  </si>
  <si>
    <t>IA - QC</t>
  </si>
  <si>
    <t>IA: Test Witnessing</t>
  </si>
  <si>
    <t>IA: Inspector Training records</t>
  </si>
  <si>
    <t xml:space="preserve">IA: Corporate documents </t>
  </si>
  <si>
    <t>IA: Job File review</t>
  </si>
  <si>
    <t>IA - Inspection Equipment</t>
  </si>
  <si>
    <t>IA - Inspection Raw Data</t>
  </si>
  <si>
    <t>IA - Technical &amp; Quality Bulletin</t>
  </si>
  <si>
    <t>IA - Technical Record</t>
  </si>
  <si>
    <t>IA - Equipment and Test Witnessing</t>
  </si>
  <si>
    <t>IA - SQC</t>
  </si>
  <si>
    <t>IA: Cal certs are not reviewed for compliance</t>
  </si>
  <si>
    <t>IA: Obsolete versions of INSCAL forms in use</t>
  </si>
  <si>
    <t>IA: QB-00020 not reviewed</t>
  </si>
  <si>
    <t>It was determined, per BP, that our office should improve the emergency evacuation evaluations.</t>
  </si>
  <si>
    <t>It was determined, per BP, that our office should complete risk assessments for all laboratory activities, as applicable.</t>
  </si>
  <si>
    <t>It was determined, per BP, that our lab is to control who participates in the PTP schemes to ensure good distribution.</t>
  </si>
  <si>
    <t>It was determined, per BP, that our office should ensure a more timely evaluation and management of change for significant test method updates.</t>
  </si>
  <si>
    <t>The formal communication route between laboratory and BP and if it was effective. It was determined, per BP, that Amspec needs to document and control existing processes.</t>
  </si>
  <si>
    <t>It was determined, per BP, that Amspec need to consistently record version numbers or state the latest method is used, unless otherwise stated in the reports.</t>
  </si>
  <si>
    <t>VOID, San Francisco, P66 - Lab staffing, 05.10.24, HM</t>
  </si>
  <si>
    <t>Per Michael Bailey, hold off on responding to this CAR unless the client specifically requests it again.</t>
  </si>
  <si>
    <t>Lack of SOP for test methods</t>
  </si>
  <si>
    <t>Handblend  Data sheet to be added to theclosed CAR</t>
  </si>
  <si>
    <t>Follow up in 90 days</t>
  </si>
  <si>
    <t>D6550</t>
  </si>
  <si>
    <t>D5453</t>
  </si>
  <si>
    <t>D3227</t>
  </si>
  <si>
    <t>D86</t>
  </si>
  <si>
    <t>IA: Lab POs missing quality statements</t>
  </si>
  <si>
    <t>IA: Amended COAs</t>
  </si>
  <si>
    <t>IA: Job file folder checklists</t>
  </si>
  <si>
    <t>IA: D97 bath and data</t>
  </si>
  <si>
    <t>IA:  D93 undecane SQC chart</t>
  </si>
  <si>
    <t>IA:  D8252 - D. Corter initial training</t>
  </si>
  <si>
    <t>Valero: A050-170-24: D4815 missing records of calibration</t>
  </si>
  <si>
    <t>Valero: A050-170-24: D3606 missing records of calibration</t>
  </si>
  <si>
    <t>A2LA - A062-190-24 - Sec.8.3.2 No evidence for a process to ensure that documents are periodically reviewed</t>
  </si>
  <si>
    <t>A2LA - A062-190-24 - Sec.8.3.2 Unintended use of obsolete documents</t>
  </si>
  <si>
    <t>A2LA - A062-190-24 - A2LA Policy 102 (T6)(1) Ref materials in used do not meet the requirements</t>
  </si>
  <si>
    <t>A2LA - A062-190-24 - Sec.7.7.1 Laboratory has no process for monitoring the validity of results for IMPCA 003</t>
  </si>
  <si>
    <t>A2LA - A062-190-24 - Sec.6.4.13 Laboratory has no records of firmware versions for any of its equipment</t>
  </si>
  <si>
    <t>NSTOP</t>
  </si>
  <si>
    <t>Benzene QC</t>
  </si>
  <si>
    <t xml:space="preserve">Vessel  sampler had some product remaining in the tube and dripped on the gangway and dock while the inspector was disembarking the vessel. </t>
  </si>
  <si>
    <t>Clause 6.4.1 &amp; 6.4.8 Equipment</t>
  </si>
  <si>
    <t>Clause 6.5 Metrological Traceability</t>
  </si>
  <si>
    <t>Clause 7.5.1 &amp; 6.3.2 Technical records</t>
  </si>
  <si>
    <t>Clause 7.7.1 Validity of Results</t>
  </si>
  <si>
    <t>Clause 7.8.3.1 Reporting</t>
  </si>
  <si>
    <t>Issue with reported AASHTO T201 Kinematic Viscosity on GM 1000/1010 VTB</t>
  </si>
  <si>
    <t>AASHTO Re:source</t>
  </si>
  <si>
    <t>A068-138-24: AASHTO T48/ASTM D92 - temperature rise of the sample was not maintained</t>
  </si>
  <si>
    <t>A068-138-24: AASHTO T313/ASTM D6648 - Silicone based was used instead of petroleum based grease.</t>
  </si>
  <si>
    <t>A068-138-24: AASHTO T315/ASTM D7175 - Portable thermometer was not verified every 6 months.</t>
  </si>
  <si>
    <t>A068-138-24: Staff - Position descriptions for each technical operational position were not presented</t>
  </si>
  <si>
    <t>A068-138-24: Technician Training and Evaluation: No evalution for R. Peth for D7643, R29 and T21/D113.</t>
  </si>
  <si>
    <t>A068-138-24: Internal Audits - Frequency of review was greater than 12 months interval</t>
  </si>
  <si>
    <t>A068-138-24: Management Reviews</t>
  </si>
  <si>
    <t>A068-138-24: Thermometer verification doesn't cover the thermometer range</t>
  </si>
  <si>
    <t>P66 Jones Creek</t>
  </si>
  <si>
    <t>The inspector failed to arrive at the job on time and prepared.</t>
  </si>
  <si>
    <t>Follow up on 7/6/2024, no reported issues.</t>
  </si>
  <si>
    <t>Pilot</t>
  </si>
  <si>
    <t>Octane result off spec</t>
  </si>
  <si>
    <t>NSTOP result for RVP  off Spec</t>
  </si>
  <si>
    <t>Responded by EPA compliance team</t>
  </si>
  <si>
    <t>ISO 17025 Clause 4.1.3, 4.2.1: No 2024 LSOP-1 records for analysts interviewed</t>
  </si>
  <si>
    <t>ISO 17025 Clause 6.2.5: ­J. Labuguen: No training record available for gums and distillation</t>
  </si>
  <si>
    <t>ISO 17025 Clause 6.4.13 - Lab equipment verifications, maintenance + records</t>
  </si>
  <si>
    <t>ISO 17025 Clause 6.4.4 - Gaps in verification records (lubricity, distillation, thermometers)</t>
  </si>
  <si>
    <t>ISO 17025 Clause 6.4.10 - no verification records for balance CA 139 - last verified 04.29.2024</t>
  </si>
  <si>
    <t>ISO 17025 Clause Clause 7.2.1.5 - TMA schedule does not reflect assessment dates / due dates</t>
  </si>
  <si>
    <t>ISO 17025 Clause 7.2.1.7 Test method witnessing (ASTM D4815, ASTM D445, ASTM D4952, ASTM D86)</t>
  </si>
  <si>
    <t>ISO 17025 Clause 7.5.1 Technical records</t>
  </si>
  <si>
    <t>ISO 17025 Clause 7.7.1 - No LCS, charts in place for ASTM D2500, ASTM D93</t>
  </si>
  <si>
    <t>ISO 17025 Clause 8.3 - Uncontrolled notes / documents on instruments for RVP, gums, and BS &amp; W.</t>
  </si>
  <si>
    <t>Quality Bulletin review + records</t>
  </si>
  <si>
    <t>ExxonMobil Research</t>
  </si>
  <si>
    <t>ExxonMobil Research - mishandling research samples Submitted sample</t>
  </si>
  <si>
    <t>ExxonMobil Research - mishandling research samples Assey</t>
  </si>
  <si>
    <t>Follow up on 8/30/24 RB Outlook reminder set.</t>
  </si>
  <si>
    <t>ATMI</t>
  </si>
  <si>
    <t>Incorrect additive hand blends</t>
  </si>
  <si>
    <t>Testing incorrect sample</t>
  </si>
  <si>
    <t>Discrepancy in applied and reported test method</t>
  </si>
  <si>
    <t>IA: Annual Random Field Audits were overdue for two inspectors.</t>
  </si>
  <si>
    <t>IA: Ops equipment certs &amp; Ops review of QBs</t>
  </si>
  <si>
    <t>IA: Clause 6.4.4</t>
  </si>
  <si>
    <t>IA: Clause 6.4.9</t>
  </si>
  <si>
    <t>IA: Clause 6.4.13</t>
  </si>
  <si>
    <t>IA: Clause 6.5.1</t>
  </si>
  <si>
    <t>IA: Clause 7.5.1</t>
  </si>
  <si>
    <t>IA: Clause 7.7.1</t>
  </si>
  <si>
    <t>IA: Clause 7.8.3.1</t>
  </si>
  <si>
    <t>IA: Clause 7.8.8.1</t>
  </si>
  <si>
    <t>IA: Clause 7.10.2</t>
  </si>
  <si>
    <t>IA: Clause 8.3.2</t>
  </si>
  <si>
    <t>IA: Job File Review</t>
  </si>
  <si>
    <t>IA: Quality Bulletin Review</t>
  </si>
  <si>
    <t>IA: Field Safety Equipment</t>
  </si>
  <si>
    <t>Inconsistent data reported to the client with multiple revisions. Analyzed on the week of May 15th, 2024</t>
  </si>
  <si>
    <t>VOID, Cenovus Energy - File # 171-24-00422  
D7169 SimDis Analysis reported lower recovery and discrepancies. See C309-171-24</t>
  </si>
  <si>
    <t>VOID - Duplicate CAR assigned see C309-171-24</t>
  </si>
  <si>
    <t>IA: Ops not reviewing QBs/TBs</t>
  </si>
  <si>
    <t>IA:  RFA overdue</t>
  </si>
  <si>
    <t>IA:  Field equipment certs not being reviewed/signed</t>
  </si>
  <si>
    <t>IA: D4928 QC and QC chart</t>
  </si>
  <si>
    <t>The process is not effective to meet requirements of IAF MD1 and associated leadership/top management involvement and evidence to support management systems</t>
  </si>
  <si>
    <t>Control of Documented Information. Forms used to create quality records (i.e. 110-006 D7501 Temperature Verification Rev. 0, 10.01.2015) is insufficiently controlled to prevent unauthorized changes. ISO 9001:2015 7.5</t>
  </si>
  <si>
    <t>Competence Records. Retain appropriate documented information as evidence of competence. ISO 9001:2015 7.2</t>
  </si>
  <si>
    <t>Clause 6.4.8 Equipment status / labeling</t>
  </si>
  <si>
    <t>Clause 7.5.1 Original obs - equipment time</t>
  </si>
  <si>
    <t>Clause 6.5.1 Expired stopwatch</t>
  </si>
  <si>
    <t>IA - Operations review of QB / TB</t>
  </si>
  <si>
    <t>Inspectors failed to take mutiple tempertures of stratified cargo.</t>
  </si>
  <si>
    <t>Sampling Issues</t>
  </si>
  <si>
    <t>Location 161 / Baytown</t>
  </si>
  <si>
    <t>ISO 17025 Clause 6.3.3 Monitoring of enviromental conditions</t>
  </si>
  <si>
    <t>ISO 17025 Clause 6.4.4 Lab equipment</t>
  </si>
  <si>
    <t>ISO 17025 Clasue 6.4.8 Equipment status</t>
  </si>
  <si>
    <t>ISO 17025 Clause 6.4.113a Equipment record</t>
  </si>
  <si>
    <t>ISO 17025 Clause 7.5.1 Technical record</t>
  </si>
  <si>
    <t>ISO 17025 Clause 7.7 Validity of results</t>
  </si>
  <si>
    <t>ISO 17025 Clause 7.8.2.1 Reporting of results</t>
  </si>
  <si>
    <t>ISO 17025 Clause 7.2.1.7 Test witnessing</t>
  </si>
  <si>
    <t>ISO 17025 Clause 6.2 Personnel</t>
  </si>
  <si>
    <t>ISO 9001: Write overs on FL 104</t>
  </si>
  <si>
    <t>ISO 9001: Job file review</t>
  </si>
  <si>
    <t>Cenovus (thru HTC)</t>
  </si>
  <si>
    <t>Discrepancies on SimDist results submitted by HTC (Cenovus Samples)</t>
  </si>
  <si>
    <t>CAF 028 was voided due to no complaint / Improper Procedure / Luis, Simon.</t>
  </si>
  <si>
    <t>IA:  File review</t>
  </si>
  <si>
    <t>IA:  Equipment certs not signed for review</t>
  </si>
  <si>
    <t>Untagged samples in truck</t>
  </si>
  <si>
    <t>Workbook documentation</t>
  </si>
  <si>
    <t>Action plan to Resolve the high number of overdue CARs</t>
  </si>
  <si>
    <t>Daily probe check</t>
  </si>
  <si>
    <t>Inspector TRB</t>
  </si>
  <si>
    <t>File Review</t>
  </si>
  <si>
    <t>Clause 6.4.3 Staff competency/method dev</t>
  </si>
  <si>
    <t>Clause 6.4.4 Lab equipment</t>
  </si>
  <si>
    <t>Clasue 6.5 metrological traceability</t>
  </si>
  <si>
    <t>Clause 6.4.8 Laboratory Equipment</t>
  </si>
  <si>
    <t>Clause 6.4.10 Equipment verifications</t>
  </si>
  <si>
    <t>Clause 6.4.13 Equipment firmware &amp; software</t>
  </si>
  <si>
    <t>Clause 7.1 contract review / nomination</t>
  </si>
  <si>
    <t>Clause 7.5.1 Technical record</t>
  </si>
  <si>
    <t>Clasue 7.7.3 QC charts</t>
  </si>
  <si>
    <t>Clause 6.2.5 Training record</t>
  </si>
  <si>
    <t>Safety - gas cylinders and waste manifest</t>
  </si>
  <si>
    <t>Not pulling representative samples</t>
  </si>
  <si>
    <t>IA - Safety</t>
  </si>
  <si>
    <t>IA - Field Equipment</t>
  </si>
  <si>
    <t>IA - Technicial Records</t>
  </si>
  <si>
    <t>IA - Laboratory Equipment</t>
  </si>
  <si>
    <t>IA - QC Chart</t>
  </si>
  <si>
    <t>IA - TMA Schedule</t>
  </si>
  <si>
    <t>IA - Corrective Actions</t>
  </si>
  <si>
    <t>Pembia</t>
  </si>
  <si>
    <t>D4052 - Test temperture chamber was not set to temperture as stipulated by procedure and client.</t>
  </si>
  <si>
    <t>H2S cylinder expired (May 2024)</t>
  </si>
  <si>
    <t>Cal certs for inspection equipment unsigned</t>
  </si>
  <si>
    <t>ISO 17025 Clause 7.2.1.7 Test winessing</t>
  </si>
  <si>
    <t>Limit for D4294 blank QC was incorrectly set.</t>
  </si>
  <si>
    <t>Previously assigend to Lake Charles IA 9001 / 17025, CAR No no longer needed for report - AH /08.16</t>
  </si>
  <si>
    <t>ISO 17025 Clause 7.7</t>
  </si>
  <si>
    <t>ISO 17025 Clause 7.8.8 Amended reports</t>
  </si>
  <si>
    <t>ISO 17025 Clause 6.5.1 Traceability</t>
  </si>
  <si>
    <t>Freepoint</t>
  </si>
  <si>
    <t>Improper Sampling</t>
  </si>
  <si>
    <t>VOID (HB)</t>
  </si>
  <si>
    <t>Client did not what a CAR per Ed. B.</t>
  </si>
  <si>
    <t>Job files printout no initial, sampling instruction not followed, job file completeness</t>
  </si>
  <si>
    <t>Job file 131-24-01251-D5453 high RSD, sampling instruction not followed, file completeness</t>
  </si>
  <si>
    <t>Combined with C351 - MT</t>
  </si>
  <si>
    <t>D613 - High cetane fuel check, condenser &amp; injector temp, staff training</t>
  </si>
  <si>
    <t>D2274 - technical record</t>
  </si>
  <si>
    <t>Inspector Instrument/Record</t>
  </si>
  <si>
    <t>Lab Equipment</t>
  </si>
  <si>
    <t>Test Witnessing</t>
  </si>
  <si>
    <t>Overdue PTOs</t>
  </si>
  <si>
    <t>IA: Monthly probe check thermometer</t>
  </si>
  <si>
    <t>IA:  Daily probe checks</t>
  </si>
  <si>
    <t>IA:  FIT test</t>
  </si>
  <si>
    <t>IA:  Review of Ops Equipment certs</t>
  </si>
  <si>
    <t>IA:  Gum solvent / Solns prep log</t>
  </si>
  <si>
    <t>IA:  Secondary containers</t>
  </si>
  <si>
    <t>IA:  TMAs</t>
  </si>
  <si>
    <t>IA:  Lab equipment list / inventory IDs</t>
  </si>
  <si>
    <t>IA:  Calibration schedule</t>
  </si>
  <si>
    <t>IA:  Lab training binders</t>
  </si>
  <si>
    <t xml:space="preserve">IA:  Lab equipment </t>
  </si>
  <si>
    <t>IA:  QC &amp; QC charts</t>
  </si>
  <si>
    <t>IA:  Test witnessing</t>
  </si>
  <si>
    <t>Valero - D86 unit not in compliance for EPA gasoline testing</t>
  </si>
  <si>
    <t>IA:  Weekly waste log</t>
  </si>
  <si>
    <t>IA:  Clause 5.7a, b</t>
  </si>
  <si>
    <t>IA:  Clause 6.2.5</t>
  </si>
  <si>
    <t>CAR is deemed ineffective; replaced by C342-197-25</t>
  </si>
  <si>
    <t>IA:  Clause 6.4.10</t>
  </si>
  <si>
    <t>IA:  Clause 6.4.13</t>
  </si>
  <si>
    <t>IA:  Clause 7.2.1.7</t>
  </si>
  <si>
    <t>IA:  Clause 7.5</t>
  </si>
  <si>
    <t>IA:  Clause 7.7.1, 7.7.3</t>
  </si>
  <si>
    <t>CAR is deemed ineffective; replaced by C331-197-25</t>
  </si>
  <si>
    <t>IA:  Clause 7.8.3</t>
  </si>
  <si>
    <t>IA:  Clause 7.8.8</t>
  </si>
  <si>
    <t>D664</t>
  </si>
  <si>
    <t>D7169</t>
  </si>
  <si>
    <t>D7900</t>
  </si>
  <si>
    <t>IA - QC Charts</t>
  </si>
  <si>
    <t>IA - Nonconforming Test Result Procedure</t>
  </si>
  <si>
    <t>IA - Amended COA Procedure</t>
  </si>
  <si>
    <t>IA - Lab Equipment Management</t>
  </si>
  <si>
    <t>IA - Lab Training Records</t>
  </si>
  <si>
    <t>Vibra</t>
  </si>
  <si>
    <t>During the Monthly Oversight Analysis for Irving Oil multiple nonconformances were identified:</t>
  </si>
  <si>
    <t>A112-110-24: Quality stds not identified by unique lot numbers</t>
  </si>
  <si>
    <t>Safe work practices</t>
  </si>
  <si>
    <t>IA - Ops File Review</t>
  </si>
  <si>
    <t>IA - Clause 7.7.1 and 7.7.3 Validity of Results</t>
  </si>
  <si>
    <t>IA - Clause 6.4.4 and 6.4.13 Equipment Conforms to Requirements / Records</t>
  </si>
  <si>
    <t>IA - Clause 7.2.1.7 Method Deviations</t>
  </si>
  <si>
    <t>IA - Clause 6.5 Traceability</t>
  </si>
  <si>
    <t>IA - Clause 7.8 Reporting of Results</t>
  </si>
  <si>
    <t>IA - Clause 7.5 Technical Records</t>
  </si>
  <si>
    <t>SK Energy</t>
  </si>
  <si>
    <t>A113-141-24 - ASTM method revisions on COA are outdated</t>
  </si>
  <si>
    <t>A113-141-24 - Incorrect units reported for D2622</t>
  </si>
  <si>
    <t>Gauging Records</t>
  </si>
  <si>
    <t>Contents of Reports</t>
  </si>
  <si>
    <t>Laboratory Analysis Records</t>
  </si>
  <si>
    <t>Representation of Customs</t>
  </si>
  <si>
    <t>PBF D4928 - Result off spec</t>
  </si>
  <si>
    <t>Marathon - Misgauging of tank</t>
  </si>
  <si>
    <t>Irving - Gauging to the nearest mm</t>
  </si>
  <si>
    <t>Amspec</t>
  </si>
  <si>
    <t>PT Outliers Observed as a Result of Multiple Transcription Errors During Data Entry</t>
  </si>
  <si>
    <t>ISO 9001 : Test witnessing</t>
  </si>
  <si>
    <t>ISO 9001: Unsigned cal certs for field inspection equipment</t>
  </si>
  <si>
    <t>ISO 9001: H2S gas cylinder expired</t>
  </si>
  <si>
    <t>ISO 9001: Inspector training records</t>
  </si>
  <si>
    <t>ISO 9001: Job file folder review</t>
  </si>
  <si>
    <t>ISO 9001: Lab training records</t>
  </si>
  <si>
    <t>ISO 9001: QC charts</t>
  </si>
  <si>
    <t>ISO 9001: Sample and waste management</t>
  </si>
  <si>
    <t>D7754 ISTD contamination</t>
  </si>
  <si>
    <t>Ops TBA</t>
  </si>
  <si>
    <t>Inspector training record</t>
  </si>
  <si>
    <t>Safety concerns in the lab due to poor housekeeping</t>
  </si>
  <si>
    <t>Clause 7.10.1 Impact analysis</t>
  </si>
  <si>
    <t>Raw data very hard to understand and not labelled well in the inspector field books.</t>
  </si>
  <si>
    <t>Daily temp checks not recorded on gauge tickets or in a log.</t>
  </si>
  <si>
    <t>Monthly equipment checks for numerous pieces of equipment not provided.</t>
  </si>
  <si>
    <t>Vessels not measured to the nearest tape graduation (mm or 1/8”).</t>
  </si>
  <si>
    <t>Calibration certificates were not provided for several pieces of equipment.</t>
  </si>
  <si>
    <t>Deficient gauge tickets. No space for 2nd gauge.</t>
  </si>
  <si>
    <t>Line replacement &amp; trim correction</t>
  </si>
  <si>
    <t>Water by KF result - Seaway Colorado (LAB)</t>
  </si>
  <si>
    <t>ISO 17025: Clause 6.2 Lab training records</t>
  </si>
  <si>
    <t>ISO 17025: Clause 6.4 Lab equipment</t>
  </si>
  <si>
    <t>Submission pending - D3606 still offline (last update Apr 9 2025</t>
  </si>
  <si>
    <t>ISO 17025 Clause 6.4 Lab equipment records</t>
  </si>
  <si>
    <t>ISO 17025 Clause 6.5 Metrological traceability</t>
  </si>
  <si>
    <t>Leaving open until lab receives calibrated equipment - AH 01.31.2025</t>
  </si>
  <si>
    <t>ISO 17025 Clause 7.2 Method deviations</t>
  </si>
  <si>
    <t>ISO Clause 7.5 Technical records / Job file review</t>
  </si>
  <si>
    <t>Water by KF result - Seaway Colorado (OPS) Data review</t>
  </si>
  <si>
    <t>LPG -  incorrect sample ran</t>
  </si>
  <si>
    <t>Job File not complete</t>
  </si>
  <si>
    <t>Training binders not up to date</t>
  </si>
  <si>
    <t>Clause 8.8.2 and 8.8.2d</t>
  </si>
  <si>
    <t>Clause 8.7.1 and 8.7.1d</t>
  </si>
  <si>
    <t>VOID:  HTC A2LA audit, Method IP 565; Invalidated by A2LA (HB, 11.8.24)</t>
  </si>
  <si>
    <t>Invalidated by A2LA</t>
  </si>
  <si>
    <t>D3242 - Broken Burette</t>
  </si>
  <si>
    <t>Test Witnessing - D3242, D1322</t>
  </si>
  <si>
    <t>Vessel gauging accuracy</t>
  </si>
  <si>
    <t>Sampled wrong tank on vessel</t>
  </si>
  <si>
    <t>#1.2 No fire alarm systen</t>
  </si>
  <si>
    <t>#8.4 Houskeeping</t>
  </si>
  <si>
    <t>#8.5 Odors in lab &amp; retain, octane room temp</t>
  </si>
  <si>
    <t>#8.9 Large qty of chemical in office</t>
  </si>
  <si>
    <t xml:space="preserve">Chevron  </t>
  </si>
  <si>
    <t>Job files (ops)</t>
  </si>
  <si>
    <t>Field Equipment</t>
  </si>
  <si>
    <t>Clause 6.2.3 &amp; 6.2.5 f Competency</t>
  </si>
  <si>
    <t>Clause 6.4.4 Equipment conformance</t>
  </si>
  <si>
    <t>Clause 6.4.9 Expired chemicals/reagents</t>
  </si>
  <si>
    <t>Clause 6.4.13 (e) Acceptance criter</t>
  </si>
  <si>
    <t>Clause 7.8.1.2 Reporting</t>
  </si>
  <si>
    <t>No record of biennial document review</t>
  </si>
  <si>
    <t>Overdue TMAs</t>
  </si>
  <si>
    <t>Deemed ineffective during 2025 assessment. See C421-110-25</t>
  </si>
  <si>
    <t>Calibrations / Verifications</t>
  </si>
  <si>
    <t>Reporting - COAs</t>
  </si>
  <si>
    <t>Biodiesel PT Z score Charts</t>
  </si>
  <si>
    <t xml:space="preserve">Lyondell </t>
  </si>
  <si>
    <t>Inhibitor dosing issue</t>
  </si>
  <si>
    <t>Gauging vessel to 1/2 cm</t>
  </si>
  <si>
    <t>Vessel not measured to the nearest mm</t>
  </si>
  <si>
    <t>Method findings</t>
  </si>
  <si>
    <t>ISO 17025 A2LA Policy P102, Sec T5</t>
  </si>
  <si>
    <t>ISO 17025 Clause 8.3.2</t>
  </si>
  <si>
    <t>ISO 17025 Clause 7.7.1</t>
  </si>
  <si>
    <t>VOID: Memphis A2LA ISO 17025 renewal, Clause 7.9.5</t>
  </si>
  <si>
    <t>deficiency invalidated by A2LA Dec 11 (AH, 12.20.2024)</t>
  </si>
  <si>
    <t xml:space="preserve">Records retention is shorter than Shell’s
requirements.
</t>
  </si>
  <si>
    <t>Jet fuel COAs  lack statements for traceability  or conformance to specifications.</t>
  </si>
  <si>
    <t xml:space="preserve">Non-compliance with the ASTM D86
Distillation test condenser temperature for jet fuel.
</t>
  </si>
  <si>
    <t>SQC  procedures and corrective actions are not imbedded into the laboratory  and current processes are inconsistent with ASTM D6299.</t>
  </si>
  <si>
    <t>Training records for laboratory personnel were not complete.</t>
  </si>
  <si>
    <t>The laboratory  is not effectively managing the root cause analysis (RCA)  process for proficiency testing schemes.</t>
  </si>
  <si>
    <t>effectiveness review completed on July 4th, 2025</t>
  </si>
  <si>
    <t>The policy for suspect data or non- conforming results does not align with industry standards. - reassigned P036-101-24</t>
  </si>
  <si>
    <t>Sample and internal STD weights not documented for applicable GC methods</t>
  </si>
  <si>
    <t>Retain status for samples not documented</t>
  </si>
  <si>
    <t>17025 gap assessment</t>
  </si>
  <si>
    <t>Clause 6.4.13 Software/Firmware</t>
  </si>
  <si>
    <t>Clause 7.4.2 Sample ID</t>
  </si>
  <si>
    <t>Clause 7.8.3.1 a Reporting</t>
  </si>
  <si>
    <t>Clause 8.9.1 Management review</t>
  </si>
  <si>
    <t>IA:  Thermometer ice point</t>
  </si>
  <si>
    <t>VOID:  Mickleton, IA:  inspection equipment certs from 01.02.2025 (KA, 01.03.2025)</t>
  </si>
  <si>
    <t>Voided per Teams conversation with CS on 01.03.2025 (KA)</t>
  </si>
  <si>
    <t>IA: chemical inventory</t>
  </si>
  <si>
    <t xml:space="preserve">IA:  Lab training  </t>
  </si>
  <si>
    <t>QC Data Evaluation</t>
  </si>
  <si>
    <t>QC chart corrupted</t>
  </si>
  <si>
    <t>QC - control of nonconforming work</t>
  </si>
  <si>
    <t>IA: Procurement</t>
  </si>
  <si>
    <t>IA:  Training records</t>
  </si>
  <si>
    <t>IA:  MFDBs</t>
  </si>
  <si>
    <t>EC</t>
  </si>
  <si>
    <t>IA:  File Review</t>
  </si>
  <si>
    <t>IA: Field Equipment</t>
  </si>
  <si>
    <t>IA: MOCs</t>
  </si>
  <si>
    <t>IA: Equipment Management</t>
  </si>
  <si>
    <t>IA: QCs</t>
  </si>
  <si>
    <t>IA: Training Records</t>
  </si>
  <si>
    <t>average day opened</t>
  </si>
  <si>
    <t>Jan</t>
  </si>
  <si>
    <t>Feb</t>
  </si>
  <si>
    <t>Mar</t>
  </si>
  <si>
    <t>Apr</t>
  </si>
  <si>
    <t>May</t>
  </si>
  <si>
    <t>Jun</t>
  </si>
  <si>
    <t>Jul</t>
  </si>
  <si>
    <t>PAR #</t>
  </si>
  <si>
    <t>PAR type</t>
  </si>
  <si>
    <r>
      <t xml:space="preserve">BRIEF DESCRIPTION OF PAR
</t>
    </r>
    <r>
      <rPr>
        <i/>
        <sz val="11"/>
        <color theme="1"/>
        <rFont val="Calibri"/>
        <family val="2"/>
        <scheme val="minor"/>
      </rPr>
      <t>if VOID:  Location, type, details (initials, date)</t>
    </r>
  </si>
  <si>
    <t>PAR initialized date</t>
  </si>
  <si>
    <t>Date closed</t>
  </si>
  <si>
    <t>Area (Ops, Lab, Misc.)
(drop-down)</t>
  </si>
  <si>
    <t>IA: Mickleton Asphalt - no printer for ASTM D36 / AASHTO T53 instrument (AOC from 2023 IA)</t>
  </si>
  <si>
    <t>Lab not addressing PTOs in a timely manner. And method issues recurrence - D86, D5580</t>
  </si>
  <si>
    <t>Recommendation to the use of CARB Reproducibility Limits for CARB Gasoline Samples - D6550</t>
  </si>
  <si>
    <t>Ops TRB controlled document</t>
  </si>
  <si>
    <t>Some chemicals / lot numbers not on inventory lists</t>
  </si>
  <si>
    <t>TMA schedule obsolete - not tracking dates completed or due</t>
  </si>
  <si>
    <t>Weight sets SN not on balance verification sheet</t>
  </si>
  <si>
    <t>D3242 - KOH should be standardized monthly</t>
  </si>
  <si>
    <t xml:space="preserve">During the March 2024 audit by BP, the question was asked: 
1)	Are storage and work areas clean and tidy and free of spills/waste. It was determined, per BP, that the lab is to raise awareness of potential trip hazards and improve safety walks.
2)	Are gas cylinders appropriately stored and secured upright. It was determined, per BP, that the lab should evaluate the storage and placement of filled LPG cylinders in the lab.
</t>
  </si>
  <si>
    <t>CT DEEP - suggest radiation dosimetry be worn by lab</t>
  </si>
  <si>
    <t>P66 - Inspector did not take safest route to tank and fell</t>
  </si>
  <si>
    <t>6/28 pending P66 response</t>
  </si>
  <si>
    <t>Method specific TMA to reduce outlier</t>
  </si>
  <si>
    <t>RVP Reference bottle</t>
  </si>
  <si>
    <t>Y-intercept for D4815</t>
  </si>
  <si>
    <t>no traceability for solutions on Cal. for D3231</t>
  </si>
  <si>
    <t>no method revision number on TMA</t>
  </si>
  <si>
    <t>Job fold checklist was incomplete</t>
  </si>
  <si>
    <t>centrifuge markings outdated</t>
  </si>
  <si>
    <t>VOID (original - 9.6.24, HB)</t>
  </si>
  <si>
    <t>initials on checklist line down</t>
  </si>
  <si>
    <t>One PAR to address all "Areas of Concerns"</t>
  </si>
  <si>
    <t>One PAR to address all "Opportunities for Improvement""</t>
  </si>
  <si>
    <t>Exceeded 20 runs without QC for D5769 &amp; D5453; Missed day of use QC for D5599 (customer samples run on days QC was missed)</t>
  </si>
  <si>
    <t>Chevron CHESM -Inspector safety boots need to be replaced.</t>
  </si>
  <si>
    <t xml:space="preserve">Motiva - Several instances where Motiva MSA/KPI requirements were not met </t>
  </si>
  <si>
    <t>Motiva - The lab is not reporting all PT analyses they are set up to perform and routinely report for commercial samples.</t>
  </si>
  <si>
    <t>Lab Equipment and Records</t>
  </si>
  <si>
    <t>Calibration certificates for thermometers list a calibration due date</t>
  </si>
  <si>
    <t xml:space="preserve">Incorrect MCR results reported to customer </t>
  </si>
  <si>
    <t>Customer did not state whether they wanted CAR/PAR. PAR requested by Lab Mngr</t>
  </si>
  <si>
    <t>Recommendation to Create a Calibration/Maintenance Log</t>
  </si>
  <si>
    <t>IA - D2622 no Records sent to auditor for review</t>
  </si>
  <si>
    <t>Types of Deficiency</t>
  </si>
  <si>
    <t>Types of Root Cause</t>
  </si>
  <si>
    <t>CAR  / PAR Area</t>
  </si>
  <si>
    <t>Location</t>
  </si>
  <si>
    <t>Equipment &amp; Reagent status</t>
  </si>
  <si>
    <t>Communication</t>
  </si>
  <si>
    <t>USGC</t>
  </si>
  <si>
    <t>Management (CQI, Quality Policy posting, PO, AVL, CAR/PAR)</t>
  </si>
  <si>
    <t>Equipment/ calibration</t>
  </si>
  <si>
    <t>USNE, USMW &amp; Canada</t>
  </si>
  <si>
    <t>PT</t>
  </si>
  <si>
    <t>Ineffective/ Lack system/ procedure</t>
  </si>
  <si>
    <t>Negligence (typo, no review)</t>
  </si>
  <si>
    <t>Misc</t>
  </si>
  <si>
    <t>SE &amp; Caribbean</t>
  </si>
  <si>
    <t>Technical (Calibration/ Verification/ Maintenance/ PT/ method deviation)</t>
  </si>
  <si>
    <t>Normal statistics variance - no CA</t>
  </si>
  <si>
    <t>Traceability and records (SR-1, raw data)</t>
  </si>
  <si>
    <t>Training/ competency</t>
  </si>
  <si>
    <t>Training (include quality, safety, ethics)</t>
  </si>
  <si>
    <t>Unmanaged risks</t>
  </si>
  <si>
    <t>USWC</t>
  </si>
  <si>
    <t>CAF Area</t>
  </si>
  <si>
    <t>Corporate</t>
  </si>
  <si>
    <t>Corpus Christi, TX (CITGO Lab)</t>
  </si>
  <si>
    <t>Admin</t>
  </si>
  <si>
    <t>Other</t>
  </si>
  <si>
    <t>Type of Assessment (Assessment tracking)</t>
  </si>
  <si>
    <t>Scope (assessment tracking)</t>
  </si>
  <si>
    <t>Agency type (Assessment Tracking)</t>
  </si>
  <si>
    <t>120a</t>
  </si>
  <si>
    <t>Extras</t>
  </si>
  <si>
    <t>Warehouse</t>
  </si>
  <si>
    <t>Additives East Coast</t>
  </si>
  <si>
    <t>Additives Gulf Coast</t>
  </si>
  <si>
    <t>Utah</t>
  </si>
  <si>
    <t>Citgo Corpus Christi</t>
  </si>
  <si>
    <t>Cameron LNG</t>
  </si>
  <si>
    <t>Specialty</t>
  </si>
  <si>
    <t>Kenner, LA</t>
  </si>
  <si>
    <t>Santurce, Puerto Rico</t>
  </si>
  <si>
    <t>Boucherville, QC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</si>
</sst>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yy;@"/>
    <numFmt numFmtId="165" formatCode="mm/dd/yy;@"/>
    <numFmt numFmtId="166" formatCode="m/d/yy;@"/>
  </numFmts>
  <fonts count="28" x14ac:knownFonts="1">
    <font>
      <sz val="11"/>
      <color theme="1"/>
      <name val="Calibri"/>
      <family val="2"/>
      <scheme val="minor"/>
    </font>
    <font>
      <sz val="11"/>
      <color theme="1"/>
      <name val="Calibri"/>
      <family val="2"/>
      <scheme val="minor"/>
    </font>
    <font>
      <b/>
      <i/>
      <sz val="11"/>
      <color theme="1"/>
      <name val="Calibri"/>
      <family val="2"/>
      <scheme val="minor"/>
    </font>
    <font>
      <i/>
      <sz val="11"/>
      <color theme="1"/>
      <name val="Calibri"/>
      <family val="2"/>
      <scheme val="minor"/>
    </font>
    <font>
      <sz val="8"/>
      <name val="Calibri"/>
      <family val="2"/>
      <scheme val="minor"/>
    </font>
    <font>
      <sz val="11"/>
      <name val="Calibri"/>
      <family val="2"/>
      <scheme val="minor"/>
    </font>
    <font>
      <sz val="14"/>
      <color theme="1"/>
      <name val="Calibri"/>
      <family val="2"/>
      <scheme val="minor"/>
    </font>
    <font>
      <b/>
      <i/>
      <sz val="11"/>
      <name val="Calibri"/>
      <family val="2"/>
      <scheme val="minor"/>
    </font>
    <font>
      <sz val="8"/>
      <color theme="1"/>
      <name val="Calibri"/>
      <family val="2"/>
      <scheme val="minor"/>
    </font>
    <font>
      <sz val="11"/>
      <color rgb="FF000000"/>
      <name val="Calibri"/>
      <family val="2"/>
    </font>
    <font>
      <sz val="11"/>
      <color theme="1"/>
      <name val="Calibri"/>
      <family val="2"/>
      <charset val="1"/>
    </font>
    <font>
      <sz val="10.5"/>
      <color theme="1"/>
      <name val="Segoe UI"/>
      <family val="2"/>
      <charset val="1"/>
    </font>
    <font>
      <i/>
      <sz val="11"/>
      <name val="Calibri"/>
      <family val="2"/>
      <scheme val="minor"/>
    </font>
    <font>
      <sz val="11"/>
      <color rgb="FF000000"/>
      <name val="Calibri"/>
      <family val="2"/>
      <scheme val="minor"/>
    </font>
    <font>
      <sz val="11"/>
      <name val="Calibri"/>
      <family val="2"/>
    </font>
    <font>
      <sz val="11"/>
      <color rgb="FF444444"/>
      <name val="Calibri"/>
      <family val="2"/>
    </font>
    <font>
      <sz val="11"/>
      <color theme="1"/>
      <name val="Calibri"/>
      <family val="2"/>
    </font>
    <font>
      <sz val="11"/>
      <name val="Calibri"/>
      <family val="2"/>
      <charset val="1"/>
    </font>
    <font>
      <sz val="11"/>
      <color rgb="FF000000"/>
      <name val="Calibri"/>
      <family val="2"/>
      <charset val="1"/>
    </font>
    <font>
      <sz val="12"/>
      <color theme="1"/>
      <name val="Calibri"/>
      <family val="2"/>
      <scheme val="minor"/>
    </font>
    <font>
      <sz val="11"/>
      <color theme="0"/>
      <name val="Calibri"/>
      <family val="2"/>
      <scheme val="minor"/>
    </font>
    <font>
      <sz val="10"/>
      <color rgb="FF000000"/>
      <name val="Calibri"/>
      <family val="2"/>
    </font>
    <font>
      <sz val="11"/>
      <color rgb="FF444444"/>
      <name val="Calibri"/>
      <family val="2"/>
      <charset val="1"/>
    </font>
    <font>
      <sz val="11"/>
      <color rgb="FF000000"/>
      <name val="Aptos Narrow"/>
      <family val="2"/>
    </font>
    <font>
      <sz val="12"/>
      <color rgb="FF000000"/>
      <name val="Calibri"/>
      <family val="2"/>
    </font>
    <font>
      <sz val="11"/>
      <color rgb="FF242424"/>
      <name val="Aptos Narrow"/>
      <family val="2"/>
    </font>
    <font>
      <sz val="8"/>
      <color rgb="FF000000"/>
      <name val="Calibri"/>
      <family val="2"/>
    </font>
    <font>
      <sz val="14"/>
      <color rgb="FF000000"/>
      <name val="Calibri"/>
      <family val="2"/>
      <scheme val="minor"/>
    </font>
  </fonts>
  <fills count="23">
    <fill>
      <patternFill patternType="none"/>
    </fill>
    <fill>
      <patternFill patternType="gray125"/>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59999389629810485"/>
        <bgColor indexed="64"/>
      </patternFill>
    </fill>
    <fill>
      <patternFill patternType="solid">
        <fgColor rgb="FFFFE699"/>
        <bgColor indexed="64"/>
      </patternFill>
    </fill>
    <fill>
      <patternFill patternType="solid">
        <fgColor rgb="FF00B050"/>
        <bgColor indexed="64"/>
      </patternFill>
    </fill>
    <fill>
      <patternFill patternType="solid">
        <fgColor rgb="FFFFFF00"/>
        <bgColor indexed="64"/>
      </patternFill>
    </fill>
    <fill>
      <patternFill patternType="solid">
        <fgColor rgb="FF7030A0"/>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5" tint="0.39997558519241921"/>
        <bgColor indexed="64"/>
      </patternFill>
    </fill>
    <fill>
      <patternFill patternType="solid">
        <fgColor theme="0" tint="-0.14999847407452621"/>
        <bgColor theme="4" tint="0.79998168889431442"/>
      </patternFill>
    </fill>
    <fill>
      <patternFill patternType="solid">
        <fgColor rgb="FFC00000"/>
        <bgColor indexed="64"/>
      </patternFill>
    </fill>
    <fill>
      <patternFill patternType="gray125">
        <bgColor theme="5" tint="0.59999389629810485"/>
      </patternFill>
    </fill>
    <fill>
      <patternFill patternType="gray125">
        <bgColor theme="6" tint="0.59999389629810485"/>
      </patternFill>
    </fill>
    <fill>
      <patternFill patternType="solid">
        <fgColor theme="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8" tint="0.79998168889431442"/>
        <bgColor theme="4" tint="0.79998168889431442"/>
      </patternFill>
    </fill>
    <fill>
      <patternFill patternType="solid">
        <fgColor theme="6" tint="0.59999389629810485"/>
        <bgColor indexed="64"/>
      </patternFill>
    </fill>
    <fill>
      <patternFill patternType="solid">
        <fgColor theme="3" tint="0.79998168889431442"/>
        <bgColor indexed="64"/>
      </patternFill>
    </fill>
    <fill>
      <patternFill patternType="solid">
        <fgColor rgb="FFFF000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indexed="64"/>
      </left>
      <right style="thin">
        <color indexed="64"/>
      </right>
      <top style="thin">
        <color theme="4" tint="0.39997558519241921"/>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
      <left/>
      <right style="thin">
        <color indexed="64"/>
      </right>
      <top/>
      <bottom/>
      <diagonal/>
    </border>
    <border>
      <left style="thin">
        <color indexed="64"/>
      </left>
      <right style="thin">
        <color rgb="FF000000"/>
      </right>
      <top style="thin">
        <color indexed="64"/>
      </top>
      <bottom style="thin">
        <color indexed="64"/>
      </bottom>
      <diagonal/>
    </border>
    <border>
      <left/>
      <right/>
      <top/>
      <bottom style="thin">
        <color rgb="FF000000"/>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rgb="FF000000"/>
      </bottom>
      <diagonal/>
    </border>
    <border>
      <left/>
      <right/>
      <top style="thin">
        <color indexed="64"/>
      </top>
      <bottom style="thin">
        <color indexed="64"/>
      </bottom>
      <diagonal/>
    </border>
  </borders>
  <cellStyleXfs count="1">
    <xf numFmtId="0" fontId="0" fillId="0" borderId="0"/>
  </cellStyleXfs>
  <cellXfs count="444">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protection locked="0"/>
    </xf>
    <xf numFmtId="0" fontId="0" fillId="0" borderId="0" xfId="0" applyAlignment="1" applyProtection="1">
      <alignment horizontal="center"/>
      <protection locked="0"/>
    </xf>
    <xf numFmtId="0" fontId="0" fillId="0" borderId="0" xfId="0" applyProtection="1">
      <protection locked="0"/>
    </xf>
    <xf numFmtId="0" fontId="0" fillId="0" borderId="0" xfId="0" applyAlignment="1" applyProtection="1">
      <alignment horizontal="center" vertical="center"/>
      <protection locked="0"/>
    </xf>
    <xf numFmtId="0" fontId="0" fillId="0" borderId="1" xfId="0" applyBorder="1" applyAlignment="1" applyProtection="1">
      <alignment horizontal="left" vertical="center" wrapText="1"/>
      <protection locked="0"/>
    </xf>
    <xf numFmtId="0" fontId="0" fillId="0" borderId="1" xfId="0" applyBorder="1" applyAlignment="1" applyProtection="1">
      <alignment horizontal="center" vertical="center" wrapText="1"/>
      <protection locked="0"/>
    </xf>
    <xf numFmtId="0" fontId="0" fillId="0" borderId="1" xfId="0" quotePrefix="1" applyBorder="1" applyAlignment="1">
      <alignment horizontal="center" vertical="center" wrapText="1"/>
    </xf>
    <xf numFmtId="164" fontId="0" fillId="0" borderId="1" xfId="0" applyNumberFormat="1" applyBorder="1" applyAlignment="1" applyProtection="1">
      <alignment horizontal="center" vertical="center" wrapText="1"/>
      <protection locked="0"/>
    </xf>
    <xf numFmtId="0" fontId="0" fillId="0" borderId="1" xfId="0" applyBorder="1" applyAlignment="1">
      <alignment horizontal="center" vertical="center" wrapText="1"/>
    </xf>
    <xf numFmtId="14" fontId="0" fillId="0" borderId="1" xfId="0" quotePrefix="1" applyNumberFormat="1" applyBorder="1" applyAlignment="1">
      <alignment horizontal="center" vertical="center" wrapText="1"/>
    </xf>
    <xf numFmtId="0" fontId="0" fillId="2" borderId="1" xfId="0" quotePrefix="1"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pplyProtection="1">
      <alignment horizontal="center" vertical="center" wrapText="1"/>
      <protection locked="0"/>
    </xf>
    <xf numFmtId="0" fontId="0" fillId="0" borderId="1" xfId="0" applyBorder="1" applyAlignment="1" applyProtection="1">
      <alignment horizontal="left" vertical="top" wrapText="1"/>
      <protection locked="0"/>
    </xf>
    <xf numFmtId="14" fontId="0" fillId="2" borderId="1" xfId="0" quotePrefix="1"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3" xfId="0" applyBorder="1" applyAlignment="1" applyProtection="1">
      <alignment horizontal="left" vertical="center" wrapText="1"/>
      <protection locked="0"/>
    </xf>
    <xf numFmtId="0" fontId="0" fillId="0" borderId="3" xfId="0" quotePrefix="1" applyBorder="1" applyAlignment="1">
      <alignment horizontal="center" vertical="center" wrapText="1"/>
    </xf>
    <xf numFmtId="164" fontId="0" fillId="0" borderId="3" xfId="0" applyNumberForma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3" xfId="0" applyBorder="1" applyAlignment="1">
      <alignment horizontal="center" vertical="center" wrapText="1"/>
    </xf>
    <xf numFmtId="0" fontId="0" fillId="0" borderId="1" xfId="0" quotePrefix="1" applyBorder="1" applyAlignment="1">
      <alignment horizontal="left" vertical="center" wrapText="1"/>
    </xf>
    <xf numFmtId="0" fontId="0" fillId="0" borderId="1" xfId="0" applyBorder="1" applyAlignment="1" applyProtection="1">
      <alignment horizontal="center" vertical="center"/>
      <protection locked="0"/>
    </xf>
    <xf numFmtId="0" fontId="6" fillId="0" borderId="3" xfId="0" quotePrefix="1" applyFont="1" applyBorder="1" applyAlignment="1">
      <alignment horizontal="center" vertical="center" wrapText="1"/>
    </xf>
    <xf numFmtId="0" fontId="0" fillId="3" borderId="2" xfId="0" applyFill="1" applyBorder="1" applyAlignment="1">
      <alignment vertical="center"/>
    </xf>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vertical="center"/>
    </xf>
    <xf numFmtId="0" fontId="0" fillId="4" borderId="1" xfId="0" applyFill="1" applyBorder="1" applyAlignment="1">
      <alignment vertical="center" wrapText="1"/>
    </xf>
    <xf numFmtId="0" fontId="3" fillId="4" borderId="1" xfId="0" applyFont="1" applyFill="1" applyBorder="1" applyAlignment="1">
      <alignment vertical="center" wrapText="1"/>
    </xf>
    <xf numFmtId="0" fontId="3" fillId="4" borderId="1" xfId="0" applyFont="1" applyFill="1" applyBorder="1" applyAlignment="1">
      <alignment horizontal="center"/>
    </xf>
    <xf numFmtId="165" fontId="0" fillId="0" borderId="1" xfId="0" quotePrefix="1" applyNumberFormat="1" applyBorder="1" applyAlignment="1">
      <alignment horizontal="center" vertical="center" wrapText="1"/>
    </xf>
    <xf numFmtId="0" fontId="0" fillId="0" borderId="1" xfId="0" quotePrefix="1" applyBorder="1" applyAlignment="1" applyProtection="1">
      <alignment horizontal="center" vertical="center" wrapText="1"/>
      <protection locked="0"/>
    </xf>
    <xf numFmtId="0" fontId="5" fillId="0" borderId="1" xfId="0" applyFont="1" applyBorder="1" applyAlignment="1" applyProtection="1">
      <alignment horizontal="center" vertical="center"/>
      <protection locked="0"/>
    </xf>
    <xf numFmtId="0" fontId="0" fillId="3" borderId="6" xfId="0" applyFill="1" applyBorder="1" applyAlignment="1">
      <alignment vertical="center"/>
    </xf>
    <xf numFmtId="0" fontId="0" fillId="4" borderId="3" xfId="0" applyFill="1" applyBorder="1"/>
    <xf numFmtId="0" fontId="0" fillId="4" borderId="3" xfId="0" applyFill="1" applyBorder="1" applyAlignment="1">
      <alignment horizontal="center"/>
    </xf>
    <xf numFmtId="0" fontId="2" fillId="3" borderId="5" xfId="0" applyFont="1" applyFill="1" applyBorder="1" applyAlignment="1">
      <alignment vertical="center"/>
    </xf>
    <xf numFmtId="0" fontId="5" fillId="0" borderId="1" xfId="0" applyFont="1" applyBorder="1" applyAlignment="1">
      <alignment horizontal="center" vertical="center" wrapText="1"/>
    </xf>
    <xf numFmtId="0" fontId="7" fillId="4" borderId="5" xfId="0" applyFont="1" applyFill="1" applyBorder="1" applyAlignment="1">
      <alignment vertical="center"/>
    </xf>
    <xf numFmtId="0" fontId="7" fillId="4" borderId="5" xfId="0" applyFont="1" applyFill="1" applyBorder="1" applyAlignment="1">
      <alignment horizontal="center" vertical="center"/>
    </xf>
    <xf numFmtId="0" fontId="0" fillId="0" borderId="4" xfId="0" quotePrefix="1" applyBorder="1" applyAlignment="1" applyProtection="1">
      <alignment horizontal="center" vertical="center" wrapText="1"/>
      <protection locked="0"/>
    </xf>
    <xf numFmtId="0" fontId="9" fillId="0" borderId="4" xfId="0" applyFont="1" applyBorder="1" applyAlignment="1">
      <alignment wrapText="1"/>
    </xf>
    <xf numFmtId="0" fontId="0" fillId="0" borderId="2" xfId="0" applyBorder="1" applyAlignment="1" applyProtection="1">
      <alignment horizontal="center" vertical="center" wrapText="1"/>
      <protection locked="0"/>
    </xf>
    <xf numFmtId="165" fontId="0" fillId="0" borderId="1" xfId="0" applyNumberFormat="1" applyBorder="1" applyAlignment="1">
      <alignment horizontal="center" vertical="center" wrapText="1"/>
    </xf>
    <xf numFmtId="0" fontId="2" fillId="5" borderId="4" xfId="0" applyFont="1" applyFill="1" applyBorder="1"/>
    <xf numFmtId="0" fontId="10" fillId="5" borderId="4" xfId="0" applyFont="1" applyFill="1" applyBorder="1" applyAlignment="1">
      <alignment wrapText="1"/>
    </xf>
    <xf numFmtId="0" fontId="11" fillId="5" borderId="4" xfId="0" applyFont="1" applyFill="1" applyBorder="1" applyAlignment="1">
      <alignment wrapText="1"/>
    </xf>
    <xf numFmtId="0" fontId="6" fillId="0" borderId="3" xfId="0" applyFont="1" applyBorder="1" applyAlignment="1">
      <alignment horizontal="center" vertical="center" wrapText="1"/>
    </xf>
    <xf numFmtId="0" fontId="0" fillId="4" borderId="8" xfId="0" applyFill="1" applyBorder="1"/>
    <xf numFmtId="0" fontId="3" fillId="4" borderId="8" xfId="0" applyFont="1" applyFill="1" applyBorder="1"/>
    <xf numFmtId="0" fontId="0" fillId="6" borderId="7" xfId="0" applyFill="1" applyBorder="1" applyAlignment="1" applyProtection="1">
      <alignment horizontal="center" vertical="center" wrapText="1"/>
      <protection locked="0"/>
    </xf>
    <xf numFmtId="0" fontId="0" fillId="6" borderId="4" xfId="0" applyFill="1" applyBorder="1" applyAlignment="1" applyProtection="1">
      <alignment horizontal="left" vertical="center" wrapText="1"/>
      <protection locked="0"/>
    </xf>
    <xf numFmtId="0" fontId="0" fillId="6" borderId="4" xfId="0" applyFill="1" applyBorder="1" applyAlignment="1">
      <alignment horizontal="center" vertical="center" wrapText="1"/>
    </xf>
    <xf numFmtId="0" fontId="0" fillId="6" borderId="4" xfId="0" applyFill="1" applyBorder="1" applyAlignment="1" applyProtection="1">
      <alignment horizontal="center" vertical="center" wrapText="1"/>
      <protection locked="0"/>
    </xf>
    <xf numFmtId="0" fontId="5" fillId="7" borderId="4" xfId="0" applyFont="1" applyFill="1" applyBorder="1" applyAlignment="1" applyProtection="1">
      <alignment horizontal="left" vertical="center" wrapText="1"/>
      <protection locked="0"/>
    </xf>
    <xf numFmtId="0" fontId="5" fillId="7" borderId="4" xfId="0" applyFont="1" applyFill="1" applyBorder="1" applyAlignment="1">
      <alignment horizontal="center" vertical="center" wrapText="1"/>
    </xf>
    <xf numFmtId="0" fontId="5" fillId="7" borderId="4" xfId="0" applyFont="1" applyFill="1" applyBorder="1" applyAlignment="1" applyProtection="1">
      <alignment horizontal="center" vertical="center" wrapText="1"/>
      <protection locked="0"/>
    </xf>
    <xf numFmtId="0" fontId="5" fillId="7" borderId="7" xfId="0" applyFont="1" applyFill="1" applyBorder="1" applyAlignment="1" applyProtection="1">
      <alignment horizontal="center" vertical="center" wrapText="1"/>
      <protection locked="0"/>
    </xf>
    <xf numFmtId="0" fontId="0" fillId="8" borderId="4" xfId="0" applyFill="1" applyBorder="1" applyAlignment="1" applyProtection="1">
      <alignment horizontal="left" vertical="center" wrapText="1"/>
      <protection locked="0"/>
    </xf>
    <xf numFmtId="0" fontId="0" fillId="8" borderId="4" xfId="0" applyFill="1" applyBorder="1" applyAlignment="1">
      <alignment horizontal="center" vertical="center" wrapText="1"/>
    </xf>
    <xf numFmtId="0" fontId="0" fillId="8" borderId="4" xfId="0" applyFill="1" applyBorder="1" applyAlignment="1" applyProtection="1">
      <alignment horizontal="center" vertical="center" wrapText="1"/>
      <protection locked="0"/>
    </xf>
    <xf numFmtId="0" fontId="2" fillId="9" borderId="2" xfId="0" applyFont="1" applyFill="1" applyBorder="1" applyAlignment="1">
      <alignment vertical="center"/>
    </xf>
    <xf numFmtId="0" fontId="0" fillId="9" borderId="2" xfId="0" applyFill="1" applyBorder="1" applyAlignment="1">
      <alignment vertical="center"/>
    </xf>
    <xf numFmtId="0" fontId="2" fillId="10" borderId="1" xfId="0" applyFont="1" applyFill="1" applyBorder="1" applyAlignment="1">
      <alignment vertical="center"/>
    </xf>
    <xf numFmtId="0" fontId="0" fillId="10" borderId="1" xfId="0" applyFill="1" applyBorder="1"/>
    <xf numFmtId="0" fontId="0" fillId="11" borderId="1" xfId="0" applyFill="1" applyBorder="1"/>
    <xf numFmtId="0" fontId="0" fillId="9" borderId="1" xfId="0" applyFill="1" applyBorder="1"/>
    <xf numFmtId="0" fontId="2" fillId="9" borderId="1" xfId="0" applyFont="1" applyFill="1" applyBorder="1"/>
    <xf numFmtId="166" fontId="0" fillId="0" borderId="3" xfId="0" applyNumberFormat="1" applyBorder="1" applyAlignment="1" applyProtection="1">
      <alignment horizontal="center" vertical="center" wrapText="1"/>
      <protection locked="0"/>
    </xf>
    <xf numFmtId="166" fontId="0" fillId="0" borderId="1" xfId="0" applyNumberFormat="1" applyBorder="1" applyAlignment="1" applyProtection="1">
      <alignment horizontal="center" vertical="center" wrapText="1"/>
      <protection locked="0"/>
    </xf>
    <xf numFmtId="166" fontId="0" fillId="0" borderId="1" xfId="0" quotePrefix="1" applyNumberFormat="1" applyBorder="1" applyAlignment="1">
      <alignment horizontal="center" vertical="center" wrapText="1"/>
    </xf>
    <xf numFmtId="166" fontId="0" fillId="0" borderId="1" xfId="0" applyNumberFormat="1" applyBorder="1" applyAlignment="1">
      <alignment horizontal="center" vertical="center" wrapText="1"/>
    </xf>
    <xf numFmtId="166" fontId="0" fillId="2" borderId="1" xfId="0" applyNumberFormat="1" applyFill="1" applyBorder="1" applyAlignment="1">
      <alignment horizontal="center" vertical="center" wrapText="1"/>
    </xf>
    <xf numFmtId="0" fontId="13" fillId="0" borderId="1" xfId="0" applyFont="1" applyBorder="1" applyAlignment="1" applyProtection="1">
      <alignment horizontal="left" vertical="center" wrapText="1"/>
      <protection locked="0"/>
    </xf>
    <xf numFmtId="165" fontId="0" fillId="0" borderId="3" xfId="0" applyNumberFormat="1" applyBorder="1" applyAlignment="1">
      <alignment horizontal="center" vertical="center" wrapText="1"/>
    </xf>
    <xf numFmtId="0" fontId="9" fillId="0" borderId="4" xfId="0" applyFont="1" applyBorder="1" applyAlignment="1">
      <alignment horizontal="center" vertical="center" wrapText="1"/>
    </xf>
    <xf numFmtId="0" fontId="9" fillId="0" borderId="1" xfId="0" applyFont="1" applyBorder="1"/>
    <xf numFmtId="0" fontId="9" fillId="0" borderId="1" xfId="0" applyFont="1" applyBorder="1" applyAlignment="1">
      <alignment wrapText="1"/>
    </xf>
    <xf numFmtId="14" fontId="0" fillId="0" borderId="1" xfId="0" applyNumberFormat="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165" fontId="0" fillId="0" borderId="1" xfId="0" quotePrefix="1" applyNumberFormat="1" applyBorder="1" applyAlignment="1">
      <alignment horizontal="left" vertical="center" wrapText="1"/>
    </xf>
    <xf numFmtId="0" fontId="5" fillId="0" borderId="1" xfId="0" applyFont="1" applyBorder="1" applyAlignment="1" applyProtection="1">
      <alignment horizontal="left" vertical="center" wrapText="1"/>
      <protection locked="0"/>
    </xf>
    <xf numFmtId="14" fontId="9" fillId="0" borderId="4" xfId="0" applyNumberFormat="1" applyFont="1" applyBorder="1" applyAlignment="1">
      <alignment horizontal="center" vertical="center" wrapText="1"/>
    </xf>
    <xf numFmtId="0" fontId="13" fillId="0" borderId="1" xfId="0" applyFont="1" applyBorder="1" applyAlignment="1" applyProtection="1">
      <alignment horizontal="center" vertical="center" wrapText="1"/>
      <protection locked="0"/>
    </xf>
    <xf numFmtId="0" fontId="0" fillId="0" borderId="11" xfId="0" applyBorder="1" applyAlignment="1" applyProtection="1">
      <alignment horizontal="left" vertical="center" wrapText="1"/>
      <protection locked="0"/>
    </xf>
    <xf numFmtId="0" fontId="0" fillId="0" borderId="11" xfId="0" applyBorder="1" applyAlignment="1">
      <alignment horizontal="center" vertical="center" wrapText="1"/>
    </xf>
    <xf numFmtId="164" fontId="0" fillId="0" borderId="11" xfId="0" applyNumberFormat="1" applyBorder="1" applyAlignment="1" applyProtection="1">
      <alignment horizontal="center" vertical="center" wrapText="1"/>
      <protection locked="0"/>
    </xf>
    <xf numFmtId="166" fontId="0" fillId="0" borderId="11" xfId="0" applyNumberFormat="1"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9"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applyAlignment="1">
      <alignment horizontal="left" vertical="center" wrapText="1"/>
    </xf>
    <xf numFmtId="0" fontId="13" fillId="0" borderId="1" xfId="0" applyFont="1" applyBorder="1" applyAlignment="1">
      <alignment horizontal="left" vertical="center" wrapText="1"/>
    </xf>
    <xf numFmtId="0" fontId="0" fillId="0" borderId="1" xfId="0" quotePrefix="1" applyBorder="1" applyAlignment="1" applyProtection="1">
      <alignment horizontal="left" vertical="center" wrapText="1"/>
      <protection locked="0"/>
    </xf>
    <xf numFmtId="0" fontId="0" fillId="2" borderId="1" xfId="0" applyFill="1" applyBorder="1" applyAlignment="1">
      <alignment horizontal="left" vertical="center" wrapText="1"/>
    </xf>
    <xf numFmtId="0" fontId="14" fillId="0" borderId="1" xfId="0" applyFont="1" applyBorder="1" applyAlignment="1">
      <alignment horizontal="left" vertical="center" wrapText="1"/>
    </xf>
    <xf numFmtId="0" fontId="9" fillId="0" borderId="3" xfId="0" applyFont="1" applyBorder="1" applyAlignment="1">
      <alignment horizontal="left" vertical="center" wrapText="1"/>
    </xf>
    <xf numFmtId="0" fontId="13" fillId="0" borderId="1" xfId="0" applyFont="1" applyBorder="1" applyAlignment="1">
      <alignment horizontal="center" vertical="center" wrapText="1"/>
    </xf>
    <xf numFmtId="0" fontId="6" fillId="0" borderId="1" xfId="0" quotePrefix="1" applyFont="1" applyBorder="1" applyAlignment="1">
      <alignment horizontal="center" vertical="center" wrapText="1"/>
    </xf>
    <xf numFmtId="0" fontId="0" fillId="0" borderId="11" xfId="0" quotePrefix="1" applyBorder="1" applyAlignment="1">
      <alignment horizontal="center" vertical="center" wrapText="1"/>
    </xf>
    <xf numFmtId="164" fontId="0" fillId="0" borderId="10" xfId="0" applyNumberFormat="1" applyBorder="1" applyAlignment="1" applyProtection="1">
      <alignment horizontal="center" vertical="center" wrapText="1"/>
      <protection locked="0"/>
    </xf>
    <xf numFmtId="14" fontId="0" fillId="12" borderId="1" xfId="0" applyNumberFormat="1" applyFill="1" applyBorder="1" applyAlignment="1">
      <alignment horizontal="center" vertical="center" wrapText="1"/>
    </xf>
    <xf numFmtId="0" fontId="0" fillId="12" borderId="1" xfId="0" applyFill="1" applyBorder="1" applyAlignment="1">
      <alignment horizontal="center" vertical="center" wrapText="1"/>
    </xf>
    <xf numFmtId="164" fontId="0" fillId="12" borderId="1" xfId="0" applyNumberFormat="1" applyFill="1" applyBorder="1" applyAlignment="1">
      <alignment horizontal="center" vertical="center" wrapText="1"/>
    </xf>
    <xf numFmtId="0" fontId="0" fillId="12" borderId="1" xfId="0" applyFill="1" applyBorder="1" applyAlignment="1" applyProtection="1">
      <alignment horizontal="center" vertical="center" wrapText="1"/>
      <protection locked="0"/>
    </xf>
    <xf numFmtId="14" fontId="0" fillId="12" borderId="1" xfId="0" quotePrefix="1" applyNumberFormat="1" applyFill="1" applyBorder="1" applyAlignment="1">
      <alignment horizontal="center" vertical="center" wrapText="1"/>
    </xf>
    <xf numFmtId="0" fontId="0" fillId="12" borderId="1" xfId="0" quotePrefix="1" applyFill="1" applyBorder="1" applyAlignment="1">
      <alignment horizontal="center" vertical="center" wrapText="1"/>
    </xf>
    <xf numFmtId="16" fontId="0" fillId="12" borderId="1" xfId="0" applyNumberFormat="1" applyFill="1" applyBorder="1" applyAlignment="1">
      <alignment horizontal="center" vertical="center" wrapText="1"/>
    </xf>
    <xf numFmtId="0" fontId="9" fillId="0" borderId="1" xfId="0" applyFont="1" applyBorder="1" applyAlignment="1">
      <alignment horizontal="center" vertical="center"/>
    </xf>
    <xf numFmtId="165" fontId="0" fillId="0" borderId="1" xfId="0" quotePrefix="1" applyNumberFormat="1" applyBorder="1" applyAlignment="1">
      <alignment horizontal="left" wrapText="1"/>
    </xf>
    <xf numFmtId="165" fontId="0" fillId="0" borderId="1" xfId="0" quotePrefix="1" applyNumberFormat="1" applyBorder="1" applyAlignment="1">
      <alignment horizontal="left" vertical="top" wrapText="1"/>
    </xf>
    <xf numFmtId="0" fontId="0" fillId="0" borderId="0" xfId="0" applyAlignment="1">
      <alignment horizontal="left" vertical="center" wrapText="1"/>
    </xf>
    <xf numFmtId="0" fontId="9" fillId="0" borderId="0" xfId="0" applyFont="1" applyAlignment="1">
      <alignment horizontal="left" vertical="top" wrapText="1"/>
    </xf>
    <xf numFmtId="0" fontId="14" fillId="0" borderId="1" xfId="0" applyFont="1" applyBorder="1" applyAlignment="1" applyProtection="1">
      <alignment horizontal="left" vertical="center" wrapText="1"/>
      <protection locked="0"/>
    </xf>
    <xf numFmtId="0" fontId="0" fillId="0" borderId="0" xfId="0" applyAlignment="1" applyProtection="1">
      <alignment horizontal="left" vertical="center" wrapText="1"/>
      <protection locked="0"/>
    </xf>
    <xf numFmtId="0" fontId="0" fillId="0" borderId="1" xfId="0" quotePrefix="1" applyBorder="1" applyAlignment="1" applyProtection="1">
      <alignment vertical="center" wrapText="1"/>
      <protection locked="0"/>
    </xf>
    <xf numFmtId="0" fontId="0" fillId="0" borderId="1" xfId="0" applyBorder="1" applyAlignment="1" applyProtection="1">
      <alignment vertical="center" wrapText="1"/>
      <protection locked="0"/>
    </xf>
    <xf numFmtId="0" fontId="9" fillId="0" borderId="1" xfId="0" applyFont="1" applyBorder="1" applyAlignment="1">
      <alignment vertical="center"/>
    </xf>
    <xf numFmtId="0" fontId="5" fillId="0" borderId="1" xfId="0" applyFont="1" applyBorder="1" applyAlignment="1" applyProtection="1">
      <alignment vertical="center"/>
      <protection locked="0"/>
    </xf>
    <xf numFmtId="0" fontId="0" fillId="0" borderId="1" xfId="0" applyBorder="1" applyAlignment="1">
      <alignment vertical="center" wrapText="1"/>
    </xf>
    <xf numFmtId="0" fontId="0" fillId="12" borderId="1" xfId="0" applyFill="1" applyBorder="1" applyAlignment="1">
      <alignment vertical="center" wrapText="1"/>
    </xf>
    <xf numFmtId="0" fontId="0" fillId="0" borderId="0" xfId="0" applyAlignment="1" applyProtection="1">
      <alignment vertical="center"/>
      <protection locked="0"/>
    </xf>
    <xf numFmtId="0" fontId="0" fillId="0" borderId="4" xfId="0" applyBorder="1" applyAlignment="1" applyProtection="1">
      <alignment horizontal="center" vertical="center"/>
      <protection locked="0"/>
    </xf>
    <xf numFmtId="0" fontId="19" fillId="0" borderId="3" xfId="0" quotePrefix="1" applyFont="1" applyBorder="1" applyAlignment="1">
      <alignment horizontal="center" vertical="center" wrapText="1"/>
    </xf>
    <xf numFmtId="0" fontId="19" fillId="0" borderId="4" xfId="0" applyFont="1" applyBorder="1" applyAlignment="1" applyProtection="1">
      <alignment horizontal="center" vertical="center" wrapText="1"/>
      <protection locked="0"/>
    </xf>
    <xf numFmtId="0" fontId="20" fillId="8" borderId="4" xfId="0" applyFont="1" applyFill="1" applyBorder="1" applyAlignment="1" applyProtection="1">
      <alignment horizontal="center" vertical="center" wrapText="1"/>
      <protection locked="0"/>
    </xf>
    <xf numFmtId="0" fontId="9" fillId="0" borderId="1" xfId="0" applyFont="1" applyBorder="1" applyAlignment="1">
      <alignment horizontal="left" vertical="center"/>
    </xf>
    <xf numFmtId="0" fontId="0" fillId="13" borderId="4" xfId="0" applyFill="1" applyBorder="1" applyAlignment="1">
      <alignment horizontal="center" vertical="center" wrapText="1"/>
    </xf>
    <xf numFmtId="0" fontId="0" fillId="13" borderId="4" xfId="0" applyFill="1" applyBorder="1" applyAlignment="1" applyProtection="1">
      <alignment horizontal="center" vertical="center" wrapText="1"/>
      <protection locked="0"/>
    </xf>
    <xf numFmtId="0" fontId="0" fillId="0" borderId="7" xfId="0" applyBorder="1" applyAlignment="1" applyProtection="1">
      <alignment horizontal="left" vertical="center" wrapText="1"/>
      <protection locked="0"/>
    </xf>
    <xf numFmtId="0" fontId="0" fillId="0" borderId="7" xfId="0" applyBorder="1" applyAlignment="1">
      <alignment horizontal="center" vertical="center" wrapText="1"/>
    </xf>
    <xf numFmtId="0" fontId="0" fillId="0" borderId="7" xfId="0" applyBorder="1" applyAlignment="1" applyProtection="1">
      <alignment horizontal="center" vertical="center" wrapText="1"/>
      <protection locked="0"/>
    </xf>
    <xf numFmtId="0" fontId="5" fillId="0" borderId="1" xfId="0" applyFont="1" applyBorder="1" applyAlignment="1">
      <alignment horizontal="left" vertical="center" wrapText="1"/>
    </xf>
    <xf numFmtId="0" fontId="18" fillId="0" borderId="1" xfId="0" applyFont="1" applyBorder="1" applyAlignment="1">
      <alignment horizontal="left" vertical="center"/>
    </xf>
    <xf numFmtId="165" fontId="0" fillId="0" borderId="1" xfId="0" applyNumberFormat="1" applyBorder="1" applyAlignment="1">
      <alignment vertical="top" wrapText="1"/>
    </xf>
    <xf numFmtId="165" fontId="0" fillId="0" borderId="1" xfId="0" quotePrefix="1" applyNumberFormat="1" applyBorder="1" applyAlignment="1">
      <alignment vertical="top" wrapText="1"/>
    </xf>
    <xf numFmtId="16" fontId="9" fillId="0" borderId="4" xfId="0" applyNumberFormat="1" applyFont="1" applyBorder="1" applyAlignment="1">
      <alignment horizontal="left" vertical="top" wrapText="1"/>
    </xf>
    <xf numFmtId="0" fontId="9" fillId="0" borderId="4" xfId="0" applyFont="1" applyBorder="1" applyAlignment="1">
      <alignment vertical="top" wrapText="1"/>
    </xf>
    <xf numFmtId="165" fontId="0" fillId="0" borderId="1" xfId="0" applyNumberFormat="1" applyBorder="1" applyAlignment="1">
      <alignment horizontal="left" vertical="top" wrapText="1"/>
    </xf>
    <xf numFmtId="0" fontId="9" fillId="0" borderId="4" xfId="0" applyFont="1" applyBorder="1" applyAlignment="1">
      <alignment horizontal="left" vertical="top" wrapText="1"/>
    </xf>
    <xf numFmtId="0" fontId="14" fillId="0" borderId="1" xfId="0"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21" fillId="0" borderId="1" xfId="0" applyFont="1" applyBorder="1" applyAlignment="1">
      <alignment horizontal="left" vertical="center" wrapText="1"/>
    </xf>
    <xf numFmtId="0" fontId="0" fillId="0" borderId="3" xfId="0" quotePrefix="1" applyBorder="1" applyAlignment="1" applyProtection="1">
      <alignment horizontal="center" vertical="center" wrapText="1"/>
      <protection locked="0"/>
    </xf>
    <xf numFmtId="0" fontId="2" fillId="11" borderId="1" xfId="0" applyFont="1" applyFill="1" applyBorder="1" applyAlignment="1">
      <alignment vertical="center"/>
    </xf>
    <xf numFmtId="49" fontId="9" fillId="0" borderId="1" xfId="0" applyNumberFormat="1" applyFont="1" applyBorder="1" applyAlignment="1">
      <alignment horizontal="center" vertical="center" wrapText="1"/>
    </xf>
    <xf numFmtId="49" fontId="0" fillId="0" borderId="1" xfId="0" applyNumberFormat="1" applyBorder="1" applyAlignment="1" applyProtection="1">
      <alignment horizontal="center" vertical="center" wrapText="1"/>
      <protection locked="0"/>
    </xf>
    <xf numFmtId="166" fontId="0" fillId="0" borderId="10" xfId="0" applyNumberFormat="1" applyBorder="1" applyAlignment="1" applyProtection="1">
      <alignment horizontal="center" vertical="center" wrapText="1"/>
      <protection locked="0"/>
    </xf>
    <xf numFmtId="0" fontId="0" fillId="0" borderId="4" xfId="0" applyBorder="1" applyAlignment="1">
      <alignment horizontal="left" vertical="center" wrapText="1"/>
    </xf>
    <xf numFmtId="0" fontId="0" fillId="0" borderId="10" xfId="0" applyBorder="1" applyAlignment="1" applyProtection="1">
      <alignment horizontal="center" vertical="center" wrapText="1"/>
      <protection locked="0"/>
    </xf>
    <xf numFmtId="165" fontId="0" fillId="0" borderId="11" xfId="0" applyNumberFormat="1" applyBorder="1" applyAlignment="1">
      <alignment horizontal="center" vertical="center" wrapText="1"/>
    </xf>
    <xf numFmtId="0" fontId="0" fillId="0" borderId="12" xfId="0" applyBorder="1" applyAlignment="1" applyProtection="1">
      <alignment horizontal="left" vertical="center" wrapText="1"/>
      <protection locked="0"/>
    </xf>
    <xf numFmtId="0" fontId="14" fillId="0" borderId="1" xfId="0" quotePrefix="1" applyFont="1" applyBorder="1" applyAlignment="1">
      <alignment horizontal="center" vertical="center" wrapText="1"/>
    </xf>
    <xf numFmtId="16" fontId="9" fillId="0" borderId="4" xfId="0" applyNumberFormat="1" applyFont="1" applyBorder="1" applyAlignment="1">
      <alignment horizontal="left" wrapText="1"/>
    </xf>
    <xf numFmtId="0" fontId="2" fillId="0" borderId="12" xfId="0" applyFont="1" applyBorder="1" applyAlignment="1">
      <alignment vertical="center"/>
    </xf>
    <xf numFmtId="0" fontId="0" fillId="0" borderId="16" xfId="0" applyBorder="1" applyAlignment="1">
      <alignment vertical="center"/>
    </xf>
    <xf numFmtId="0" fontId="7" fillId="14" borderId="5" xfId="0" applyFont="1" applyFill="1" applyBorder="1" applyAlignment="1">
      <alignment vertical="center"/>
    </xf>
    <xf numFmtId="0" fontId="2" fillId="15" borderId="5" xfId="0" applyFont="1" applyFill="1" applyBorder="1" applyAlignment="1">
      <alignment vertical="center"/>
    </xf>
    <xf numFmtId="0" fontId="5" fillId="14" borderId="3" xfId="0" applyFont="1" applyFill="1" applyBorder="1" applyAlignment="1">
      <alignment vertical="center"/>
    </xf>
    <xf numFmtId="0" fontId="0" fillId="15" borderId="3" xfId="0" applyFill="1" applyBorder="1" applyAlignment="1">
      <alignment vertical="center"/>
    </xf>
    <xf numFmtId="0" fontId="5" fillId="14" borderId="1" xfId="0" applyFont="1" applyFill="1" applyBorder="1" applyAlignment="1">
      <alignment vertical="center"/>
    </xf>
    <xf numFmtId="0" fontId="0" fillId="15" borderId="1" xfId="0" applyFill="1" applyBorder="1" applyAlignment="1">
      <alignment vertical="center"/>
    </xf>
    <xf numFmtId="0" fontId="0" fillId="15" borderId="1" xfId="0" applyFill="1" applyBorder="1"/>
    <xf numFmtId="0" fontId="0" fillId="15" borderId="2" xfId="0" applyFill="1" applyBorder="1" applyAlignment="1">
      <alignment vertical="center"/>
    </xf>
    <xf numFmtId="0" fontId="0" fillId="0" borderId="12" xfId="0" applyBorder="1" applyAlignment="1">
      <alignment vertical="center"/>
    </xf>
    <xf numFmtId="0" fontId="0" fillId="0" borderId="11" xfId="0" applyBorder="1"/>
    <xf numFmtId="164" fontId="0" fillId="0" borderId="17" xfId="0" applyNumberFormat="1" applyBorder="1" applyAlignment="1" applyProtection="1">
      <alignment horizontal="center" vertical="center" wrapText="1"/>
      <protection locked="0"/>
    </xf>
    <xf numFmtId="16" fontId="0" fillId="0" borderId="4" xfId="0" applyNumberFormat="1" applyBorder="1" applyAlignment="1" applyProtection="1">
      <alignment horizontal="center" vertical="center" wrapText="1"/>
      <protection locked="0"/>
    </xf>
    <xf numFmtId="14" fontId="0" fillId="0" borderId="4" xfId="0" applyNumberFormat="1" applyBorder="1" applyAlignment="1" applyProtection="1">
      <alignment horizontal="center" vertical="center" wrapText="1"/>
      <protection locked="0"/>
    </xf>
    <xf numFmtId="0" fontId="9" fillId="0" borderId="2" xfId="0" applyFont="1" applyBorder="1" applyAlignment="1">
      <alignment horizontal="left" vertical="center"/>
    </xf>
    <xf numFmtId="0" fontId="0" fillId="0" borderId="3" xfId="0" quotePrefix="1" applyBorder="1" applyAlignment="1" applyProtection="1">
      <alignment horizontal="left" vertical="center" wrapText="1"/>
      <protection locked="0"/>
    </xf>
    <xf numFmtId="0" fontId="13" fillId="0" borderId="1" xfId="0" quotePrefix="1" applyFont="1" applyBorder="1" applyAlignment="1">
      <alignment horizontal="center" vertical="center" wrapText="1"/>
    </xf>
    <xf numFmtId="0" fontId="0" fillId="0" borderId="2" xfId="0" quotePrefix="1" applyBorder="1" applyAlignment="1">
      <alignment horizontal="center" vertical="center" wrapText="1"/>
    </xf>
    <xf numFmtId="0" fontId="0" fillId="0" borderId="10" xfId="0" applyBorder="1" applyAlignment="1">
      <alignment horizontal="left" vertical="center"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9" fillId="0" borderId="7" xfId="0" applyFont="1" applyBorder="1" applyAlignment="1">
      <alignment horizontal="center"/>
    </xf>
    <xf numFmtId="14" fontId="0" fillId="0" borderId="1" xfId="0" applyNumberFormat="1" applyBorder="1" applyAlignment="1">
      <alignment horizontal="left" vertical="center" wrapText="1"/>
    </xf>
    <xf numFmtId="0" fontId="0" fillId="7" borderId="1" xfId="0" applyFill="1" applyBorder="1" applyAlignment="1" applyProtection="1">
      <alignment horizontal="left" vertical="center" wrapText="1"/>
      <protection locked="0"/>
    </xf>
    <xf numFmtId="14" fontId="9" fillId="0" borderId="4" xfId="0" applyNumberFormat="1" applyFont="1" applyBorder="1" applyAlignment="1">
      <alignment horizontal="center" wrapText="1"/>
    </xf>
    <xf numFmtId="166" fontId="0" fillId="0" borderId="2" xfId="0" applyNumberFormat="1" applyBorder="1" applyAlignment="1" applyProtection="1">
      <alignment horizontal="center" vertical="center" wrapText="1"/>
      <protection locked="0"/>
    </xf>
    <xf numFmtId="0" fontId="9" fillId="0" borderId="1" xfId="0" applyFont="1" applyBorder="1" applyAlignment="1">
      <alignment vertical="center" wrapText="1"/>
    </xf>
    <xf numFmtId="0" fontId="0" fillId="0" borderId="2" xfId="0" applyBorder="1" applyAlignment="1" applyProtection="1">
      <alignment horizontal="left" vertical="center" wrapText="1"/>
      <protection locked="0"/>
    </xf>
    <xf numFmtId="0" fontId="0" fillId="0" borderId="10" xfId="0" applyBorder="1" applyAlignment="1" applyProtection="1">
      <alignment horizontal="left" vertical="center" wrapText="1"/>
      <protection locked="0"/>
    </xf>
    <xf numFmtId="0" fontId="6" fillId="0" borderId="6" xfId="0" quotePrefix="1" applyFont="1" applyBorder="1" applyAlignment="1">
      <alignment horizontal="center" vertical="center" wrapText="1"/>
    </xf>
    <xf numFmtId="0" fontId="22" fillId="0" borderId="4" xfId="0" applyFont="1" applyBorder="1" applyAlignment="1">
      <alignment vertical="center"/>
    </xf>
    <xf numFmtId="0" fontId="9" fillId="0" borderId="1" xfId="0" quotePrefix="1" applyFont="1" applyBorder="1" applyAlignment="1">
      <alignment horizontal="center" vertical="center" wrapText="1"/>
    </xf>
    <xf numFmtId="0" fontId="0" fillId="0" borderId="0" xfId="0" applyAlignment="1" applyProtection="1">
      <alignment horizontal="left" vertical="center"/>
      <protection locked="0"/>
    </xf>
    <xf numFmtId="0" fontId="9" fillId="0" borderId="0" xfId="0" applyFont="1" applyAlignment="1">
      <alignment horizontal="center" vertical="center"/>
    </xf>
    <xf numFmtId="0" fontId="0" fillId="0" borderId="11" xfId="0" quotePrefix="1" applyBorder="1" applyAlignment="1" applyProtection="1">
      <alignment horizontal="center" vertical="center" wrapText="1"/>
      <protection locked="0"/>
    </xf>
    <xf numFmtId="0" fontId="6" fillId="7" borderId="3" xfId="0" quotePrefix="1" applyFont="1" applyFill="1" applyBorder="1" applyAlignment="1">
      <alignment horizontal="center" vertical="center" wrapText="1"/>
    </xf>
    <xf numFmtId="14" fontId="9" fillId="0" borderId="4" xfId="0" applyNumberFormat="1" applyFont="1" applyBorder="1" applyAlignment="1">
      <alignment horizontal="left" wrapText="1"/>
    </xf>
    <xf numFmtId="0" fontId="9" fillId="0" borderId="4" xfId="0" applyFont="1" applyBorder="1" applyAlignment="1">
      <alignment horizontal="left" vertical="center" wrapText="1"/>
    </xf>
    <xf numFmtId="0" fontId="0" fillId="4" borderId="11" xfId="0" applyFill="1" applyBorder="1" applyAlignment="1">
      <alignment horizontal="center"/>
    </xf>
    <xf numFmtId="0" fontId="0" fillId="4" borderId="11" xfId="0" applyFill="1" applyBorder="1"/>
    <xf numFmtId="0" fontId="0" fillId="0" borderId="4" xfId="0" applyBorder="1" applyAlignment="1">
      <alignment horizontal="center" vertical="center" wrapText="1"/>
    </xf>
    <xf numFmtId="165" fontId="0" fillId="0" borderId="1" xfId="0" applyNumberFormat="1" applyBorder="1" applyAlignment="1">
      <alignment horizontal="left" vertical="center" wrapText="1"/>
    </xf>
    <xf numFmtId="0" fontId="14" fillId="0" borderId="1" xfId="0" applyFont="1" applyBorder="1" applyAlignment="1">
      <alignment horizontal="center" vertical="center" wrapText="1"/>
    </xf>
    <xf numFmtId="0" fontId="9" fillId="0" borderId="2" xfId="0" applyFont="1" applyBorder="1" applyAlignment="1">
      <alignment vertical="center"/>
    </xf>
    <xf numFmtId="0" fontId="13" fillId="0" borderId="15" xfId="0" applyFont="1" applyBorder="1" applyAlignment="1">
      <alignment horizontal="left" vertical="center" wrapText="1"/>
    </xf>
    <xf numFmtId="0" fontId="9" fillId="0" borderId="14" xfId="0" applyFont="1" applyBorder="1" applyAlignment="1">
      <alignment horizontal="center" vertical="center" wrapText="1"/>
    </xf>
    <xf numFmtId="0" fontId="13" fillId="0" borderId="14" xfId="0" applyFont="1" applyBorder="1" applyAlignment="1">
      <alignment horizontal="center" vertical="center" wrapText="1"/>
    </xf>
    <xf numFmtId="0" fontId="0" fillId="0" borderId="11" xfId="0" applyBorder="1" applyAlignment="1">
      <alignment horizontal="left" vertical="center" wrapText="1"/>
    </xf>
    <xf numFmtId="0" fontId="9" fillId="0" borderId="13" xfId="0" applyFont="1" applyBorder="1" applyAlignment="1">
      <alignment horizontal="center" vertical="center" wrapText="1"/>
    </xf>
    <xf numFmtId="2" fontId="0" fillId="0" borderId="1" xfId="0" quotePrefix="1" applyNumberFormat="1" applyBorder="1" applyAlignment="1">
      <alignment horizontal="center" vertical="center" wrapText="1"/>
    </xf>
    <xf numFmtId="164" fontId="0" fillId="0" borderId="2" xfId="0" applyNumberFormat="1" applyBorder="1" applyAlignment="1" applyProtection="1">
      <alignment horizontal="center" vertical="center" wrapText="1"/>
      <protection locked="0"/>
    </xf>
    <xf numFmtId="0" fontId="0" fillId="7" borderId="1" xfId="0" applyFill="1" applyBorder="1" applyAlignment="1">
      <alignment horizontal="center" vertical="center" wrapText="1"/>
    </xf>
    <xf numFmtId="0" fontId="0" fillId="7" borderId="1" xfId="0" quotePrefix="1" applyFill="1" applyBorder="1" applyAlignment="1">
      <alignment horizontal="center" vertical="center" wrapText="1"/>
    </xf>
    <xf numFmtId="0" fontId="6" fillId="7" borderId="1" xfId="0" quotePrefix="1" applyFont="1" applyFill="1" applyBorder="1" applyAlignment="1">
      <alignment horizontal="center" vertical="center" wrapText="1"/>
    </xf>
    <xf numFmtId="166" fontId="0" fillId="7" borderId="1" xfId="0" applyNumberFormat="1" applyFill="1" applyBorder="1" applyAlignment="1" applyProtection="1">
      <alignment horizontal="center" vertical="center" wrapText="1"/>
      <protection locked="0"/>
    </xf>
    <xf numFmtId="0" fontId="26" fillId="0" borderId="1" xfId="0" applyFont="1" applyBorder="1"/>
    <xf numFmtId="2" fontId="0" fillId="0" borderId="3" xfId="0" quotePrefix="1" applyNumberFormat="1" applyBorder="1" applyAlignment="1">
      <alignment horizontal="center" vertical="center" wrapText="1"/>
    </xf>
    <xf numFmtId="2" fontId="0" fillId="0" borderId="11" xfId="0" quotePrefix="1" applyNumberFormat="1" applyBorder="1" applyAlignment="1">
      <alignment horizontal="center" vertical="center" wrapText="1"/>
    </xf>
    <xf numFmtId="1" fontId="0" fillId="13" borderId="4" xfId="0" applyNumberFormat="1" applyFill="1" applyBorder="1" applyAlignment="1" applyProtection="1">
      <alignment horizontal="center" vertical="center" wrapText="1"/>
      <protection locked="0"/>
    </xf>
    <xf numFmtId="1" fontId="0" fillId="0" borderId="1" xfId="0" applyNumberFormat="1" applyBorder="1" applyAlignment="1" applyProtection="1">
      <alignment horizontal="center" vertical="center" wrapText="1"/>
      <protection locked="0"/>
    </xf>
    <xf numFmtId="1" fontId="0" fillId="0" borderId="11" xfId="0" applyNumberFormat="1" applyBorder="1" applyAlignment="1" applyProtection="1">
      <alignment horizontal="center" vertical="center" wrapText="1"/>
      <protection locked="0"/>
    </xf>
    <xf numFmtId="1" fontId="0" fillId="0" borderId="0" xfId="0" applyNumberFormat="1" applyAlignment="1" applyProtection="1">
      <alignment horizontal="center" vertical="center"/>
      <protection locked="0"/>
    </xf>
    <xf numFmtId="0" fontId="0" fillId="0" borderId="3" xfId="0" applyBorder="1" applyAlignment="1">
      <alignment horizontal="left" vertical="center" wrapText="1"/>
    </xf>
    <xf numFmtId="0" fontId="0" fillId="0" borderId="7" xfId="0" applyBorder="1" applyAlignment="1">
      <alignment horizontal="center" vertical="center"/>
    </xf>
    <xf numFmtId="0" fontId="0" fillId="0" borderId="0" xfId="0" applyAlignment="1">
      <alignment horizontal="left"/>
    </xf>
    <xf numFmtId="0" fontId="17" fillId="0" borderId="1" xfId="0" applyFont="1" applyBorder="1" applyAlignment="1">
      <alignment horizontal="center" vertical="center" wrapText="1"/>
    </xf>
    <xf numFmtId="0" fontId="0" fillId="7" borderId="3" xfId="0" quotePrefix="1" applyFill="1" applyBorder="1" applyAlignment="1">
      <alignment horizontal="center" vertical="center" wrapText="1"/>
    </xf>
    <xf numFmtId="165" fontId="0" fillId="7" borderId="1" xfId="0" quotePrefix="1" applyNumberFormat="1" applyFill="1" applyBorder="1" applyAlignment="1">
      <alignment horizontal="center" vertical="center" wrapText="1"/>
    </xf>
    <xf numFmtId="164" fontId="0" fillId="7" borderId="1" xfId="0" applyNumberFormat="1" applyFill="1" applyBorder="1" applyAlignment="1" applyProtection="1">
      <alignment horizontal="center" vertical="center" wrapText="1"/>
      <protection locked="0"/>
    </xf>
    <xf numFmtId="0" fontId="0" fillId="16" borderId="1" xfId="0" applyFill="1" applyBorder="1" applyAlignment="1" applyProtection="1">
      <alignment horizontal="left" vertical="center" wrapText="1"/>
      <protection locked="0"/>
    </xf>
    <xf numFmtId="0" fontId="0" fillId="16" borderId="1" xfId="0" applyFill="1" applyBorder="1" applyAlignment="1">
      <alignment horizontal="center" vertical="center" wrapText="1"/>
    </xf>
    <xf numFmtId="0" fontId="0" fillId="16" borderId="3" xfId="0" quotePrefix="1" applyFill="1" applyBorder="1" applyAlignment="1">
      <alignment horizontal="center" vertical="center" wrapText="1"/>
    </xf>
    <xf numFmtId="0" fontId="6" fillId="16" borderId="3" xfId="0" quotePrefix="1" applyFont="1" applyFill="1" applyBorder="1" applyAlignment="1">
      <alignment horizontal="center" vertical="center" wrapText="1"/>
    </xf>
    <xf numFmtId="0" fontId="0" fillId="17" borderId="1" xfId="0" applyFill="1" applyBorder="1" applyAlignment="1" applyProtection="1">
      <alignment horizontal="left" vertical="center" wrapText="1"/>
      <protection locked="0"/>
    </xf>
    <xf numFmtId="0" fontId="0" fillId="17" borderId="1" xfId="0" applyFill="1" applyBorder="1" applyAlignment="1">
      <alignment horizontal="center" vertical="center" wrapText="1"/>
    </xf>
    <xf numFmtId="0" fontId="0" fillId="17" borderId="3" xfId="0" quotePrefix="1" applyFill="1" applyBorder="1" applyAlignment="1">
      <alignment horizontal="center" vertical="center" wrapText="1"/>
    </xf>
    <xf numFmtId="0" fontId="6" fillId="17" borderId="3" xfId="0" quotePrefix="1" applyFont="1" applyFill="1" applyBorder="1" applyAlignment="1">
      <alignment horizontal="center" vertical="center" wrapText="1"/>
    </xf>
    <xf numFmtId="0" fontId="0" fillId="17" borderId="1" xfId="0" quotePrefix="1" applyFill="1" applyBorder="1" applyAlignment="1">
      <alignment horizontal="center" vertical="center" wrapText="1"/>
    </xf>
    <xf numFmtId="0" fontId="6" fillId="17" borderId="1" xfId="0" quotePrefix="1" applyFont="1" applyFill="1" applyBorder="1" applyAlignment="1">
      <alignment horizontal="center" vertical="center" wrapText="1"/>
    </xf>
    <xf numFmtId="0" fontId="0" fillId="17" borderId="1" xfId="0" applyFill="1" applyBorder="1" applyAlignment="1" applyProtection="1">
      <alignment horizontal="center" vertical="center" wrapText="1"/>
      <protection locked="0"/>
    </xf>
    <xf numFmtId="164" fontId="0" fillId="17" borderId="1" xfId="0" applyNumberFormat="1" applyFill="1" applyBorder="1" applyAlignment="1" applyProtection="1">
      <alignment horizontal="center" vertical="center" wrapText="1"/>
      <protection locked="0"/>
    </xf>
    <xf numFmtId="166" fontId="0" fillId="17" borderId="1" xfId="0" applyNumberFormat="1" applyFill="1" applyBorder="1" applyAlignment="1" applyProtection="1">
      <alignment horizontal="center" vertical="center" wrapText="1"/>
      <protection locked="0"/>
    </xf>
    <xf numFmtId="0" fontId="0" fillId="16" borderId="1" xfId="0" quotePrefix="1" applyFill="1" applyBorder="1" applyAlignment="1">
      <alignment horizontal="center" vertical="center" wrapText="1"/>
    </xf>
    <xf numFmtId="0" fontId="6" fillId="16" borderId="1" xfId="0" quotePrefix="1" applyFont="1" applyFill="1" applyBorder="1" applyAlignment="1">
      <alignment horizontal="center" vertical="center" wrapText="1"/>
    </xf>
    <xf numFmtId="166" fontId="0" fillId="16" borderId="1" xfId="0" applyNumberFormat="1" applyFill="1" applyBorder="1" applyAlignment="1" applyProtection="1">
      <alignment horizontal="center" vertical="center" wrapText="1"/>
      <protection locked="0"/>
    </xf>
    <xf numFmtId="2" fontId="0" fillId="7" borderId="3" xfId="0" quotePrefix="1" applyNumberFormat="1" applyFill="1" applyBorder="1" applyAlignment="1">
      <alignment horizontal="center" vertical="center" wrapText="1"/>
    </xf>
    <xf numFmtId="0" fontId="0" fillId="7" borderId="11" xfId="0" applyFill="1" applyBorder="1" applyAlignment="1" applyProtection="1">
      <alignment horizontal="left" vertical="center" wrapText="1"/>
      <protection locked="0"/>
    </xf>
    <xf numFmtId="0" fontId="0" fillId="7" borderId="11" xfId="0" applyFill="1" applyBorder="1" applyAlignment="1">
      <alignment horizontal="center" vertical="center" wrapText="1"/>
    </xf>
    <xf numFmtId="2" fontId="0" fillId="7" borderId="1" xfId="0" quotePrefix="1" applyNumberFormat="1" applyFill="1" applyBorder="1" applyAlignment="1">
      <alignment horizontal="center" vertical="center" wrapText="1"/>
    </xf>
    <xf numFmtId="2" fontId="0" fillId="7" borderId="11" xfId="0" quotePrefix="1" applyNumberFormat="1" applyFill="1" applyBorder="1" applyAlignment="1">
      <alignment horizontal="center" vertical="center" wrapText="1"/>
    </xf>
    <xf numFmtId="0" fontId="26" fillId="7" borderId="1" xfId="0" applyFont="1" applyFill="1" applyBorder="1"/>
    <xf numFmtId="0" fontId="9" fillId="7" borderId="1" xfId="0" applyFont="1" applyFill="1" applyBorder="1"/>
    <xf numFmtId="166" fontId="0" fillId="7" borderId="10" xfId="0" applyNumberFormat="1" applyFill="1" applyBorder="1" applyAlignment="1" applyProtection="1">
      <alignment horizontal="center" vertical="center" wrapText="1"/>
      <protection locked="0"/>
    </xf>
    <xf numFmtId="164" fontId="0" fillId="7" borderId="17" xfId="0" applyNumberFormat="1" applyFill="1" applyBorder="1" applyAlignment="1" applyProtection="1">
      <alignment horizontal="center" vertical="center" wrapText="1"/>
      <protection locked="0"/>
    </xf>
    <xf numFmtId="166" fontId="0" fillId="7" borderId="11" xfId="0" applyNumberFormat="1" applyFill="1" applyBorder="1" applyAlignment="1" applyProtection="1">
      <alignment horizontal="center" vertical="center" wrapText="1"/>
      <protection locked="0"/>
    </xf>
    <xf numFmtId="164" fontId="0" fillId="7" borderId="11" xfId="0" applyNumberFormat="1" applyFill="1" applyBorder="1" applyAlignment="1" applyProtection="1">
      <alignment horizontal="center" vertical="center" wrapText="1"/>
      <protection locked="0"/>
    </xf>
    <xf numFmtId="2" fontId="0" fillId="16" borderId="3" xfId="0" quotePrefix="1" applyNumberFormat="1" applyFill="1" applyBorder="1" applyAlignment="1">
      <alignment horizontal="center" vertical="center" wrapText="1"/>
    </xf>
    <xf numFmtId="0" fontId="0" fillId="16" borderId="1" xfId="0" applyFill="1" applyBorder="1" applyAlignment="1" applyProtection="1">
      <alignment horizontal="center" vertical="center" wrapText="1"/>
      <protection locked="0"/>
    </xf>
    <xf numFmtId="164" fontId="0" fillId="16" borderId="1" xfId="0" applyNumberFormat="1" applyFill="1" applyBorder="1" applyAlignment="1" applyProtection="1">
      <alignment horizontal="center" vertical="center" wrapText="1"/>
      <protection locked="0"/>
    </xf>
    <xf numFmtId="0" fontId="25" fillId="0" borderId="4" xfId="0" applyFont="1" applyBorder="1"/>
    <xf numFmtId="0" fontId="0" fillId="16" borderId="1" xfId="0" quotePrefix="1" applyFill="1" applyBorder="1" applyAlignment="1" applyProtection="1">
      <alignment horizontal="center" vertical="center" wrapText="1"/>
      <protection locked="0"/>
    </xf>
    <xf numFmtId="0" fontId="0" fillId="16" borderId="1" xfId="0" applyFill="1" applyBorder="1" applyAlignment="1">
      <alignment horizontal="left" vertical="center" wrapText="1"/>
    </xf>
    <xf numFmtId="0" fontId="0" fillId="16" borderId="3" xfId="0" applyFill="1" applyBorder="1" applyAlignment="1">
      <alignment horizontal="center" vertical="center" wrapText="1"/>
    </xf>
    <xf numFmtId="14" fontId="0" fillId="16" borderId="1" xfId="0" applyNumberFormat="1" applyFill="1" applyBorder="1" applyAlignment="1">
      <alignment horizontal="center" vertical="center" wrapText="1"/>
    </xf>
    <xf numFmtId="14" fontId="0" fillId="16" borderId="1" xfId="0" quotePrefix="1" applyNumberFormat="1" applyFill="1" applyBorder="1" applyAlignment="1">
      <alignment horizontal="center" vertical="center" wrapText="1"/>
    </xf>
    <xf numFmtId="166" fontId="0" fillId="16" borderId="1" xfId="0" applyNumberFormat="1" applyFill="1" applyBorder="1" applyAlignment="1">
      <alignment horizontal="center" vertical="center" wrapText="1"/>
    </xf>
    <xf numFmtId="0" fontId="0" fillId="18" borderId="1" xfId="0" applyFill="1" applyBorder="1" applyAlignment="1" applyProtection="1">
      <alignment horizontal="left" vertical="center" wrapText="1"/>
      <protection locked="0"/>
    </xf>
    <xf numFmtId="0" fontId="0" fillId="18" borderId="1" xfId="0" applyFill="1" applyBorder="1" applyAlignment="1">
      <alignment horizontal="center" vertical="center" wrapText="1"/>
    </xf>
    <xf numFmtId="2" fontId="0" fillId="18" borderId="3" xfId="0" quotePrefix="1" applyNumberFormat="1" applyFill="1" applyBorder="1" applyAlignment="1">
      <alignment horizontal="center" vertical="center" wrapText="1"/>
    </xf>
    <xf numFmtId="0" fontId="6" fillId="18" borderId="3" xfId="0" quotePrefix="1" applyFont="1" applyFill="1" applyBorder="1" applyAlignment="1">
      <alignment horizontal="center" vertical="center" wrapText="1"/>
    </xf>
    <xf numFmtId="0" fontId="0" fillId="18" borderId="1" xfId="0" quotePrefix="1" applyFill="1" applyBorder="1" applyAlignment="1">
      <alignment horizontal="left" vertical="center" wrapText="1"/>
    </xf>
    <xf numFmtId="0" fontId="0" fillId="18" borderId="1" xfId="0" applyFill="1" applyBorder="1" applyAlignment="1" applyProtection="1">
      <alignment horizontal="center" vertical="center" wrapText="1"/>
      <protection locked="0"/>
    </xf>
    <xf numFmtId="0" fontId="0" fillId="18" borderId="1" xfId="0" quotePrefix="1" applyFill="1" applyBorder="1" applyAlignment="1">
      <alignment horizontal="center" vertical="center" wrapText="1"/>
    </xf>
    <xf numFmtId="164" fontId="0" fillId="18" borderId="1" xfId="0" applyNumberFormat="1" applyFill="1" applyBorder="1" applyAlignment="1" applyProtection="1">
      <alignment horizontal="center" vertical="center" wrapText="1"/>
      <protection locked="0"/>
    </xf>
    <xf numFmtId="166" fontId="0" fillId="18" borderId="1" xfId="0" applyNumberFormat="1" applyFill="1" applyBorder="1" applyAlignment="1" applyProtection="1">
      <alignment horizontal="center" vertical="center" wrapText="1"/>
      <protection locked="0"/>
    </xf>
    <xf numFmtId="14" fontId="0" fillId="19" borderId="1" xfId="0" quotePrefix="1" applyNumberFormat="1" applyFill="1" applyBorder="1" applyAlignment="1">
      <alignment horizontal="center" vertical="center" wrapText="1"/>
    </xf>
    <xf numFmtId="166" fontId="0" fillId="19" borderId="1" xfId="0" applyNumberFormat="1" applyFill="1" applyBorder="1" applyAlignment="1">
      <alignment horizontal="center" vertical="center" wrapText="1"/>
    </xf>
    <xf numFmtId="0" fontId="0" fillId="18" borderId="1" xfId="0" quotePrefix="1" applyFill="1" applyBorder="1" applyAlignment="1" applyProtection="1">
      <alignment horizontal="center" vertical="center" wrapText="1"/>
      <protection locked="0"/>
    </xf>
    <xf numFmtId="0" fontId="6" fillId="16" borderId="1" xfId="0" applyFont="1" applyFill="1" applyBorder="1" applyAlignment="1">
      <alignment horizontal="center" vertical="center" wrapText="1"/>
    </xf>
    <xf numFmtId="0" fontId="0" fillId="20" borderId="1" xfId="0" applyFill="1" applyBorder="1" applyAlignment="1" applyProtection="1">
      <alignment horizontal="left" vertical="center" wrapText="1"/>
      <protection locked="0"/>
    </xf>
    <xf numFmtId="0" fontId="0" fillId="20" borderId="1" xfId="0" applyFill="1" applyBorder="1" applyAlignment="1">
      <alignment horizontal="center" vertical="center" wrapText="1"/>
    </xf>
    <xf numFmtId="0" fontId="0" fillId="20" borderId="1" xfId="0" quotePrefix="1" applyFill="1" applyBorder="1" applyAlignment="1">
      <alignment horizontal="center" vertical="center" wrapText="1"/>
    </xf>
    <xf numFmtId="0" fontId="6" fillId="20" borderId="1" xfId="0" quotePrefix="1" applyFont="1" applyFill="1" applyBorder="1" applyAlignment="1">
      <alignment horizontal="center" vertical="center" wrapText="1"/>
    </xf>
    <xf numFmtId="0" fontId="9" fillId="20" borderId="1" xfId="0" applyFont="1" applyFill="1" applyBorder="1" applyAlignment="1">
      <alignment horizontal="left" vertical="center" wrapText="1"/>
    </xf>
    <xf numFmtId="0" fontId="0" fillId="20" borderId="1" xfId="0" applyFill="1" applyBorder="1" applyAlignment="1" applyProtection="1">
      <alignment horizontal="center" vertical="center" wrapText="1"/>
      <protection locked="0"/>
    </xf>
    <xf numFmtId="164" fontId="0" fillId="20" borderId="1" xfId="0" applyNumberFormat="1" applyFill="1" applyBorder="1" applyAlignment="1" applyProtection="1">
      <alignment horizontal="center" vertical="center" wrapText="1"/>
      <protection locked="0"/>
    </xf>
    <xf numFmtId="166" fontId="0" fillId="20" borderId="1" xfId="0" applyNumberFormat="1" applyFill="1" applyBorder="1" applyAlignment="1" applyProtection="1">
      <alignment horizontal="center" vertical="center" wrapText="1"/>
      <protection locked="0"/>
    </xf>
    <xf numFmtId="0" fontId="0" fillId="20" borderId="0" xfId="0" applyFill="1"/>
    <xf numFmtId="2" fontId="0" fillId="17" borderId="11" xfId="0" quotePrefix="1" applyNumberFormat="1" applyFill="1" applyBorder="1" applyAlignment="1">
      <alignment horizontal="center" vertical="center" wrapText="1"/>
    </xf>
    <xf numFmtId="2" fontId="0" fillId="17" borderId="3" xfId="0" quotePrefix="1" applyNumberFormat="1" applyFill="1" applyBorder="1" applyAlignment="1">
      <alignment horizontal="center" vertical="center" wrapText="1"/>
    </xf>
    <xf numFmtId="0" fontId="0" fillId="17" borderId="1" xfId="0" quotePrefix="1" applyFill="1" applyBorder="1" applyAlignment="1" applyProtection="1">
      <alignment horizontal="center" vertical="center" wrapText="1"/>
      <protection locked="0"/>
    </xf>
    <xf numFmtId="2" fontId="0" fillId="17" borderId="1" xfId="0" quotePrefix="1" applyNumberFormat="1" applyFill="1" applyBorder="1" applyAlignment="1">
      <alignment horizontal="center" vertical="center" wrapText="1"/>
    </xf>
    <xf numFmtId="0" fontId="1" fillId="0" borderId="3" xfId="0" applyFont="1" applyBorder="1" applyAlignment="1">
      <alignment horizontal="center" vertical="center" wrapText="1"/>
    </xf>
    <xf numFmtId="0" fontId="5" fillId="0" borderId="1" xfId="0" quotePrefix="1" applyFont="1" applyBorder="1" applyAlignment="1">
      <alignment horizontal="center" vertical="center" wrapText="1"/>
    </xf>
    <xf numFmtId="0" fontId="1" fillId="0" borderId="0" xfId="0" applyFont="1"/>
    <xf numFmtId="0" fontId="1" fillId="0" borderId="3" xfId="0" quotePrefix="1" applyFont="1" applyBorder="1" applyAlignment="1">
      <alignment horizontal="center" vertical="center" wrapText="1"/>
    </xf>
    <xf numFmtId="0" fontId="1" fillId="0" borderId="0" xfId="0" applyFont="1" applyAlignment="1">
      <alignment wrapText="1"/>
    </xf>
    <xf numFmtId="0" fontId="1" fillId="0" borderId="1" xfId="0" applyFont="1" applyBorder="1" applyAlignment="1">
      <alignment horizontal="center" vertical="center" wrapText="1"/>
    </xf>
    <xf numFmtId="0" fontId="1" fillId="4" borderId="8" xfId="0" applyFont="1" applyFill="1" applyBorder="1"/>
    <xf numFmtId="14" fontId="0" fillId="18" borderId="1" xfId="0" applyNumberFormat="1" applyFill="1" applyBorder="1" applyAlignment="1">
      <alignment horizontal="center" vertical="center" wrapText="1"/>
    </xf>
    <xf numFmtId="0" fontId="9" fillId="16" borderId="1" xfId="0" applyFont="1" applyFill="1" applyBorder="1" applyAlignment="1">
      <alignment vertical="center" wrapText="1"/>
    </xf>
    <xf numFmtId="0" fontId="9" fillId="16" borderId="1" xfId="0" applyFont="1" applyFill="1" applyBorder="1" applyAlignment="1">
      <alignment horizontal="center" vertical="center" wrapText="1"/>
    </xf>
    <xf numFmtId="0" fontId="0" fillId="16" borderId="0" xfId="0" applyFill="1" applyAlignment="1">
      <alignment vertical="center"/>
    </xf>
    <xf numFmtId="0" fontId="0" fillId="16" borderId="0" xfId="0" applyFill="1"/>
    <xf numFmtId="14" fontId="0" fillId="0" borderId="1" xfId="0" applyNumberFormat="1" applyBorder="1" applyAlignment="1" applyProtection="1">
      <alignment horizontal="left" vertical="center" wrapText="1"/>
      <protection locked="0"/>
    </xf>
    <xf numFmtId="0" fontId="0" fillId="0" borderId="1" xfId="0" quotePrefix="1" applyBorder="1" applyAlignment="1">
      <alignment horizontal="left" vertical="center"/>
    </xf>
    <xf numFmtId="0" fontId="9" fillId="0" borderId="7" xfId="0" applyFont="1" applyBorder="1" applyAlignment="1">
      <alignment horizontal="center" vertical="center"/>
    </xf>
    <xf numFmtId="0" fontId="9" fillId="0" borderId="4" xfId="0" applyFont="1" applyBorder="1" applyAlignment="1">
      <alignment horizontal="center" vertical="center"/>
    </xf>
    <xf numFmtId="0" fontId="0" fillId="21" borderId="1" xfId="0" applyFill="1" applyBorder="1" applyAlignment="1" applyProtection="1">
      <alignment horizontal="left" vertical="center" wrapText="1"/>
      <protection locked="0"/>
    </xf>
    <xf numFmtId="0" fontId="0" fillId="21" borderId="1" xfId="0" applyFill="1" applyBorder="1" applyAlignment="1">
      <alignment horizontal="center" vertical="center" wrapText="1"/>
    </xf>
    <xf numFmtId="0" fontId="0" fillId="21" borderId="3" xfId="0" quotePrefix="1" applyFill="1" applyBorder="1" applyAlignment="1">
      <alignment horizontal="center" vertical="center" wrapText="1"/>
    </xf>
    <xf numFmtId="0" fontId="6" fillId="21" borderId="3" xfId="0" quotePrefix="1" applyFont="1" applyFill="1" applyBorder="1" applyAlignment="1">
      <alignment horizontal="center" vertical="center" wrapText="1"/>
    </xf>
    <xf numFmtId="0" fontId="0" fillId="21" borderId="1" xfId="0" quotePrefix="1" applyFill="1" applyBorder="1" applyAlignment="1">
      <alignment horizontal="center" vertical="center" wrapText="1"/>
    </xf>
    <xf numFmtId="0" fontId="0" fillId="21" borderId="1" xfId="0" applyFill="1" applyBorder="1" applyAlignment="1" applyProtection="1">
      <alignment vertical="center" wrapText="1"/>
      <protection locked="0"/>
    </xf>
    <xf numFmtId="164" fontId="0" fillId="21" borderId="1" xfId="0" applyNumberFormat="1" applyFill="1" applyBorder="1" applyAlignment="1" applyProtection="1">
      <alignment horizontal="center" vertical="center" wrapText="1"/>
      <protection locked="0"/>
    </xf>
    <xf numFmtId="0" fontId="0" fillId="16" borderId="0" xfId="0" applyFill="1" applyAlignment="1">
      <alignment vertical="center" wrapText="1"/>
    </xf>
    <xf numFmtId="14" fontId="0" fillId="17" borderId="1" xfId="0" applyNumberFormat="1" applyFill="1" applyBorder="1" applyAlignment="1">
      <alignment horizontal="center" vertical="center" wrapText="1"/>
    </xf>
    <xf numFmtId="0" fontId="0" fillId="0" borderId="3" xfId="0" quotePrefix="1" applyBorder="1" applyAlignment="1" applyProtection="1">
      <alignment vertical="center" wrapText="1"/>
      <protection locked="0"/>
    </xf>
    <xf numFmtId="0" fontId="5" fillId="0" borderId="0" xfId="0" applyFont="1" applyAlignment="1">
      <alignment vertical="center"/>
    </xf>
    <xf numFmtId="0" fontId="17" fillId="0" borderId="0" xfId="0" applyFont="1" applyAlignment="1">
      <alignment vertical="center" wrapText="1"/>
    </xf>
    <xf numFmtId="0" fontId="0" fillId="17" borderId="11" xfId="0" applyFill="1" applyBorder="1" applyAlignment="1" applyProtection="1">
      <alignment horizontal="left" vertical="center" wrapText="1"/>
      <protection locked="0"/>
    </xf>
    <xf numFmtId="0" fontId="0" fillId="16" borderId="11" xfId="0" applyFill="1" applyBorder="1" applyAlignment="1">
      <alignment horizontal="center" vertical="center" wrapText="1"/>
    </xf>
    <xf numFmtId="0" fontId="0" fillId="17" borderId="11" xfId="0" applyFill="1" applyBorder="1" applyAlignment="1">
      <alignment horizontal="center" vertical="center" wrapText="1"/>
    </xf>
    <xf numFmtId="0" fontId="0" fillId="18" borderId="11" xfId="0" applyFill="1" applyBorder="1" applyAlignment="1">
      <alignment horizontal="center" vertical="center" wrapText="1"/>
    </xf>
    <xf numFmtId="2" fontId="0" fillId="16" borderId="11" xfId="0" quotePrefix="1" applyNumberFormat="1" applyFill="1" applyBorder="1" applyAlignment="1">
      <alignment horizontal="center" vertical="center" wrapText="1"/>
    </xf>
    <xf numFmtId="2" fontId="0" fillId="16" borderId="1" xfId="0" quotePrefix="1" applyNumberFormat="1" applyFill="1" applyBorder="1" applyAlignment="1">
      <alignment horizontal="center" vertical="center" wrapText="1"/>
    </xf>
    <xf numFmtId="2" fontId="0" fillId="18" borderId="1" xfId="0" quotePrefix="1" applyNumberFormat="1" applyFill="1" applyBorder="1" applyAlignment="1">
      <alignment horizontal="center" vertical="center" wrapText="1"/>
    </xf>
    <xf numFmtId="2" fontId="0" fillId="18" borderId="11" xfId="0" quotePrefix="1" applyNumberFormat="1" applyFill="1" applyBorder="1" applyAlignment="1">
      <alignment horizontal="center" vertical="center" wrapText="1"/>
    </xf>
    <xf numFmtId="0" fontId="9" fillId="0" borderId="2" xfId="0" applyFont="1" applyBorder="1" applyAlignment="1">
      <alignment horizontal="left" vertical="center" wrapText="1"/>
    </xf>
    <xf numFmtId="0" fontId="0" fillId="17" borderId="11" xfId="0" applyFill="1" applyBorder="1" applyAlignment="1" applyProtection="1">
      <alignment horizontal="center" vertical="center" wrapText="1"/>
      <protection locked="0"/>
    </xf>
    <xf numFmtId="165" fontId="0" fillId="0" borderId="2" xfId="0" quotePrefix="1" applyNumberFormat="1" applyBorder="1" applyAlignment="1">
      <alignment horizontal="center" vertical="center" wrapText="1"/>
    </xf>
    <xf numFmtId="0" fontId="22" fillId="0" borderId="15" xfId="0" applyFont="1" applyBorder="1" applyAlignment="1">
      <alignment vertical="center"/>
    </xf>
    <xf numFmtId="164" fontId="0" fillId="17" borderId="11" xfId="0" applyNumberFormat="1" applyFill="1" applyBorder="1" applyAlignment="1" applyProtection="1">
      <alignment horizontal="center" vertical="center" wrapText="1"/>
      <protection locked="0"/>
    </xf>
    <xf numFmtId="49" fontId="0" fillId="0" borderId="1" xfId="0" quotePrefix="1" applyNumberFormat="1" applyBorder="1" applyAlignment="1">
      <alignment horizontal="center" vertical="center" wrapText="1"/>
    </xf>
    <xf numFmtId="166" fontId="0" fillId="17" borderId="11" xfId="0" applyNumberFormat="1" applyFill="1" applyBorder="1" applyAlignment="1" applyProtection="1">
      <alignment horizontal="center" vertical="center" wrapText="1"/>
      <protection locked="0"/>
    </xf>
    <xf numFmtId="0" fontId="0" fillId="18" borderId="11" xfId="0" applyFill="1" applyBorder="1" applyAlignment="1" applyProtection="1">
      <alignment horizontal="left" vertical="center" wrapText="1"/>
      <protection locked="0"/>
    </xf>
    <xf numFmtId="0" fontId="0" fillId="16" borderId="11" xfId="0" applyFill="1" applyBorder="1" applyAlignment="1" applyProtection="1">
      <alignment horizontal="left" vertical="center" wrapText="1"/>
      <protection locked="0"/>
    </xf>
    <xf numFmtId="0" fontId="6" fillId="1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17" borderId="3" xfId="0" applyFont="1" applyFill="1" applyBorder="1" applyAlignment="1">
      <alignment horizontal="center" vertical="center" wrapText="1"/>
    </xf>
    <xf numFmtId="0" fontId="6" fillId="18" borderId="3" xfId="0" applyFont="1" applyFill="1" applyBorder="1" applyAlignment="1">
      <alignment horizontal="center" vertical="center" wrapText="1"/>
    </xf>
    <xf numFmtId="0" fontId="0" fillId="16" borderId="3" xfId="0" applyFill="1" applyBorder="1" applyAlignment="1" applyProtection="1">
      <alignment horizontal="left" vertical="center" wrapText="1"/>
      <protection locked="0"/>
    </xf>
    <xf numFmtId="0" fontId="0" fillId="16" borderId="3" xfId="0" applyFill="1" applyBorder="1" applyAlignment="1" applyProtection="1">
      <alignment horizontal="center" vertical="center" wrapText="1"/>
      <protection locked="0"/>
    </xf>
    <xf numFmtId="0" fontId="5" fillId="0" borderId="4" xfId="0" applyFont="1" applyBorder="1" applyAlignment="1">
      <alignment horizontal="center" vertical="center" wrapText="1"/>
    </xf>
    <xf numFmtId="0" fontId="25" fillId="0" borderId="4" xfId="0" applyFont="1" applyBorder="1" applyAlignment="1">
      <alignment horizontal="center" vertical="center"/>
    </xf>
    <xf numFmtId="0" fontId="0" fillId="16" borderId="11" xfId="0" applyFill="1" applyBorder="1" applyAlignment="1" applyProtection="1">
      <alignment horizontal="center" vertical="center" wrapText="1"/>
      <protection locked="0"/>
    </xf>
    <xf numFmtId="2" fontId="0" fillId="0" borderId="1" xfId="0" applyNumberFormat="1" applyBorder="1" applyAlignment="1">
      <alignment horizontal="center" vertical="center" wrapText="1"/>
    </xf>
    <xf numFmtId="164" fontId="0" fillId="16" borderId="10" xfId="0" applyNumberFormat="1" applyFill="1" applyBorder="1" applyAlignment="1" applyProtection="1">
      <alignment horizontal="center" vertical="center" wrapText="1"/>
      <protection locked="0"/>
    </xf>
    <xf numFmtId="166" fontId="0" fillId="18" borderId="2" xfId="0" applyNumberFormat="1" applyFill="1" applyBorder="1" applyAlignment="1" applyProtection="1">
      <alignment horizontal="center" vertical="center" wrapText="1"/>
      <protection locked="0"/>
    </xf>
    <xf numFmtId="0" fontId="25" fillId="0" borderId="0" xfId="0" applyFont="1"/>
    <xf numFmtId="1" fontId="0" fillId="0" borderId="0" xfId="0" applyNumberFormat="1" applyAlignment="1" applyProtection="1">
      <alignment horizontal="center" vertical="center" wrapText="1"/>
      <protection locked="0"/>
    </xf>
    <xf numFmtId="0" fontId="0" fillId="18" borderId="11" xfId="0" applyFill="1" applyBorder="1" applyAlignment="1" applyProtection="1">
      <alignment horizontal="center" vertical="center" wrapText="1"/>
      <protection locked="0"/>
    </xf>
    <xf numFmtId="164" fontId="0" fillId="16" borderId="17" xfId="0" applyNumberFormat="1" applyFill="1" applyBorder="1" applyAlignment="1" applyProtection="1">
      <alignment horizontal="center" vertical="center" wrapText="1"/>
      <protection locked="0"/>
    </xf>
    <xf numFmtId="164" fontId="0" fillId="18" borderId="11" xfId="0" applyNumberFormat="1" applyFill="1" applyBorder="1" applyAlignment="1" applyProtection="1">
      <alignment horizontal="center" vertical="center" wrapText="1"/>
      <protection locked="0"/>
    </xf>
    <xf numFmtId="166" fontId="0" fillId="16" borderId="10" xfId="0" applyNumberFormat="1" applyFill="1" applyBorder="1" applyAlignment="1" applyProtection="1">
      <alignment horizontal="center" vertical="center" wrapText="1"/>
      <protection locked="0"/>
    </xf>
    <xf numFmtId="166" fontId="0" fillId="18" borderId="11" xfId="0" applyNumberFormat="1" applyFill="1" applyBorder="1" applyAlignment="1" applyProtection="1">
      <alignment horizontal="center" vertical="center" wrapText="1"/>
      <protection locked="0"/>
    </xf>
    <xf numFmtId="0" fontId="13" fillId="0" borderId="0" xfId="0" applyFont="1" applyAlignment="1">
      <alignment horizontal="left" vertical="center" wrapText="1"/>
    </xf>
    <xf numFmtId="0" fontId="9" fillId="0" borderId="0" xfId="0" applyFont="1" applyAlignment="1">
      <alignment horizontal="left" vertical="center" wrapText="1"/>
    </xf>
    <xf numFmtId="0" fontId="22" fillId="0" borderId="0" xfId="0" applyFont="1" applyAlignment="1">
      <alignment vertical="center" wrapText="1"/>
    </xf>
    <xf numFmtId="0" fontId="22" fillId="0" borderId="0" xfId="0" applyFont="1" applyAlignment="1">
      <alignment vertical="center"/>
    </xf>
    <xf numFmtId="0" fontId="17" fillId="0" borderId="0" xfId="0" applyFont="1" applyAlignment="1">
      <alignment horizontal="left" vertical="center"/>
    </xf>
    <xf numFmtId="0" fontId="22" fillId="0" borderId="0" xfId="0" applyFont="1" applyAlignment="1">
      <alignment horizontal="center" vertical="center"/>
    </xf>
    <xf numFmtId="0" fontId="13" fillId="0" borderId="0" xfId="0" applyFont="1" applyAlignment="1">
      <alignment horizontal="center" vertical="center" wrapText="1"/>
    </xf>
    <xf numFmtId="0" fontId="22" fillId="0" borderId="0" xfId="0" applyFont="1" applyAlignment="1">
      <alignment horizontal="center" vertical="center" wrapText="1"/>
    </xf>
    <xf numFmtId="0" fontId="0" fillId="0" borderId="6" xfId="0" quotePrefix="1" applyBorder="1" applyAlignment="1">
      <alignment horizontal="center" vertical="center" wrapText="1"/>
    </xf>
    <xf numFmtId="0" fontId="5" fillId="0" borderId="4" xfId="0" applyFont="1" applyBorder="1" applyAlignment="1">
      <alignment horizontal="left" vertical="center" wrapText="1"/>
    </xf>
    <xf numFmtId="0" fontId="23" fillId="0" borderId="0" xfId="0" applyFont="1" applyAlignment="1">
      <alignment horizontal="left" vertical="center"/>
    </xf>
    <xf numFmtId="0" fontId="0" fillId="0" borderId="2" xfId="0" applyBorder="1" applyAlignment="1">
      <alignment horizontal="center"/>
    </xf>
    <xf numFmtId="0" fontId="15" fillId="0" borderId="4" xfId="0" applyFont="1" applyBorder="1" applyAlignment="1">
      <alignment horizontal="left" vertical="center" wrapText="1"/>
    </xf>
    <xf numFmtId="0" fontId="18" fillId="18" borderId="0" xfId="0" applyFont="1" applyFill="1" applyAlignment="1">
      <alignment horizontal="left" vertical="center" wrapText="1"/>
    </xf>
    <xf numFmtId="0" fontId="8" fillId="0" borderId="2" xfId="0" applyFont="1" applyBorder="1" applyAlignment="1">
      <alignment horizontal="center"/>
    </xf>
    <xf numFmtId="0" fontId="16" fillId="0" borderId="4" xfId="0" applyFont="1" applyBorder="1" applyAlignment="1">
      <alignment horizontal="left" vertical="center" wrapText="1"/>
    </xf>
    <xf numFmtId="0" fontId="0" fillId="0" borderId="21" xfId="0" applyBorder="1" applyAlignment="1">
      <alignment horizontal="center" vertical="center" wrapText="1"/>
    </xf>
    <xf numFmtId="0" fontId="9" fillId="0" borderId="3" xfId="0" applyFont="1" applyBorder="1" applyAlignment="1">
      <alignment horizontal="center" vertical="center" wrapText="1"/>
    </xf>
    <xf numFmtId="0" fontId="21" fillId="0" borderId="14" xfId="0" applyFont="1" applyBorder="1" applyAlignment="1">
      <alignment horizontal="center" vertical="center" wrapText="1"/>
    </xf>
    <xf numFmtId="0" fontId="15" fillId="0" borderId="4" xfId="0" applyFont="1" applyBorder="1" applyAlignment="1">
      <alignment horizontal="center" vertical="center" wrapText="1"/>
    </xf>
    <xf numFmtId="0" fontId="0" fillId="0" borderId="10" xfId="0" applyBorder="1" applyAlignment="1">
      <alignment horizontal="center" vertical="center" wrapText="1"/>
    </xf>
    <xf numFmtId="0" fontId="18" fillId="18" borderId="4" xfId="0" applyFont="1" applyFill="1" applyBorder="1" applyAlignment="1">
      <alignment horizontal="center" vertical="center"/>
    </xf>
    <xf numFmtId="0" fontId="16" fillId="0" borderId="4" xfId="0" applyFont="1" applyBorder="1" applyAlignment="1">
      <alignment horizontal="center" vertical="center" wrapText="1"/>
    </xf>
    <xf numFmtId="0" fontId="22" fillId="0" borderId="0" xfId="0" applyFont="1" applyAlignment="1">
      <alignment horizontal="left" vertical="center"/>
    </xf>
    <xf numFmtId="0" fontId="13" fillId="0" borderId="14" xfId="0" applyFont="1" applyBorder="1" applyAlignment="1">
      <alignment horizontal="left" vertical="center" wrapText="1"/>
    </xf>
    <xf numFmtId="0" fontId="18" fillId="18" borderId="4" xfId="0" applyFont="1" applyFill="1" applyBorder="1" applyAlignment="1">
      <alignment horizontal="left" vertical="center"/>
    </xf>
    <xf numFmtId="0" fontId="0" fillId="16" borderId="3" xfId="0" applyFill="1" applyBorder="1" applyAlignment="1">
      <alignment horizontal="left" vertical="center" wrapText="1"/>
    </xf>
    <xf numFmtId="0" fontId="9" fillId="0" borderId="0" xfId="0" applyFont="1" applyAlignment="1">
      <alignment vertical="center"/>
    </xf>
    <xf numFmtId="0" fontId="0" fillId="0" borderId="0" xfId="0" applyAlignment="1">
      <alignment horizontal="center" vertical="center" wrapText="1"/>
    </xf>
    <xf numFmtId="0" fontId="5" fillId="0" borderId="4" xfId="0" quotePrefix="1" applyFont="1" applyBorder="1" applyAlignment="1">
      <alignment horizontal="center" vertical="center" wrapText="1"/>
    </xf>
    <xf numFmtId="0" fontId="25" fillId="16" borderId="18" xfId="0" applyFont="1" applyFill="1" applyBorder="1" applyAlignment="1">
      <alignment horizontal="center" vertical="center"/>
    </xf>
    <xf numFmtId="0" fontId="0" fillId="16" borderId="11" xfId="0" quotePrefix="1" applyFill="1" applyBorder="1" applyAlignment="1" applyProtection="1">
      <alignment horizontal="center" vertical="center" wrapText="1"/>
      <protection locked="0"/>
    </xf>
    <xf numFmtId="0" fontId="9" fillId="0" borderId="3" xfId="0" quotePrefix="1" applyFont="1" applyBorder="1" applyAlignment="1">
      <alignment horizontal="center" vertical="center" wrapText="1"/>
    </xf>
    <xf numFmtId="0" fontId="18" fillId="0" borderId="0" xfId="0" applyFont="1" applyAlignment="1">
      <alignment horizontal="center" vertical="center"/>
    </xf>
    <xf numFmtId="0" fontId="0" fillId="0" borderId="10" xfId="0" quotePrefix="1" applyBorder="1" applyAlignment="1">
      <alignment horizontal="center" vertical="center" wrapText="1"/>
    </xf>
    <xf numFmtId="0" fontId="25" fillId="0" borderId="0" xfId="0" applyFont="1" applyAlignment="1">
      <alignment horizontal="center" vertical="center"/>
    </xf>
    <xf numFmtId="0" fontId="0" fillId="18" borderId="11" xfId="0" quotePrefix="1" applyFill="1" applyBorder="1" applyAlignment="1" applyProtection="1">
      <alignment horizontal="center" vertical="center" wrapText="1"/>
      <protection locked="0"/>
    </xf>
    <xf numFmtId="0" fontId="13" fillId="0" borderId="13" xfId="0" applyFont="1" applyBorder="1" applyAlignment="1">
      <alignment horizontal="center" vertical="center" wrapText="1"/>
    </xf>
    <xf numFmtId="164" fontId="0" fillId="16" borderId="11" xfId="0" applyNumberFormat="1" applyFill="1" applyBorder="1" applyAlignment="1" applyProtection="1">
      <alignment horizontal="center" vertical="center" wrapText="1"/>
      <protection locked="0"/>
    </xf>
    <xf numFmtId="14" fontId="0" fillId="19" borderId="10" xfId="0" applyNumberFormat="1" applyFill="1" applyBorder="1" applyAlignment="1">
      <alignment horizontal="center" vertical="center" wrapText="1"/>
    </xf>
    <xf numFmtId="14" fontId="0" fillId="16" borderId="3" xfId="0" applyNumberFormat="1" applyFill="1" applyBorder="1" applyAlignment="1">
      <alignment horizontal="center" vertical="center" wrapText="1"/>
    </xf>
    <xf numFmtId="14" fontId="0" fillId="0" borderId="3" xfId="0" applyNumberFormat="1" applyBorder="1" applyAlignment="1">
      <alignment horizontal="center" vertical="center" wrapText="1"/>
    </xf>
    <xf numFmtId="14" fontId="0" fillId="16" borderId="3" xfId="0" quotePrefix="1" applyNumberFormat="1" applyFill="1" applyBorder="1" applyAlignment="1">
      <alignment horizontal="center" vertical="center" wrapText="1"/>
    </xf>
    <xf numFmtId="166" fontId="0" fillId="16" borderId="11" xfId="0" applyNumberFormat="1" applyFill="1" applyBorder="1" applyAlignment="1" applyProtection="1">
      <alignment horizontal="center" vertical="center" wrapText="1"/>
      <protection locked="0"/>
    </xf>
    <xf numFmtId="166" fontId="0" fillId="16" borderId="2" xfId="0" applyNumberFormat="1" applyFill="1" applyBorder="1" applyAlignment="1" applyProtection="1">
      <alignment horizontal="center" vertical="center" wrapText="1"/>
      <protection locked="0"/>
    </xf>
    <xf numFmtId="166" fontId="0" fillId="16" borderId="3" xfId="0" applyNumberFormat="1" applyFill="1" applyBorder="1" applyAlignment="1">
      <alignment horizontal="center" vertical="center" wrapText="1"/>
    </xf>
    <xf numFmtId="166" fontId="0" fillId="0" borderId="3" xfId="0" applyNumberFormat="1" applyBorder="1" applyAlignment="1">
      <alignment horizontal="center" vertical="center" wrapText="1"/>
    </xf>
    <xf numFmtId="0" fontId="22" fillId="0" borderId="4" xfId="0" applyFont="1" applyBorder="1" applyAlignment="1">
      <alignment horizontal="center" vertical="center" wrapText="1"/>
    </xf>
    <xf numFmtId="0" fontId="25" fillId="0" borderId="4" xfId="0" applyFont="1" applyBorder="1" applyAlignment="1">
      <alignment wrapText="1"/>
    </xf>
    <xf numFmtId="0" fontId="9" fillId="0" borderId="0" xfId="0" applyFont="1" applyAlignment="1">
      <alignment horizontal="center" vertical="center" wrapText="1"/>
    </xf>
    <xf numFmtId="0" fontId="22" fillId="0" borderId="22" xfId="0" applyFont="1" applyBorder="1" applyAlignment="1">
      <alignment horizontal="center" vertical="center" wrapText="1"/>
    </xf>
    <xf numFmtId="0" fontId="9" fillId="0" borderId="0" xfId="0" applyFont="1" applyAlignment="1">
      <alignment vertical="center" wrapText="1"/>
    </xf>
    <xf numFmtId="1" fontId="0" fillId="0" borderId="0" xfId="0" applyNumberFormat="1" applyAlignment="1">
      <alignment wrapText="1"/>
    </xf>
    <xf numFmtId="1" fontId="0" fillId="0" borderId="0" xfId="0" applyNumberFormat="1" applyAlignment="1">
      <alignment vertical="center" wrapText="1"/>
    </xf>
    <xf numFmtId="1" fontId="0" fillId="0" borderId="0" xfId="0" applyNumberFormat="1"/>
    <xf numFmtId="14" fontId="0" fillId="0" borderId="3" xfId="0" quotePrefix="1" applyNumberFormat="1" applyBorder="1" applyAlignment="1">
      <alignment horizontal="center" vertical="center" wrapText="1"/>
    </xf>
    <xf numFmtId="14" fontId="0" fillId="0" borderId="23" xfId="0" quotePrefix="1" applyNumberFormat="1" applyBorder="1" applyAlignment="1">
      <alignment horizontal="center" vertical="center" wrapText="1"/>
    </xf>
    <xf numFmtId="166" fontId="0" fillId="0" borderId="23" xfId="0" applyNumberFormat="1" applyBorder="1" applyAlignment="1">
      <alignment horizontal="center" vertical="center" wrapText="1"/>
    </xf>
    <xf numFmtId="0" fontId="0" fillId="2" borderId="0" xfId="0" applyFill="1" applyAlignment="1" applyProtection="1">
      <alignment horizontal="center" vertical="center" wrapText="1"/>
      <protection locked="0"/>
    </xf>
    <xf numFmtId="0" fontId="24" fillId="0" borderId="0" xfId="0" applyFont="1" applyAlignment="1">
      <alignment horizontal="left" wrapText="1"/>
    </xf>
    <xf numFmtId="0" fontId="1" fillId="0" borderId="0" xfId="0" applyFont="1" applyAlignment="1">
      <alignment vertical="top" wrapText="1"/>
    </xf>
    <xf numFmtId="2" fontId="13" fillId="0" borderId="3" xfId="0" quotePrefix="1" applyNumberFormat="1" applyFont="1" applyBorder="1" applyAlignment="1">
      <alignment horizontal="center" vertical="center" wrapText="1"/>
    </xf>
    <xf numFmtId="0" fontId="27" fillId="0" borderId="3" xfId="0" quotePrefix="1" applyFont="1" applyBorder="1" applyAlignment="1">
      <alignment horizontal="center" vertical="center" wrapText="1"/>
    </xf>
    <xf numFmtId="0" fontId="0" fillId="0" borderId="0" xfId="0" applyAlignment="1">
      <alignment horizontal="center" vertical="center"/>
    </xf>
    <xf numFmtId="1" fontId="0" fillId="0" borderId="6" xfId="0" applyNumberFormat="1" applyBorder="1" applyAlignment="1" applyProtection="1">
      <alignment horizontal="center" vertical="center" wrapText="1"/>
      <protection locked="0"/>
    </xf>
    <xf numFmtId="1" fontId="0" fillId="0" borderId="2" xfId="0" applyNumberFormat="1" applyBorder="1" applyAlignment="1" applyProtection="1">
      <alignment horizontal="center" vertical="center" wrapText="1"/>
      <protection locked="0"/>
    </xf>
    <xf numFmtId="1" fontId="0" fillId="0" borderId="24" xfId="0" applyNumberFormat="1" applyBorder="1" applyAlignment="1" applyProtection="1">
      <alignment horizontal="center" vertical="center" wrapText="1"/>
      <protection locked="0"/>
    </xf>
    <xf numFmtId="1" fontId="0" fillId="0" borderId="9" xfId="0" applyNumberFormat="1" applyBorder="1" applyAlignment="1" applyProtection="1">
      <alignment horizontal="center" vertical="center" wrapText="1"/>
      <protection locked="0"/>
    </xf>
    <xf numFmtId="1" fontId="0" fillId="16" borderId="2" xfId="0" applyNumberFormat="1" applyFill="1" applyBorder="1" applyAlignment="1" applyProtection="1">
      <alignment horizontal="center" vertical="center" wrapText="1"/>
      <protection locked="0"/>
    </xf>
    <xf numFmtId="0" fontId="0" fillId="13" borderId="14" xfId="0" applyFill="1" applyBorder="1" applyAlignment="1">
      <alignment horizontal="center" vertical="center" wrapText="1"/>
    </xf>
    <xf numFmtId="14" fontId="0" fillId="0" borderId="2" xfId="0" applyNumberFormat="1" applyBorder="1" applyAlignment="1" applyProtection="1">
      <alignment horizontal="center" vertical="center" wrapText="1"/>
      <protection locked="0"/>
    </xf>
    <xf numFmtId="0" fontId="8" fillId="0" borderId="2" xfId="0" applyFont="1" applyBorder="1" applyAlignment="1" applyProtection="1">
      <alignment horizontal="center" vertical="center" wrapText="1"/>
      <protection locked="0"/>
    </xf>
    <xf numFmtId="16" fontId="0" fillId="0" borderId="2" xfId="0" applyNumberFormat="1" applyBorder="1" applyAlignment="1" applyProtection="1">
      <alignment horizontal="center" vertical="center" wrapText="1"/>
      <protection locked="0"/>
    </xf>
    <xf numFmtId="0" fontId="0" fillId="16" borderId="2" xfId="0" applyFill="1" applyBorder="1" applyAlignment="1" applyProtection="1">
      <alignment horizontal="center" vertical="center" wrapText="1"/>
      <protection locked="0"/>
    </xf>
    <xf numFmtId="0" fontId="0" fillId="2" borderId="2" xfId="0" applyFill="1" applyBorder="1" applyAlignment="1" applyProtection="1">
      <alignment horizontal="center" vertical="center" wrapText="1"/>
      <protection locked="0"/>
    </xf>
    <xf numFmtId="0" fontId="0" fillId="0" borderId="2" xfId="0" applyBorder="1" applyAlignment="1">
      <alignment vertical="center" wrapText="1"/>
    </xf>
    <xf numFmtId="0" fontId="0" fillId="20" borderId="2" xfId="0" applyFill="1" applyBorder="1" applyAlignment="1" applyProtection="1">
      <alignment horizontal="center" vertical="center" wrapText="1"/>
      <protection locked="0"/>
    </xf>
    <xf numFmtId="0" fontId="0" fillId="17" borderId="2" xfId="0" applyFill="1" applyBorder="1" applyAlignment="1" applyProtection="1">
      <alignment horizontal="center" vertical="center" wrapText="1"/>
      <protection locked="0"/>
    </xf>
    <xf numFmtId="0" fontId="0" fillId="0" borderId="2" xfId="0" applyBorder="1" applyAlignment="1" applyProtection="1">
      <alignment horizontal="center" vertical="center"/>
      <protection locked="0"/>
    </xf>
    <xf numFmtId="0" fontId="0" fillId="0" borderId="14" xfId="0" applyBorder="1" applyAlignment="1">
      <alignment horizontal="center" vertical="center" wrapText="1"/>
    </xf>
    <xf numFmtId="0" fontId="0" fillId="22" borderId="4" xfId="0" applyFill="1" applyBorder="1" applyAlignment="1" applyProtection="1">
      <alignment horizontal="left" vertical="center" wrapText="1"/>
      <protection locked="0"/>
    </xf>
    <xf numFmtId="0" fontId="0" fillId="22" borderId="4" xfId="0" applyFill="1" applyBorder="1" applyAlignment="1">
      <alignment horizontal="center" vertical="center" wrapText="1"/>
    </xf>
  </cellXfs>
  <cellStyles count="1">
    <cellStyle name="Normal" xfId="0" builtinId="0"/>
  </cellStyles>
  <dxfs count="149">
    <dxf>
      <fill>
        <patternFill>
          <bgColor theme="8" tint="0.39994506668294322"/>
        </patternFill>
      </fill>
    </dxf>
    <dxf>
      <fill>
        <patternFill>
          <bgColor theme="5" tint="0.39994506668294322"/>
        </patternFill>
      </fill>
    </dxf>
    <dxf>
      <font>
        <b val="0"/>
        <i val="0"/>
        <strike val="0"/>
        <condense val="0"/>
        <extend val="0"/>
        <outline val="0"/>
        <shadow val="0"/>
        <u val="none"/>
        <vertAlign val="baseline"/>
        <sz val="11"/>
        <color theme="1"/>
        <name val="Calibri"/>
        <scheme val="minor"/>
      </font>
      <fill>
        <patternFill patternType="solid">
          <fgColor indexed="64"/>
          <bgColor theme="4" tint="0.59999389629810485"/>
        </patternFill>
      </fill>
      <border diagonalUp="0" diagonalDown="0">
        <left style="thin">
          <color indexed="64"/>
        </left>
        <right style="thin">
          <color indexed="64"/>
        </right>
        <top style="thin">
          <color theme="4" tint="0.39997558519241921"/>
        </top>
        <bottom style="thin">
          <color indexed="64"/>
        </bottom>
        <vertical/>
        <horizontal/>
      </border>
    </dxf>
    <dxf>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4" tint="0.59999389629810485"/>
        </patternFill>
      </fill>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1"/>
        <color auto="1"/>
        <name val="Calibri"/>
        <scheme val="minor"/>
      </font>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rgb="FF7030A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4"/>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ont>
        <strike val="0"/>
        <outline val="0"/>
        <shadow val="0"/>
        <u val="none"/>
        <vertAlign val="baseline"/>
        <sz val="11"/>
        <color auto="1"/>
        <name val="Calibri"/>
        <family val="2"/>
        <scheme val="minor"/>
      </font>
      <fill>
        <patternFill patternType="solid">
          <fgColor indexed="64"/>
          <bgColor rgb="FFFFFF00"/>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1" formatCode="0"/>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 formatCode="0"/>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vertical="center" textRotation="0" indent="0" justifyLastLine="0" shrinkToFit="0" readingOrder="0"/>
    </dxf>
    <dxf>
      <alignment vertical="center" textRotation="0" wrapText="1" indent="0" justifyLastLine="0" shrinkToFit="0" readingOrder="0"/>
    </dxf>
    <dxf>
      <border>
        <bottom style="thin">
          <color rgb="FF000000"/>
        </bottom>
      </border>
    </dxf>
    <dxf>
      <fill>
        <patternFill patternType="solid">
          <fgColor indexed="64"/>
          <bgColor rgb="FFC00000"/>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b val="0"/>
        <i val="0"/>
        <strike val="0"/>
        <condense val="0"/>
        <extend val="0"/>
        <outline val="0"/>
        <shadow val="0"/>
        <u val="none"/>
        <vertAlign val="baseline"/>
        <sz val="11"/>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165" formatCode="mm/d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4"/>
        <color theme="1"/>
        <name val="Calibri"/>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numFmt numFmtId="0" formatCode="Genera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fill>
        <patternFill patternType="solid">
          <fgColor indexed="64"/>
          <bgColor theme="9" tint="-0.249977111117893"/>
        </patternFill>
      </fill>
      <alignment horizontal="center" vertical="bottom" textRotation="0" wrapText="1" indent="0" justifyLastLine="0" shrinkToFit="0" readingOrder="0"/>
      <border diagonalUp="0" diagonalDown="0" outline="0">
        <left style="thin">
          <color rgb="FF000000"/>
        </left>
        <right style="thin">
          <color rgb="FF000000"/>
        </right>
        <top/>
        <bottom/>
      </border>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numFmt numFmtId="166" formatCode="m/d/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6" formatCode="m/d/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164" formatCode="m/d/yyyy;@"/>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numFmt numFmtId="164" formatCode="m/d/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4"/>
        <color theme="1"/>
        <name val="Calibri"/>
        <family val="2"/>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bottom style="thin">
          <color indexed="64"/>
        </bottom>
        <vertical/>
        <horizontal/>
      </border>
    </dxf>
    <dxf>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border diagonalUp="0" diagonalDown="0" outline="0">
        <left style="thin">
          <color indexed="64"/>
        </left>
        <right style="thin">
          <color indexed="64"/>
        </right>
        <top/>
        <bottom style="thin">
          <color indexed="64"/>
        </bottom>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alignment vertical="center" textRotation="0" wrapText="1" indent="0" justifyLastLine="0" shrinkToFit="0" readingOrder="0"/>
    </dxf>
    <dxf>
      <border>
        <bottom style="thin">
          <color rgb="FF000000"/>
        </bottom>
      </border>
    </dxf>
    <dxf>
      <alignment horizontal="center" vertical="bottom"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s>
  <tableStyles count="1" defaultTableStyle="TableStyleMedium2" defaultPivotStyle="PivotStyleLight16">
    <tableStyle name="Invisible" pivot="0" table="0" count="0" xr9:uid="{A13E832A-35C6-42EB-85FF-9B566E52B40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Katherine Archambault" id="{62212AF4-5370-4C9D-81BC-87C264598F40}" userId="Katherine Archambault" providerId="None"/>
  <person displayName="Katie Archambault" id="{7ECB847E-3120-48F5-87E8-F584A979202F}" userId="S::Katie.Archambault@amspecgroup.com::a1cd6b78-9219-4ab0-9f8d-0aa61043840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245" displayName="Table245" ref="A1:N201" totalsRowShown="0" headerRowDxfId="120" dataDxfId="118" headerRowBorderDxfId="119">
  <autoFilter ref="A1:N201" xr:uid="{00000000-0009-0000-0100-000004000000}"/>
  <tableColumns count="14">
    <tableColumn id="1" xr3:uid="{00000000-0010-0000-0000-000001000000}" name="Location _x000a_(drop-down)" dataDxfId="117" totalsRowDxfId="116"/>
    <tableColumn id="2" xr3:uid="{00000000-0010-0000-0000-000002000000}" name="Location ID" dataDxfId="115" totalsRowDxfId="114">
      <calculatedColumnFormula>VLOOKUP(Table245[[#This Row],[Location 
(drop-down)]],'List source'!D$2:E$61,2,FALSE)</calculatedColumnFormula>
    </tableColumn>
    <tableColumn id="13" xr3:uid="{00000000-0010-0000-0000-00000D000000}" name="#" dataDxfId="113" totalsRowDxfId="112"/>
    <tableColumn id="3" xr3:uid="{00000000-0010-0000-0000-000003000000}" name="Assessment #" dataDxfId="111" totalsRowDxfId="110">
      <calculatedColumnFormula>"A" &amp; C2 &amp; "-" &amp; B2 &amp; "-" &amp; "24"</calculatedColumnFormula>
    </tableColumn>
    <tableColumn id="12" xr3:uid="{00000000-0010-0000-0000-00000C000000}" name="Start Date" dataDxfId="109" totalsRowDxfId="108"/>
    <tableColumn id="14" xr3:uid="{00000000-0010-0000-0000-00000E000000}" name="End Date" dataDxfId="107" totalsRowDxfId="106"/>
    <tableColumn id="7" xr3:uid="{00000000-0010-0000-0000-000007000000}" name="Report Issued" dataDxfId="105" totalsRowDxfId="104"/>
    <tableColumn id="4" xr3:uid="{00000000-0010-0000-0000-000004000000}" name="Type of Assessment _x000a_(drop-down)" dataDxfId="103" totalsRowDxfId="102"/>
    <tableColumn id="9" xr3:uid="{604A8BF9-578E-4C69-A835-05B94AE4BEF7}" name="Scope of Assessment_x000a_(drop-down)" dataDxfId="101" totalsRowDxfId="100"/>
    <tableColumn id="10" xr3:uid="{E82262F7-B569-41BD-8545-E4E4C920BFFC}" name="QA In Charge _x000a_(Get a copy of assessment report or summary)" dataDxfId="99" totalsRowDxfId="98"/>
    <tableColumn id="5" xr3:uid="{00000000-0010-0000-0000-000005000000}" name="Assessor(s) / Auditor(s) name(s)" dataDxfId="97" totalsRowDxfId="96"/>
    <tableColumn id="11" xr3:uid="{00000000-0010-0000-0000-00000B000000}" name="Assessor's company" dataDxfId="95" totalsRowDxfId="94"/>
    <tableColumn id="6" xr3:uid="{00000000-0010-0000-0000-000006000000}" name="Agency Type _x000a_(Regulatory / certification / accreditation agency)_x000a_(drop-down)" dataDxfId="93" totalsRowDxfId="92"/>
    <tableColumn id="8" xr3:uid="{00000000-0010-0000-0000-000008000000}" name="Brief description of assessment scope" dataDxfId="91" totalsRowDxfId="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F77345-4591-4EA5-94E5-C4BC8F6395A0}" name="Table27" displayName="Table27" ref="A1:N1419" totalsRowCount="1" headerRowDxfId="89" dataDxfId="87" totalsRowDxfId="86" headerRowBorderDxfId="88">
  <autoFilter ref="A1:N1418" xr:uid="{00F77345-4591-4EA5-94E5-C4BC8F6395A0}"/>
  <tableColumns count="14">
    <tableColumn id="1" xr3:uid="{33EB8FC5-FB79-4F5D-902C-FF4BC9AEA51A}" name="Location _x000a_(drop-down)" dataDxfId="85" totalsRowDxfId="84"/>
    <tableColumn id="2" xr3:uid="{731AD1E5-4BCB-45D9-B8FF-2CEAFC5FE443}" name="Location ID" dataDxfId="83" totalsRowDxfId="82">
      <calculatedColumnFormula>VLOOKUP(Table27[[#This Row],[Location 
(drop-down)]],'List source'!D$2:E$61,2,FALSE)</calculatedColumnFormula>
    </tableColumn>
    <tableColumn id="13" xr3:uid="{AC96B985-434A-4F54-8675-F9D7B6132910}" name="#" totalsRowFunction="custom" dataDxfId="81" totalsRowDxfId="80">
      <totalsRowFormula>SUBTOTAL(109,$C$706:C718)</totalsRowFormula>
    </tableColumn>
    <tableColumn id="3" xr3:uid="{D47C6F92-B390-4D00-8464-A90FBC6AE1B7}" name="PTO #" dataDxfId="79" totalsRowDxfId="78">
      <calculatedColumnFormula>"C" &amp; C2 &amp; "-" &amp; B2 &amp; "-" &amp; "23"</calculatedColumnFormula>
    </tableColumn>
    <tableColumn id="4" xr3:uid="{A701775B-9A3D-4930-83E6-CB39BC200D15}" name="BRIEF DESCRIPTION OF NC_x000a_if VOID:  &quot;VOID, Location,  _x000a_details (initials, date)&quot;" dataDxfId="77" totalsRowDxfId="76"/>
    <tableColumn id="6" xr3:uid="{E2761463-2F2F-434F-AD2C-A14F4DEE3486}" name="PT Program" dataDxfId="75" totalsRowDxfId="74">
      <calculatedColumnFormula array="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calculatedColumnFormula>
    </tableColumn>
    <tableColumn id="14" xr3:uid="{80A735D8-06A0-4BBD-A68A-4A991A0D8D94}" name="Parameter (s)" dataDxfId="73" totalsRowDxfId="72">
      <calculatedColumnFormula>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calculatedColumnFormula>
    </tableColumn>
    <tableColumn id="7" xr3:uid="{47EE1613-2BBB-4AF5-AA33-B8720498BB7C}" name="Z-score (s)" dataDxfId="71" totalsRowDxfId="70"/>
    <tableColumn id="5" xr3:uid="{71E4DA16-D984-4AF9-8659-05256F1035DE}" name="PTO initialized date" dataDxfId="69" totalsRowDxfId="68"/>
    <tableColumn id="11" xr3:uid="{B2006C29-EE63-4A88-9CC7-6D660AFC118E}" name="QA team member initials" dataDxfId="67" totalsRowDxfId="66"/>
    <tableColumn id="16" xr3:uid="{1D3F6CFE-1B93-4981-9C1A-1A780349342D}" name="Effectiveness Review &amp; date deemed effective" dataDxfId="65" totalsRowDxfId="64"/>
    <tableColumn id="10" xr3:uid="{D4C773A8-53F1-4208-B556-AF0D90868305}" name="Notes" dataDxfId="63" totalsRowDxfId="62"/>
    <tableColumn id="8" xr3:uid="{F7E03F63-8DD1-4E47-ABC9-4DFD94062DBC}" name="Number (for sorting)" dataDxfId="61" totalsRowDxfId="60"/>
    <tableColumn id="9" xr3:uid="{2D5BF61A-CE69-4314-8E27-D9729BEF8638}" name="Days open if not closed" dataDxfId="59" totalsRowDxfId="58">
      <calculatedColumnFormula>IF(ISBLANK(K2), TODAY()-(I2), "CLOSED")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9B80C78-B72C-413B-8B02-C6654100BD27}" name="Table2456" displayName="Table2456" ref="A1:L151" totalsRowShown="0" headerRowDxfId="57" dataDxfId="55" headerRowBorderDxfId="56">
  <autoFilter ref="A1:L151" xr:uid="{00000000-0009-0000-0100-000004000000}"/>
  <tableColumns count="12">
    <tableColumn id="1" xr3:uid="{7D0839FD-B760-4B4F-8257-27F5146B55DE}" name="Location _x000a_(drop-down)" dataDxfId="54" totalsRowDxfId="53"/>
    <tableColumn id="2" xr3:uid="{DA21D0BD-4956-46A3-8CC7-8D7595B4397B}" name="Location ID" dataDxfId="52" totalsRowDxfId="51">
      <calculatedColumnFormula>VLOOKUP(Table2456[[#This Row],[Location 
(drop-down)]],'List source'!D$2:E$61,2,FALSE)</calculatedColumnFormula>
    </tableColumn>
    <tableColumn id="13" xr3:uid="{8B7A3DD2-4696-411F-A1AB-6D0D498119A7}" name="#" dataDxfId="50" totalsRowDxfId="49"/>
    <tableColumn id="3" xr3:uid="{4AF9EAAC-283B-4418-A552-9A635DA8CE30}" name="CAF#" dataDxfId="48" totalsRowDxfId="47">
      <calculatedColumnFormula>"CAF" &amp; C2 &amp; "-" &amp; B2 &amp; "-" &amp; "24"</calculatedColumnFormula>
    </tableColumn>
    <tableColumn id="6" xr3:uid="{7C314D3F-F224-4BEB-B245-1D0E05A4152E}" name="Area" dataDxfId="46" totalsRowDxfId="45">
      <calculatedColumnFormula>VLOOKUP(Table2456[[#This Row],[Location 
(drop-down)]],Table1[#All],3,FALSE)</calculatedColumnFormula>
    </tableColumn>
    <tableColumn id="12" xr3:uid="{7B77B849-300A-440A-B573-2553B1041D12}" name="Date initiated" dataDxfId="44" totalsRowDxfId="43"/>
    <tableColumn id="14" xr3:uid="{CAF18FA4-83EF-4FE0-A66B-DAE97F25AD0C}" name="Date shared w/ customer" dataDxfId="42" totalsRowDxfId="41"/>
    <tableColumn id="9" xr3:uid="{0EAF4C93-90E7-4C8A-90F4-99A03A250100}" name="Date closed after effectiveness review" dataDxfId="40" totalsRowDxfId="39"/>
    <tableColumn id="7" xr3:uid="{B2376F35-D2CA-45C6-83DA-70FD142698ED}" name="Brief description of complaint" dataDxfId="38" totalsRowDxfId="37"/>
    <tableColumn id="4" xr3:uid="{CB1EB506-1206-443F-9C5F-C30AF932CF6E}" name="Area (Lab, Ops, Lab &amp; Ops, Admin, Other, Void)_x000a_(drop-down)" dataDxfId="36" totalsRowDxfId="35"/>
    <tableColumn id="5" xr3:uid="{612434E1-C574-4D14-932C-B5DF6F41EC22}" name="CAR / PAR # (if applicable)" dataDxfId="34" totalsRowDxfId="33"/>
    <tableColumn id="8" xr3:uid="{9E931E6F-073E-4059-9614-A6B19BF2F96E}" name="Notes" dataDxfId="32" totalsRowDxfId="31"/>
  </tableColumns>
  <tableStyleInfo name="TableStyleLight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1B9328-AE8E-4535-A8A3-BC2D6BA12282}" name="Table2" displayName="Table2" ref="A1:M531" totalsRowShown="0" headerRowDxfId="148" dataDxfId="146" headerRowBorderDxfId="147">
  <autoFilter ref="A1:M531" xr:uid="{00000000-000C-0000-FFFF-FFFF02000000}">
    <filterColumn colId="10">
      <filters blank="1"/>
    </filterColumn>
  </autoFilter>
  <tableColumns count="13">
    <tableColumn id="1" xr3:uid="{ED86C2F7-2EEF-44F3-943F-0DF0F0A2253F}" name="Location _x000a_(drop-down)" dataDxfId="145" totalsRowDxfId="144"/>
    <tableColumn id="2" xr3:uid="{1D6C82F3-9129-444D-AFC7-968C220703E7}" name="Location ID" dataDxfId="143" totalsRowDxfId="142">
      <calculatedColumnFormula>VLOOKUP(Table2[[#This Row],[Location 
(drop-down)]],'List source'!D$2:E$61,2,FALSE)</calculatedColumnFormula>
    </tableColumn>
    <tableColumn id="13" xr3:uid="{1E85B8EC-D01B-4264-83AA-49D2331ED9A8}" name="#" dataDxfId="141" totalsRowDxfId="140"/>
    <tableColumn id="3" xr3:uid="{A5EA5D23-B2BC-4AFE-B56E-52A2AF286FDF}" name="CAR #" dataDxfId="139" totalsRowDxfId="138">
      <calculatedColumnFormula>"C" &amp; C2 &amp; "-" &amp; B2 &amp; "-" &amp; "24"</calculatedColumnFormula>
    </tableColumn>
    <tableColumn id="14" xr3:uid="{596EC7C3-7A35-4482-8686-0B6650F33E9D}" name="CAR Type" dataDxfId="137" totalsRowDxfId="136"/>
    <tableColumn id="6" xr3:uid="{3F5E320B-642F-49FF-B6D6-B6EE48151FE5}" name="ASSOCIATED ORGANIZATION_x000a_(required for Complaints, Customer audits/alerts, _x000a_3rd party audits)" dataDxfId="135" totalsRowDxfId="134"/>
    <tableColumn id="4" xr3:uid="{0133B6B0-5817-4802-91C8-29477C25F8E8}" name="BRIEF DESCRIPTION OF NC_x000a_if VOID:  &quot;VOID, Location, type, _x000a_details (initials, date)&quot;" dataDxfId="133" totalsRowDxfId="132"/>
    <tableColumn id="7" xr3:uid="{9DD7DA67-E820-4961-BBA8-4C997C1AD013}" name="Area _x000a_(Lab, Ops, Misc.)_x000a_(drop-down)" dataDxfId="131" totalsRowDxfId="130"/>
    <tableColumn id="11" xr3:uid="{1022E6B2-D69D-49C9-ABAB-6CD12708C0CB}" name="QA team member initials" dataDxfId="129" totalsRowDxfId="128"/>
    <tableColumn id="5" xr3:uid="{67C8E97C-9A8D-4D8E-BD4A-51CAA99BCF4B}" name="CAR initialized date" dataDxfId="127" totalsRowDxfId="126"/>
    <tableColumn id="16" xr3:uid="{7521E45C-A7CA-49D5-95C1-AC163681C819}" name="Effectiveness Review &amp; date deemed effective" dataDxfId="125" totalsRowDxfId="124"/>
    <tableColumn id="10" xr3:uid="{FB9457B2-BAF5-4A77-8585-44117541C710}" name="Notes" dataDxfId="123" totalsRowDxfId="122"/>
    <tableColumn id="8" xr3:uid="{F2C49AB3-45D3-4548-A16C-F81AAE74E928}" name="Days open if not closed" dataDxfId="121"/>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24" displayName="Table24" ref="A1:K501" totalsRowShown="0" headerRowDxfId="30" dataDxfId="28" headerRowBorderDxfId="29">
  <autoFilter ref="A1:K501" xr:uid="{00000000-0009-0000-0100-000003000000}">
    <filterColumn colId="8">
      <filters blank="1"/>
    </filterColumn>
  </autoFilter>
  <tableColumns count="11">
    <tableColumn id="1" xr3:uid="{00000000-0010-0000-0100-000001000000}" name="Location _x000a_(drop-down)" dataDxfId="27" totalsRowDxfId="26"/>
    <tableColumn id="2" xr3:uid="{00000000-0010-0000-0100-000002000000}" name="Location ID" dataDxfId="25" totalsRowDxfId="24">
      <calculatedColumnFormula>VLOOKUP(Table24[[#This Row],[Location 
(drop-down)]],'List source'!D$2:E$61,2,FALSE)</calculatedColumnFormula>
    </tableColumn>
    <tableColumn id="13" xr3:uid="{00000000-0010-0000-0100-00000D000000}" name="#" dataDxfId="23" totalsRowDxfId="22"/>
    <tableColumn id="3" xr3:uid="{00000000-0010-0000-0100-000003000000}" name="PAR #" dataDxfId="21" totalsRowDxfId="20">
      <calculatedColumnFormula>"P" &amp; C2 &amp; "-" &amp; B2 &amp; "-" &amp; "24"</calculatedColumnFormula>
    </tableColumn>
    <tableColumn id="12" xr3:uid="{00000000-0010-0000-0100-00000C000000}" name="PAR type" dataDxfId="19" totalsRowDxfId="18"/>
    <tableColumn id="4" xr3:uid="{00000000-0010-0000-0100-000004000000}" name="BRIEF DESCRIPTION OF PAR_x000a_if VOID:  Location, type, details (initials, date)" dataDxfId="17" totalsRowDxfId="16"/>
    <tableColumn id="5" xr3:uid="{00000000-0010-0000-0100-000005000000}" name="PAR initialized date" dataDxfId="15" totalsRowDxfId="14"/>
    <tableColumn id="11" xr3:uid="{00000000-0010-0000-0100-00000B000000}" name="QA team member initials" dataDxfId="13" totalsRowDxfId="12"/>
    <tableColumn id="6" xr3:uid="{00000000-0010-0000-0100-000006000000}" name="Date closed" dataDxfId="11" totalsRowDxfId="10"/>
    <tableColumn id="7" xr3:uid="{00000000-0010-0000-0100-000007000000}" name="Area (Ops, Lab, Misc.)_x000a_(drop-down)" dataDxfId="9" totalsRowDxfId="8"/>
    <tableColumn id="10" xr3:uid="{00000000-0010-0000-0100-00000A000000}" name="Notes" dataDxfId="7" totalsRowDxfId="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D1:F61" totalsRowShown="0" headerRowDxfId="5">
  <autoFilter ref="D1:F61" xr:uid="{00000000-0009-0000-0100-000001000000}"/>
  <sortState xmlns:xlrd2="http://schemas.microsoft.com/office/spreadsheetml/2017/richdata2" ref="D2:F61">
    <sortCondition ref="D1:D61"/>
  </sortState>
  <tableColumns count="3">
    <tableColumn id="1" xr3:uid="{00000000-0010-0000-0300-000001000000}" name="Location" dataDxfId="4"/>
    <tableColumn id="2" xr3:uid="{00000000-0010-0000-0300-000002000000}" name="Location ID" dataDxfId="3"/>
    <tableColumn id="3" xr3:uid="{00000000-0010-0000-0300-000003000000}" name="Area"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4-11-20T19:32:17.62" personId="{7ECB847E-3120-48F5-87E8-F584A979202F}" id="{A8C5C454-059C-4758-9FA8-5AAC6B720832}">
    <text>Highlighted rows are missing from OneDrive as of 01.27.2025</text>
  </threadedComment>
</ThreadedComments>
</file>

<file path=xl/threadedComments/threadedComment2.xml><?xml version="1.0" encoding="utf-8"?>
<ThreadedComments xmlns="http://schemas.microsoft.com/office/spreadsheetml/2018/threadedcomments" xmlns:x="http://schemas.openxmlformats.org/spreadsheetml/2006/main">
  <threadedComment ref="D1" dT="2024-11-22T17:55:15.71" personId="{7ECB847E-3120-48F5-87E8-F584A979202F}" id="{6B478A6B-5F7D-4342-9DE9-AB04DBBC78E6}">
    <text>Highlighted rows are missing from OneDrive as of 01.27.2025</text>
  </threadedComment>
</ThreadedComments>
</file>

<file path=xl/threadedComments/threadedComment3.xml><?xml version="1.0" encoding="utf-8"?>
<ThreadedComments xmlns="http://schemas.microsoft.com/office/spreadsheetml/2018/threadedcomments" xmlns:x="http://schemas.openxmlformats.org/spreadsheetml/2006/main">
  <threadedComment ref="D1" dT="2024-11-20T19:33:10.77" personId="{7ECB847E-3120-48F5-87E8-F584A979202F}" id="{BFD21D10-2C22-46A9-972B-0D0EBCAF953C}">
    <text>Highlighted rows are missing from OneDrive as of 01.27.2025</text>
  </threadedComment>
</ThreadedComments>
</file>

<file path=xl/threadedComments/threadedComment4.xml><?xml version="1.0" encoding="utf-8"?>
<ThreadedComments xmlns="http://schemas.microsoft.com/office/spreadsheetml/2018/threadedcomments" xmlns:x="http://schemas.openxmlformats.org/spreadsheetml/2006/main">
  <threadedComment ref="D1" dT="2024-11-20T20:27:08.78" personId="{7ECB847E-3120-48F5-87E8-F584A979202F}" id="{11D392AC-B06B-4784-A90A-3C81990751F2}">
    <text>Highlighted rows are missing from OneDrive as of 01.27.2025</text>
  </threadedComment>
</ThreadedComments>
</file>

<file path=xl/threadedComments/threadedComment5.xml><?xml version="1.0" encoding="utf-8"?>
<ThreadedComments xmlns="http://schemas.microsoft.com/office/spreadsheetml/2018/threadedcomments" xmlns:x="http://schemas.openxmlformats.org/spreadsheetml/2006/main">
  <threadedComment ref="D1" dT="2024-11-20T20:27:21.31" personId="{7ECB847E-3120-48F5-87E8-F584A979202F}" id="{D1A20D57-4EE7-4F0E-9144-7C6063A061B7}">
    <text>Highlighted rows are missing from OneDrive as of 01.27.2025</text>
  </threadedComment>
</ThreadedComments>
</file>

<file path=xl/threadedComments/threadedComment6.xml><?xml version="1.0" encoding="utf-8"?>
<ThreadedComments xmlns="http://schemas.microsoft.com/office/spreadsheetml/2018/threadedcomments" xmlns:x="http://schemas.openxmlformats.org/spreadsheetml/2006/main">
  <threadedComment ref="A1" dT="2023-12-27T16:10:54.22" personId="{7ECB847E-3120-48F5-87E8-F584A979202F}" id="{ADBDAC12-CB2A-449C-A444-D29A92522636}">
    <text>Removed for 2024 log</text>
  </threadedComment>
  <threadedComment ref="B1" dT="2023-12-27T16:11:12.68" personId="{7ECB847E-3120-48F5-87E8-F584A979202F}" id="{8F0E87D0-9A11-49A7-8A22-454A4BB38C1A}">
    <text>Removed for 2024 log</text>
  </threadedComment>
  <threadedComment ref="E2" dT="2021-07-09T18:36:41.09" personId="{62212AF4-5370-4C9D-81BC-87C264598F40}" id="{B59257E5-D171-436C-9AEB-ACB11C0FAFEF}">
    <text>'old - 120A until 12/18/20</text>
  </threadedComment>
  <threadedComment ref="E31" dT="2021-07-09T18:37:13.72" personId="{62212AF4-5370-4C9D-81BC-87C264598F40}" id="{777DA137-969E-48BA-BE19-AC02A29A5831}">
    <text>'formerly 197L</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N201"/>
  <sheetViews>
    <sheetView showGridLines="0" zoomScale="80" zoomScaleNormal="90" workbookViewId="0">
      <pane ySplit="1" topLeftCell="A2" activePane="bottomLeft" state="frozen"/>
      <selection activeCell="D1" sqref="D1"/>
      <selection pane="bottomLeft" activeCell="F37" sqref="F37"/>
    </sheetView>
  </sheetViews>
  <sheetFormatPr defaultRowHeight="14.4" x14ac:dyDescent="0.3"/>
  <cols>
    <col min="1" max="1" width="24" style="5" customWidth="1"/>
    <col min="2" max="2" width="9.5546875" customWidth="1"/>
    <col min="3" max="3" width="7.44140625" bestFit="1" customWidth="1"/>
    <col min="4" max="4" width="24.44140625" customWidth="1"/>
    <col min="5" max="7" width="12.44140625" customWidth="1"/>
    <col min="8" max="8" width="22.44140625" style="7" customWidth="1"/>
    <col min="9" max="9" width="32.44140625" style="7" customWidth="1"/>
    <col min="10" max="10" width="19.6640625" style="7" customWidth="1"/>
    <col min="11" max="11" width="19.44140625" style="6" customWidth="1"/>
    <col min="12" max="12" width="20.44140625" style="6" customWidth="1"/>
    <col min="13" max="13" width="29" style="6" customWidth="1"/>
    <col min="14" max="14" width="48.5546875" style="8" customWidth="1"/>
    <col min="15" max="15" width="32" customWidth="1"/>
  </cols>
  <sheetData>
    <row r="1" spans="1:14" s="2" customFormat="1" ht="57.6" x14ac:dyDescent="0.3">
      <c r="A1" s="59" t="s">
        <v>0</v>
      </c>
      <c r="B1" s="60" t="s">
        <v>1</v>
      </c>
      <c r="C1" s="60" t="s">
        <v>2</v>
      </c>
      <c r="D1" s="60" t="s">
        <v>3</v>
      </c>
      <c r="E1" s="60" t="s">
        <v>4</v>
      </c>
      <c r="F1" s="60" t="s">
        <v>5</v>
      </c>
      <c r="G1" s="60" t="s">
        <v>6</v>
      </c>
      <c r="H1" s="61" t="s">
        <v>7</v>
      </c>
      <c r="I1" s="61" t="s">
        <v>8</v>
      </c>
      <c r="J1" s="61" t="s">
        <v>9</v>
      </c>
      <c r="K1" s="61" t="s">
        <v>10</v>
      </c>
      <c r="L1" s="61" t="s">
        <v>11</v>
      </c>
      <c r="M1" s="61" t="s">
        <v>12</v>
      </c>
      <c r="N1" s="58" t="s">
        <v>13</v>
      </c>
    </row>
    <row r="2" spans="1:14" s="4" customFormat="1" ht="30" customHeight="1" x14ac:dyDescent="0.3">
      <c r="A2" s="9" t="s">
        <v>14</v>
      </c>
      <c r="B2" s="13">
        <f>VLOOKUP(Table245[[#This Row],[Location 
(drop-down)]],'List source'!D$2:E$60,2,FALSE)</f>
        <v>178</v>
      </c>
      <c r="C2" s="23" t="s">
        <v>15</v>
      </c>
      <c r="D2" s="30" t="str">
        <f t="shared" ref="D2:D33" si="0">"A" &amp; C2 &amp; "-" &amp; B2 &amp; "-" &amp; "24"</f>
        <v>A001-178-24</v>
      </c>
      <c r="E2" s="51">
        <v>45300</v>
      </c>
      <c r="F2" s="51">
        <v>45302</v>
      </c>
      <c r="G2" s="51">
        <v>45308</v>
      </c>
      <c r="H2" s="10" t="s">
        <v>16</v>
      </c>
      <c r="I2" s="10" t="s">
        <v>17</v>
      </c>
      <c r="J2" s="10" t="s">
        <v>18</v>
      </c>
      <c r="K2" s="10" t="s">
        <v>18</v>
      </c>
      <c r="L2" s="10" t="s">
        <v>19</v>
      </c>
      <c r="M2" s="50"/>
      <c r="N2" s="10" t="s">
        <v>20</v>
      </c>
    </row>
    <row r="3" spans="1:14" s="4" customFormat="1" ht="30" customHeight="1" x14ac:dyDescent="0.3">
      <c r="A3" s="9" t="s">
        <v>21</v>
      </c>
      <c r="B3" s="13">
        <f>VLOOKUP(Table245[[#This Row],[Location 
(drop-down)]],'List source'!D$2:E$60,2,FALSE)</f>
        <v>131</v>
      </c>
      <c r="C3" s="23" t="s">
        <v>22</v>
      </c>
      <c r="D3" s="30" t="str">
        <f t="shared" si="0"/>
        <v>A002-131-24</v>
      </c>
      <c r="E3" s="38">
        <v>45300</v>
      </c>
      <c r="F3" s="38">
        <v>45302</v>
      </c>
      <c r="G3" s="51">
        <v>45317</v>
      </c>
      <c r="H3" s="10" t="s">
        <v>16</v>
      </c>
      <c r="I3" s="10" t="s">
        <v>17</v>
      </c>
      <c r="J3" s="10" t="s">
        <v>23</v>
      </c>
      <c r="K3" s="10" t="s">
        <v>24</v>
      </c>
      <c r="L3" s="10" t="s">
        <v>19</v>
      </c>
      <c r="M3" s="50"/>
      <c r="N3" s="10" t="s">
        <v>20</v>
      </c>
    </row>
    <row r="4" spans="1:14" s="4" customFormat="1" ht="30" customHeight="1" x14ac:dyDescent="0.3">
      <c r="A4" s="9" t="s">
        <v>21</v>
      </c>
      <c r="B4" s="13">
        <f>VLOOKUP(Table245[[#This Row],[Location 
(drop-down)]],'List source'!D$2:E$60,2,FALSE)</f>
        <v>131</v>
      </c>
      <c r="C4" s="23" t="s">
        <v>25</v>
      </c>
      <c r="D4" s="30" t="str">
        <f t="shared" si="0"/>
        <v>A003-131-24</v>
      </c>
      <c r="E4" s="38">
        <v>45300</v>
      </c>
      <c r="F4" s="38">
        <v>45302</v>
      </c>
      <c r="G4" s="51">
        <v>45317</v>
      </c>
      <c r="H4" s="10" t="s">
        <v>16</v>
      </c>
      <c r="I4" s="10" t="s">
        <v>26</v>
      </c>
      <c r="J4" s="10" t="s">
        <v>23</v>
      </c>
      <c r="K4" s="10" t="s">
        <v>27</v>
      </c>
      <c r="L4" s="10" t="s">
        <v>19</v>
      </c>
      <c r="M4" s="50"/>
      <c r="N4" s="10" t="s">
        <v>28</v>
      </c>
    </row>
    <row r="5" spans="1:14" s="4" customFormat="1" ht="43.2" x14ac:dyDescent="0.3">
      <c r="A5" s="9" t="s">
        <v>29</v>
      </c>
      <c r="B5" s="13">
        <f>VLOOKUP(Table245[[#This Row],[Location 
(drop-down)]],'List source'!D$2:E$60,2,FALSE)</f>
        <v>141</v>
      </c>
      <c r="C5" s="23" t="s">
        <v>30</v>
      </c>
      <c r="D5" s="30" t="str">
        <f t="shared" si="0"/>
        <v>A004-141-24</v>
      </c>
      <c r="E5" s="51">
        <v>44930</v>
      </c>
      <c r="F5" s="51">
        <v>44930</v>
      </c>
      <c r="G5" s="51">
        <v>45392</v>
      </c>
      <c r="H5" s="10" t="s">
        <v>31</v>
      </c>
      <c r="I5" s="10" t="s">
        <v>26</v>
      </c>
      <c r="J5" s="10" t="s">
        <v>23</v>
      </c>
      <c r="K5" s="10" t="s">
        <v>32</v>
      </c>
      <c r="L5" s="10" t="s">
        <v>33</v>
      </c>
      <c r="M5" s="50" t="s">
        <v>31</v>
      </c>
      <c r="N5" s="10" t="s">
        <v>34</v>
      </c>
    </row>
    <row r="6" spans="1:14" s="4" customFormat="1" ht="30" customHeight="1" x14ac:dyDescent="0.3">
      <c r="A6" s="9" t="s">
        <v>35</v>
      </c>
      <c r="B6" s="13">
        <f>VLOOKUP(Table245[[#This Row],[Location 
(drop-down)]],'List source'!D$2:E$60,2,FALSE)</f>
        <v>158</v>
      </c>
      <c r="C6" s="23" t="s">
        <v>36</v>
      </c>
      <c r="D6" s="30" t="str">
        <f t="shared" si="0"/>
        <v>A005-158-24</v>
      </c>
      <c r="E6" s="38">
        <v>45313</v>
      </c>
      <c r="F6" s="38">
        <v>45315</v>
      </c>
      <c r="G6" s="51">
        <v>45317</v>
      </c>
      <c r="H6" s="10" t="s">
        <v>16</v>
      </c>
      <c r="I6" s="10" t="s">
        <v>17</v>
      </c>
      <c r="J6" s="10" t="s">
        <v>18</v>
      </c>
      <c r="K6" s="10" t="s">
        <v>37</v>
      </c>
      <c r="L6" s="10" t="s">
        <v>19</v>
      </c>
      <c r="M6" s="50"/>
      <c r="N6" s="10" t="s">
        <v>20</v>
      </c>
    </row>
    <row r="7" spans="1:14" s="4" customFormat="1" ht="30" customHeight="1" x14ac:dyDescent="0.3">
      <c r="A7" s="9" t="s">
        <v>35</v>
      </c>
      <c r="B7" s="13">
        <f>VLOOKUP(Table245[[#This Row],[Location 
(drop-down)]],'List source'!D$2:E$60,2,FALSE)</f>
        <v>158</v>
      </c>
      <c r="C7" s="23" t="s">
        <v>38</v>
      </c>
      <c r="D7" s="30" t="str">
        <f t="shared" si="0"/>
        <v>A006-158-24</v>
      </c>
      <c r="E7" s="51">
        <v>45313</v>
      </c>
      <c r="F7" s="51">
        <v>45315</v>
      </c>
      <c r="G7" s="51">
        <v>45511</v>
      </c>
      <c r="H7" s="10" t="s">
        <v>16</v>
      </c>
      <c r="I7" s="10" t="s">
        <v>26</v>
      </c>
      <c r="J7" s="10" t="s">
        <v>18</v>
      </c>
      <c r="K7" s="10" t="s">
        <v>37</v>
      </c>
      <c r="L7" s="10" t="s">
        <v>19</v>
      </c>
      <c r="M7" s="50"/>
      <c r="N7" s="10" t="s">
        <v>28</v>
      </c>
    </row>
    <row r="8" spans="1:14" s="4" customFormat="1" ht="30" customHeight="1" x14ac:dyDescent="0.3">
      <c r="A8" s="9" t="s">
        <v>39</v>
      </c>
      <c r="B8" s="13">
        <f>VLOOKUP(Table245[[#This Row],[Location 
(drop-down)]],'List source'!D$2:E$60,2,FALSE)</f>
        <v>127</v>
      </c>
      <c r="C8" s="23" t="s">
        <v>40</v>
      </c>
      <c r="D8" s="30" t="str">
        <f t="shared" si="0"/>
        <v>A007-127-24</v>
      </c>
      <c r="E8" s="51">
        <v>45313</v>
      </c>
      <c r="F8" s="51">
        <v>45316</v>
      </c>
      <c r="G8" s="51">
        <v>45511</v>
      </c>
      <c r="H8" s="10" t="s">
        <v>16</v>
      </c>
      <c r="I8" s="10" t="s">
        <v>17</v>
      </c>
      <c r="J8" s="10" t="s">
        <v>41</v>
      </c>
      <c r="K8" s="10" t="s">
        <v>41</v>
      </c>
      <c r="L8" s="10" t="s">
        <v>19</v>
      </c>
      <c r="M8" s="50"/>
      <c r="N8" s="10" t="s">
        <v>20</v>
      </c>
    </row>
    <row r="9" spans="1:14" s="4" customFormat="1" ht="30" customHeight="1" x14ac:dyDescent="0.3">
      <c r="A9" s="9" t="s">
        <v>42</v>
      </c>
      <c r="B9" s="13">
        <f>VLOOKUP(Table245[[#This Row],[Location 
(drop-down)]],'List source'!D$2:E$60,2,FALSE)</f>
        <v>138</v>
      </c>
      <c r="C9" s="23" t="s">
        <v>43</v>
      </c>
      <c r="D9" s="30" t="str">
        <f t="shared" si="0"/>
        <v>A008-138-24</v>
      </c>
      <c r="E9" s="51">
        <v>45320</v>
      </c>
      <c r="F9" s="51">
        <v>45323</v>
      </c>
      <c r="G9" s="51">
        <v>45359</v>
      </c>
      <c r="H9" s="10" t="s">
        <v>16</v>
      </c>
      <c r="I9" s="10" t="s">
        <v>17</v>
      </c>
      <c r="J9" s="10" t="s">
        <v>23</v>
      </c>
      <c r="K9" s="10" t="s">
        <v>23</v>
      </c>
      <c r="L9" s="10" t="s">
        <v>19</v>
      </c>
      <c r="M9" s="50"/>
      <c r="N9" s="10" t="s">
        <v>20</v>
      </c>
    </row>
    <row r="10" spans="1:14" s="4" customFormat="1" ht="30" customHeight="1" x14ac:dyDescent="0.3">
      <c r="A10" s="9" t="s">
        <v>44</v>
      </c>
      <c r="B10" s="13">
        <f>VLOOKUP(Table245[[#This Row],[Location 
(drop-down)]],'List source'!D$2:E$60,2,FALSE)</f>
        <v>192</v>
      </c>
      <c r="C10" s="23" t="s">
        <v>45</v>
      </c>
      <c r="D10" s="30" t="str">
        <f t="shared" si="0"/>
        <v>A009-192-24</v>
      </c>
      <c r="E10" s="51">
        <v>45327</v>
      </c>
      <c r="F10" s="51">
        <v>45330</v>
      </c>
      <c r="G10" s="51">
        <v>45335</v>
      </c>
      <c r="H10" s="10" t="s">
        <v>16</v>
      </c>
      <c r="I10" s="10" t="s">
        <v>17</v>
      </c>
      <c r="J10" s="10" t="s">
        <v>41</v>
      </c>
      <c r="K10" s="10" t="s">
        <v>46</v>
      </c>
      <c r="L10" s="10" t="s">
        <v>19</v>
      </c>
      <c r="M10" s="50"/>
      <c r="N10" s="10" t="s">
        <v>20</v>
      </c>
    </row>
    <row r="11" spans="1:14" s="4" customFormat="1" ht="30" customHeight="1" x14ac:dyDescent="0.3">
      <c r="A11" s="9" t="s">
        <v>47</v>
      </c>
      <c r="B11" s="13" t="str">
        <f>VLOOKUP(Table245[[#This Row],[Location 
(drop-down)]],'List source'!D$2:E$60,2,FALSE)</f>
        <v>120a</v>
      </c>
      <c r="C11" s="23" t="s">
        <v>48</v>
      </c>
      <c r="D11" s="30" t="str">
        <f t="shared" si="0"/>
        <v>A010-120a-24</v>
      </c>
      <c r="E11" s="51">
        <v>45322</v>
      </c>
      <c r="F11" s="51">
        <v>45322</v>
      </c>
      <c r="G11" s="51">
        <v>45342</v>
      </c>
      <c r="H11" s="10" t="s">
        <v>16</v>
      </c>
      <c r="I11" s="10" t="s">
        <v>26</v>
      </c>
      <c r="J11" s="10" t="s">
        <v>49</v>
      </c>
      <c r="K11" s="10" t="s">
        <v>50</v>
      </c>
      <c r="L11" s="10" t="s">
        <v>19</v>
      </c>
      <c r="M11" s="50"/>
      <c r="N11" s="10" t="s">
        <v>20</v>
      </c>
    </row>
    <row r="12" spans="1:14" s="4" customFormat="1" ht="30" customHeight="1" x14ac:dyDescent="0.3">
      <c r="A12" s="9" t="s">
        <v>21</v>
      </c>
      <c r="B12" s="13">
        <f>VLOOKUP(Table245[[#This Row],[Location 
(drop-down)]],'List source'!D$2:E$60,2,FALSE)</f>
        <v>131</v>
      </c>
      <c r="C12" s="23" t="s">
        <v>51</v>
      </c>
      <c r="D12" s="30" t="str">
        <f t="shared" si="0"/>
        <v>A011-131-24</v>
      </c>
      <c r="E12" s="51">
        <v>45321</v>
      </c>
      <c r="F12" s="51">
        <v>45321</v>
      </c>
      <c r="G12" s="51"/>
      <c r="H12" s="10" t="s">
        <v>52</v>
      </c>
      <c r="I12" s="10" t="s">
        <v>53</v>
      </c>
      <c r="J12" s="10" t="s">
        <v>54</v>
      </c>
      <c r="K12" s="10"/>
      <c r="L12" s="10" t="s">
        <v>55</v>
      </c>
      <c r="M12" s="50"/>
      <c r="N12" s="10" t="s">
        <v>56</v>
      </c>
    </row>
    <row r="13" spans="1:14" s="4" customFormat="1" ht="30" customHeight="1" x14ac:dyDescent="0.3">
      <c r="A13" s="9" t="s">
        <v>57</v>
      </c>
      <c r="B13" s="13">
        <f>VLOOKUP(Table245[[#This Row],[Location 
(drop-down)]],'List source'!D$2:E$60,2,FALSE)</f>
        <v>170</v>
      </c>
      <c r="C13" s="23" t="s">
        <v>58</v>
      </c>
      <c r="D13" s="30" t="str">
        <f t="shared" si="0"/>
        <v>A012-170-24</v>
      </c>
      <c r="E13" s="51">
        <v>45323</v>
      </c>
      <c r="F13" s="51">
        <v>45324</v>
      </c>
      <c r="G13" s="51">
        <v>45324</v>
      </c>
      <c r="H13" s="10" t="s">
        <v>59</v>
      </c>
      <c r="I13" s="10" t="s">
        <v>26</v>
      </c>
      <c r="J13" s="10" t="s">
        <v>60</v>
      </c>
      <c r="K13" s="10" t="s">
        <v>61</v>
      </c>
      <c r="L13" s="10" t="s">
        <v>62</v>
      </c>
      <c r="M13" s="50" t="s">
        <v>63</v>
      </c>
      <c r="N13" s="10" t="s">
        <v>64</v>
      </c>
    </row>
    <row r="14" spans="1:14" s="4" customFormat="1" ht="30" customHeight="1" x14ac:dyDescent="0.3">
      <c r="A14" s="9" t="s">
        <v>65</v>
      </c>
      <c r="B14" s="13">
        <f>VLOOKUP(Table245[[#This Row],[Location 
(drop-down)]],'List source'!D$2:E$60,2,FALSE)</f>
        <v>155</v>
      </c>
      <c r="C14" s="23" t="s">
        <v>66</v>
      </c>
      <c r="D14" s="30" t="str">
        <f t="shared" si="0"/>
        <v>A013-155-24</v>
      </c>
      <c r="E14" s="51">
        <v>45334</v>
      </c>
      <c r="F14" s="51">
        <v>45336</v>
      </c>
      <c r="G14" s="51">
        <v>45358</v>
      </c>
      <c r="H14" s="10" t="s">
        <v>16</v>
      </c>
      <c r="I14" s="10" t="s">
        <v>17</v>
      </c>
      <c r="J14" s="40" t="s">
        <v>67</v>
      </c>
      <c r="K14" s="10" t="s">
        <v>68</v>
      </c>
      <c r="L14" s="10" t="s">
        <v>19</v>
      </c>
      <c r="M14" s="50"/>
      <c r="N14" s="10" t="s">
        <v>20</v>
      </c>
    </row>
    <row r="15" spans="1:14" s="4" customFormat="1" ht="30" customHeight="1" x14ac:dyDescent="0.3">
      <c r="A15" s="9" t="s">
        <v>65</v>
      </c>
      <c r="B15" s="13">
        <f>VLOOKUP(Table245[[#This Row],[Location 
(drop-down)]],'List source'!D$2:E$60,2,FALSE)</f>
        <v>155</v>
      </c>
      <c r="C15" s="23" t="s">
        <v>69</v>
      </c>
      <c r="D15" s="30" t="str">
        <f t="shared" si="0"/>
        <v>A014-155-24</v>
      </c>
      <c r="E15" s="51">
        <v>45334</v>
      </c>
      <c r="F15" s="51">
        <v>45336</v>
      </c>
      <c r="G15" s="51">
        <v>45358</v>
      </c>
      <c r="H15" s="10" t="s">
        <v>16</v>
      </c>
      <c r="I15" s="10" t="s">
        <v>26</v>
      </c>
      <c r="J15" s="10" t="s">
        <v>67</v>
      </c>
      <c r="K15" s="10" t="s">
        <v>68</v>
      </c>
      <c r="L15" s="10" t="s">
        <v>19</v>
      </c>
      <c r="M15" s="50"/>
      <c r="N15" s="10" t="s">
        <v>28</v>
      </c>
    </row>
    <row r="16" spans="1:14" s="4" customFormat="1" ht="30" customHeight="1" x14ac:dyDescent="0.3">
      <c r="A16" s="9" t="s">
        <v>70</v>
      </c>
      <c r="B16" s="13">
        <f>VLOOKUP(Table245[[#This Row],[Location 
(drop-down)]],'List source'!D$2:E$60,2,FALSE)</f>
        <v>146</v>
      </c>
      <c r="C16" s="23" t="s">
        <v>71</v>
      </c>
      <c r="D16" s="30" t="str">
        <f t="shared" si="0"/>
        <v>A015-146-24</v>
      </c>
      <c r="E16" s="51">
        <v>45329</v>
      </c>
      <c r="F16" s="51">
        <v>45329</v>
      </c>
      <c r="G16" s="51">
        <v>45331</v>
      </c>
      <c r="H16" s="10" t="s">
        <v>59</v>
      </c>
      <c r="I16" s="10" t="s">
        <v>26</v>
      </c>
      <c r="J16" s="40" t="s">
        <v>49</v>
      </c>
      <c r="K16" s="10" t="s">
        <v>72</v>
      </c>
      <c r="L16" s="10" t="s">
        <v>73</v>
      </c>
      <c r="M16" s="50" t="s">
        <v>63</v>
      </c>
      <c r="N16" s="10" t="s">
        <v>74</v>
      </c>
    </row>
    <row r="17" spans="1:14" s="4" customFormat="1" ht="30" customHeight="1" x14ac:dyDescent="0.3">
      <c r="A17" s="9" t="s">
        <v>75</v>
      </c>
      <c r="B17" s="13">
        <f>VLOOKUP(Table245[[#This Row],[Location 
(drop-down)]],'List source'!D$2:E$60,2,FALSE)</f>
        <v>190</v>
      </c>
      <c r="C17" s="23" t="s">
        <v>76</v>
      </c>
      <c r="D17" s="30" t="str">
        <f t="shared" si="0"/>
        <v>A016-190-24</v>
      </c>
      <c r="E17" s="51">
        <v>45341</v>
      </c>
      <c r="F17" s="51">
        <v>45344</v>
      </c>
      <c r="G17" s="51">
        <v>45350</v>
      </c>
      <c r="H17" s="10" t="s">
        <v>16</v>
      </c>
      <c r="I17" s="10" t="s">
        <v>17</v>
      </c>
      <c r="J17" s="10" t="s">
        <v>18</v>
      </c>
      <c r="K17" s="10" t="s">
        <v>46</v>
      </c>
      <c r="L17" s="10" t="s">
        <v>19</v>
      </c>
      <c r="M17" s="50"/>
      <c r="N17" s="10" t="s">
        <v>20</v>
      </c>
    </row>
    <row r="18" spans="1:14" s="4" customFormat="1" ht="30" customHeight="1" x14ac:dyDescent="0.3">
      <c r="A18" s="9" t="s">
        <v>75</v>
      </c>
      <c r="B18" s="13">
        <f>VLOOKUP(Table245[[#This Row],[Location 
(drop-down)]],'List source'!D$2:E$60,2,FALSE)</f>
        <v>190</v>
      </c>
      <c r="C18" s="23" t="s">
        <v>77</v>
      </c>
      <c r="D18" s="30" t="str">
        <f t="shared" si="0"/>
        <v>A017-190-24</v>
      </c>
      <c r="E18" s="51">
        <v>45373</v>
      </c>
      <c r="F18" s="51">
        <v>45373</v>
      </c>
      <c r="G18" s="51">
        <v>45379</v>
      </c>
      <c r="H18" s="10" t="s">
        <v>16</v>
      </c>
      <c r="I18" s="10" t="s">
        <v>26</v>
      </c>
      <c r="J18" s="10" t="s">
        <v>41</v>
      </c>
      <c r="K18" s="10" t="s">
        <v>46</v>
      </c>
      <c r="L18" s="10" t="s">
        <v>19</v>
      </c>
      <c r="M18" s="50"/>
      <c r="N18" s="10" t="s">
        <v>28</v>
      </c>
    </row>
    <row r="19" spans="1:14" s="4" customFormat="1" ht="30" customHeight="1" x14ac:dyDescent="0.3">
      <c r="A19" s="9" t="s">
        <v>21</v>
      </c>
      <c r="B19" s="13">
        <v>131</v>
      </c>
      <c r="C19" s="23" t="s">
        <v>78</v>
      </c>
      <c r="D19" s="30" t="str">
        <f t="shared" si="0"/>
        <v>A018-131-24</v>
      </c>
      <c r="E19" s="51">
        <v>45338</v>
      </c>
      <c r="F19" s="51">
        <v>45338</v>
      </c>
      <c r="G19" s="51"/>
      <c r="H19" s="10" t="s">
        <v>31</v>
      </c>
      <c r="I19" s="10" t="s">
        <v>17</v>
      </c>
      <c r="J19" s="10" t="s">
        <v>54</v>
      </c>
      <c r="K19" s="10" t="s">
        <v>79</v>
      </c>
      <c r="L19" s="10" t="s">
        <v>80</v>
      </c>
      <c r="M19" s="50" t="s">
        <v>31</v>
      </c>
      <c r="N19" s="26" t="s">
        <v>81</v>
      </c>
    </row>
    <row r="20" spans="1:14" s="4" customFormat="1" ht="30" customHeight="1" x14ac:dyDescent="0.3">
      <c r="A20" s="9" t="s">
        <v>21</v>
      </c>
      <c r="B20" s="13">
        <v>131</v>
      </c>
      <c r="C20" s="23" t="s">
        <v>82</v>
      </c>
      <c r="D20" s="30" t="str">
        <f t="shared" si="0"/>
        <v>A019-131-24</v>
      </c>
      <c r="E20" s="51">
        <v>45344</v>
      </c>
      <c r="F20" s="51">
        <v>45344</v>
      </c>
      <c r="G20" s="51">
        <v>45422</v>
      </c>
      <c r="H20" s="10" t="s">
        <v>52</v>
      </c>
      <c r="I20" s="10" t="s">
        <v>17</v>
      </c>
      <c r="J20" s="10" t="s">
        <v>54</v>
      </c>
      <c r="K20" s="10" t="s">
        <v>83</v>
      </c>
      <c r="L20" s="10" t="s">
        <v>84</v>
      </c>
      <c r="M20" s="50"/>
      <c r="N20" s="10" t="s">
        <v>85</v>
      </c>
    </row>
    <row r="21" spans="1:14" s="4" customFormat="1" ht="30" customHeight="1" x14ac:dyDescent="0.3">
      <c r="A21" s="9" t="s">
        <v>86</v>
      </c>
      <c r="B21" s="13">
        <f>VLOOKUP(Table245[[#This Row],[Location 
(drop-down)]],'List source'!D$2:E$60,2,FALSE)</f>
        <v>150</v>
      </c>
      <c r="C21" s="23" t="s">
        <v>87</v>
      </c>
      <c r="D21" s="30" t="str">
        <f t="shared" si="0"/>
        <v>A020-150-24</v>
      </c>
      <c r="E21" s="51">
        <v>45348</v>
      </c>
      <c r="F21" s="51">
        <v>45351</v>
      </c>
      <c r="G21" s="51">
        <v>45369</v>
      </c>
      <c r="H21" s="10" t="s">
        <v>16</v>
      </c>
      <c r="I21" s="10" t="s">
        <v>17</v>
      </c>
      <c r="J21" s="10" t="s">
        <v>23</v>
      </c>
      <c r="K21" s="10" t="s">
        <v>88</v>
      </c>
      <c r="L21" s="10" t="s">
        <v>19</v>
      </c>
      <c r="M21" s="50"/>
      <c r="N21" s="10" t="s">
        <v>20</v>
      </c>
    </row>
    <row r="22" spans="1:14" s="4" customFormat="1" ht="30" customHeight="1" x14ac:dyDescent="0.3">
      <c r="A22" s="9" t="s">
        <v>86</v>
      </c>
      <c r="B22" s="13">
        <f>VLOOKUP(Table245[[#This Row],[Location 
(drop-down)]],'List source'!D$2:E$60,2,FALSE)</f>
        <v>150</v>
      </c>
      <c r="C22" s="23" t="s">
        <v>89</v>
      </c>
      <c r="D22" s="30" t="str">
        <f t="shared" si="0"/>
        <v>A021-150-24</v>
      </c>
      <c r="E22" s="51">
        <v>45348</v>
      </c>
      <c r="F22" s="51">
        <v>45351</v>
      </c>
      <c r="G22" s="51">
        <v>45369</v>
      </c>
      <c r="H22" s="10" t="s">
        <v>16</v>
      </c>
      <c r="I22" s="10" t="s">
        <v>26</v>
      </c>
      <c r="J22" s="10" t="s">
        <v>23</v>
      </c>
      <c r="K22" s="10" t="s">
        <v>88</v>
      </c>
      <c r="L22" s="10" t="s">
        <v>19</v>
      </c>
      <c r="M22" s="50"/>
      <c r="N22" s="10" t="s">
        <v>28</v>
      </c>
    </row>
    <row r="23" spans="1:14" s="4" customFormat="1" ht="30" customHeight="1" x14ac:dyDescent="0.3">
      <c r="A23" s="9" t="s">
        <v>90</v>
      </c>
      <c r="B23" s="13">
        <f>VLOOKUP(Table245[[#This Row],[Location 
(drop-down)]],'List source'!D$2:E$60,2,FALSE)</f>
        <v>157</v>
      </c>
      <c r="C23" s="23" t="s">
        <v>91</v>
      </c>
      <c r="D23" s="30" t="str">
        <f t="shared" si="0"/>
        <v>A022-157-24</v>
      </c>
      <c r="E23" s="51">
        <v>45355</v>
      </c>
      <c r="F23" s="51">
        <v>45356</v>
      </c>
      <c r="G23" s="51">
        <v>45363</v>
      </c>
      <c r="H23" s="10" t="s">
        <v>16</v>
      </c>
      <c r="I23" s="10" t="s">
        <v>17</v>
      </c>
      <c r="J23" s="10" t="s">
        <v>41</v>
      </c>
      <c r="K23" s="10" t="s">
        <v>92</v>
      </c>
      <c r="L23" s="10" t="s">
        <v>19</v>
      </c>
      <c r="M23" s="50"/>
      <c r="N23" s="10" t="s">
        <v>20</v>
      </c>
    </row>
    <row r="24" spans="1:14" s="4" customFormat="1" ht="30" customHeight="1" x14ac:dyDescent="0.3">
      <c r="A24" s="9" t="s">
        <v>93</v>
      </c>
      <c r="B24" s="13">
        <f>VLOOKUP(Table245[[#This Row],[Location 
(drop-down)]],'List source'!D$2:E$60,2,FALSE)</f>
        <v>128</v>
      </c>
      <c r="C24" s="23" t="s">
        <v>94</v>
      </c>
      <c r="D24" s="30" t="str">
        <f t="shared" si="0"/>
        <v>A023-128-24</v>
      </c>
      <c r="E24" s="51">
        <v>45357</v>
      </c>
      <c r="F24" s="51">
        <v>45358</v>
      </c>
      <c r="G24" s="51">
        <v>45363</v>
      </c>
      <c r="H24" s="10" t="s">
        <v>16</v>
      </c>
      <c r="I24" s="10" t="s">
        <v>17</v>
      </c>
      <c r="J24" s="10" t="s">
        <v>41</v>
      </c>
      <c r="K24" s="10" t="s">
        <v>92</v>
      </c>
      <c r="L24" s="10" t="s">
        <v>19</v>
      </c>
      <c r="M24" s="50"/>
      <c r="N24" s="10" t="s">
        <v>20</v>
      </c>
    </row>
    <row r="25" spans="1:14" s="4" customFormat="1" ht="30" customHeight="1" x14ac:dyDescent="0.3">
      <c r="A25" s="9" t="s">
        <v>95</v>
      </c>
      <c r="B25" s="13">
        <f>VLOOKUP(Table245[[#This Row],[Location 
(drop-down)]],'List source'!D$2:E$60,2,FALSE)</f>
        <v>111</v>
      </c>
      <c r="C25" s="23" t="s">
        <v>96</v>
      </c>
      <c r="D25" s="30" t="str">
        <f t="shared" si="0"/>
        <v>A024-111-24</v>
      </c>
      <c r="E25" s="51">
        <v>45357</v>
      </c>
      <c r="F25" s="51">
        <v>45358</v>
      </c>
      <c r="G25" s="51">
        <v>45364</v>
      </c>
      <c r="H25" s="10" t="s">
        <v>16</v>
      </c>
      <c r="I25" s="10" t="s">
        <v>53</v>
      </c>
      <c r="J25" s="10" t="s">
        <v>18</v>
      </c>
      <c r="K25" s="10" t="s">
        <v>18</v>
      </c>
      <c r="L25" s="10" t="s">
        <v>19</v>
      </c>
      <c r="M25" s="50"/>
      <c r="N25" s="26"/>
    </row>
    <row r="26" spans="1:14" s="4" customFormat="1" ht="30" customHeight="1" x14ac:dyDescent="0.3">
      <c r="A26" s="9" t="s">
        <v>57</v>
      </c>
      <c r="B26" s="13">
        <f>VLOOKUP(Table245[[#This Row],[Location 
(drop-down)]],'List source'!D$2:E$60,2,FALSE)</f>
        <v>170</v>
      </c>
      <c r="C26" s="23" t="s">
        <v>97</v>
      </c>
      <c r="D26" s="30" t="str">
        <f t="shared" si="0"/>
        <v>A025-170-24</v>
      </c>
      <c r="E26" s="51">
        <v>45351</v>
      </c>
      <c r="F26" s="51">
        <v>45351</v>
      </c>
      <c r="G26" s="51">
        <v>45380</v>
      </c>
      <c r="H26" s="10" t="s">
        <v>52</v>
      </c>
      <c r="I26" s="10" t="s">
        <v>17</v>
      </c>
      <c r="J26" s="10" t="s">
        <v>60</v>
      </c>
      <c r="K26" s="10" t="s">
        <v>98</v>
      </c>
      <c r="L26" s="10" t="s">
        <v>99</v>
      </c>
      <c r="M26" s="50"/>
      <c r="N26" s="10" t="s">
        <v>99</v>
      </c>
    </row>
    <row r="27" spans="1:14" s="4" customFormat="1" ht="30" customHeight="1" x14ac:dyDescent="0.3">
      <c r="A27" s="9" t="s">
        <v>21</v>
      </c>
      <c r="B27" s="13">
        <f>VLOOKUP(Table245[[#This Row],[Location 
(drop-down)]],'List source'!D$2:E$60,2,FALSE)</f>
        <v>131</v>
      </c>
      <c r="C27" s="23" t="s">
        <v>100</v>
      </c>
      <c r="D27" s="30" t="str">
        <f t="shared" si="0"/>
        <v>A026-131-24</v>
      </c>
      <c r="E27" s="51">
        <v>45337</v>
      </c>
      <c r="F27" s="51">
        <v>45337</v>
      </c>
      <c r="G27" s="51"/>
      <c r="H27" s="10" t="s">
        <v>31</v>
      </c>
      <c r="I27" s="10" t="s">
        <v>26</v>
      </c>
      <c r="J27" s="10" t="s">
        <v>54</v>
      </c>
      <c r="K27" s="10" t="s">
        <v>101</v>
      </c>
      <c r="L27" s="10" t="s">
        <v>102</v>
      </c>
      <c r="M27" s="50" t="s">
        <v>31</v>
      </c>
      <c r="N27" s="83" t="s">
        <v>103</v>
      </c>
    </row>
    <row r="28" spans="1:14" s="4" customFormat="1" ht="30" customHeight="1" x14ac:dyDescent="0.3">
      <c r="A28" s="9" t="s">
        <v>21</v>
      </c>
      <c r="B28" s="13">
        <f>VLOOKUP(Table245[[#This Row],[Location 
(drop-down)]],'List source'!D$2:E$60,2,FALSE)</f>
        <v>131</v>
      </c>
      <c r="C28" s="23" t="s">
        <v>104</v>
      </c>
      <c r="D28" s="30" t="str">
        <f t="shared" si="0"/>
        <v>A027-131-24</v>
      </c>
      <c r="E28" s="51">
        <v>45349</v>
      </c>
      <c r="F28" s="51">
        <v>45351</v>
      </c>
      <c r="G28" s="51">
        <v>45385</v>
      </c>
      <c r="H28" s="10" t="s">
        <v>59</v>
      </c>
      <c r="I28" s="10" t="s">
        <v>26</v>
      </c>
      <c r="J28" s="10" t="s">
        <v>54</v>
      </c>
      <c r="K28" s="10" t="s">
        <v>105</v>
      </c>
      <c r="L28" s="10" t="s">
        <v>73</v>
      </c>
      <c r="M28" s="50" t="s">
        <v>63</v>
      </c>
      <c r="N28" s="10" t="s">
        <v>106</v>
      </c>
    </row>
    <row r="29" spans="1:14" s="4" customFormat="1" ht="30" customHeight="1" x14ac:dyDescent="0.3">
      <c r="A29" s="9" t="s">
        <v>107</v>
      </c>
      <c r="B29" s="13">
        <f>VLOOKUP(Table245[[#This Row],[Location 
(drop-down)]],'List source'!D$2:E$60,2,FALSE)</f>
        <v>120</v>
      </c>
      <c r="C29" s="23" t="s">
        <v>108</v>
      </c>
      <c r="D29" s="30" t="str">
        <f t="shared" si="0"/>
        <v>A028-120-24</v>
      </c>
      <c r="E29" s="51">
        <v>45356</v>
      </c>
      <c r="F29" s="51">
        <v>45357</v>
      </c>
      <c r="G29" s="51">
        <v>45358</v>
      </c>
      <c r="H29" s="10" t="s">
        <v>59</v>
      </c>
      <c r="I29" s="10" t="s">
        <v>26</v>
      </c>
      <c r="J29" s="10" t="s">
        <v>109</v>
      </c>
      <c r="K29" s="10" t="s">
        <v>110</v>
      </c>
      <c r="L29" s="10" t="s">
        <v>111</v>
      </c>
      <c r="M29" s="50" t="s">
        <v>59</v>
      </c>
      <c r="N29" s="10" t="s">
        <v>112</v>
      </c>
    </row>
    <row r="30" spans="1:14" s="4" customFormat="1" ht="30" customHeight="1" x14ac:dyDescent="0.3">
      <c r="A30" s="235" t="s">
        <v>113</v>
      </c>
      <c r="B30" s="236" t="s">
        <v>114</v>
      </c>
      <c r="C30" s="237" t="s">
        <v>115</v>
      </c>
      <c r="D30" s="238" t="str">
        <f t="shared" si="0"/>
        <v>A029-VOID-24</v>
      </c>
      <c r="E30" s="51">
        <v>45357</v>
      </c>
      <c r="F30" s="51">
        <v>45357</v>
      </c>
      <c r="G30" s="51" t="s">
        <v>114</v>
      </c>
      <c r="H30" s="10" t="s">
        <v>114</v>
      </c>
      <c r="I30" s="10" t="s">
        <v>26</v>
      </c>
      <c r="J30" s="10" t="s">
        <v>54</v>
      </c>
      <c r="K30" s="10" t="s">
        <v>114</v>
      </c>
      <c r="L30" s="10" t="s">
        <v>114</v>
      </c>
      <c r="M30" s="50"/>
      <c r="N30" s="10" t="s">
        <v>116</v>
      </c>
    </row>
    <row r="31" spans="1:14" s="4" customFormat="1" ht="30" customHeight="1" x14ac:dyDescent="0.3">
      <c r="A31" s="9" t="s">
        <v>29</v>
      </c>
      <c r="B31" s="13">
        <f>VLOOKUP(Table245[[#This Row],[Location 
(drop-down)]],'List source'!D$2:E$60,2,FALSE)</f>
        <v>141</v>
      </c>
      <c r="C31" s="23" t="s">
        <v>117</v>
      </c>
      <c r="D31" s="30" t="str">
        <f t="shared" si="0"/>
        <v>A030-141-24</v>
      </c>
      <c r="E31" s="51">
        <v>45362</v>
      </c>
      <c r="F31" s="51">
        <v>45364</v>
      </c>
      <c r="G31" s="51">
        <v>45371</v>
      </c>
      <c r="H31" s="10" t="s">
        <v>16</v>
      </c>
      <c r="I31" s="10" t="s">
        <v>17</v>
      </c>
      <c r="J31" s="10" t="s">
        <v>23</v>
      </c>
      <c r="K31" s="10" t="s">
        <v>23</v>
      </c>
      <c r="L31" s="10" t="s">
        <v>19</v>
      </c>
      <c r="M31" s="50"/>
      <c r="N31" s="26"/>
    </row>
    <row r="32" spans="1:14" s="4" customFormat="1" ht="41.85" customHeight="1" x14ac:dyDescent="0.3">
      <c r="A32" s="9" t="s">
        <v>57</v>
      </c>
      <c r="B32" s="13">
        <f>VLOOKUP(Table245[[#This Row],[Location 
(drop-down)]],'List source'!D$2:E$60,2,FALSE)</f>
        <v>170</v>
      </c>
      <c r="C32" s="23" t="s">
        <v>118</v>
      </c>
      <c r="D32" s="30" t="str">
        <f t="shared" si="0"/>
        <v>A031-170-24</v>
      </c>
      <c r="E32" s="51">
        <v>45369</v>
      </c>
      <c r="F32" s="51">
        <v>45372</v>
      </c>
      <c r="G32" s="51">
        <v>45391</v>
      </c>
      <c r="H32" s="10" t="s">
        <v>16</v>
      </c>
      <c r="I32" s="10" t="s">
        <v>17</v>
      </c>
      <c r="J32" s="10" t="s">
        <v>41</v>
      </c>
      <c r="K32" s="10" t="s">
        <v>119</v>
      </c>
      <c r="L32" s="10" t="s">
        <v>19</v>
      </c>
      <c r="M32" s="50"/>
      <c r="N32" s="10" t="s">
        <v>20</v>
      </c>
    </row>
    <row r="33" spans="1:14" s="4" customFormat="1" ht="30" customHeight="1" x14ac:dyDescent="0.3">
      <c r="A33" s="9" t="s">
        <v>57</v>
      </c>
      <c r="B33" s="13">
        <f>VLOOKUP(Table245[[#This Row],[Location 
(drop-down)]],'List source'!D$2:E$60,2,FALSE)</f>
        <v>170</v>
      </c>
      <c r="C33" s="23" t="s">
        <v>120</v>
      </c>
      <c r="D33" s="30" t="str">
        <f t="shared" si="0"/>
        <v>A032-170-24</v>
      </c>
      <c r="E33" s="51">
        <v>45369</v>
      </c>
      <c r="F33" s="51">
        <v>45372</v>
      </c>
      <c r="G33" s="51">
        <v>45391</v>
      </c>
      <c r="H33" s="10" t="s">
        <v>16</v>
      </c>
      <c r="I33" s="10" t="s">
        <v>26</v>
      </c>
      <c r="J33" s="10" t="s">
        <v>41</v>
      </c>
      <c r="K33" s="10" t="s">
        <v>119</v>
      </c>
      <c r="L33" s="10" t="s">
        <v>19</v>
      </c>
      <c r="M33" s="50"/>
      <c r="N33" s="10" t="s">
        <v>28</v>
      </c>
    </row>
    <row r="34" spans="1:14" s="4" customFormat="1" ht="30" customHeight="1" x14ac:dyDescent="0.3">
      <c r="A34" s="9" t="s">
        <v>57</v>
      </c>
      <c r="B34" s="13">
        <f>VLOOKUP(Table245[[#This Row],[Location 
(drop-down)]],'List source'!D$2:E$60,2,FALSE)</f>
        <v>170</v>
      </c>
      <c r="C34" s="23" t="s">
        <v>121</v>
      </c>
      <c r="D34" s="30" t="str">
        <f t="shared" ref="D34:D65" si="1">"A" &amp; C34 &amp; "-" &amp; B34 &amp; "-" &amp; "24"</f>
        <v>A033-170-24</v>
      </c>
      <c r="E34" s="51">
        <v>45369</v>
      </c>
      <c r="F34" s="51">
        <v>45372</v>
      </c>
      <c r="G34" s="51">
        <v>45391</v>
      </c>
      <c r="H34" s="10" t="s">
        <v>16</v>
      </c>
      <c r="I34" s="10" t="s">
        <v>26</v>
      </c>
      <c r="J34" s="10" t="s">
        <v>41</v>
      </c>
      <c r="K34" s="10" t="s">
        <v>119</v>
      </c>
      <c r="L34" s="10" t="s">
        <v>19</v>
      </c>
      <c r="M34" s="50"/>
      <c r="N34" s="10" t="s">
        <v>122</v>
      </c>
    </row>
    <row r="35" spans="1:14" s="4" customFormat="1" ht="30" customHeight="1" x14ac:dyDescent="0.3">
      <c r="A35" s="9" t="s">
        <v>57</v>
      </c>
      <c r="B35" s="13">
        <f>VLOOKUP(Table245[[#This Row],[Location 
(drop-down)]],'List source'!D$2:E$60,2,FALSE)</f>
        <v>170</v>
      </c>
      <c r="C35" s="23" t="s">
        <v>123</v>
      </c>
      <c r="D35" s="30" t="str">
        <f t="shared" si="1"/>
        <v>A034-170-24</v>
      </c>
      <c r="E35" s="51">
        <v>45359</v>
      </c>
      <c r="F35" s="51">
        <v>45359</v>
      </c>
      <c r="G35" s="38">
        <v>45393</v>
      </c>
      <c r="H35" s="10" t="s">
        <v>52</v>
      </c>
      <c r="I35" s="10" t="s">
        <v>17</v>
      </c>
      <c r="J35" s="10" t="s">
        <v>60</v>
      </c>
      <c r="K35" s="10" t="s">
        <v>124</v>
      </c>
      <c r="L35" s="10" t="s">
        <v>125</v>
      </c>
      <c r="M35" s="50"/>
      <c r="N35" s="10"/>
    </row>
    <row r="36" spans="1:14" s="4" customFormat="1" ht="30" customHeight="1" x14ac:dyDescent="0.3">
      <c r="A36" s="9" t="s">
        <v>126</v>
      </c>
      <c r="B36" s="13">
        <f>VLOOKUP(Table245[[#This Row],[Location 
(drop-down)]],'List source'!D$2:E$60,2,FALSE)</f>
        <v>125</v>
      </c>
      <c r="C36" s="23" t="s">
        <v>127</v>
      </c>
      <c r="D36" s="30" t="str">
        <f t="shared" si="1"/>
        <v>A035-125-24</v>
      </c>
      <c r="E36" s="51">
        <v>45376</v>
      </c>
      <c r="F36" s="51">
        <v>45379</v>
      </c>
      <c r="G36" s="51">
        <v>45398</v>
      </c>
      <c r="H36" s="10" t="s">
        <v>16</v>
      </c>
      <c r="I36" s="10" t="s">
        <v>17</v>
      </c>
      <c r="J36" s="10" t="s">
        <v>23</v>
      </c>
      <c r="K36" s="10" t="s">
        <v>23</v>
      </c>
      <c r="L36" s="10" t="s">
        <v>19</v>
      </c>
      <c r="M36" s="50"/>
      <c r="N36" s="89" t="s">
        <v>20</v>
      </c>
    </row>
    <row r="37" spans="1:14" s="4" customFormat="1" ht="30" customHeight="1" x14ac:dyDescent="0.3">
      <c r="A37" s="9" t="s">
        <v>113</v>
      </c>
      <c r="B37" s="13" t="str">
        <f>VLOOKUP(Table245[[#This Row],[Location 
(drop-down)]],'List source'!D$2:E$60,2,FALSE)</f>
        <v>VOID</v>
      </c>
      <c r="C37" s="23" t="s">
        <v>128</v>
      </c>
      <c r="D37" s="30" t="str">
        <f t="shared" si="1"/>
        <v>A036-VOID-24</v>
      </c>
      <c r="E37" s="51">
        <v>45344</v>
      </c>
      <c r="F37" s="51">
        <v>45344</v>
      </c>
      <c r="G37" s="51" t="s">
        <v>114</v>
      </c>
      <c r="H37" s="10" t="s">
        <v>114</v>
      </c>
      <c r="I37" s="10" t="s">
        <v>17</v>
      </c>
      <c r="J37" s="10" t="s">
        <v>18</v>
      </c>
      <c r="K37" s="10" t="s">
        <v>114</v>
      </c>
      <c r="L37" s="10" t="s">
        <v>114</v>
      </c>
      <c r="M37" s="50"/>
      <c r="N37" s="83" t="s">
        <v>129</v>
      </c>
    </row>
    <row r="38" spans="1:14" s="4" customFormat="1" ht="30" customHeight="1" x14ac:dyDescent="0.3">
      <c r="A38" s="9" t="s">
        <v>130</v>
      </c>
      <c r="B38" s="13">
        <f>VLOOKUP(Table245[[#This Row],[Location 
(drop-down)]],'List source'!D$2:E$60,2,FALSE)</f>
        <v>194</v>
      </c>
      <c r="C38" s="23" t="s">
        <v>131</v>
      </c>
      <c r="D38" s="30" t="str">
        <f t="shared" si="1"/>
        <v>A037-194-24</v>
      </c>
      <c r="E38" s="51">
        <v>45383</v>
      </c>
      <c r="F38" s="51">
        <v>45384</v>
      </c>
      <c r="G38" s="51">
        <v>45390</v>
      </c>
      <c r="H38" s="10" t="s">
        <v>16</v>
      </c>
      <c r="I38" s="10" t="s">
        <v>17</v>
      </c>
      <c r="J38" s="10" t="s">
        <v>49</v>
      </c>
      <c r="K38" s="10" t="s">
        <v>49</v>
      </c>
      <c r="L38" s="10" t="s">
        <v>19</v>
      </c>
      <c r="M38" s="87"/>
      <c r="N38" s="88"/>
    </row>
    <row r="39" spans="1:14" s="4" customFormat="1" ht="30" customHeight="1" x14ac:dyDescent="0.3">
      <c r="A39" s="9" t="s">
        <v>130</v>
      </c>
      <c r="B39" s="13">
        <f>VLOOKUP(Table245[[#This Row],[Location 
(drop-down)]],'List source'!D$2:E$60,2,FALSE)</f>
        <v>194</v>
      </c>
      <c r="C39" s="23" t="s">
        <v>132</v>
      </c>
      <c r="D39" s="30" t="str">
        <f t="shared" si="1"/>
        <v>A038-194-24</v>
      </c>
      <c r="E39" s="51">
        <v>45383</v>
      </c>
      <c r="F39" s="51">
        <v>45384</v>
      </c>
      <c r="G39" s="51">
        <v>45390</v>
      </c>
      <c r="H39" s="10" t="s">
        <v>16</v>
      </c>
      <c r="I39" s="10" t="s">
        <v>26</v>
      </c>
      <c r="J39" s="10" t="s">
        <v>49</v>
      </c>
      <c r="K39" s="10" t="s">
        <v>49</v>
      </c>
      <c r="L39" s="10" t="s">
        <v>19</v>
      </c>
      <c r="M39" s="10"/>
      <c r="N39" s="10"/>
    </row>
    <row r="40" spans="1:14" s="4" customFormat="1" ht="30" customHeight="1" x14ac:dyDescent="0.3">
      <c r="A40" s="9" t="s">
        <v>107</v>
      </c>
      <c r="B40" s="13">
        <f>VLOOKUP(Table245[[#This Row],[Location 
(drop-down)]],'List source'!D$2:E$60,2,FALSE)</f>
        <v>120</v>
      </c>
      <c r="C40" s="23" t="s">
        <v>133</v>
      </c>
      <c r="D40" s="30" t="str">
        <f t="shared" si="1"/>
        <v>A039-120-24</v>
      </c>
      <c r="E40" s="51">
        <v>45373</v>
      </c>
      <c r="F40" s="51">
        <v>45373</v>
      </c>
      <c r="G40" s="51"/>
      <c r="H40" s="10" t="s">
        <v>52</v>
      </c>
      <c r="I40" s="10" t="s">
        <v>26</v>
      </c>
      <c r="J40" s="10" t="s">
        <v>134</v>
      </c>
      <c r="K40" s="10" t="s">
        <v>135</v>
      </c>
      <c r="L40" s="10" t="s">
        <v>136</v>
      </c>
      <c r="M40" s="10"/>
      <c r="N40" s="10" t="s">
        <v>137</v>
      </c>
    </row>
    <row r="41" spans="1:14" s="4" customFormat="1" ht="30" customHeight="1" x14ac:dyDescent="0.3">
      <c r="A41" s="9" t="s">
        <v>138</v>
      </c>
      <c r="B41" s="13">
        <f>VLOOKUP(Table245[[#This Row],[Location 
(drop-down)]],'List source'!D$2:E$60,2,FALSE)</f>
        <v>110</v>
      </c>
      <c r="C41" s="23" t="s">
        <v>139</v>
      </c>
      <c r="D41" s="30" t="str">
        <f t="shared" si="1"/>
        <v>A040-110-24</v>
      </c>
      <c r="E41" s="51">
        <v>45377</v>
      </c>
      <c r="F41" s="51">
        <v>45377</v>
      </c>
      <c r="G41" s="51">
        <v>45391</v>
      </c>
      <c r="H41" s="10" t="s">
        <v>52</v>
      </c>
      <c r="I41" s="10" t="s">
        <v>26</v>
      </c>
      <c r="J41" s="10" t="s">
        <v>23</v>
      </c>
      <c r="K41" s="29" t="s">
        <v>140</v>
      </c>
      <c r="L41" s="10" t="s">
        <v>141</v>
      </c>
      <c r="M41" s="10"/>
      <c r="N41" s="10"/>
    </row>
    <row r="42" spans="1:14" s="4" customFormat="1" ht="30" customHeight="1" x14ac:dyDescent="0.3">
      <c r="A42" s="189" t="s">
        <v>107</v>
      </c>
      <c r="B42" s="217">
        <f>VLOOKUP(Table245[[#This Row],[Location 
(drop-down)]],'List source'!D$2:E$60,2,FALSE)</f>
        <v>120</v>
      </c>
      <c r="C42" s="232" t="s">
        <v>142</v>
      </c>
      <c r="D42" s="201" t="str">
        <f t="shared" si="1"/>
        <v>A041-120-24</v>
      </c>
      <c r="E42" s="51">
        <v>45377</v>
      </c>
      <c r="F42" s="51"/>
      <c r="G42" s="38"/>
      <c r="H42" s="10" t="s">
        <v>52</v>
      </c>
      <c r="I42" s="10" t="s">
        <v>53</v>
      </c>
      <c r="J42" s="10" t="s">
        <v>134</v>
      </c>
      <c r="K42" s="10"/>
      <c r="L42" s="10" t="s">
        <v>143</v>
      </c>
      <c r="M42" s="50"/>
      <c r="N42" s="10" t="s">
        <v>144</v>
      </c>
    </row>
    <row r="43" spans="1:14" s="4" customFormat="1" ht="30" customHeight="1" x14ac:dyDescent="0.3">
      <c r="A43" s="9" t="s">
        <v>145</v>
      </c>
      <c r="B43" s="13">
        <f>VLOOKUP(Table245[[#This Row],[Location 
(drop-down)]],'List source'!D$2:E$60,2,FALSE)</f>
        <v>145</v>
      </c>
      <c r="C43" s="23" t="s">
        <v>146</v>
      </c>
      <c r="D43" s="30" t="str">
        <f t="shared" si="1"/>
        <v>A042-145-24</v>
      </c>
      <c r="E43" s="51">
        <v>45397</v>
      </c>
      <c r="F43" s="51">
        <v>45399</v>
      </c>
      <c r="G43" s="51">
        <v>45419</v>
      </c>
      <c r="H43" s="10" t="s">
        <v>16</v>
      </c>
      <c r="I43" s="10" t="s">
        <v>17</v>
      </c>
      <c r="J43" s="10" t="s">
        <v>23</v>
      </c>
      <c r="K43" s="10"/>
      <c r="L43" s="10" t="s">
        <v>19</v>
      </c>
      <c r="M43" s="50"/>
      <c r="N43" s="10" t="s">
        <v>20</v>
      </c>
    </row>
    <row r="44" spans="1:14" s="4" customFormat="1" ht="30" customHeight="1" x14ac:dyDescent="0.3">
      <c r="A44" s="9" t="s">
        <v>147</v>
      </c>
      <c r="B44" s="13">
        <f>VLOOKUP(Table245[[#This Row],[Location 
(drop-down)]],'List source'!D$2:E$61,2,FALSE)</f>
        <v>185</v>
      </c>
      <c r="C44" s="23" t="s">
        <v>148</v>
      </c>
      <c r="D44" s="30" t="str">
        <f t="shared" si="1"/>
        <v>A043-185-24</v>
      </c>
      <c r="E44" s="38">
        <v>45390</v>
      </c>
      <c r="F44" s="38">
        <v>45393</v>
      </c>
      <c r="G44" s="38">
        <v>45400</v>
      </c>
      <c r="H44" s="10" t="s">
        <v>16</v>
      </c>
      <c r="I44" s="10" t="s">
        <v>17</v>
      </c>
      <c r="J44" s="10" t="s">
        <v>41</v>
      </c>
      <c r="K44" s="10" t="s">
        <v>41</v>
      </c>
      <c r="L44" s="10" t="s">
        <v>19</v>
      </c>
      <c r="M44" s="50"/>
      <c r="N44" s="10" t="s">
        <v>20</v>
      </c>
    </row>
    <row r="45" spans="1:14" s="4" customFormat="1" ht="30" customHeight="1" x14ac:dyDescent="0.3">
      <c r="A45" s="9" t="s">
        <v>149</v>
      </c>
      <c r="B45" s="13">
        <f>VLOOKUP(Table245[[#This Row],[Location 
(drop-down)]],'List source'!D$2:E$60,2,FALSE)</f>
        <v>119</v>
      </c>
      <c r="C45" s="23" t="s">
        <v>150</v>
      </c>
      <c r="D45" s="30" t="str">
        <f t="shared" si="1"/>
        <v>A044-119-24</v>
      </c>
      <c r="E45" s="51">
        <v>45397</v>
      </c>
      <c r="F45" s="51">
        <v>45398</v>
      </c>
      <c r="G45" s="51">
        <v>45406</v>
      </c>
      <c r="H45" s="10" t="s">
        <v>16</v>
      </c>
      <c r="I45" s="10" t="s">
        <v>17</v>
      </c>
      <c r="J45" s="10" t="s">
        <v>18</v>
      </c>
      <c r="K45" s="10" t="s">
        <v>18</v>
      </c>
      <c r="L45" s="10" t="s">
        <v>19</v>
      </c>
      <c r="M45" s="50"/>
      <c r="N45" s="10" t="s">
        <v>20</v>
      </c>
    </row>
    <row r="46" spans="1:14" s="4" customFormat="1" ht="30" customHeight="1" x14ac:dyDescent="0.3">
      <c r="A46" s="9" t="s">
        <v>151</v>
      </c>
      <c r="B46" s="13">
        <f>VLOOKUP(Table245[[#This Row],[Location 
(drop-down)]],'List source'!D$2:E$60,2,FALSE)</f>
        <v>124</v>
      </c>
      <c r="C46" s="23" t="s">
        <v>152</v>
      </c>
      <c r="D46" s="30" t="str">
        <f t="shared" si="1"/>
        <v>A045-124-24</v>
      </c>
      <c r="E46" s="51">
        <v>45399</v>
      </c>
      <c r="F46" s="51">
        <v>45400</v>
      </c>
      <c r="G46" s="38">
        <v>45408</v>
      </c>
      <c r="H46" s="10" t="s">
        <v>16</v>
      </c>
      <c r="I46" s="10" t="s">
        <v>17</v>
      </c>
      <c r="J46" s="10" t="s">
        <v>18</v>
      </c>
      <c r="K46" s="10" t="s">
        <v>18</v>
      </c>
      <c r="L46" s="10" t="s">
        <v>19</v>
      </c>
      <c r="M46" s="50"/>
      <c r="N46" s="10" t="s">
        <v>20</v>
      </c>
    </row>
    <row r="47" spans="1:14" s="4" customFormat="1" ht="30" customHeight="1" x14ac:dyDescent="0.3">
      <c r="A47" s="9" t="s">
        <v>153</v>
      </c>
      <c r="B47" s="13">
        <f>VLOOKUP(Table245[[#This Row],[Location 
(drop-down)]],'List source'!D$2:E$60,2,FALSE)</f>
        <v>126</v>
      </c>
      <c r="C47" s="23" t="s">
        <v>154</v>
      </c>
      <c r="D47" s="30" t="str">
        <f t="shared" si="1"/>
        <v>A046-126-24</v>
      </c>
      <c r="E47" s="51">
        <v>45411</v>
      </c>
      <c r="F47" s="51">
        <v>45412</v>
      </c>
      <c r="G47" s="51">
        <v>45413</v>
      </c>
      <c r="H47" s="10" t="s">
        <v>16</v>
      </c>
      <c r="I47" s="10" t="s">
        <v>17</v>
      </c>
      <c r="J47" s="10" t="s">
        <v>155</v>
      </c>
      <c r="K47" s="10" t="s">
        <v>156</v>
      </c>
      <c r="L47" s="10" t="s">
        <v>19</v>
      </c>
      <c r="M47" s="50"/>
      <c r="N47" s="10" t="s">
        <v>20</v>
      </c>
    </row>
    <row r="48" spans="1:14" s="4" customFormat="1" ht="30" customHeight="1" x14ac:dyDescent="0.3">
      <c r="A48" s="9" t="s">
        <v>157</v>
      </c>
      <c r="B48" s="13">
        <f>VLOOKUP(Table245[[#This Row],[Location 
(drop-down)]],'List source'!D$2:E$60,2,FALSE)</f>
        <v>136</v>
      </c>
      <c r="C48" s="23" t="s">
        <v>158</v>
      </c>
      <c r="D48" s="30" t="str">
        <f t="shared" si="1"/>
        <v>A047-136-24</v>
      </c>
      <c r="E48" s="51">
        <v>45419</v>
      </c>
      <c r="F48" s="51">
        <v>45421</v>
      </c>
      <c r="G48" s="51">
        <v>45422</v>
      </c>
      <c r="H48" s="10" t="s">
        <v>16</v>
      </c>
      <c r="I48" s="10" t="s">
        <v>17</v>
      </c>
      <c r="J48" s="10" t="s">
        <v>18</v>
      </c>
      <c r="K48" s="10" t="s">
        <v>18</v>
      </c>
      <c r="L48" s="10" t="s">
        <v>19</v>
      </c>
      <c r="M48" s="50"/>
      <c r="N48" s="10" t="s">
        <v>20</v>
      </c>
    </row>
    <row r="49" spans="1:14" s="4" customFormat="1" ht="30" customHeight="1" x14ac:dyDescent="0.3">
      <c r="A49" s="9" t="s">
        <v>159</v>
      </c>
      <c r="B49" s="13">
        <f>VLOOKUP(Table245[[#This Row],[Location 
(drop-down)]],'List source'!D$2:E$60,2,FALSE)</f>
        <v>156</v>
      </c>
      <c r="C49" s="23" t="s">
        <v>160</v>
      </c>
      <c r="D49" s="30" t="str">
        <f t="shared" si="1"/>
        <v>A048-156-24</v>
      </c>
      <c r="E49" s="38">
        <v>45397</v>
      </c>
      <c r="F49" s="38">
        <v>45398</v>
      </c>
      <c r="G49" s="51">
        <v>45404</v>
      </c>
      <c r="H49" s="10" t="s">
        <v>16</v>
      </c>
      <c r="I49" s="10" t="s">
        <v>17</v>
      </c>
      <c r="J49" s="10" t="s">
        <v>49</v>
      </c>
      <c r="K49" s="10" t="s">
        <v>49</v>
      </c>
      <c r="L49" s="10" t="s">
        <v>19</v>
      </c>
      <c r="M49" s="10"/>
      <c r="N49" s="10" t="s">
        <v>20</v>
      </c>
    </row>
    <row r="50" spans="1:14" s="4" customFormat="1" ht="30" customHeight="1" x14ac:dyDescent="0.3">
      <c r="A50" s="9" t="s">
        <v>161</v>
      </c>
      <c r="B50" s="13">
        <f>VLOOKUP(Table245[[#This Row],[Location 
(drop-down)]],'List source'!D$2:E$60,2,FALSE)</f>
        <v>142</v>
      </c>
      <c r="C50" s="23" t="s">
        <v>162</v>
      </c>
      <c r="D50" s="30" t="str">
        <f t="shared" si="1"/>
        <v>A049-142-24</v>
      </c>
      <c r="E50" s="51">
        <v>45404</v>
      </c>
      <c r="F50" s="51">
        <v>45407</v>
      </c>
      <c r="G50" s="51">
        <v>45412</v>
      </c>
      <c r="H50" s="10" t="s">
        <v>16</v>
      </c>
      <c r="I50" s="10" t="s">
        <v>17</v>
      </c>
      <c r="J50" s="10" t="s">
        <v>41</v>
      </c>
      <c r="K50" s="10" t="s">
        <v>41</v>
      </c>
      <c r="L50" s="10" t="s">
        <v>19</v>
      </c>
      <c r="M50" s="10"/>
      <c r="N50" s="10" t="s">
        <v>20</v>
      </c>
    </row>
    <row r="51" spans="1:14" s="4" customFormat="1" ht="30" customHeight="1" x14ac:dyDescent="0.3">
      <c r="A51" s="9" t="s">
        <v>57</v>
      </c>
      <c r="B51" s="13">
        <f>VLOOKUP(Table245[[#This Row],[Location 
(drop-down)]],'List source'!D$2:E$60,2,FALSE)</f>
        <v>170</v>
      </c>
      <c r="C51" s="23" t="s">
        <v>163</v>
      </c>
      <c r="D51" s="30" t="str">
        <f t="shared" si="1"/>
        <v>A050-170-24</v>
      </c>
      <c r="E51" s="51">
        <v>45400</v>
      </c>
      <c r="F51" s="51">
        <v>45400</v>
      </c>
      <c r="G51" s="51">
        <v>45406</v>
      </c>
      <c r="H51" s="10" t="s">
        <v>52</v>
      </c>
      <c r="I51" s="10" t="s">
        <v>26</v>
      </c>
      <c r="J51" s="10" t="s">
        <v>60</v>
      </c>
      <c r="K51" s="10" t="s">
        <v>164</v>
      </c>
      <c r="L51" s="10" t="s">
        <v>165</v>
      </c>
      <c r="M51" s="10"/>
      <c r="N51" s="10"/>
    </row>
    <row r="52" spans="1:14" s="4" customFormat="1" ht="30" customHeight="1" x14ac:dyDescent="0.3">
      <c r="A52" s="9" t="s">
        <v>166</v>
      </c>
      <c r="B52" s="13">
        <f>VLOOKUP(Table245[[#This Row],[Location 
(drop-down)]],'List source'!D$2:E$60,2,FALSE)</f>
        <v>198</v>
      </c>
      <c r="C52" s="23" t="s">
        <v>167</v>
      </c>
      <c r="D52" s="30" t="str">
        <f t="shared" si="1"/>
        <v>A051-198-24</v>
      </c>
      <c r="E52" s="51">
        <v>45386</v>
      </c>
      <c r="F52" s="51">
        <v>45387</v>
      </c>
      <c r="G52" s="51">
        <v>45400</v>
      </c>
      <c r="H52" s="10" t="s">
        <v>52</v>
      </c>
      <c r="I52" s="10" t="s">
        <v>26</v>
      </c>
      <c r="J52" s="10" t="s">
        <v>168</v>
      </c>
      <c r="K52" s="10" t="s">
        <v>169</v>
      </c>
      <c r="L52" s="10" t="s">
        <v>170</v>
      </c>
      <c r="M52" s="10"/>
      <c r="N52" s="10" t="s">
        <v>171</v>
      </c>
    </row>
    <row r="53" spans="1:14" s="4" customFormat="1" ht="30" customHeight="1" x14ac:dyDescent="0.3">
      <c r="A53" s="9" t="s">
        <v>166</v>
      </c>
      <c r="B53" s="13">
        <f>VLOOKUP(Table245[[#This Row],[Location 
(drop-down)]],'List source'!D$2:E$60,2,FALSE)</f>
        <v>198</v>
      </c>
      <c r="C53" s="23" t="s">
        <v>172</v>
      </c>
      <c r="D53" s="30" t="str">
        <f t="shared" si="1"/>
        <v>A052-198-24</v>
      </c>
      <c r="E53" s="51">
        <v>45393</v>
      </c>
      <c r="F53" s="51">
        <v>45393</v>
      </c>
      <c r="G53" s="51">
        <v>45393</v>
      </c>
      <c r="H53" s="10" t="s">
        <v>31</v>
      </c>
      <c r="I53" s="10" t="s">
        <v>26</v>
      </c>
      <c r="J53" s="10" t="s">
        <v>168</v>
      </c>
      <c r="K53" s="10" t="s">
        <v>173</v>
      </c>
      <c r="L53" s="10" t="s">
        <v>170</v>
      </c>
      <c r="M53" s="10" t="s">
        <v>31</v>
      </c>
      <c r="N53" s="10" t="s">
        <v>174</v>
      </c>
    </row>
    <row r="54" spans="1:14" s="4" customFormat="1" ht="30" customHeight="1" x14ac:dyDescent="0.3">
      <c r="A54" s="9" t="s">
        <v>175</v>
      </c>
      <c r="B54" s="13">
        <f>VLOOKUP(Table245[[#This Row],[Location 
(drop-down)]],'List source'!D$2:E$60,2,FALSE)</f>
        <v>159</v>
      </c>
      <c r="C54" s="23" t="s">
        <v>176</v>
      </c>
      <c r="D54" s="30" t="str">
        <f t="shared" si="1"/>
        <v>A053-159-24</v>
      </c>
      <c r="E54" s="51">
        <v>45418</v>
      </c>
      <c r="F54" s="51">
        <v>45420</v>
      </c>
      <c r="G54" s="51">
        <v>45426</v>
      </c>
      <c r="H54" s="10" t="s">
        <v>16</v>
      </c>
      <c r="I54" s="10" t="s">
        <v>17</v>
      </c>
      <c r="J54" s="10" t="s">
        <v>41</v>
      </c>
      <c r="K54" s="10" t="s">
        <v>177</v>
      </c>
      <c r="L54" s="10" t="s">
        <v>19</v>
      </c>
      <c r="M54" s="10"/>
      <c r="N54" s="10" t="s">
        <v>20</v>
      </c>
    </row>
    <row r="55" spans="1:14" s="4" customFormat="1" ht="30" customHeight="1" x14ac:dyDescent="0.3">
      <c r="A55" s="9" t="s">
        <v>178</v>
      </c>
      <c r="B55" s="13">
        <f>VLOOKUP(Table245[[#This Row],[Location 
(drop-down)]],'List source'!D$2:E$60,2,FALSE)</f>
        <v>147</v>
      </c>
      <c r="C55" s="23" t="s">
        <v>179</v>
      </c>
      <c r="D55" s="30" t="str">
        <f t="shared" si="1"/>
        <v>A054-147-24</v>
      </c>
      <c r="E55" s="51">
        <v>45413</v>
      </c>
      <c r="F55" s="51">
        <v>45414</v>
      </c>
      <c r="G55" s="51">
        <v>45422</v>
      </c>
      <c r="H55" s="51" t="s">
        <v>16</v>
      </c>
      <c r="I55" s="10" t="s">
        <v>53</v>
      </c>
      <c r="J55" s="51" t="s">
        <v>23</v>
      </c>
      <c r="K55" s="51" t="s">
        <v>23</v>
      </c>
      <c r="L55" s="51" t="s">
        <v>19</v>
      </c>
      <c r="M55" s="51"/>
      <c r="N55" s="10" t="s">
        <v>180</v>
      </c>
    </row>
    <row r="56" spans="1:14" s="4" customFormat="1" ht="30" customHeight="1" x14ac:dyDescent="0.3">
      <c r="A56" s="9" t="s">
        <v>145</v>
      </c>
      <c r="B56" s="13">
        <f>VLOOKUP(Table245[[#This Row],[Location 
(drop-down)]],'List source'!D$2:E$60,2,FALSE)</f>
        <v>145</v>
      </c>
      <c r="C56" s="23" t="s">
        <v>181</v>
      </c>
      <c r="D56" s="30" t="str">
        <f t="shared" si="1"/>
        <v>A055-145-24</v>
      </c>
      <c r="E56" s="51">
        <v>45412</v>
      </c>
      <c r="F56" s="51">
        <v>45412</v>
      </c>
      <c r="G56" s="51">
        <v>45414</v>
      </c>
      <c r="H56" s="10" t="s">
        <v>31</v>
      </c>
      <c r="I56" s="10" t="s">
        <v>26</v>
      </c>
      <c r="J56" s="10" t="s">
        <v>182</v>
      </c>
      <c r="K56" s="10" t="s">
        <v>183</v>
      </c>
      <c r="L56" s="10" t="s">
        <v>184</v>
      </c>
      <c r="M56" s="50" t="s">
        <v>31</v>
      </c>
      <c r="N56" s="10" t="s">
        <v>185</v>
      </c>
    </row>
    <row r="57" spans="1:14" s="4" customFormat="1" ht="30" customHeight="1" x14ac:dyDescent="0.3">
      <c r="A57" s="9" t="s">
        <v>186</v>
      </c>
      <c r="B57" s="13">
        <f>VLOOKUP(Table245[[#This Row],[Location 
(drop-down)]],'List source'!D$2:E$60,2,FALSE)</f>
        <v>130</v>
      </c>
      <c r="C57" s="23" t="s">
        <v>187</v>
      </c>
      <c r="D57" s="30" t="str">
        <f t="shared" si="1"/>
        <v>A056-130-24</v>
      </c>
      <c r="E57" s="51">
        <v>45425</v>
      </c>
      <c r="F57" s="51">
        <v>45428</v>
      </c>
      <c r="G57" s="51">
        <v>45474</v>
      </c>
      <c r="H57" s="10" t="s">
        <v>16</v>
      </c>
      <c r="I57" s="10" t="s">
        <v>17</v>
      </c>
      <c r="J57" s="10" t="s">
        <v>23</v>
      </c>
      <c r="K57" s="10" t="s">
        <v>188</v>
      </c>
      <c r="L57" s="10" t="s">
        <v>19</v>
      </c>
      <c r="M57" s="50"/>
      <c r="N57" s="10" t="s">
        <v>20</v>
      </c>
    </row>
    <row r="58" spans="1:14" s="4" customFormat="1" ht="30" customHeight="1" x14ac:dyDescent="0.3">
      <c r="A58" s="9" t="s">
        <v>186</v>
      </c>
      <c r="B58" s="13">
        <f>VLOOKUP(Table245[[#This Row],[Location 
(drop-down)]],'List source'!D$2:E$60,2,FALSE)</f>
        <v>130</v>
      </c>
      <c r="C58" s="23" t="s">
        <v>189</v>
      </c>
      <c r="D58" s="30" t="str">
        <f t="shared" si="1"/>
        <v>A057-130-24</v>
      </c>
      <c r="E58" s="51">
        <v>45425</v>
      </c>
      <c r="F58" s="51">
        <v>45428</v>
      </c>
      <c r="G58" s="51">
        <v>45474</v>
      </c>
      <c r="H58" s="10" t="s">
        <v>16</v>
      </c>
      <c r="I58" s="10" t="s">
        <v>26</v>
      </c>
      <c r="J58" s="10" t="s">
        <v>23</v>
      </c>
      <c r="K58" s="10" t="s">
        <v>188</v>
      </c>
      <c r="L58" s="10" t="s">
        <v>19</v>
      </c>
      <c r="M58" s="50"/>
      <c r="N58" s="10" t="s">
        <v>28</v>
      </c>
    </row>
    <row r="59" spans="1:14" s="4" customFormat="1" ht="30" customHeight="1" x14ac:dyDescent="0.3">
      <c r="A59" s="9" t="s">
        <v>186</v>
      </c>
      <c r="B59" s="13">
        <f>VLOOKUP(Table245[[#This Row],[Location 
(drop-down)]],'List source'!D$2:E$60,2,FALSE)</f>
        <v>130</v>
      </c>
      <c r="C59" s="23" t="s">
        <v>190</v>
      </c>
      <c r="D59" s="30" t="str">
        <f t="shared" si="1"/>
        <v>A058-130-24</v>
      </c>
      <c r="E59" s="51">
        <v>45425</v>
      </c>
      <c r="F59" s="51">
        <v>45428</v>
      </c>
      <c r="G59" s="51">
        <v>45474</v>
      </c>
      <c r="H59" s="10" t="s">
        <v>16</v>
      </c>
      <c r="I59" s="10" t="s">
        <v>26</v>
      </c>
      <c r="J59" s="10" t="s">
        <v>23</v>
      </c>
      <c r="K59" s="10" t="s">
        <v>188</v>
      </c>
      <c r="L59" s="10" t="s">
        <v>19</v>
      </c>
      <c r="M59" s="50"/>
      <c r="N59" s="10" t="s">
        <v>122</v>
      </c>
    </row>
    <row r="60" spans="1:14" s="4" customFormat="1" ht="30" customHeight="1" x14ac:dyDescent="0.3">
      <c r="A60" s="9" t="s">
        <v>86</v>
      </c>
      <c r="B60" s="13">
        <f>VLOOKUP(Table245[[#This Row],[Location 
(drop-down)]],'List source'!D$2:E$60,2,FALSE)</f>
        <v>150</v>
      </c>
      <c r="C60" s="23" t="s">
        <v>191</v>
      </c>
      <c r="D60" s="30" t="str">
        <f t="shared" si="1"/>
        <v>A059-150-24</v>
      </c>
      <c r="E60" s="51">
        <v>45406</v>
      </c>
      <c r="F60" s="51">
        <v>45406</v>
      </c>
      <c r="G60" s="51"/>
      <c r="H60" s="10" t="s">
        <v>52</v>
      </c>
      <c r="I60" s="10" t="s">
        <v>17</v>
      </c>
      <c r="J60" s="10" t="s">
        <v>134</v>
      </c>
      <c r="K60" s="10" t="s">
        <v>192</v>
      </c>
      <c r="L60" s="10" t="s">
        <v>193</v>
      </c>
      <c r="M60" s="50"/>
      <c r="N60" s="10"/>
    </row>
    <row r="61" spans="1:14" s="4" customFormat="1" ht="30" customHeight="1" x14ac:dyDescent="0.3">
      <c r="A61" s="9" t="s">
        <v>153</v>
      </c>
      <c r="B61" s="13">
        <f>VLOOKUP(Table245[[#This Row],[Location 
(drop-down)]],'List source'!D$2:E$60,2,FALSE)</f>
        <v>126</v>
      </c>
      <c r="C61" s="23" t="s">
        <v>194</v>
      </c>
      <c r="D61" s="30" t="str">
        <f t="shared" si="1"/>
        <v>A060-126-24</v>
      </c>
      <c r="E61" s="51">
        <v>45427</v>
      </c>
      <c r="F61" s="51">
        <v>45427</v>
      </c>
      <c r="G61" s="51">
        <v>45457</v>
      </c>
      <c r="H61" s="10" t="s">
        <v>52</v>
      </c>
      <c r="I61" s="10" t="s">
        <v>17</v>
      </c>
      <c r="J61" s="10" t="s">
        <v>195</v>
      </c>
      <c r="K61" s="10" t="s">
        <v>196</v>
      </c>
      <c r="L61" s="10" t="s">
        <v>99</v>
      </c>
      <c r="M61" s="50"/>
      <c r="N61" s="10" t="s">
        <v>197</v>
      </c>
    </row>
    <row r="62" spans="1:14" s="4" customFormat="1" ht="30" customHeight="1" x14ac:dyDescent="0.3">
      <c r="A62" s="9" t="s">
        <v>145</v>
      </c>
      <c r="B62" s="13">
        <f>VLOOKUP(Table245[[#This Row],[Location 
(drop-down)]],'List source'!D$2:E$60,2,FALSE)</f>
        <v>145</v>
      </c>
      <c r="C62" s="23" t="s">
        <v>198</v>
      </c>
      <c r="D62" s="30" t="str">
        <f t="shared" si="1"/>
        <v>A061-145-24</v>
      </c>
      <c r="E62" s="51">
        <v>45427</v>
      </c>
      <c r="F62" s="51">
        <v>45427</v>
      </c>
      <c r="G62" s="51">
        <v>45431</v>
      </c>
      <c r="H62" s="10" t="s">
        <v>52</v>
      </c>
      <c r="I62" s="10" t="s">
        <v>17</v>
      </c>
      <c r="J62" s="10" t="s">
        <v>199</v>
      </c>
      <c r="K62" s="10" t="s">
        <v>200</v>
      </c>
      <c r="L62" s="10" t="s">
        <v>125</v>
      </c>
      <c r="M62" s="50"/>
      <c r="N62" s="10"/>
    </row>
    <row r="63" spans="1:14" s="4" customFormat="1" ht="30" customHeight="1" x14ac:dyDescent="0.3">
      <c r="A63" s="189" t="s">
        <v>75</v>
      </c>
      <c r="B63" s="217">
        <f>VLOOKUP(Table245[[#This Row],[Location 
(drop-down)]],'List source'!D$2:E$60,2,FALSE)</f>
        <v>190</v>
      </c>
      <c r="C63" s="232" t="s">
        <v>201</v>
      </c>
      <c r="D63" s="201" t="str">
        <f t="shared" si="1"/>
        <v>A062-190-24</v>
      </c>
      <c r="E63" s="51">
        <v>45427</v>
      </c>
      <c r="F63" s="51">
        <v>45428</v>
      </c>
      <c r="G63" s="51">
        <v>45428</v>
      </c>
      <c r="H63" s="10" t="s">
        <v>59</v>
      </c>
      <c r="I63" s="10" t="s">
        <v>26</v>
      </c>
      <c r="J63" s="10" t="s">
        <v>60</v>
      </c>
      <c r="K63" s="10" t="s">
        <v>202</v>
      </c>
      <c r="L63" s="10" t="s">
        <v>73</v>
      </c>
      <c r="M63" s="50" t="s">
        <v>59</v>
      </c>
      <c r="N63" s="10" t="s">
        <v>74</v>
      </c>
    </row>
    <row r="64" spans="1:14" s="4" customFormat="1" ht="30" customHeight="1" x14ac:dyDescent="0.3">
      <c r="A64" s="9" t="s">
        <v>107</v>
      </c>
      <c r="B64" s="13">
        <f>VLOOKUP(Table245[[#This Row],[Location 
(drop-down)]],'List source'!D$2:E$60,2,FALSE)</f>
        <v>120</v>
      </c>
      <c r="C64" s="23" t="s">
        <v>203</v>
      </c>
      <c r="D64" s="30" t="str">
        <f t="shared" si="1"/>
        <v>A063-120-24</v>
      </c>
      <c r="E64" s="51">
        <v>45446</v>
      </c>
      <c r="F64" s="51">
        <v>45449</v>
      </c>
      <c r="G64" s="51">
        <v>45469</v>
      </c>
      <c r="H64" s="10" t="s">
        <v>16</v>
      </c>
      <c r="I64" s="10" t="s">
        <v>17</v>
      </c>
      <c r="J64" s="10" t="s">
        <v>41</v>
      </c>
      <c r="K64" s="10" t="s">
        <v>204</v>
      </c>
      <c r="L64" s="10" t="s">
        <v>19</v>
      </c>
      <c r="M64" s="50"/>
      <c r="N64" s="10" t="s">
        <v>20</v>
      </c>
    </row>
    <row r="65" spans="1:14" s="4" customFormat="1" ht="30" customHeight="1" x14ac:dyDescent="0.3">
      <c r="A65" s="9" t="s">
        <v>107</v>
      </c>
      <c r="B65" s="13">
        <f>VLOOKUP(Table245[[#This Row],[Location 
(drop-down)]],'List source'!D$2:E$60,2,FALSE)</f>
        <v>120</v>
      </c>
      <c r="C65" s="23" t="s">
        <v>205</v>
      </c>
      <c r="D65" s="30" t="str">
        <f t="shared" si="1"/>
        <v>A064-120-24</v>
      </c>
      <c r="E65" s="51">
        <v>45446</v>
      </c>
      <c r="F65" s="51">
        <v>45449</v>
      </c>
      <c r="G65" s="51">
        <v>45469</v>
      </c>
      <c r="H65" s="10" t="s">
        <v>16</v>
      </c>
      <c r="I65" s="10" t="s">
        <v>26</v>
      </c>
      <c r="J65" s="10" t="s">
        <v>41</v>
      </c>
      <c r="K65" s="10" t="s">
        <v>204</v>
      </c>
      <c r="L65" s="10" t="s">
        <v>19</v>
      </c>
      <c r="M65" s="50"/>
      <c r="N65" s="10" t="s">
        <v>28</v>
      </c>
    </row>
    <row r="66" spans="1:14" s="4" customFormat="1" ht="30" customHeight="1" x14ac:dyDescent="0.3">
      <c r="A66" s="9" t="s">
        <v>107</v>
      </c>
      <c r="B66" s="13">
        <f>VLOOKUP(Table245[[#This Row],[Location 
(drop-down)]],'List source'!D$2:E$60,2,FALSE)</f>
        <v>120</v>
      </c>
      <c r="C66" s="23" t="s">
        <v>206</v>
      </c>
      <c r="D66" s="30" t="str">
        <f t="shared" ref="D66:D97" si="2">"A" &amp; C66 &amp; "-" &amp; B66 &amp; "-" &amp; "24"</f>
        <v>A065-120-24</v>
      </c>
      <c r="E66" s="51">
        <v>45446</v>
      </c>
      <c r="F66" s="51">
        <v>45449</v>
      </c>
      <c r="G66" s="51">
        <v>45469</v>
      </c>
      <c r="H66" s="10" t="s">
        <v>16</v>
      </c>
      <c r="I66" s="10" t="s">
        <v>26</v>
      </c>
      <c r="J66" s="10" t="s">
        <v>41</v>
      </c>
      <c r="K66" s="10" t="s">
        <v>204</v>
      </c>
      <c r="L66" s="10" t="s">
        <v>19</v>
      </c>
      <c r="M66" s="50"/>
      <c r="N66" s="10" t="s">
        <v>122</v>
      </c>
    </row>
    <row r="67" spans="1:14" s="4" customFormat="1" ht="30" customHeight="1" x14ac:dyDescent="0.3">
      <c r="A67" s="9" t="s">
        <v>207</v>
      </c>
      <c r="B67" s="13">
        <f>VLOOKUP(Table245[[#This Row],[Location 
(drop-down)]],'List source'!D$2:E$60,2,FALSE)</f>
        <v>189</v>
      </c>
      <c r="C67" s="23" t="s">
        <v>208</v>
      </c>
      <c r="D67" s="30" t="str">
        <f t="shared" si="2"/>
        <v>A066-189-24</v>
      </c>
      <c r="E67" s="51">
        <v>45433</v>
      </c>
      <c r="F67" s="51">
        <v>45434</v>
      </c>
      <c r="G67" s="51">
        <v>45441</v>
      </c>
      <c r="H67" s="10" t="s">
        <v>16</v>
      </c>
      <c r="I67" s="10" t="s">
        <v>26</v>
      </c>
      <c r="J67" s="10" t="s">
        <v>49</v>
      </c>
      <c r="K67" s="10" t="s">
        <v>49</v>
      </c>
      <c r="L67" s="10" t="s">
        <v>19</v>
      </c>
      <c r="M67" s="50"/>
      <c r="N67" s="10" t="s">
        <v>28</v>
      </c>
    </row>
    <row r="68" spans="1:14" s="4" customFormat="1" ht="30" customHeight="1" x14ac:dyDescent="0.3">
      <c r="A68" s="9" t="s">
        <v>209</v>
      </c>
      <c r="B68" s="13">
        <f>VLOOKUP(Table245[[#This Row],[Location 
(drop-down)]],'List source'!D$2:E$60,2,FALSE)</f>
        <v>165</v>
      </c>
      <c r="C68" s="23" t="s">
        <v>210</v>
      </c>
      <c r="D68" s="30" t="str">
        <f t="shared" si="2"/>
        <v>A067-165-24</v>
      </c>
      <c r="E68" s="51">
        <v>45433</v>
      </c>
      <c r="F68" s="51">
        <v>45433</v>
      </c>
      <c r="G68" s="51" t="s">
        <v>211</v>
      </c>
      <c r="H68" s="10" t="s">
        <v>52</v>
      </c>
      <c r="I68" s="10" t="s">
        <v>17</v>
      </c>
      <c r="J68" s="10" t="s">
        <v>41</v>
      </c>
      <c r="K68" s="10" t="s">
        <v>192</v>
      </c>
      <c r="L68" s="10" t="s">
        <v>193</v>
      </c>
      <c r="M68" s="10"/>
      <c r="N68" s="10"/>
    </row>
    <row r="69" spans="1:14" s="4" customFormat="1" ht="30" customHeight="1" x14ac:dyDescent="0.3">
      <c r="A69" s="189" t="s">
        <v>42</v>
      </c>
      <c r="B69" s="217">
        <f>VLOOKUP(Table245[[#This Row],[Location 
(drop-down)]],'List source'!D$2:E$60,2,FALSE)</f>
        <v>138</v>
      </c>
      <c r="C69" s="232" t="s">
        <v>212</v>
      </c>
      <c r="D69" s="201" t="str">
        <f t="shared" si="2"/>
        <v>A068-138-24</v>
      </c>
      <c r="E69" s="38">
        <v>45398</v>
      </c>
      <c r="F69" s="38">
        <v>45398</v>
      </c>
      <c r="G69" s="51">
        <v>45422</v>
      </c>
      <c r="H69" s="10" t="s">
        <v>59</v>
      </c>
      <c r="I69" s="10" t="s">
        <v>26</v>
      </c>
      <c r="J69" s="10" t="s">
        <v>60</v>
      </c>
      <c r="K69" s="10" t="s">
        <v>213</v>
      </c>
      <c r="L69" s="10" t="s">
        <v>214</v>
      </c>
      <c r="M69" s="50"/>
      <c r="N69" s="10"/>
    </row>
    <row r="70" spans="1:14" s="4" customFormat="1" ht="30" customHeight="1" x14ac:dyDescent="0.3">
      <c r="A70" s="9" t="s">
        <v>215</v>
      </c>
      <c r="B70" s="13">
        <f>VLOOKUP(Table245[[#This Row],[Location 
(drop-down)]],'List source'!D$2:E$60,2,FALSE)</f>
        <v>121</v>
      </c>
      <c r="C70" s="23" t="s">
        <v>216</v>
      </c>
      <c r="D70" s="30" t="str">
        <f t="shared" si="2"/>
        <v>A069-121-24</v>
      </c>
      <c r="E70" s="51">
        <v>45447</v>
      </c>
      <c r="F70" s="51">
        <v>45447</v>
      </c>
      <c r="G70" s="38">
        <v>45467</v>
      </c>
      <c r="H70" s="10" t="s">
        <v>16</v>
      </c>
      <c r="I70" s="10" t="s">
        <v>53</v>
      </c>
      <c r="J70" s="10" t="s">
        <v>18</v>
      </c>
      <c r="K70" s="10" t="s">
        <v>217</v>
      </c>
      <c r="L70" s="10" t="s">
        <v>19</v>
      </c>
      <c r="M70" s="50"/>
      <c r="N70" s="10" t="s">
        <v>180</v>
      </c>
    </row>
    <row r="71" spans="1:14" s="4" customFormat="1" ht="30" customHeight="1" x14ac:dyDescent="0.3">
      <c r="A71" s="9" t="s">
        <v>138</v>
      </c>
      <c r="B71" s="13">
        <f>VLOOKUP(Table245[[#This Row],[Location 
(drop-down)]],'List source'!D$2:E$60,2,FALSE)</f>
        <v>110</v>
      </c>
      <c r="C71" s="23" t="s">
        <v>218</v>
      </c>
      <c r="D71" s="30" t="str">
        <f t="shared" si="2"/>
        <v>A070-110-24</v>
      </c>
      <c r="E71" s="51">
        <v>45483</v>
      </c>
      <c r="F71" s="51">
        <v>45484</v>
      </c>
      <c r="G71" s="51">
        <v>45485</v>
      </c>
      <c r="H71" s="10" t="s">
        <v>59</v>
      </c>
      <c r="I71" s="10" t="s">
        <v>17</v>
      </c>
      <c r="J71" s="10" t="s">
        <v>18</v>
      </c>
      <c r="K71" s="10" t="s">
        <v>219</v>
      </c>
      <c r="L71" s="10" t="s">
        <v>220</v>
      </c>
      <c r="M71" s="50" t="s">
        <v>59</v>
      </c>
      <c r="N71" s="10" t="s">
        <v>221</v>
      </c>
    </row>
    <row r="72" spans="1:14" s="4" customFormat="1" ht="30" customHeight="1" x14ac:dyDescent="0.3">
      <c r="A72" s="9" t="s">
        <v>35</v>
      </c>
      <c r="B72" s="13">
        <f>VLOOKUP(Table245[[#This Row],[Location 
(drop-down)]],'List source'!D$2:E$60,2,FALSE)</f>
        <v>158</v>
      </c>
      <c r="C72" s="23" t="s">
        <v>222</v>
      </c>
      <c r="D72" s="30" t="str">
        <f t="shared" si="2"/>
        <v>A071-158-24</v>
      </c>
      <c r="E72" s="51">
        <v>45502</v>
      </c>
      <c r="F72" s="51">
        <v>45502</v>
      </c>
      <c r="G72" s="51">
        <v>45502</v>
      </c>
      <c r="H72" s="10" t="s">
        <v>59</v>
      </c>
      <c r="I72" s="10" t="s">
        <v>17</v>
      </c>
      <c r="J72" s="10" t="s">
        <v>18</v>
      </c>
      <c r="K72" s="10" t="s">
        <v>223</v>
      </c>
      <c r="L72" s="10" t="s">
        <v>220</v>
      </c>
      <c r="M72" s="50" t="s">
        <v>59</v>
      </c>
      <c r="N72" s="10" t="s">
        <v>221</v>
      </c>
    </row>
    <row r="73" spans="1:14" s="4" customFormat="1" ht="30" customHeight="1" x14ac:dyDescent="0.3">
      <c r="A73" s="9" t="s">
        <v>65</v>
      </c>
      <c r="B73" s="13">
        <f>VLOOKUP(Table245[[#This Row],[Location 
(drop-down)]],'List source'!D$2:E$60,2,FALSE)</f>
        <v>155</v>
      </c>
      <c r="C73" s="23" t="s">
        <v>224</v>
      </c>
      <c r="D73" s="30" t="str">
        <f t="shared" si="2"/>
        <v>A072-155-24</v>
      </c>
      <c r="E73" s="51">
        <v>45503</v>
      </c>
      <c r="F73" s="51">
        <v>45503</v>
      </c>
      <c r="G73" s="51">
        <v>45503</v>
      </c>
      <c r="H73" s="10" t="s">
        <v>59</v>
      </c>
      <c r="I73" s="10" t="s">
        <v>17</v>
      </c>
      <c r="J73" s="10" t="s">
        <v>18</v>
      </c>
      <c r="K73" s="10" t="s">
        <v>223</v>
      </c>
      <c r="L73" s="10" t="s">
        <v>220</v>
      </c>
      <c r="M73" s="50" t="s">
        <v>59</v>
      </c>
      <c r="N73" s="10" t="s">
        <v>221</v>
      </c>
    </row>
    <row r="74" spans="1:14" s="4" customFormat="1" ht="30" customHeight="1" x14ac:dyDescent="0.3">
      <c r="A74" s="9" t="s">
        <v>90</v>
      </c>
      <c r="B74" s="13">
        <f>VLOOKUP(Table245[[#This Row],[Location 
(drop-down)]],'List source'!D$2:E$60,2,FALSE)</f>
        <v>157</v>
      </c>
      <c r="C74" s="23" t="s">
        <v>225</v>
      </c>
      <c r="D74" s="30" t="str">
        <f t="shared" si="2"/>
        <v>A073-157-24</v>
      </c>
      <c r="E74" s="51">
        <v>45511</v>
      </c>
      <c r="F74" s="51">
        <v>45511</v>
      </c>
      <c r="G74" s="51">
        <v>45511</v>
      </c>
      <c r="H74" s="10" t="s">
        <v>59</v>
      </c>
      <c r="I74" s="10" t="s">
        <v>17</v>
      </c>
      <c r="J74" s="10" t="s">
        <v>18</v>
      </c>
      <c r="K74" s="10" t="s">
        <v>223</v>
      </c>
      <c r="L74" s="10" t="s">
        <v>220</v>
      </c>
      <c r="M74" s="50" t="s">
        <v>59</v>
      </c>
      <c r="N74" s="10" t="s">
        <v>221</v>
      </c>
    </row>
    <row r="75" spans="1:14" s="4" customFormat="1" ht="30" customHeight="1" x14ac:dyDescent="0.3">
      <c r="A75" s="9" t="s">
        <v>159</v>
      </c>
      <c r="B75" s="13">
        <f>VLOOKUP(Table245[[#This Row],[Location 
(drop-down)]],'List source'!D$2:E$60,2,FALSE)</f>
        <v>156</v>
      </c>
      <c r="C75" s="23" t="s">
        <v>226</v>
      </c>
      <c r="D75" s="30" t="str">
        <f t="shared" si="2"/>
        <v>A074-156-24</v>
      </c>
      <c r="E75" s="51">
        <v>45502</v>
      </c>
      <c r="F75" s="51">
        <v>45502</v>
      </c>
      <c r="G75" s="51">
        <v>45502</v>
      </c>
      <c r="H75" s="10" t="s">
        <v>59</v>
      </c>
      <c r="I75" s="10" t="s">
        <v>17</v>
      </c>
      <c r="J75" s="10" t="s">
        <v>18</v>
      </c>
      <c r="K75" s="10" t="s">
        <v>223</v>
      </c>
      <c r="L75" s="10" t="s">
        <v>220</v>
      </c>
      <c r="M75" s="50" t="s">
        <v>59</v>
      </c>
      <c r="N75" s="10" t="s">
        <v>221</v>
      </c>
    </row>
    <row r="76" spans="1:14" s="4" customFormat="1" ht="30" customHeight="1" x14ac:dyDescent="0.3">
      <c r="A76" s="9" t="s">
        <v>39</v>
      </c>
      <c r="B76" s="13">
        <f>VLOOKUP(Table245[[#This Row],[Location 
(drop-down)]],'List source'!D$2:E$60,2,FALSE)</f>
        <v>127</v>
      </c>
      <c r="C76" s="23" t="s">
        <v>227</v>
      </c>
      <c r="D76" s="30" t="str">
        <f t="shared" si="2"/>
        <v>A075-127-24</v>
      </c>
      <c r="E76" s="51">
        <v>45516</v>
      </c>
      <c r="F76" s="51">
        <v>45516</v>
      </c>
      <c r="G76" s="51">
        <v>45516</v>
      </c>
      <c r="H76" s="10" t="s">
        <v>59</v>
      </c>
      <c r="I76" s="10" t="s">
        <v>17</v>
      </c>
      <c r="J76" s="10" t="s">
        <v>18</v>
      </c>
      <c r="K76" s="10" t="s">
        <v>228</v>
      </c>
      <c r="L76" s="10" t="s">
        <v>220</v>
      </c>
      <c r="M76" s="50" t="s">
        <v>59</v>
      </c>
      <c r="N76" s="10" t="s">
        <v>221</v>
      </c>
    </row>
    <row r="77" spans="1:14" s="4" customFormat="1" ht="30" customHeight="1" x14ac:dyDescent="0.3">
      <c r="A77" s="9" t="s">
        <v>35</v>
      </c>
      <c r="B77" s="13">
        <f>VLOOKUP(Table245[[#This Row],[Location 
(drop-down)]],'List source'!D$2:E$60,2,FALSE)</f>
        <v>158</v>
      </c>
      <c r="C77" s="23" t="s">
        <v>229</v>
      </c>
      <c r="D77" s="30" t="str">
        <f t="shared" si="2"/>
        <v>A076-158-24</v>
      </c>
      <c r="E77" s="51">
        <v>45418</v>
      </c>
      <c r="F77" s="51">
        <v>45418</v>
      </c>
      <c r="G77" s="38">
        <v>45449</v>
      </c>
      <c r="H77" s="10" t="s">
        <v>52</v>
      </c>
      <c r="I77" s="10" t="s">
        <v>26</v>
      </c>
      <c r="J77" s="10" t="s">
        <v>18</v>
      </c>
      <c r="K77" s="10" t="s">
        <v>230</v>
      </c>
      <c r="L77" s="10" t="s">
        <v>231</v>
      </c>
      <c r="M77" s="50"/>
      <c r="N77" s="10" t="s">
        <v>232</v>
      </c>
    </row>
    <row r="78" spans="1:14" s="4" customFormat="1" ht="30" customHeight="1" x14ac:dyDescent="0.3">
      <c r="A78" s="9" t="s">
        <v>57</v>
      </c>
      <c r="B78" s="13">
        <f>VLOOKUP(Table245[[#This Row],[Location 
(drop-down)]],'List source'!D$2:E$60,2,FALSE)</f>
        <v>170</v>
      </c>
      <c r="C78" s="23" t="s">
        <v>233</v>
      </c>
      <c r="D78" s="30" t="str">
        <f t="shared" si="2"/>
        <v>A077-170-24</v>
      </c>
      <c r="E78" s="51">
        <v>45420</v>
      </c>
      <c r="F78" s="51">
        <v>45420</v>
      </c>
      <c r="G78" s="51">
        <v>45420</v>
      </c>
      <c r="H78" s="10" t="s">
        <v>31</v>
      </c>
      <c r="I78" s="10" t="s">
        <v>17</v>
      </c>
      <c r="J78" s="10" t="s">
        <v>60</v>
      </c>
      <c r="K78" s="10" t="s">
        <v>234</v>
      </c>
      <c r="L78" s="10" t="s">
        <v>80</v>
      </c>
      <c r="M78" s="50" t="s">
        <v>31</v>
      </c>
      <c r="N78" s="26"/>
    </row>
    <row r="79" spans="1:14" s="4" customFormat="1" ht="30" customHeight="1" x14ac:dyDescent="0.3">
      <c r="A79" s="9" t="s">
        <v>235</v>
      </c>
      <c r="B79" s="13">
        <f>VLOOKUP(Table245[[#This Row],[Location 
(drop-down)]],'List source'!D$2:E$60,2,FALSE)</f>
        <v>160</v>
      </c>
      <c r="C79" s="23" t="s">
        <v>236</v>
      </c>
      <c r="D79" s="30" t="str">
        <f t="shared" si="2"/>
        <v>A078-160-24</v>
      </c>
      <c r="E79" s="51">
        <v>45460</v>
      </c>
      <c r="F79" s="51">
        <v>45463</v>
      </c>
      <c r="G79" s="51">
        <v>45511</v>
      </c>
      <c r="H79" s="10" t="s">
        <v>16</v>
      </c>
      <c r="I79" s="10" t="s">
        <v>17</v>
      </c>
      <c r="J79" s="10" t="s">
        <v>23</v>
      </c>
      <c r="K79" s="10" t="s">
        <v>237</v>
      </c>
      <c r="L79" s="10" t="s">
        <v>19</v>
      </c>
      <c r="M79" s="50"/>
      <c r="N79" s="10" t="s">
        <v>20</v>
      </c>
    </row>
    <row r="80" spans="1:14" s="4" customFormat="1" ht="30" customHeight="1" x14ac:dyDescent="0.3">
      <c r="A80" s="9" t="s">
        <v>235</v>
      </c>
      <c r="B80" s="13">
        <f>VLOOKUP(Table245[[#This Row],[Location 
(drop-down)]],'List source'!D$2:E$60,2,FALSE)</f>
        <v>160</v>
      </c>
      <c r="C80" s="23" t="s">
        <v>238</v>
      </c>
      <c r="D80" s="30" t="str">
        <f t="shared" si="2"/>
        <v>A079-160-24</v>
      </c>
      <c r="E80" s="51">
        <v>45460</v>
      </c>
      <c r="F80" s="51">
        <v>45463</v>
      </c>
      <c r="G80" s="51">
        <v>45511</v>
      </c>
      <c r="H80" s="10" t="s">
        <v>16</v>
      </c>
      <c r="I80" s="10" t="s">
        <v>26</v>
      </c>
      <c r="J80" s="10" t="s">
        <v>23</v>
      </c>
      <c r="K80" s="10" t="s">
        <v>237</v>
      </c>
      <c r="L80" s="10" t="s">
        <v>19</v>
      </c>
      <c r="M80" s="50"/>
      <c r="N80" s="10" t="s">
        <v>28</v>
      </c>
    </row>
    <row r="81" spans="1:14" s="4" customFormat="1" ht="30" customHeight="1" x14ac:dyDescent="0.3">
      <c r="A81" s="9" t="s">
        <v>239</v>
      </c>
      <c r="B81" s="13">
        <f>VLOOKUP(Table245[[#This Row],[Location 
(drop-down)]],'List source'!D$2:E$60,2,FALSE)</f>
        <v>116</v>
      </c>
      <c r="C81" s="23" t="s">
        <v>240</v>
      </c>
      <c r="D81" s="30" t="str">
        <f t="shared" si="2"/>
        <v>A080-116-24</v>
      </c>
      <c r="E81" s="51">
        <v>45481</v>
      </c>
      <c r="F81" s="51">
        <v>45482</v>
      </c>
      <c r="G81" s="38">
        <v>45489</v>
      </c>
      <c r="H81" s="10" t="s">
        <v>16</v>
      </c>
      <c r="I81" s="10" t="s">
        <v>17</v>
      </c>
      <c r="J81" s="10" t="s">
        <v>217</v>
      </c>
      <c r="K81" s="10" t="s">
        <v>217</v>
      </c>
      <c r="L81" s="10" t="s">
        <v>19</v>
      </c>
      <c r="M81" s="50"/>
      <c r="N81" s="10" t="s">
        <v>20</v>
      </c>
    </row>
    <row r="82" spans="1:14" s="4" customFormat="1" ht="30" customHeight="1" x14ac:dyDescent="0.3">
      <c r="A82" s="9" t="s">
        <v>241</v>
      </c>
      <c r="B82" s="13">
        <f>VLOOKUP(Table245[[#This Row],[Location 
(drop-down)]],'List source'!D$2:E$60,2,FALSE)</f>
        <v>171</v>
      </c>
      <c r="C82" s="23" t="s">
        <v>242</v>
      </c>
      <c r="D82" s="30" t="str">
        <f t="shared" si="2"/>
        <v>A081-171-24</v>
      </c>
      <c r="E82" s="51">
        <v>45483</v>
      </c>
      <c r="F82" s="51">
        <v>45484</v>
      </c>
      <c r="G82" s="38">
        <v>45489</v>
      </c>
      <c r="H82" s="10" t="s">
        <v>16</v>
      </c>
      <c r="I82" s="10" t="s">
        <v>17</v>
      </c>
      <c r="J82" s="10" t="s">
        <v>217</v>
      </c>
      <c r="K82" s="10" t="s">
        <v>217</v>
      </c>
      <c r="L82" s="10" t="s">
        <v>19</v>
      </c>
      <c r="M82" s="10"/>
      <c r="N82" s="10" t="s">
        <v>20</v>
      </c>
    </row>
    <row r="83" spans="1:14" s="4" customFormat="1" ht="30" customHeight="1" x14ac:dyDescent="0.3">
      <c r="A83" s="9" t="s">
        <v>126</v>
      </c>
      <c r="B83" s="13">
        <f>VLOOKUP(Table245[[#This Row],[Location 
(drop-down)]],'List source'!D$2:E$60,2,FALSE)</f>
        <v>125</v>
      </c>
      <c r="C83" s="23" t="s">
        <v>243</v>
      </c>
      <c r="D83" s="30" t="str">
        <f t="shared" si="2"/>
        <v>A082-125-24</v>
      </c>
      <c r="E83" s="51">
        <v>45461</v>
      </c>
      <c r="F83" s="51">
        <v>45461</v>
      </c>
      <c r="G83" s="51">
        <v>45462</v>
      </c>
      <c r="H83" s="10" t="s">
        <v>52</v>
      </c>
      <c r="I83" s="10" t="s">
        <v>53</v>
      </c>
      <c r="J83" s="10" t="s">
        <v>195</v>
      </c>
      <c r="K83" s="199" t="s">
        <v>244</v>
      </c>
      <c r="L83" s="10" t="s">
        <v>99</v>
      </c>
      <c r="M83" s="10"/>
      <c r="N83" s="89" t="s">
        <v>245</v>
      </c>
    </row>
    <row r="84" spans="1:14" s="4" customFormat="1" ht="30" customHeight="1" x14ac:dyDescent="0.3">
      <c r="A84" s="9" t="s">
        <v>107</v>
      </c>
      <c r="B84" s="13">
        <f>VLOOKUP(Table245[[#This Row],[Location 
(drop-down)]],'List source'!D$2:E$60,2,FALSE)</f>
        <v>120</v>
      </c>
      <c r="C84" s="23" t="s">
        <v>246</v>
      </c>
      <c r="D84" s="30" t="str">
        <f t="shared" si="2"/>
        <v>A083-120-24</v>
      </c>
      <c r="E84" s="51">
        <v>45504</v>
      </c>
      <c r="F84" s="51">
        <v>45505</v>
      </c>
      <c r="G84" s="51">
        <v>45506</v>
      </c>
      <c r="H84" s="10" t="s">
        <v>59</v>
      </c>
      <c r="I84" s="10" t="s">
        <v>17</v>
      </c>
      <c r="J84" s="10" t="s">
        <v>18</v>
      </c>
      <c r="K84" s="10" t="s">
        <v>247</v>
      </c>
      <c r="L84" s="10" t="s">
        <v>248</v>
      </c>
      <c r="M84" s="50" t="s">
        <v>59</v>
      </c>
      <c r="N84" s="10" t="s">
        <v>249</v>
      </c>
    </row>
    <row r="85" spans="1:14" s="4" customFormat="1" ht="30" customHeight="1" x14ac:dyDescent="0.3">
      <c r="A85" s="9" t="s">
        <v>250</v>
      </c>
      <c r="B85" s="13">
        <f>VLOOKUP(Table245[[#This Row],[Location 
(drop-down)]],'List source'!D$2:E$60,2,FALSE)</f>
        <v>199</v>
      </c>
      <c r="C85" s="23" t="s">
        <v>251</v>
      </c>
      <c r="D85" s="30" t="str">
        <f t="shared" si="2"/>
        <v>A084-199-24</v>
      </c>
      <c r="E85" s="51">
        <v>45469</v>
      </c>
      <c r="F85" s="51">
        <v>45470</v>
      </c>
      <c r="G85" s="51">
        <v>45475</v>
      </c>
      <c r="H85" s="10" t="s">
        <v>16</v>
      </c>
      <c r="I85" s="10" t="s">
        <v>53</v>
      </c>
      <c r="J85" s="10" t="s">
        <v>18</v>
      </c>
      <c r="K85" s="10" t="s">
        <v>18</v>
      </c>
      <c r="L85" s="10" t="s">
        <v>19</v>
      </c>
      <c r="M85" s="50"/>
      <c r="N85" s="10" t="s">
        <v>20</v>
      </c>
    </row>
    <row r="86" spans="1:14" s="4" customFormat="1" ht="30" customHeight="1" x14ac:dyDescent="0.3">
      <c r="A86" s="189" t="s">
        <v>252</v>
      </c>
      <c r="B86" s="217">
        <f>VLOOKUP(Table245[[#This Row],[Location 
(drop-down)]],'List source'!D$2:E$60,2,FALSE)</f>
        <v>135</v>
      </c>
      <c r="C86" s="232" t="s">
        <v>253</v>
      </c>
      <c r="D86" s="201" t="str">
        <f t="shared" si="2"/>
        <v>A085-135-24</v>
      </c>
      <c r="E86" s="51">
        <v>45469</v>
      </c>
      <c r="F86" s="51">
        <v>45470</v>
      </c>
      <c r="G86" s="51">
        <v>45470</v>
      </c>
      <c r="H86" s="10" t="s">
        <v>52</v>
      </c>
      <c r="I86" s="10" t="s">
        <v>26</v>
      </c>
      <c r="J86" s="51" t="s">
        <v>109</v>
      </c>
      <c r="K86" s="51" t="s">
        <v>254</v>
      </c>
      <c r="L86" s="51" t="s">
        <v>255</v>
      </c>
      <c r="M86" s="50"/>
      <c r="N86" s="10" t="s">
        <v>256</v>
      </c>
    </row>
    <row r="87" spans="1:14" s="4" customFormat="1" ht="30" customHeight="1" x14ac:dyDescent="0.3">
      <c r="A87" s="9" t="s">
        <v>21</v>
      </c>
      <c r="B87" s="13">
        <f>VLOOKUP(Table245[[#This Row],[Location 
(drop-down)]],'List source'!D$2:E$60,2,FALSE)</f>
        <v>131</v>
      </c>
      <c r="C87" s="23" t="s">
        <v>257</v>
      </c>
      <c r="D87" s="30" t="str">
        <f t="shared" si="2"/>
        <v>A086-131-24</v>
      </c>
      <c r="E87" s="51">
        <v>45470</v>
      </c>
      <c r="F87" s="51">
        <v>45470</v>
      </c>
      <c r="G87" s="38">
        <v>45519</v>
      </c>
      <c r="H87" s="10" t="s">
        <v>52</v>
      </c>
      <c r="I87" s="10" t="s">
        <v>17</v>
      </c>
      <c r="J87" s="10" t="s">
        <v>54</v>
      </c>
      <c r="K87" s="10" t="s">
        <v>258</v>
      </c>
      <c r="L87" s="10" t="s">
        <v>99</v>
      </c>
      <c r="M87" s="50"/>
      <c r="N87" s="10" t="s">
        <v>99</v>
      </c>
    </row>
    <row r="88" spans="1:14" s="4" customFormat="1" ht="30" customHeight="1" x14ac:dyDescent="0.3">
      <c r="A88" s="189" t="s">
        <v>130</v>
      </c>
      <c r="B88" s="217">
        <f>VLOOKUP(Table245[[#This Row],[Location 
(drop-down)]],'List source'!D$2:E$60,2,FALSE)</f>
        <v>194</v>
      </c>
      <c r="C88" s="232" t="s">
        <v>259</v>
      </c>
      <c r="D88" s="201" t="str">
        <f t="shared" si="2"/>
        <v>A087-194-24</v>
      </c>
      <c r="E88" s="51">
        <v>45468</v>
      </c>
      <c r="F88" s="51">
        <v>45470</v>
      </c>
      <c r="G88" s="51">
        <v>45471</v>
      </c>
      <c r="H88" s="10" t="s">
        <v>59</v>
      </c>
      <c r="I88" s="10" t="s">
        <v>26</v>
      </c>
      <c r="J88" s="10" t="s">
        <v>49</v>
      </c>
      <c r="K88" s="10" t="s">
        <v>260</v>
      </c>
      <c r="L88" s="10" t="s">
        <v>73</v>
      </c>
      <c r="M88" s="50"/>
      <c r="N88" s="10" t="s">
        <v>106</v>
      </c>
    </row>
    <row r="89" spans="1:14" s="4" customFormat="1" ht="30" customHeight="1" x14ac:dyDescent="0.3">
      <c r="A89" s="9" t="s">
        <v>261</v>
      </c>
      <c r="B89" s="13">
        <f>VLOOKUP(Table245[[#This Row],[Location 
(drop-down)]],'List source'!D$2:E$60,2,FALSE)</f>
        <v>210</v>
      </c>
      <c r="C89" s="23" t="s">
        <v>262</v>
      </c>
      <c r="D89" s="30" t="str">
        <f t="shared" si="2"/>
        <v>A088-210-24</v>
      </c>
      <c r="E89" s="51">
        <v>45489</v>
      </c>
      <c r="F89" s="51">
        <v>45489</v>
      </c>
      <c r="G89" s="51">
        <v>45498</v>
      </c>
      <c r="H89" s="10" t="s">
        <v>16</v>
      </c>
      <c r="I89" s="10" t="s">
        <v>17</v>
      </c>
      <c r="J89" s="10" t="s">
        <v>18</v>
      </c>
      <c r="K89" s="10" t="s">
        <v>18</v>
      </c>
      <c r="L89" s="10" t="s">
        <v>19</v>
      </c>
      <c r="M89" s="50"/>
      <c r="N89" s="10" t="s">
        <v>263</v>
      </c>
    </row>
    <row r="90" spans="1:14" s="4" customFormat="1" ht="30" customHeight="1" x14ac:dyDescent="0.3">
      <c r="A90" s="9" t="s">
        <v>264</v>
      </c>
      <c r="B90" s="13">
        <f>VLOOKUP(Table245[[#This Row],[Location 
(drop-down)]],'List source'!D$2:E$60,2,FALSE)</f>
        <v>132</v>
      </c>
      <c r="C90" s="23" t="s">
        <v>265</v>
      </c>
      <c r="D90" s="30" t="str">
        <f t="shared" si="2"/>
        <v>A089-132-24</v>
      </c>
      <c r="E90" s="51">
        <v>45503</v>
      </c>
      <c r="F90" s="51">
        <v>45505</v>
      </c>
      <c r="G90" s="51">
        <v>45517</v>
      </c>
      <c r="H90" s="10" t="s">
        <v>16</v>
      </c>
      <c r="I90" s="10" t="s">
        <v>17</v>
      </c>
      <c r="J90" s="10" t="s">
        <v>18</v>
      </c>
      <c r="K90" s="10" t="s">
        <v>266</v>
      </c>
      <c r="L90" s="10" t="s">
        <v>19</v>
      </c>
      <c r="M90" s="50"/>
      <c r="N90" s="10" t="s">
        <v>20</v>
      </c>
    </row>
    <row r="91" spans="1:14" s="4" customFormat="1" ht="30" customHeight="1" x14ac:dyDescent="0.3">
      <c r="A91" s="9" t="s">
        <v>264</v>
      </c>
      <c r="B91" s="13">
        <f>VLOOKUP(Table245[[#This Row],[Location 
(drop-down)]],'List source'!D$2:E$60,2,FALSE)</f>
        <v>132</v>
      </c>
      <c r="C91" s="23" t="s">
        <v>267</v>
      </c>
      <c r="D91" s="30" t="str">
        <f t="shared" si="2"/>
        <v>A090-132-24</v>
      </c>
      <c r="E91" s="51">
        <v>45503</v>
      </c>
      <c r="F91" s="51">
        <v>45505</v>
      </c>
      <c r="G91" s="51">
        <v>45517</v>
      </c>
      <c r="H91" s="10" t="s">
        <v>16</v>
      </c>
      <c r="I91" s="10" t="s">
        <v>26</v>
      </c>
      <c r="J91" s="10" t="s">
        <v>18</v>
      </c>
      <c r="K91" s="10" t="s">
        <v>266</v>
      </c>
      <c r="L91" s="10" t="s">
        <v>19</v>
      </c>
      <c r="M91" s="50"/>
      <c r="N91" s="10" t="s">
        <v>28</v>
      </c>
    </row>
    <row r="92" spans="1:14" s="4" customFormat="1" ht="30" customHeight="1" x14ac:dyDescent="0.3">
      <c r="A92" s="9" t="s">
        <v>268</v>
      </c>
      <c r="B92" s="13">
        <f>VLOOKUP(Table245[[#This Row],[Location 
(drop-down)]],'List source'!D$2:E$60,2,FALSE)</f>
        <v>137</v>
      </c>
      <c r="C92" s="23" t="s">
        <v>269</v>
      </c>
      <c r="D92" s="30" t="str">
        <f t="shared" si="2"/>
        <v>A091-137-24</v>
      </c>
      <c r="E92" s="51">
        <v>45502</v>
      </c>
      <c r="F92" s="51">
        <v>45502</v>
      </c>
      <c r="G92" s="51">
        <v>45517</v>
      </c>
      <c r="H92" s="10" t="s">
        <v>16</v>
      </c>
      <c r="I92" s="10" t="s">
        <v>26</v>
      </c>
      <c r="J92" s="10" t="s">
        <v>18</v>
      </c>
      <c r="K92" s="10" t="s">
        <v>266</v>
      </c>
      <c r="L92" s="10" t="s">
        <v>19</v>
      </c>
      <c r="M92" s="50"/>
      <c r="N92" s="10" t="s">
        <v>20</v>
      </c>
    </row>
    <row r="93" spans="1:14" s="4" customFormat="1" ht="30" customHeight="1" x14ac:dyDescent="0.3">
      <c r="A93" s="9" t="s">
        <v>209</v>
      </c>
      <c r="B93" s="13">
        <f>VLOOKUP(Table245[[#This Row],[Location 
(drop-down)]],'List source'!D$2:E$60,2,FALSE)</f>
        <v>165</v>
      </c>
      <c r="C93" s="23" t="s">
        <v>270</v>
      </c>
      <c r="D93" s="30" t="str">
        <f t="shared" si="2"/>
        <v>A092-165-24</v>
      </c>
      <c r="E93" s="51">
        <v>45488</v>
      </c>
      <c r="F93" s="51">
        <v>45491</v>
      </c>
      <c r="G93" s="38">
        <v>45517</v>
      </c>
      <c r="H93" s="10" t="s">
        <v>16</v>
      </c>
      <c r="I93" s="10" t="s">
        <v>17</v>
      </c>
      <c r="J93" s="10" t="s">
        <v>23</v>
      </c>
      <c r="K93" s="10" t="s">
        <v>271</v>
      </c>
      <c r="L93" s="10" t="s">
        <v>19</v>
      </c>
      <c r="M93" s="50"/>
      <c r="N93" s="10" t="s">
        <v>20</v>
      </c>
    </row>
    <row r="94" spans="1:14" s="4" customFormat="1" ht="30" customHeight="1" x14ac:dyDescent="0.3">
      <c r="A94" s="9" t="s">
        <v>209</v>
      </c>
      <c r="B94" s="13">
        <f>VLOOKUP(Table245[[#This Row],[Location 
(drop-down)]],'List source'!D$2:E$60,2,FALSE)</f>
        <v>165</v>
      </c>
      <c r="C94" s="23" t="s">
        <v>272</v>
      </c>
      <c r="D94" s="30" t="str">
        <f t="shared" si="2"/>
        <v>A093-165-24</v>
      </c>
      <c r="E94" s="51">
        <v>45488</v>
      </c>
      <c r="F94" s="51">
        <v>45491</v>
      </c>
      <c r="G94" s="38">
        <v>45517</v>
      </c>
      <c r="H94" s="10" t="s">
        <v>16</v>
      </c>
      <c r="I94" s="10" t="s">
        <v>26</v>
      </c>
      <c r="J94" s="10" t="s">
        <v>23</v>
      </c>
      <c r="K94" s="10" t="s">
        <v>271</v>
      </c>
      <c r="L94" s="10" t="s">
        <v>19</v>
      </c>
      <c r="M94" s="50"/>
      <c r="N94" s="10" t="s">
        <v>28</v>
      </c>
    </row>
    <row r="95" spans="1:14" s="4" customFormat="1" ht="30" customHeight="1" x14ac:dyDescent="0.3">
      <c r="A95" s="9" t="s">
        <v>273</v>
      </c>
      <c r="B95" s="13">
        <f>VLOOKUP(Table245[[#This Row],[Location 
(drop-down)]],'List source'!D$2:E$60,2,FALSE)</f>
        <v>140</v>
      </c>
      <c r="C95" s="23" t="s">
        <v>274</v>
      </c>
      <c r="D95" s="30" t="str">
        <f t="shared" si="2"/>
        <v>A094-140-24</v>
      </c>
      <c r="E95" s="51">
        <v>45503</v>
      </c>
      <c r="F95" s="51">
        <v>45504</v>
      </c>
      <c r="G95" s="38">
        <v>45509</v>
      </c>
      <c r="H95" s="10" t="s">
        <v>16</v>
      </c>
      <c r="I95" s="10" t="s">
        <v>17</v>
      </c>
      <c r="J95" s="10" t="s">
        <v>23</v>
      </c>
      <c r="K95" s="10" t="s">
        <v>23</v>
      </c>
      <c r="L95" s="10" t="s">
        <v>19</v>
      </c>
      <c r="M95" s="50"/>
      <c r="N95" s="10" t="s">
        <v>20</v>
      </c>
    </row>
    <row r="96" spans="1:14" s="4" customFormat="1" ht="30" customHeight="1" x14ac:dyDescent="0.3">
      <c r="A96" s="9" t="s">
        <v>275</v>
      </c>
      <c r="B96" s="13">
        <f>VLOOKUP(Table245[[#This Row],[Location 
(drop-down)]],'List source'!D$2:E$60,2,FALSE)</f>
        <v>188</v>
      </c>
      <c r="C96" s="23" t="s">
        <v>276</v>
      </c>
      <c r="D96" s="30" t="str">
        <f t="shared" si="2"/>
        <v>A095-188-24</v>
      </c>
      <c r="E96" s="38">
        <v>45496</v>
      </c>
      <c r="F96" s="38">
        <v>45497</v>
      </c>
      <c r="G96" s="51">
        <v>45502</v>
      </c>
      <c r="H96" s="10" t="s">
        <v>16</v>
      </c>
      <c r="I96" s="10" t="s">
        <v>17</v>
      </c>
      <c r="J96" s="10" t="s">
        <v>41</v>
      </c>
      <c r="K96" s="10" t="s">
        <v>41</v>
      </c>
      <c r="L96" s="10" t="s">
        <v>19</v>
      </c>
      <c r="M96" s="50"/>
      <c r="N96" s="10" t="s">
        <v>20</v>
      </c>
    </row>
    <row r="97" spans="1:14" s="4" customFormat="1" ht="30" customHeight="1" x14ac:dyDescent="0.3">
      <c r="A97" s="9" t="s">
        <v>207</v>
      </c>
      <c r="B97" s="13">
        <f>VLOOKUP(Table245[[#This Row],[Location 
(drop-down)]],'List source'!D$2:E$60,2,FALSE)</f>
        <v>189</v>
      </c>
      <c r="C97" s="23" t="s">
        <v>277</v>
      </c>
      <c r="D97" s="30" t="str">
        <f t="shared" si="2"/>
        <v>A096-189-24</v>
      </c>
      <c r="E97" s="51">
        <v>45488</v>
      </c>
      <c r="F97" s="51">
        <v>45489</v>
      </c>
      <c r="G97" s="38">
        <v>45490</v>
      </c>
      <c r="H97" s="10" t="s">
        <v>59</v>
      </c>
      <c r="I97" s="10" t="s">
        <v>26</v>
      </c>
      <c r="J97" s="10" t="s">
        <v>49</v>
      </c>
      <c r="K97" s="10"/>
      <c r="L97" s="10"/>
      <c r="M97" s="50"/>
      <c r="N97" s="10"/>
    </row>
    <row r="98" spans="1:14" s="4" customFormat="1" ht="30" customHeight="1" x14ac:dyDescent="0.3">
      <c r="A98" s="9" t="s">
        <v>57</v>
      </c>
      <c r="B98" s="13">
        <f>VLOOKUP(Table245[[#This Row],[Location 
(drop-down)]],'List source'!D$2:E$60,2,FALSE)</f>
        <v>170</v>
      </c>
      <c r="C98" s="23" t="s">
        <v>278</v>
      </c>
      <c r="D98" s="30" t="str">
        <f t="shared" ref="D98:D129" si="3">"A" &amp; C98 &amp; "-" &amp; B98 &amp; "-" &amp; "24"</f>
        <v>A097-170-24</v>
      </c>
      <c r="E98" s="51">
        <v>45497</v>
      </c>
      <c r="F98" s="51">
        <v>45498</v>
      </c>
      <c r="G98" s="51">
        <v>45498</v>
      </c>
      <c r="H98" s="10" t="s">
        <v>52</v>
      </c>
      <c r="I98" s="10" t="s">
        <v>26</v>
      </c>
      <c r="J98" s="10" t="s">
        <v>60</v>
      </c>
      <c r="K98" s="10" t="s">
        <v>279</v>
      </c>
      <c r="L98" s="10" t="s">
        <v>280</v>
      </c>
      <c r="M98" s="50"/>
      <c r="N98" s="10" t="s">
        <v>281</v>
      </c>
    </row>
    <row r="99" spans="1:14" s="4" customFormat="1" ht="30" customHeight="1" x14ac:dyDescent="0.3">
      <c r="A99" s="9" t="s">
        <v>65</v>
      </c>
      <c r="B99" s="13">
        <f>VLOOKUP(Table245[[#This Row],[Location 
(drop-down)]],'List source'!D$2:E$60,2,FALSE)</f>
        <v>155</v>
      </c>
      <c r="C99" s="23" t="s">
        <v>282</v>
      </c>
      <c r="D99" s="30" t="str">
        <f t="shared" si="3"/>
        <v>A098-155-24</v>
      </c>
      <c r="E99" s="51">
        <v>45488</v>
      </c>
      <c r="F99" s="51">
        <v>45489</v>
      </c>
      <c r="G99" s="38" t="s">
        <v>211</v>
      </c>
      <c r="H99" s="10" t="s">
        <v>52</v>
      </c>
      <c r="I99" s="10" t="s">
        <v>53</v>
      </c>
      <c r="J99" s="10" t="s">
        <v>18</v>
      </c>
      <c r="K99" s="10" t="s">
        <v>283</v>
      </c>
      <c r="L99" s="10" t="s">
        <v>141</v>
      </c>
      <c r="M99" s="50"/>
      <c r="N99" s="10"/>
    </row>
    <row r="100" spans="1:14" s="4" customFormat="1" ht="30" customHeight="1" x14ac:dyDescent="0.3">
      <c r="A100" s="9" t="s">
        <v>65</v>
      </c>
      <c r="B100" s="13">
        <f>VLOOKUP(Table245[[#This Row],[Location 
(drop-down)]],'List source'!D$2:E$60,2,FALSE)</f>
        <v>155</v>
      </c>
      <c r="C100" s="23" t="s">
        <v>284</v>
      </c>
      <c r="D100" s="30" t="str">
        <f t="shared" si="3"/>
        <v>A099-155-24</v>
      </c>
      <c r="E100" s="51">
        <v>45496</v>
      </c>
      <c r="F100" s="51">
        <v>45496</v>
      </c>
      <c r="G100" s="51" t="s">
        <v>211</v>
      </c>
      <c r="H100" s="10" t="s">
        <v>31</v>
      </c>
      <c r="I100" s="10" t="s">
        <v>17</v>
      </c>
      <c r="J100" s="10" t="s">
        <v>18</v>
      </c>
      <c r="K100" s="10" t="s">
        <v>285</v>
      </c>
      <c r="L100" s="10" t="s">
        <v>80</v>
      </c>
      <c r="M100" s="50" t="s">
        <v>31</v>
      </c>
      <c r="N100" s="10" t="s">
        <v>80</v>
      </c>
    </row>
    <row r="101" spans="1:14" s="4" customFormat="1" ht="30" customHeight="1" x14ac:dyDescent="0.3">
      <c r="A101" s="9" t="s">
        <v>65</v>
      </c>
      <c r="B101" s="13">
        <f>VLOOKUP(Table245[[#This Row],[Location 
(drop-down)]],'List source'!D$2:E$60,2,FALSE)</f>
        <v>155</v>
      </c>
      <c r="C101" s="23" t="s">
        <v>286</v>
      </c>
      <c r="D101" s="30" t="str">
        <f t="shared" si="3"/>
        <v>A100-155-24</v>
      </c>
      <c r="E101" s="51">
        <v>45532</v>
      </c>
      <c r="F101" s="51">
        <v>45532</v>
      </c>
      <c r="G101" s="38" t="s">
        <v>211</v>
      </c>
      <c r="H101" s="10" t="s">
        <v>52</v>
      </c>
      <c r="I101" s="10" t="s">
        <v>17</v>
      </c>
      <c r="J101" s="10" t="s">
        <v>18</v>
      </c>
      <c r="K101" s="10" t="s">
        <v>287</v>
      </c>
      <c r="L101" s="10" t="s">
        <v>55</v>
      </c>
      <c r="M101" s="50"/>
      <c r="N101" s="10" t="s">
        <v>200</v>
      </c>
    </row>
    <row r="102" spans="1:14" s="4" customFormat="1" ht="30" customHeight="1" x14ac:dyDescent="0.3">
      <c r="A102" s="9" t="s">
        <v>288</v>
      </c>
      <c r="B102" s="13">
        <f>VLOOKUP(Table245[[#This Row],[Location 
(drop-down)]],'List source'!D$2:E$60,2,FALSE)</f>
        <v>197</v>
      </c>
      <c r="C102" s="23" t="s">
        <v>289</v>
      </c>
      <c r="D102" s="30" t="str">
        <f t="shared" si="3"/>
        <v>A101-197-24</v>
      </c>
      <c r="E102" s="51">
        <v>45509</v>
      </c>
      <c r="F102" s="51">
        <v>45512</v>
      </c>
      <c r="G102" s="51">
        <v>45538</v>
      </c>
      <c r="H102" s="10" t="s">
        <v>16</v>
      </c>
      <c r="I102" s="10" t="s">
        <v>17</v>
      </c>
      <c r="J102" s="10" t="s">
        <v>41</v>
      </c>
      <c r="K102" s="10" t="s">
        <v>290</v>
      </c>
      <c r="L102" s="10" t="s">
        <v>19</v>
      </c>
      <c r="M102" s="50"/>
      <c r="N102" s="10" t="s">
        <v>20</v>
      </c>
    </row>
    <row r="103" spans="1:14" s="4" customFormat="1" ht="30" customHeight="1" x14ac:dyDescent="0.3">
      <c r="A103" s="9" t="s">
        <v>288</v>
      </c>
      <c r="B103" s="13">
        <f>VLOOKUP(Table245[[#This Row],[Location 
(drop-down)]],'List source'!D$2:E$60,2,FALSE)</f>
        <v>197</v>
      </c>
      <c r="C103" s="23" t="s">
        <v>291</v>
      </c>
      <c r="D103" s="30" t="str">
        <f t="shared" si="3"/>
        <v>A102-197-24</v>
      </c>
      <c r="E103" s="51">
        <v>45509</v>
      </c>
      <c r="F103" s="51">
        <v>45512</v>
      </c>
      <c r="G103" s="51">
        <v>45538</v>
      </c>
      <c r="H103" s="10" t="s">
        <v>16</v>
      </c>
      <c r="I103" s="10" t="s">
        <v>26</v>
      </c>
      <c r="J103" s="10" t="s">
        <v>41</v>
      </c>
      <c r="K103" s="10" t="s">
        <v>290</v>
      </c>
      <c r="L103" s="10" t="s">
        <v>19</v>
      </c>
      <c r="M103" s="50"/>
      <c r="N103" s="10" t="s">
        <v>28</v>
      </c>
    </row>
    <row r="104" spans="1:14" s="4" customFormat="1" ht="30" customHeight="1" x14ac:dyDescent="0.3">
      <c r="A104" s="9" t="s">
        <v>264</v>
      </c>
      <c r="B104" s="13">
        <f>VLOOKUP(Table245[[#This Row],[Location 
(drop-down)]],'List source'!D$2:E$60,2,FALSE)</f>
        <v>132</v>
      </c>
      <c r="C104" s="23" t="s">
        <v>292</v>
      </c>
      <c r="D104" s="30" t="str">
        <f t="shared" si="3"/>
        <v>A103-132-24</v>
      </c>
      <c r="E104" s="51">
        <v>45314</v>
      </c>
      <c r="F104" s="51">
        <v>45314</v>
      </c>
      <c r="G104" s="51" t="s">
        <v>293</v>
      </c>
      <c r="H104" s="10" t="s">
        <v>31</v>
      </c>
      <c r="I104" s="10" t="s">
        <v>17</v>
      </c>
      <c r="J104" s="10" t="s">
        <v>18</v>
      </c>
      <c r="K104" s="10" t="s">
        <v>294</v>
      </c>
      <c r="L104" s="10" t="s">
        <v>80</v>
      </c>
      <c r="M104" s="50" t="s">
        <v>31</v>
      </c>
      <c r="N104" s="10" t="s">
        <v>80</v>
      </c>
    </row>
    <row r="105" spans="1:14" s="4" customFormat="1" ht="30" customHeight="1" x14ac:dyDescent="0.3">
      <c r="A105" s="9" t="s">
        <v>70</v>
      </c>
      <c r="B105" s="13">
        <f>VLOOKUP(Table245[[#This Row],[Location 
(drop-down)]],'List source'!D$2:E$60,2,FALSE)</f>
        <v>146</v>
      </c>
      <c r="C105" s="23" t="s">
        <v>295</v>
      </c>
      <c r="D105" s="30" t="str">
        <f t="shared" si="3"/>
        <v>A104-146-24</v>
      </c>
      <c r="E105" s="51">
        <v>45489</v>
      </c>
      <c r="F105" s="51">
        <v>45489</v>
      </c>
      <c r="G105" s="51">
        <v>45498</v>
      </c>
      <c r="H105" s="10" t="s">
        <v>52</v>
      </c>
      <c r="I105" s="10" t="s">
        <v>17</v>
      </c>
      <c r="J105" s="10" t="s">
        <v>18</v>
      </c>
      <c r="K105" s="10" t="s">
        <v>296</v>
      </c>
      <c r="L105" s="10" t="s">
        <v>297</v>
      </c>
      <c r="M105" s="50"/>
      <c r="N105" s="10"/>
    </row>
    <row r="106" spans="1:14" s="4" customFormat="1" ht="30" customHeight="1" x14ac:dyDescent="0.3">
      <c r="A106" s="9" t="s">
        <v>113</v>
      </c>
      <c r="B106" s="13" t="str">
        <f>VLOOKUP(Table245[[#This Row],[Location 
(drop-down)]],'List source'!D$2:E$60,2,FALSE)</f>
        <v>VOID</v>
      </c>
      <c r="C106" s="23" t="s">
        <v>298</v>
      </c>
      <c r="D106" s="30" t="str">
        <f t="shared" si="3"/>
        <v>A105-VOID-24</v>
      </c>
      <c r="E106" s="51" t="s">
        <v>114</v>
      </c>
      <c r="F106" s="51" t="s">
        <v>114</v>
      </c>
      <c r="G106" s="38" t="s">
        <v>114</v>
      </c>
      <c r="H106" s="10" t="s">
        <v>114</v>
      </c>
      <c r="I106" s="10" t="s">
        <v>114</v>
      </c>
      <c r="J106" s="10" t="s">
        <v>18</v>
      </c>
      <c r="K106" s="10" t="s">
        <v>114</v>
      </c>
      <c r="L106" s="10" t="s">
        <v>114</v>
      </c>
      <c r="M106" s="50"/>
      <c r="N106" s="10" t="s">
        <v>299</v>
      </c>
    </row>
    <row r="107" spans="1:14" s="4" customFormat="1" ht="30" customHeight="1" x14ac:dyDescent="0.3">
      <c r="A107" s="9" t="s">
        <v>107</v>
      </c>
      <c r="B107" s="13">
        <f>VLOOKUP(Table245[[#This Row],[Location 
(drop-down)]],'List source'!D$2:E$60,2,FALSE)</f>
        <v>120</v>
      </c>
      <c r="C107" s="23" t="s">
        <v>300</v>
      </c>
      <c r="D107" s="30" t="str">
        <f t="shared" si="3"/>
        <v>A106-120-24</v>
      </c>
      <c r="E107" s="51">
        <v>45436</v>
      </c>
      <c r="F107" s="51" t="s">
        <v>301</v>
      </c>
      <c r="G107" s="51">
        <v>45495</v>
      </c>
      <c r="H107" s="10" t="s">
        <v>52</v>
      </c>
      <c r="I107" s="10" t="s">
        <v>17</v>
      </c>
      <c r="J107" s="10" t="s">
        <v>18</v>
      </c>
      <c r="K107" s="10" t="s">
        <v>302</v>
      </c>
      <c r="L107" s="10" t="s">
        <v>143</v>
      </c>
      <c r="M107" s="50"/>
      <c r="N107" s="10" t="s">
        <v>303</v>
      </c>
    </row>
    <row r="108" spans="1:14" s="4" customFormat="1" ht="30" customHeight="1" x14ac:dyDescent="0.3">
      <c r="A108" s="9" t="s">
        <v>157</v>
      </c>
      <c r="B108" s="13">
        <f>VLOOKUP(Table245[[#This Row],[Location 
(drop-down)]],'List source'!D$2:E$60,2,FALSE)</f>
        <v>136</v>
      </c>
      <c r="C108" s="23" t="s">
        <v>304</v>
      </c>
      <c r="D108" s="30" t="str">
        <f t="shared" si="3"/>
        <v>A107-136-24</v>
      </c>
      <c r="E108" s="51">
        <v>45504</v>
      </c>
      <c r="F108" s="51">
        <v>45504</v>
      </c>
      <c r="G108" s="51">
        <v>45527</v>
      </c>
      <c r="H108" s="10" t="s">
        <v>52</v>
      </c>
      <c r="I108" s="10" t="s">
        <v>17</v>
      </c>
      <c r="J108" s="10" t="s">
        <v>49</v>
      </c>
      <c r="K108" s="10"/>
      <c r="L108" s="10" t="s">
        <v>99</v>
      </c>
      <c r="M108" s="50"/>
      <c r="N108" s="10"/>
    </row>
    <row r="109" spans="1:14" s="4" customFormat="1" ht="30" customHeight="1" x14ac:dyDescent="0.3">
      <c r="A109" s="9" t="s">
        <v>166</v>
      </c>
      <c r="B109" s="13">
        <f>VLOOKUP(Table245[[#This Row],[Location 
(drop-down)]],'List source'!D$2:E$60,2,FALSE)</f>
        <v>198</v>
      </c>
      <c r="C109" s="23" t="s">
        <v>305</v>
      </c>
      <c r="D109" s="30" t="str">
        <f t="shared" si="3"/>
        <v>A108-198-24</v>
      </c>
      <c r="E109" s="51">
        <v>45525</v>
      </c>
      <c r="F109" s="51">
        <v>45526</v>
      </c>
      <c r="G109" s="38">
        <v>45530</v>
      </c>
      <c r="H109" s="10" t="s">
        <v>16</v>
      </c>
      <c r="I109" s="10" t="s">
        <v>17</v>
      </c>
      <c r="J109" s="10" t="s">
        <v>49</v>
      </c>
      <c r="K109" s="10" t="s">
        <v>306</v>
      </c>
      <c r="L109" s="10" t="s">
        <v>19</v>
      </c>
      <c r="M109" s="50"/>
      <c r="N109" s="10" t="s">
        <v>20</v>
      </c>
    </row>
    <row r="110" spans="1:14" s="4" customFormat="1" ht="30" customHeight="1" x14ac:dyDescent="0.3">
      <c r="A110" s="9" t="s">
        <v>209</v>
      </c>
      <c r="B110" s="13">
        <f>VLOOKUP(Table245[[#This Row],[Location 
(drop-down)]],'List source'!D$2:E$60,2,FALSE)</f>
        <v>165</v>
      </c>
      <c r="C110" s="23" t="s">
        <v>307</v>
      </c>
      <c r="D110" s="30" t="str">
        <f t="shared" si="3"/>
        <v>A109-165-24</v>
      </c>
      <c r="E110" s="51">
        <v>45517</v>
      </c>
      <c r="F110" s="51">
        <v>45517</v>
      </c>
      <c r="G110" s="38">
        <v>45518</v>
      </c>
      <c r="H110" s="10" t="s">
        <v>31</v>
      </c>
      <c r="I110" s="10" t="s">
        <v>26</v>
      </c>
      <c r="J110" s="10" t="s">
        <v>49</v>
      </c>
      <c r="K110" s="10" t="s">
        <v>308</v>
      </c>
      <c r="L110" s="10" t="s">
        <v>73</v>
      </c>
      <c r="M110" s="50" t="s">
        <v>63</v>
      </c>
      <c r="N110" s="89" t="s">
        <v>309</v>
      </c>
    </row>
    <row r="111" spans="1:14" s="4" customFormat="1" ht="30" customHeight="1" x14ac:dyDescent="0.3">
      <c r="A111" s="9" t="s">
        <v>310</v>
      </c>
      <c r="B111" s="13">
        <f>VLOOKUP(Table245[[#This Row],[Location 
(drop-down)]],'List source'!D$2:E$60,2,FALSE)</f>
        <v>144</v>
      </c>
      <c r="C111" s="23" t="s">
        <v>311</v>
      </c>
      <c r="D111" s="30" t="str">
        <f t="shared" si="3"/>
        <v>A110-144-24</v>
      </c>
      <c r="E111" s="51">
        <v>45523</v>
      </c>
      <c r="F111" s="51">
        <v>45526</v>
      </c>
      <c r="G111" s="51">
        <v>45531</v>
      </c>
      <c r="H111" s="10" t="s">
        <v>16</v>
      </c>
      <c r="I111" s="10" t="s">
        <v>17</v>
      </c>
      <c r="J111" s="10" t="s">
        <v>41</v>
      </c>
      <c r="K111" s="10" t="s">
        <v>312</v>
      </c>
      <c r="L111" s="10" t="s">
        <v>19</v>
      </c>
      <c r="M111" s="50"/>
      <c r="N111" s="10" t="s">
        <v>20</v>
      </c>
    </row>
    <row r="112" spans="1:14" s="4" customFormat="1" ht="30" customHeight="1" x14ac:dyDescent="0.3">
      <c r="A112" s="9" t="s">
        <v>261</v>
      </c>
      <c r="B112" s="13">
        <f>VLOOKUP(Table245[[#This Row],[Location 
(drop-down)]],'List source'!D$2:E$60,2,FALSE)</f>
        <v>210</v>
      </c>
      <c r="C112" s="23" t="s">
        <v>313</v>
      </c>
      <c r="D112" s="30" t="str">
        <f t="shared" si="3"/>
        <v>A111-210-24</v>
      </c>
      <c r="E112" s="51">
        <v>45530</v>
      </c>
      <c r="F112" s="51">
        <v>45533</v>
      </c>
      <c r="G112" s="38">
        <v>45541</v>
      </c>
      <c r="H112" s="10" t="s">
        <v>16</v>
      </c>
      <c r="I112" s="10" t="s">
        <v>17</v>
      </c>
      <c r="J112" s="10" t="s">
        <v>18</v>
      </c>
      <c r="K112" s="10" t="s">
        <v>314</v>
      </c>
      <c r="L112" s="10" t="s">
        <v>19</v>
      </c>
      <c r="M112" s="50"/>
      <c r="N112" s="10" t="s">
        <v>20</v>
      </c>
    </row>
    <row r="113" spans="1:14" s="4" customFormat="1" ht="30" customHeight="1" x14ac:dyDescent="0.3">
      <c r="A113" s="9" t="s">
        <v>138</v>
      </c>
      <c r="B113" s="13">
        <f>VLOOKUP(Table245[[#This Row],[Location 
(drop-down)]],'List source'!D$2:E$60,2,FALSE)</f>
        <v>110</v>
      </c>
      <c r="C113" s="23" t="s">
        <v>315</v>
      </c>
      <c r="D113" s="30" t="str">
        <f t="shared" si="3"/>
        <v>A112-110-24</v>
      </c>
      <c r="E113" s="51">
        <v>45526</v>
      </c>
      <c r="F113" s="51">
        <v>45526</v>
      </c>
      <c r="G113" s="51" t="s">
        <v>211</v>
      </c>
      <c r="H113" s="10" t="s">
        <v>31</v>
      </c>
      <c r="I113" s="10" t="s">
        <v>17</v>
      </c>
      <c r="J113" s="10" t="s">
        <v>23</v>
      </c>
      <c r="K113" s="10"/>
      <c r="L113" s="10" t="s">
        <v>80</v>
      </c>
      <c r="M113" s="50" t="s">
        <v>31</v>
      </c>
      <c r="N113" s="10" t="s">
        <v>316</v>
      </c>
    </row>
    <row r="114" spans="1:14" s="4" customFormat="1" ht="30" customHeight="1" x14ac:dyDescent="0.3">
      <c r="A114" s="9" t="s">
        <v>29</v>
      </c>
      <c r="B114" s="13">
        <f>VLOOKUP(Table245[[#This Row],[Location 
(drop-down)]],'List source'!D$2:E$60,2,FALSE)</f>
        <v>141</v>
      </c>
      <c r="C114" s="23" t="s">
        <v>317</v>
      </c>
      <c r="D114" s="30" t="str">
        <f t="shared" si="3"/>
        <v>A113-141-24</v>
      </c>
      <c r="E114" s="51">
        <v>45533</v>
      </c>
      <c r="F114" s="51">
        <v>45533</v>
      </c>
      <c r="G114" s="51"/>
      <c r="H114" s="10" t="s">
        <v>31</v>
      </c>
      <c r="I114" s="10" t="s">
        <v>17</v>
      </c>
      <c r="J114" s="10" t="s">
        <v>182</v>
      </c>
      <c r="K114" s="10"/>
      <c r="L114" s="10" t="s">
        <v>80</v>
      </c>
      <c r="M114" s="50" t="s">
        <v>31</v>
      </c>
      <c r="N114" s="10" t="s">
        <v>316</v>
      </c>
    </row>
    <row r="115" spans="1:14" s="4" customFormat="1" ht="30" customHeight="1" x14ac:dyDescent="0.3">
      <c r="A115" s="9" t="s">
        <v>318</v>
      </c>
      <c r="B115" s="13">
        <f>VLOOKUP(Table245[[#This Row],[Location 
(drop-down)]],'List source'!D$2:E$60,2,FALSE)</f>
        <v>115</v>
      </c>
      <c r="C115" s="23" t="s">
        <v>319</v>
      </c>
      <c r="D115" s="30" t="str">
        <f t="shared" si="3"/>
        <v>A114-115-24</v>
      </c>
      <c r="E115" s="51">
        <v>45552</v>
      </c>
      <c r="F115" s="51">
        <v>45554</v>
      </c>
      <c r="G115" s="51">
        <v>45572</v>
      </c>
      <c r="H115" s="10" t="s">
        <v>16</v>
      </c>
      <c r="I115" s="10" t="s">
        <v>17</v>
      </c>
      <c r="J115" s="10" t="s">
        <v>23</v>
      </c>
      <c r="K115" s="10" t="s">
        <v>320</v>
      </c>
      <c r="L115" s="10" t="s">
        <v>19</v>
      </c>
      <c r="M115" s="50"/>
      <c r="N115" s="10" t="s">
        <v>20</v>
      </c>
    </row>
    <row r="116" spans="1:14" s="4" customFormat="1" ht="30" customHeight="1" x14ac:dyDescent="0.3">
      <c r="A116" s="9" t="s">
        <v>166</v>
      </c>
      <c r="B116" s="13">
        <f>VLOOKUP(Table245[[#This Row],[Location 
(drop-down)]],'List source'!D$2:E$60,2,FALSE)</f>
        <v>198</v>
      </c>
      <c r="C116" s="23" t="s">
        <v>321</v>
      </c>
      <c r="D116" s="30" t="str">
        <f t="shared" si="3"/>
        <v>A115-198-24</v>
      </c>
      <c r="E116" s="51">
        <v>45519</v>
      </c>
      <c r="F116" s="51">
        <v>45519</v>
      </c>
      <c r="G116" s="51">
        <v>45519</v>
      </c>
      <c r="H116" s="10" t="s">
        <v>52</v>
      </c>
      <c r="I116" s="10" t="s">
        <v>53</v>
      </c>
      <c r="J116" s="10" t="s">
        <v>168</v>
      </c>
      <c r="K116" s="10" t="s">
        <v>322</v>
      </c>
      <c r="L116" s="10" t="s">
        <v>323</v>
      </c>
      <c r="M116" s="50" t="s">
        <v>114</v>
      </c>
      <c r="N116" s="89" t="s">
        <v>324</v>
      </c>
    </row>
    <row r="117" spans="1:14" s="4" customFormat="1" ht="30" customHeight="1" x14ac:dyDescent="0.3">
      <c r="A117" s="9" t="s">
        <v>325</v>
      </c>
      <c r="B117" s="13">
        <f>VLOOKUP(Table245[[#This Row],[Location 
(drop-down)]],'List source'!D$2:E$60,2,FALSE)</f>
        <v>180</v>
      </c>
      <c r="C117" s="23" t="s">
        <v>326</v>
      </c>
      <c r="D117" s="30" t="str">
        <f t="shared" si="3"/>
        <v>A116-180-24</v>
      </c>
      <c r="E117" s="51">
        <v>45544</v>
      </c>
      <c r="F117" s="51">
        <v>45547</v>
      </c>
      <c r="G117" s="51">
        <v>45551</v>
      </c>
      <c r="H117" s="10" t="s">
        <v>16</v>
      </c>
      <c r="I117" s="10" t="s">
        <v>17</v>
      </c>
      <c r="J117" s="10" t="s">
        <v>18</v>
      </c>
      <c r="K117" s="10" t="s">
        <v>327</v>
      </c>
      <c r="L117" s="10" t="s">
        <v>19</v>
      </c>
      <c r="M117" s="50"/>
      <c r="N117" s="10" t="s">
        <v>20</v>
      </c>
    </row>
    <row r="118" spans="1:14" s="4" customFormat="1" ht="30" customHeight="1" x14ac:dyDescent="0.3">
      <c r="A118" s="9" t="s">
        <v>325</v>
      </c>
      <c r="B118" s="13">
        <f>VLOOKUP(Table245[[#This Row],[Location 
(drop-down)]],'List source'!D$2:E$60,2,FALSE)</f>
        <v>180</v>
      </c>
      <c r="C118" s="23" t="s">
        <v>328</v>
      </c>
      <c r="D118" s="30" t="str">
        <f t="shared" si="3"/>
        <v>A117-180-24</v>
      </c>
      <c r="E118" s="51">
        <v>45544</v>
      </c>
      <c r="F118" s="51">
        <v>45547</v>
      </c>
      <c r="G118" s="51">
        <v>45551</v>
      </c>
      <c r="H118" s="10" t="s">
        <v>16</v>
      </c>
      <c r="I118" s="10" t="s">
        <v>26</v>
      </c>
      <c r="J118" s="10" t="s">
        <v>18</v>
      </c>
      <c r="K118" s="10" t="s">
        <v>327</v>
      </c>
      <c r="L118" s="10" t="s">
        <v>19</v>
      </c>
      <c r="M118" s="50"/>
      <c r="N118" s="10" t="s">
        <v>28</v>
      </c>
    </row>
    <row r="119" spans="1:14" s="4" customFormat="1" ht="30" customHeight="1" x14ac:dyDescent="0.3">
      <c r="A119" s="9" t="s">
        <v>147</v>
      </c>
      <c r="B119" s="13">
        <v>185</v>
      </c>
      <c r="C119" s="23" t="s">
        <v>329</v>
      </c>
      <c r="D119" s="30" t="str">
        <f t="shared" si="3"/>
        <v>A118-185-24</v>
      </c>
      <c r="E119" s="51">
        <v>45526</v>
      </c>
      <c r="F119" s="51">
        <v>45526</v>
      </c>
      <c r="G119" s="51"/>
      <c r="H119" s="10" t="s">
        <v>31</v>
      </c>
      <c r="I119" s="10" t="s">
        <v>26</v>
      </c>
      <c r="J119" s="10" t="s">
        <v>330</v>
      </c>
      <c r="K119" s="300" t="s">
        <v>331</v>
      </c>
      <c r="L119" s="10" t="s">
        <v>332</v>
      </c>
      <c r="M119" s="50"/>
      <c r="N119" s="10" t="s">
        <v>333</v>
      </c>
    </row>
    <row r="120" spans="1:14" s="4" customFormat="1" ht="30" customHeight="1" x14ac:dyDescent="0.3">
      <c r="A120" s="9" t="s">
        <v>334</v>
      </c>
      <c r="B120" s="13">
        <f>VLOOKUP(Table245[[#This Row],[Location 
(drop-down)]],'List source'!D$2:E$60,2,FALSE)</f>
        <v>161</v>
      </c>
      <c r="C120" s="23" t="s">
        <v>335</v>
      </c>
      <c r="D120" s="30" t="str">
        <f t="shared" si="3"/>
        <v>A119-161-24</v>
      </c>
      <c r="E120" s="51">
        <v>45539</v>
      </c>
      <c r="F120" s="51">
        <v>45539</v>
      </c>
      <c r="G120" s="51">
        <v>45539</v>
      </c>
      <c r="H120" s="10" t="s">
        <v>52</v>
      </c>
      <c r="I120" s="10" t="s">
        <v>53</v>
      </c>
      <c r="J120" s="10" t="s">
        <v>18</v>
      </c>
      <c r="K120" s="10" t="s">
        <v>336</v>
      </c>
      <c r="L120" s="10" t="s">
        <v>337</v>
      </c>
      <c r="M120" s="50" t="s">
        <v>31</v>
      </c>
      <c r="N120" s="10" t="s">
        <v>338</v>
      </c>
    </row>
    <row r="121" spans="1:14" s="4" customFormat="1" ht="30" customHeight="1" x14ac:dyDescent="0.3">
      <c r="A121" s="9" t="s">
        <v>175</v>
      </c>
      <c r="B121" s="13">
        <f>VLOOKUP(Table245[[#This Row],[Location 
(drop-down)]],'List source'!D$2:E$60,2,FALSE)</f>
        <v>159</v>
      </c>
      <c r="C121" s="23" t="s">
        <v>339</v>
      </c>
      <c r="D121" s="30" t="str">
        <f t="shared" si="3"/>
        <v>A120-159-24</v>
      </c>
      <c r="E121" s="51">
        <v>45517</v>
      </c>
      <c r="F121" s="51">
        <v>45517</v>
      </c>
      <c r="G121" s="51">
        <v>45539</v>
      </c>
      <c r="H121" s="10" t="s">
        <v>52</v>
      </c>
      <c r="I121" s="10" t="s">
        <v>26</v>
      </c>
      <c r="J121" s="10"/>
      <c r="K121" s="10" t="s">
        <v>340</v>
      </c>
      <c r="L121" s="10" t="s">
        <v>99</v>
      </c>
      <c r="M121" s="50"/>
      <c r="N121" s="10"/>
    </row>
    <row r="122" spans="1:14" s="4" customFormat="1" ht="30" customHeight="1" x14ac:dyDescent="0.3">
      <c r="A122" s="9" t="s">
        <v>93</v>
      </c>
      <c r="B122" s="13">
        <f>VLOOKUP(Table245[[#This Row],[Location 
(drop-down)]],'List source'!D$2:E$60,2,FALSE)</f>
        <v>128</v>
      </c>
      <c r="C122" s="23" t="s">
        <v>341</v>
      </c>
      <c r="D122" s="30" t="str">
        <f t="shared" si="3"/>
        <v>A121-128-24</v>
      </c>
      <c r="E122" s="51">
        <v>45531</v>
      </c>
      <c r="F122" s="51">
        <v>45531</v>
      </c>
      <c r="G122" s="51" t="s">
        <v>293</v>
      </c>
      <c r="H122" s="10" t="s">
        <v>31</v>
      </c>
      <c r="I122" s="10" t="s">
        <v>17</v>
      </c>
      <c r="J122" s="10" t="s">
        <v>18</v>
      </c>
      <c r="K122" s="10" t="s">
        <v>342</v>
      </c>
      <c r="L122" s="10" t="s">
        <v>80</v>
      </c>
      <c r="M122" s="50" t="s">
        <v>31</v>
      </c>
      <c r="N122" s="10" t="s">
        <v>80</v>
      </c>
    </row>
    <row r="123" spans="1:14" s="4" customFormat="1" ht="30" customHeight="1" x14ac:dyDescent="0.3">
      <c r="A123" s="9" t="s">
        <v>44</v>
      </c>
      <c r="B123" s="13">
        <f>VLOOKUP(Table245[[#This Row],[Location 
(drop-down)]],'List source'!D$2:E$60,2,FALSE)</f>
        <v>192</v>
      </c>
      <c r="C123" s="23" t="s">
        <v>343</v>
      </c>
      <c r="D123" s="30" t="str">
        <f t="shared" si="3"/>
        <v>A122-192-24</v>
      </c>
      <c r="E123" s="51">
        <v>45545</v>
      </c>
      <c r="F123" s="51">
        <v>45545</v>
      </c>
      <c r="G123" s="51">
        <v>45553</v>
      </c>
      <c r="H123" s="10" t="s">
        <v>31</v>
      </c>
      <c r="I123" s="10" t="s">
        <v>17</v>
      </c>
      <c r="J123" s="10" t="s">
        <v>23</v>
      </c>
      <c r="K123" s="10" t="s">
        <v>344</v>
      </c>
      <c r="L123" s="10" t="s">
        <v>80</v>
      </c>
      <c r="M123" s="50" t="s">
        <v>31</v>
      </c>
      <c r="N123" s="10" t="s">
        <v>345</v>
      </c>
    </row>
    <row r="124" spans="1:14" s="4" customFormat="1" ht="44.1" customHeight="1" x14ac:dyDescent="0.3">
      <c r="A124" s="9" t="s">
        <v>65</v>
      </c>
      <c r="B124" s="13">
        <f>VLOOKUP(Table245[[#This Row],[Location 
(drop-down)]],'List source'!D$2:E$60,2,FALSE)</f>
        <v>155</v>
      </c>
      <c r="C124" s="23" t="s">
        <v>346</v>
      </c>
      <c r="D124" s="30" t="str">
        <f t="shared" si="3"/>
        <v>A123-155-24</v>
      </c>
      <c r="E124" s="51">
        <v>45516</v>
      </c>
      <c r="F124" s="51">
        <v>45516</v>
      </c>
      <c r="G124" s="51">
        <v>45526</v>
      </c>
      <c r="H124" s="10" t="s">
        <v>52</v>
      </c>
      <c r="I124" s="10" t="s">
        <v>53</v>
      </c>
      <c r="J124" s="10" t="s">
        <v>18</v>
      </c>
      <c r="K124" s="10" t="s">
        <v>347</v>
      </c>
      <c r="L124" s="10" t="s">
        <v>348</v>
      </c>
      <c r="M124" s="50"/>
      <c r="N124" s="10" t="s">
        <v>349</v>
      </c>
    </row>
    <row r="125" spans="1:14" s="4" customFormat="1" ht="30" customHeight="1" x14ac:dyDescent="0.3">
      <c r="A125" s="9" t="s">
        <v>65</v>
      </c>
      <c r="B125" s="13">
        <f>VLOOKUP(Table245[[#This Row],[Location 
(drop-down)]],'List source'!D$2:E$60,2,FALSE)</f>
        <v>155</v>
      </c>
      <c r="C125" s="23" t="s">
        <v>350</v>
      </c>
      <c r="D125" s="30" t="str">
        <f t="shared" si="3"/>
        <v>A124-155-24</v>
      </c>
      <c r="E125" s="51">
        <v>45552</v>
      </c>
      <c r="F125" s="51">
        <v>45552</v>
      </c>
      <c r="G125" s="51">
        <v>45552</v>
      </c>
      <c r="H125" s="10" t="s">
        <v>52</v>
      </c>
      <c r="I125" s="10" t="s">
        <v>26</v>
      </c>
      <c r="J125" s="10" t="s">
        <v>134</v>
      </c>
      <c r="K125" s="10" t="s">
        <v>351</v>
      </c>
      <c r="L125" s="10" t="s">
        <v>141</v>
      </c>
      <c r="M125" s="50"/>
      <c r="N125" s="10"/>
    </row>
    <row r="126" spans="1:14" s="4" customFormat="1" ht="30" customHeight="1" x14ac:dyDescent="0.3">
      <c r="A126" s="9" t="s">
        <v>264</v>
      </c>
      <c r="B126" s="13">
        <f>VLOOKUP(Table245[[#This Row],[Location 
(drop-down)]],'List source'!D$2:E$60,2,FALSE)</f>
        <v>132</v>
      </c>
      <c r="C126" s="23" t="s">
        <v>352</v>
      </c>
      <c r="D126" s="30" t="str">
        <f t="shared" si="3"/>
        <v>A125-132-24</v>
      </c>
      <c r="E126" s="51">
        <v>45545</v>
      </c>
      <c r="F126" s="51">
        <v>45546</v>
      </c>
      <c r="G126" s="51">
        <v>45604</v>
      </c>
      <c r="H126" s="10" t="s">
        <v>52</v>
      </c>
      <c r="I126" s="10" t="s">
        <v>26</v>
      </c>
      <c r="J126" s="10" t="s">
        <v>18</v>
      </c>
      <c r="K126" s="10" t="s">
        <v>353</v>
      </c>
      <c r="L126" s="10" t="s">
        <v>141</v>
      </c>
      <c r="M126" s="50"/>
      <c r="N126" s="10" t="s">
        <v>137</v>
      </c>
    </row>
    <row r="127" spans="1:14" s="4" customFormat="1" ht="30" customHeight="1" x14ac:dyDescent="0.3">
      <c r="A127" s="9" t="s">
        <v>107</v>
      </c>
      <c r="B127" s="13">
        <f>VLOOKUP(Table245[[#This Row],[Location 
(drop-down)]],'List source'!D$2:E$60,2,FALSE)</f>
        <v>120</v>
      </c>
      <c r="C127" s="23" t="s">
        <v>354</v>
      </c>
      <c r="D127" s="30" t="str">
        <f t="shared" si="3"/>
        <v>A126-120-24</v>
      </c>
      <c r="E127" s="51">
        <v>45552</v>
      </c>
      <c r="F127" s="51">
        <v>45552</v>
      </c>
      <c r="G127" s="51"/>
      <c r="H127" s="10" t="s">
        <v>52</v>
      </c>
      <c r="I127" s="10" t="s">
        <v>26</v>
      </c>
      <c r="J127" s="10" t="s">
        <v>134</v>
      </c>
      <c r="K127" s="10" t="s">
        <v>355</v>
      </c>
      <c r="L127" s="10" t="s">
        <v>231</v>
      </c>
      <c r="M127" s="50"/>
      <c r="N127" s="10"/>
    </row>
    <row r="128" spans="1:14" s="4" customFormat="1" ht="30" customHeight="1" x14ac:dyDescent="0.3">
      <c r="A128" s="9" t="s">
        <v>95</v>
      </c>
      <c r="B128" s="13">
        <f>VLOOKUP(Table245[[#This Row],[Location 
(drop-down)]],'List source'!D$2:E$60,2,FALSE)</f>
        <v>111</v>
      </c>
      <c r="C128" s="23" t="s">
        <v>356</v>
      </c>
      <c r="D128" s="30" t="str">
        <f t="shared" si="3"/>
        <v>A127-111-24</v>
      </c>
      <c r="E128" s="51">
        <v>45546</v>
      </c>
      <c r="F128" s="51">
        <v>45546</v>
      </c>
      <c r="G128" s="38" t="s">
        <v>293</v>
      </c>
      <c r="H128" s="10" t="s">
        <v>31</v>
      </c>
      <c r="I128" s="10" t="s">
        <v>53</v>
      </c>
      <c r="J128" s="10" t="s">
        <v>18</v>
      </c>
      <c r="K128" s="10" t="s">
        <v>357</v>
      </c>
      <c r="L128" s="10" t="s">
        <v>80</v>
      </c>
      <c r="M128" s="50" t="s">
        <v>31</v>
      </c>
      <c r="N128" s="10"/>
    </row>
    <row r="129" spans="1:14" s="4" customFormat="1" ht="30" customHeight="1" x14ac:dyDescent="0.3">
      <c r="A129" s="9" t="s">
        <v>126</v>
      </c>
      <c r="B129" s="13">
        <f>VLOOKUP(Table245[[#This Row],[Location 
(drop-down)]],'List source'!D$2:E$60,2,FALSE)</f>
        <v>125</v>
      </c>
      <c r="C129" s="23" t="s">
        <v>358</v>
      </c>
      <c r="D129" s="30" t="str">
        <f t="shared" si="3"/>
        <v>A128-125-24</v>
      </c>
      <c r="E129" s="51">
        <v>45559</v>
      </c>
      <c r="F129" s="51">
        <v>45559</v>
      </c>
      <c r="G129" s="38"/>
      <c r="H129" s="10" t="s">
        <v>52</v>
      </c>
      <c r="I129" s="10"/>
      <c r="J129" s="10" t="s">
        <v>195</v>
      </c>
      <c r="K129" s="10" t="s">
        <v>192</v>
      </c>
      <c r="L129" s="10" t="s">
        <v>193</v>
      </c>
      <c r="M129" s="50"/>
      <c r="N129" s="10"/>
    </row>
    <row r="130" spans="1:14" s="4" customFormat="1" ht="30" customHeight="1" x14ac:dyDescent="0.3">
      <c r="A130" s="189" t="s">
        <v>153</v>
      </c>
      <c r="B130" s="217">
        <f>VLOOKUP(Table245[[#This Row],[Location 
(drop-down)]],'List source'!D$2:E$60,2,FALSE)</f>
        <v>126</v>
      </c>
      <c r="C130" s="232" t="s">
        <v>359</v>
      </c>
      <c r="D130" s="201" t="str">
        <f t="shared" ref="D130:D161" si="4">"A" &amp; C130 &amp; "-" &amp; B130 &amp; "-" &amp; "24"</f>
        <v>A129-126-24</v>
      </c>
      <c r="E130" s="233" t="s">
        <v>360</v>
      </c>
      <c r="F130" s="233" t="s">
        <v>360</v>
      </c>
      <c r="G130" s="233"/>
      <c r="H130" s="10" t="s">
        <v>52</v>
      </c>
      <c r="I130" s="10"/>
      <c r="J130" s="10" t="s">
        <v>195</v>
      </c>
      <c r="K130" s="10" t="s">
        <v>192</v>
      </c>
      <c r="L130" s="10" t="s">
        <v>193</v>
      </c>
      <c r="M130" s="50"/>
      <c r="N130" s="10" t="s">
        <v>361</v>
      </c>
    </row>
    <row r="131" spans="1:14" s="4" customFormat="1" ht="30" customHeight="1" x14ac:dyDescent="0.3">
      <c r="A131" s="9" t="s">
        <v>261</v>
      </c>
      <c r="B131" s="13">
        <f>VLOOKUP(Table245[[#This Row],[Location 
(drop-down)]],'List source'!D$2:E$60,2,FALSE)</f>
        <v>210</v>
      </c>
      <c r="C131" s="23" t="s">
        <v>362</v>
      </c>
      <c r="D131" s="30" t="str">
        <f t="shared" si="4"/>
        <v>A130-210-24</v>
      </c>
      <c r="E131" s="38">
        <v>45510</v>
      </c>
      <c r="F131" s="38">
        <v>45512</v>
      </c>
      <c r="G131" s="38" t="s">
        <v>293</v>
      </c>
      <c r="H131" s="10" t="s">
        <v>31</v>
      </c>
      <c r="I131" s="10" t="s">
        <v>26</v>
      </c>
      <c r="J131" s="10" t="s">
        <v>18</v>
      </c>
      <c r="K131" s="10"/>
      <c r="L131" s="10" t="s">
        <v>80</v>
      </c>
      <c r="M131" s="50" t="s">
        <v>31</v>
      </c>
      <c r="N131" s="10" t="s">
        <v>363</v>
      </c>
    </row>
    <row r="132" spans="1:14" s="4" customFormat="1" ht="30" customHeight="1" x14ac:dyDescent="0.3">
      <c r="A132" s="9" t="s">
        <v>161</v>
      </c>
      <c r="B132" s="13">
        <f>VLOOKUP(Table245[[#This Row],[Location 
(drop-down)]],'List source'!D$2:E$60,2,FALSE)</f>
        <v>142</v>
      </c>
      <c r="C132" s="23" t="s">
        <v>364</v>
      </c>
      <c r="D132" s="30" t="str">
        <f t="shared" si="4"/>
        <v>A131-142-24</v>
      </c>
      <c r="E132" s="51">
        <v>45550</v>
      </c>
      <c r="F132" s="51">
        <v>45550</v>
      </c>
      <c r="G132" s="38">
        <v>45557</v>
      </c>
      <c r="H132" s="10" t="s">
        <v>52</v>
      </c>
      <c r="I132" s="10" t="s">
        <v>53</v>
      </c>
      <c r="J132" s="10" t="s">
        <v>182</v>
      </c>
      <c r="K132" s="10" t="s">
        <v>365</v>
      </c>
      <c r="L132" s="10" t="s">
        <v>323</v>
      </c>
      <c r="M132" s="50"/>
      <c r="N132" s="10"/>
    </row>
    <row r="133" spans="1:14" s="4" customFormat="1" ht="30" customHeight="1" x14ac:dyDescent="0.3">
      <c r="A133" s="9" t="s">
        <v>186</v>
      </c>
      <c r="B133" s="13">
        <f>VLOOKUP(Table245[[#This Row],[Location 
(drop-down)]],'List source'!D$2:E$60,2,FALSE)</f>
        <v>130</v>
      </c>
      <c r="C133" s="23" t="s">
        <v>366</v>
      </c>
      <c r="D133" s="30" t="str">
        <f t="shared" ref="D133:D154" si="5">"A" &amp; C133 &amp; "-" &amp; B133 &amp; "-" &amp; "24"</f>
        <v>A132-130-24</v>
      </c>
      <c r="E133" s="51">
        <v>45566</v>
      </c>
      <c r="F133" s="51">
        <v>45567</v>
      </c>
      <c r="G133" s="38"/>
      <c r="H133" s="10" t="s">
        <v>59</v>
      </c>
      <c r="I133" s="10" t="s">
        <v>26</v>
      </c>
      <c r="J133" s="10" t="s">
        <v>49</v>
      </c>
      <c r="K133" s="10" t="s">
        <v>367</v>
      </c>
      <c r="L133" s="10" t="s">
        <v>368</v>
      </c>
      <c r="M133" s="50" t="s">
        <v>63</v>
      </c>
      <c r="N133" s="10" t="s">
        <v>112</v>
      </c>
    </row>
    <row r="134" spans="1:14" s="4" customFormat="1" ht="30" customHeight="1" x14ac:dyDescent="0.3">
      <c r="A134" s="9" t="s">
        <v>369</v>
      </c>
      <c r="B134" s="13">
        <f>VLOOKUP(Table245[[#This Row],[Location 
(drop-down)]],'List source'!D$2:E$60,2,FALSE)</f>
        <v>195</v>
      </c>
      <c r="C134" s="23" t="s">
        <v>370</v>
      </c>
      <c r="D134" s="30" t="str">
        <f t="shared" si="5"/>
        <v>A133-195-24</v>
      </c>
      <c r="E134" s="51">
        <v>45572</v>
      </c>
      <c r="F134" s="51">
        <v>45579</v>
      </c>
      <c r="G134" s="51">
        <v>45589</v>
      </c>
      <c r="H134" s="10" t="s">
        <v>16</v>
      </c>
      <c r="I134" s="10" t="s">
        <v>17</v>
      </c>
      <c r="J134" s="10" t="s">
        <v>41</v>
      </c>
      <c r="K134" s="10" t="s">
        <v>41</v>
      </c>
      <c r="L134" s="10" t="s">
        <v>19</v>
      </c>
      <c r="M134" s="50"/>
      <c r="N134" s="10" t="s">
        <v>371</v>
      </c>
    </row>
    <row r="135" spans="1:14" s="4" customFormat="1" ht="30" customHeight="1" x14ac:dyDescent="0.3">
      <c r="A135" s="9" t="s">
        <v>70</v>
      </c>
      <c r="B135" s="13">
        <f>VLOOKUP(Table245[[#This Row],[Location 
(drop-down)]],'List source'!D$2:E$60,2,FALSE)</f>
        <v>146</v>
      </c>
      <c r="C135" s="23" t="s">
        <v>372</v>
      </c>
      <c r="D135" s="30" t="str">
        <f t="shared" si="5"/>
        <v>A134-146-24</v>
      </c>
      <c r="E135" s="51">
        <v>45572</v>
      </c>
      <c r="F135" s="51">
        <v>45575</v>
      </c>
      <c r="G135" s="38">
        <v>45615</v>
      </c>
      <c r="H135" s="10" t="s">
        <v>16</v>
      </c>
      <c r="I135" s="10" t="s">
        <v>17</v>
      </c>
      <c r="J135" s="10" t="s">
        <v>23</v>
      </c>
      <c r="K135" s="10" t="s">
        <v>373</v>
      </c>
      <c r="L135" s="10" t="s">
        <v>19</v>
      </c>
      <c r="M135" s="50"/>
      <c r="N135" s="10" t="s">
        <v>20</v>
      </c>
    </row>
    <row r="136" spans="1:14" s="4" customFormat="1" ht="30" customHeight="1" x14ac:dyDescent="0.3">
      <c r="A136" s="9" t="s">
        <v>70</v>
      </c>
      <c r="B136" s="13">
        <f>VLOOKUP(Table245[[#This Row],[Location 
(drop-down)]],'List source'!D$2:E$60,2,FALSE)</f>
        <v>146</v>
      </c>
      <c r="C136" s="23" t="s">
        <v>374</v>
      </c>
      <c r="D136" s="30" t="str">
        <f t="shared" si="5"/>
        <v>A135-146-24</v>
      </c>
      <c r="E136" s="51">
        <v>45572</v>
      </c>
      <c r="F136" s="51">
        <v>45575</v>
      </c>
      <c r="G136" s="38">
        <v>45615</v>
      </c>
      <c r="H136" s="10" t="s">
        <v>16</v>
      </c>
      <c r="I136" s="10" t="s">
        <v>26</v>
      </c>
      <c r="J136" s="10" t="s">
        <v>23</v>
      </c>
      <c r="K136" s="10" t="s">
        <v>373</v>
      </c>
      <c r="L136" s="10" t="s">
        <v>19</v>
      </c>
      <c r="M136" s="50"/>
      <c r="N136" s="10" t="s">
        <v>28</v>
      </c>
    </row>
    <row r="137" spans="1:14" s="4" customFormat="1" ht="30" customHeight="1" x14ac:dyDescent="0.3">
      <c r="A137" s="9" t="s">
        <v>126</v>
      </c>
      <c r="B137" s="13">
        <f>VLOOKUP(Table245[[#This Row],[Location 
(drop-down)]],'List source'!D$2:E$60,2,FALSE)</f>
        <v>125</v>
      </c>
      <c r="C137" s="23" t="s">
        <v>375</v>
      </c>
      <c r="D137" s="30" t="str">
        <f t="shared" si="5"/>
        <v>A136-125-24</v>
      </c>
      <c r="E137" s="38">
        <v>45581</v>
      </c>
      <c r="F137" s="38">
        <v>45581</v>
      </c>
      <c r="G137" s="38"/>
      <c r="H137" s="10" t="s">
        <v>52</v>
      </c>
      <c r="I137" s="10" t="s">
        <v>17</v>
      </c>
      <c r="J137" s="10" t="s">
        <v>195</v>
      </c>
      <c r="K137" s="10" t="s">
        <v>296</v>
      </c>
      <c r="L137" s="10" t="s">
        <v>55</v>
      </c>
      <c r="M137" s="50"/>
      <c r="N137" s="10"/>
    </row>
    <row r="138" spans="1:14" s="4" customFormat="1" ht="30" customHeight="1" x14ac:dyDescent="0.3">
      <c r="A138" s="9" t="s">
        <v>86</v>
      </c>
      <c r="B138" s="13">
        <f>VLOOKUP(Table245[[#This Row],[Location 
(drop-down)]],'List source'!D$2:E$60,2,FALSE)</f>
        <v>150</v>
      </c>
      <c r="C138" s="23" t="s">
        <v>376</v>
      </c>
      <c r="D138" s="30" t="str">
        <f t="shared" si="5"/>
        <v>A137-150-24</v>
      </c>
      <c r="E138" s="38">
        <v>45580</v>
      </c>
      <c r="F138" s="38">
        <v>45582</v>
      </c>
      <c r="G138" s="38"/>
      <c r="H138" s="10" t="s">
        <v>59</v>
      </c>
      <c r="I138" s="10" t="s">
        <v>26</v>
      </c>
      <c r="J138" s="10" t="s">
        <v>49</v>
      </c>
      <c r="K138" s="10" t="s">
        <v>202</v>
      </c>
      <c r="L138" s="10" t="s">
        <v>73</v>
      </c>
      <c r="M138" s="50" t="s">
        <v>63</v>
      </c>
      <c r="N138" s="10" t="s">
        <v>377</v>
      </c>
    </row>
    <row r="139" spans="1:14" s="4" customFormat="1" ht="30" customHeight="1" x14ac:dyDescent="0.3">
      <c r="A139" s="9" t="s">
        <v>113</v>
      </c>
      <c r="B139" s="13" t="str">
        <f>VLOOKUP(Table245[[#This Row],[Location 
(drop-down)]],'List source'!D$2:E$60,2,FALSE)</f>
        <v>VOID</v>
      </c>
      <c r="C139" s="23" t="s">
        <v>378</v>
      </c>
      <c r="D139" s="30" t="str">
        <f t="shared" si="5"/>
        <v>A138-VOID-24</v>
      </c>
      <c r="E139" s="38" t="s">
        <v>114</v>
      </c>
      <c r="F139" s="38" t="s">
        <v>114</v>
      </c>
      <c r="G139" s="51" t="s">
        <v>114</v>
      </c>
      <c r="H139" s="10" t="s">
        <v>114</v>
      </c>
      <c r="I139" s="10" t="s">
        <v>114</v>
      </c>
      <c r="J139" s="10" t="s">
        <v>41</v>
      </c>
      <c r="K139" s="10" t="s">
        <v>114</v>
      </c>
      <c r="L139" s="10" t="s">
        <v>114</v>
      </c>
      <c r="M139" s="50"/>
      <c r="N139" s="10" t="s">
        <v>379</v>
      </c>
    </row>
    <row r="140" spans="1:14" s="4" customFormat="1" ht="30" customHeight="1" x14ac:dyDescent="0.3">
      <c r="A140" s="9" t="s">
        <v>29</v>
      </c>
      <c r="B140" s="13">
        <f>VLOOKUP(Table245[[#This Row],[Location 
(drop-down)]],'List source'!D$2:E$60,2,FALSE)</f>
        <v>141</v>
      </c>
      <c r="C140" s="23" t="s">
        <v>380</v>
      </c>
      <c r="D140" s="30" t="str">
        <f t="shared" si="5"/>
        <v>A139-141-24</v>
      </c>
      <c r="E140" s="38">
        <v>45568</v>
      </c>
      <c r="F140" s="38">
        <v>45568</v>
      </c>
      <c r="G140" s="38"/>
      <c r="H140" s="10" t="s">
        <v>52</v>
      </c>
      <c r="I140" s="10" t="s">
        <v>53</v>
      </c>
      <c r="J140" s="10" t="s">
        <v>49</v>
      </c>
      <c r="K140" s="10"/>
      <c r="L140" s="10" t="s">
        <v>170</v>
      </c>
      <c r="M140" s="50"/>
      <c r="N140" s="10" t="s">
        <v>171</v>
      </c>
    </row>
    <row r="141" spans="1:14" s="4" customFormat="1" ht="30" customHeight="1" x14ac:dyDescent="0.3">
      <c r="A141" s="9" t="s">
        <v>29</v>
      </c>
      <c r="B141" s="13">
        <f>VLOOKUP(Table245[[#This Row],[Location 
(drop-down)]],'List source'!D$2:E$60,2,FALSE)</f>
        <v>141</v>
      </c>
      <c r="C141" s="23" t="s">
        <v>381</v>
      </c>
      <c r="D141" s="30" t="str">
        <f t="shared" si="5"/>
        <v>A140-141-24</v>
      </c>
      <c r="E141" s="51">
        <v>45587</v>
      </c>
      <c r="F141" s="51">
        <v>45587</v>
      </c>
      <c r="G141" s="51">
        <v>45604</v>
      </c>
      <c r="H141" s="10" t="s">
        <v>52</v>
      </c>
      <c r="I141" s="10" t="s">
        <v>26</v>
      </c>
      <c r="J141" s="10" t="s">
        <v>182</v>
      </c>
      <c r="K141" s="10" t="s">
        <v>169</v>
      </c>
      <c r="L141" s="10" t="s">
        <v>170</v>
      </c>
      <c r="M141" s="50"/>
      <c r="N141" s="10"/>
    </row>
    <row r="142" spans="1:14" s="4" customFormat="1" ht="30" customHeight="1" x14ac:dyDescent="0.3">
      <c r="A142" s="9" t="s">
        <v>161</v>
      </c>
      <c r="B142" s="13">
        <f>VLOOKUP(Table245[[#This Row],[Location 
(drop-down)]],'List source'!D$2:E$60,2,FALSE)</f>
        <v>142</v>
      </c>
      <c r="C142" s="23" t="s">
        <v>382</v>
      </c>
      <c r="D142" s="30" t="str">
        <f t="shared" si="5"/>
        <v>A141-142-24</v>
      </c>
      <c r="E142" s="51">
        <v>45588</v>
      </c>
      <c r="F142" s="51">
        <v>45588</v>
      </c>
      <c r="G142" s="51">
        <v>45604</v>
      </c>
      <c r="H142" s="10" t="s">
        <v>52</v>
      </c>
      <c r="I142" s="10" t="s">
        <v>26</v>
      </c>
      <c r="J142" s="10" t="s">
        <v>182</v>
      </c>
      <c r="K142" s="10" t="s">
        <v>169</v>
      </c>
      <c r="L142" s="10" t="s">
        <v>170</v>
      </c>
      <c r="M142" s="50"/>
      <c r="N142" s="10"/>
    </row>
    <row r="143" spans="1:14" s="4" customFormat="1" ht="30" customHeight="1" x14ac:dyDescent="0.3">
      <c r="A143" s="9" t="s">
        <v>107</v>
      </c>
      <c r="B143" s="13">
        <f>VLOOKUP(Table245[[#This Row],[Location 
(drop-down)]],'List source'!D$2:E$60,2,FALSE)</f>
        <v>120</v>
      </c>
      <c r="C143" s="23" t="s">
        <v>383</v>
      </c>
      <c r="D143" s="55" t="str">
        <f t="shared" si="5"/>
        <v>A142-120-24</v>
      </c>
      <c r="E143" s="51">
        <v>45575</v>
      </c>
      <c r="F143" s="51">
        <v>45575</v>
      </c>
      <c r="G143" s="38">
        <v>45587</v>
      </c>
      <c r="H143" s="10" t="s">
        <v>52</v>
      </c>
      <c r="I143" s="10" t="s">
        <v>53</v>
      </c>
      <c r="J143" s="10" t="s">
        <v>134</v>
      </c>
      <c r="K143" s="10" t="s">
        <v>384</v>
      </c>
      <c r="L143" s="10" t="s">
        <v>170</v>
      </c>
      <c r="M143" s="50"/>
      <c r="N143" s="10" t="s">
        <v>385</v>
      </c>
    </row>
    <row r="144" spans="1:14" s="4" customFormat="1" ht="30" customHeight="1" x14ac:dyDescent="0.3">
      <c r="A144" s="9" t="s">
        <v>70</v>
      </c>
      <c r="B144" s="13">
        <f>VLOOKUP(Table245[[#This Row],[Location 
(drop-down)]],'List source'!D$2:E$60,2,FALSE)</f>
        <v>146</v>
      </c>
      <c r="C144" s="23" t="s">
        <v>386</v>
      </c>
      <c r="D144" s="30" t="str">
        <f t="shared" si="5"/>
        <v>A143-146-24</v>
      </c>
      <c r="E144" s="38">
        <v>45572</v>
      </c>
      <c r="F144" s="38">
        <v>45572</v>
      </c>
      <c r="G144" s="38">
        <v>45589</v>
      </c>
      <c r="H144" s="10" t="s">
        <v>52</v>
      </c>
      <c r="I144" s="10" t="s">
        <v>53</v>
      </c>
      <c r="J144" s="10" t="s">
        <v>49</v>
      </c>
      <c r="K144" s="10" t="s">
        <v>296</v>
      </c>
      <c r="L144" s="10" t="s">
        <v>387</v>
      </c>
      <c r="M144" s="50"/>
      <c r="N144" s="10" t="s">
        <v>56</v>
      </c>
    </row>
    <row r="145" spans="1:14" s="4" customFormat="1" ht="30" customHeight="1" x14ac:dyDescent="0.3">
      <c r="A145" s="9" t="s">
        <v>388</v>
      </c>
      <c r="B145" s="13">
        <f>VLOOKUP(Table245[[#This Row],[Location 
(drop-down)]],'List source'!D$2:E$60,2,FALSE)</f>
        <v>191</v>
      </c>
      <c r="C145" s="23" t="s">
        <v>389</v>
      </c>
      <c r="D145" s="30" t="str">
        <f t="shared" si="5"/>
        <v>A144-191-24</v>
      </c>
      <c r="E145" s="51">
        <v>45607</v>
      </c>
      <c r="F145" s="51">
        <v>45610</v>
      </c>
      <c r="G145" s="38">
        <v>45615</v>
      </c>
      <c r="H145" s="10" t="s">
        <v>16</v>
      </c>
      <c r="I145" s="10" t="s">
        <v>17</v>
      </c>
      <c r="J145" s="10" t="s">
        <v>23</v>
      </c>
      <c r="K145" s="10" t="s">
        <v>68</v>
      </c>
      <c r="L145" s="10" t="s">
        <v>19</v>
      </c>
      <c r="M145" s="50"/>
      <c r="N145" s="10" t="s">
        <v>20</v>
      </c>
    </row>
    <row r="146" spans="1:14" s="4" customFormat="1" ht="30" customHeight="1" x14ac:dyDescent="0.3">
      <c r="A146" s="9" t="s">
        <v>388</v>
      </c>
      <c r="B146" s="13">
        <f>VLOOKUP(Table245[[#This Row],[Location 
(drop-down)]],'List source'!D$2:E$60,2,FALSE)</f>
        <v>191</v>
      </c>
      <c r="C146" s="23" t="s">
        <v>390</v>
      </c>
      <c r="D146" s="30" t="str">
        <f t="shared" si="5"/>
        <v>A145-191-24</v>
      </c>
      <c r="E146" s="51">
        <v>45607</v>
      </c>
      <c r="F146" s="51">
        <v>45610</v>
      </c>
      <c r="G146" s="51">
        <v>45615</v>
      </c>
      <c r="H146" s="10" t="s">
        <v>16</v>
      </c>
      <c r="I146" s="10" t="s">
        <v>26</v>
      </c>
      <c r="J146" s="10" t="s">
        <v>23</v>
      </c>
      <c r="K146" s="10" t="s">
        <v>68</v>
      </c>
      <c r="L146" s="10" t="s">
        <v>19</v>
      </c>
      <c r="M146" s="50"/>
      <c r="N146" s="10" t="s">
        <v>391</v>
      </c>
    </row>
    <row r="147" spans="1:14" s="4" customFormat="1" ht="30" customHeight="1" x14ac:dyDescent="0.3">
      <c r="A147" s="9" t="s">
        <v>250</v>
      </c>
      <c r="B147" s="13">
        <f>VLOOKUP(Table245[[#This Row],[Location 
(drop-down)]],'List source'!D$2:E$60,2,FALSE)</f>
        <v>199</v>
      </c>
      <c r="C147" s="23" t="s">
        <v>392</v>
      </c>
      <c r="D147" s="30" t="str">
        <f t="shared" si="5"/>
        <v>A146-199-24</v>
      </c>
      <c r="E147" s="51">
        <v>45574</v>
      </c>
      <c r="F147" s="51">
        <v>45574</v>
      </c>
      <c r="G147" s="51">
        <v>45586</v>
      </c>
      <c r="H147" s="10" t="s">
        <v>52</v>
      </c>
      <c r="I147" s="10" t="s">
        <v>53</v>
      </c>
      <c r="J147" s="13" t="s">
        <v>168</v>
      </c>
      <c r="K147" s="10" t="s">
        <v>393</v>
      </c>
      <c r="L147" s="11" t="s">
        <v>323</v>
      </c>
      <c r="M147" s="50" t="s">
        <v>114</v>
      </c>
      <c r="N147" s="10" t="s">
        <v>394</v>
      </c>
    </row>
    <row r="148" spans="1:14" s="4" customFormat="1" ht="30" customHeight="1" x14ac:dyDescent="0.3">
      <c r="A148" s="9" t="s">
        <v>275</v>
      </c>
      <c r="B148" s="13">
        <f>VLOOKUP(Table245[[#This Row],[Location 
(drop-down)]],'List source'!D$2:E$60,2,FALSE)</f>
        <v>188</v>
      </c>
      <c r="C148" s="23" t="s">
        <v>395</v>
      </c>
      <c r="D148" s="30" t="str">
        <f t="shared" si="5"/>
        <v>A147-188-24</v>
      </c>
      <c r="E148" s="51">
        <v>45589</v>
      </c>
      <c r="F148" s="51">
        <v>45589</v>
      </c>
      <c r="G148" s="51">
        <v>45593</v>
      </c>
      <c r="H148" s="10" t="s">
        <v>52</v>
      </c>
      <c r="I148" s="10" t="s">
        <v>53</v>
      </c>
      <c r="J148" s="16" t="s">
        <v>168</v>
      </c>
      <c r="K148" s="10" t="s">
        <v>396</v>
      </c>
      <c r="L148" s="15" t="s">
        <v>323</v>
      </c>
      <c r="M148" s="50" t="s">
        <v>114</v>
      </c>
      <c r="N148" s="16" t="s">
        <v>397</v>
      </c>
    </row>
    <row r="149" spans="1:14" s="4" customFormat="1" ht="30" customHeight="1" x14ac:dyDescent="0.3">
      <c r="A149" s="9" t="s">
        <v>107</v>
      </c>
      <c r="B149" s="13">
        <f>VLOOKUP(Table245[[#This Row],[Location 
(drop-down)]],'List source'!D$2:E$60,2,FALSE)</f>
        <v>120</v>
      </c>
      <c r="C149" s="23" t="s">
        <v>398</v>
      </c>
      <c r="D149" s="30" t="str">
        <f t="shared" si="5"/>
        <v>A148-120-24</v>
      </c>
      <c r="E149" s="51">
        <v>45443</v>
      </c>
      <c r="F149" s="51">
        <v>45443</v>
      </c>
      <c r="G149" s="38">
        <v>45583</v>
      </c>
      <c r="H149" s="10" t="s">
        <v>52</v>
      </c>
      <c r="I149" s="10" t="s">
        <v>53</v>
      </c>
      <c r="J149" s="13" t="s">
        <v>49</v>
      </c>
      <c r="K149" s="10" t="s">
        <v>302</v>
      </c>
      <c r="L149" s="11" t="s">
        <v>143</v>
      </c>
      <c r="M149" s="50"/>
      <c r="N149" s="13" t="s">
        <v>399</v>
      </c>
    </row>
    <row r="150" spans="1:14" s="4" customFormat="1" ht="30" customHeight="1" x14ac:dyDescent="0.3">
      <c r="A150" s="9" t="s">
        <v>207</v>
      </c>
      <c r="B150" s="13">
        <f>VLOOKUP(Table245[[#This Row],[Location 
(drop-down)]],'List source'!D$2:E$60,2,FALSE)</f>
        <v>189</v>
      </c>
      <c r="C150" s="23" t="s">
        <v>400</v>
      </c>
      <c r="D150" s="30" t="str">
        <f t="shared" si="5"/>
        <v>A149-189-24</v>
      </c>
      <c r="E150" s="51">
        <v>45601</v>
      </c>
      <c r="F150" s="38">
        <v>45602</v>
      </c>
      <c r="G150" s="38">
        <v>45617</v>
      </c>
      <c r="H150" s="10" t="s">
        <v>16</v>
      </c>
      <c r="I150" s="10" t="s">
        <v>53</v>
      </c>
      <c r="J150" s="16" t="s">
        <v>168</v>
      </c>
      <c r="K150" s="10" t="s">
        <v>401</v>
      </c>
      <c r="L150" s="15" t="s">
        <v>19</v>
      </c>
      <c r="M150" s="50" t="s">
        <v>114</v>
      </c>
      <c r="N150" s="16" t="s">
        <v>402</v>
      </c>
    </row>
    <row r="151" spans="1:14" s="4" customFormat="1" ht="30" customHeight="1" x14ac:dyDescent="0.3">
      <c r="A151" s="9" t="s">
        <v>93</v>
      </c>
      <c r="B151" s="13">
        <f>VLOOKUP(Table245[[#This Row],[Location 
(drop-down)]],'List source'!D$2:E$60,2,FALSE)</f>
        <v>128</v>
      </c>
      <c r="C151" s="23" t="s">
        <v>403</v>
      </c>
      <c r="D151" s="30" t="str">
        <f t="shared" si="5"/>
        <v>A150-128-24</v>
      </c>
      <c r="E151" s="51">
        <v>45595</v>
      </c>
      <c r="F151" s="51">
        <v>45595</v>
      </c>
      <c r="G151" s="38" t="s">
        <v>293</v>
      </c>
      <c r="H151" s="10" t="s">
        <v>52</v>
      </c>
      <c r="I151" s="10" t="s">
        <v>53</v>
      </c>
      <c r="J151" s="13" t="s">
        <v>23</v>
      </c>
      <c r="K151" s="10"/>
      <c r="L151" s="11" t="s">
        <v>404</v>
      </c>
      <c r="M151" s="50"/>
      <c r="N151" s="13" t="s">
        <v>405</v>
      </c>
    </row>
    <row r="152" spans="1:14" ht="30" customHeight="1" x14ac:dyDescent="0.3">
      <c r="A152" s="9" t="s">
        <v>159</v>
      </c>
      <c r="B152" s="13">
        <f>VLOOKUP(Table245[[#This Row],[Location 
(drop-down)]],'List source'!D$2:E$60,2,FALSE)</f>
        <v>156</v>
      </c>
      <c r="C152" s="23" t="s">
        <v>406</v>
      </c>
      <c r="D152" s="30" t="str">
        <f t="shared" si="5"/>
        <v>A151-156-24</v>
      </c>
      <c r="E152" s="51">
        <v>45588</v>
      </c>
      <c r="F152" s="51">
        <v>45588</v>
      </c>
      <c r="G152" s="51">
        <v>45618</v>
      </c>
      <c r="H152" s="10" t="s">
        <v>52</v>
      </c>
      <c r="I152" s="10" t="s">
        <v>17</v>
      </c>
      <c r="J152" s="10" t="s">
        <v>23</v>
      </c>
      <c r="K152" s="10" t="s">
        <v>407</v>
      </c>
      <c r="L152" s="10" t="s">
        <v>99</v>
      </c>
      <c r="M152" s="50"/>
      <c r="N152" s="10"/>
    </row>
    <row r="153" spans="1:14" ht="30" customHeight="1" x14ac:dyDescent="0.3">
      <c r="A153" s="235" t="s">
        <v>186</v>
      </c>
      <c r="B153" s="236">
        <f>VLOOKUP(Table245[[#This Row],[Location 
(drop-down)]],'List source'!D$2:E$60,2,FALSE)</f>
        <v>130</v>
      </c>
      <c r="C153" s="237" t="s">
        <v>408</v>
      </c>
      <c r="D153" s="238" t="str">
        <f t="shared" si="5"/>
        <v>A152-130-24</v>
      </c>
      <c r="E153" s="51">
        <v>45589</v>
      </c>
      <c r="F153" s="51">
        <v>45589</v>
      </c>
      <c r="G153" s="51" t="s">
        <v>211</v>
      </c>
      <c r="H153" s="10" t="s">
        <v>52</v>
      </c>
      <c r="I153" s="10" t="s">
        <v>26</v>
      </c>
      <c r="J153" s="10" t="s">
        <v>23</v>
      </c>
      <c r="K153" s="10"/>
      <c r="L153" s="10" t="s">
        <v>409</v>
      </c>
      <c r="M153" s="50"/>
      <c r="N153" s="10" t="s">
        <v>410</v>
      </c>
    </row>
    <row r="154" spans="1:14" ht="30" customHeight="1" x14ac:dyDescent="0.3">
      <c r="A154" s="9" t="s">
        <v>107</v>
      </c>
      <c r="B154" s="13">
        <f>VLOOKUP(Table245[[#This Row],[Location 
(drop-down)]],'List source'!D$2:E$60,2,FALSE)</f>
        <v>120</v>
      </c>
      <c r="C154" s="23" t="s">
        <v>411</v>
      </c>
      <c r="D154" s="30" t="str">
        <f t="shared" si="5"/>
        <v>A153-120-24</v>
      </c>
      <c r="E154" s="51">
        <v>45600</v>
      </c>
      <c r="F154" s="51">
        <v>45603</v>
      </c>
      <c r="G154" s="51">
        <v>45604</v>
      </c>
      <c r="H154" s="10" t="s">
        <v>59</v>
      </c>
      <c r="I154" s="10" t="s">
        <v>26</v>
      </c>
      <c r="J154" s="10" t="s">
        <v>134</v>
      </c>
      <c r="K154" s="10" t="s">
        <v>412</v>
      </c>
      <c r="L154" s="10" t="s">
        <v>73</v>
      </c>
      <c r="M154" s="50" t="s">
        <v>63</v>
      </c>
      <c r="N154" s="10" t="s">
        <v>377</v>
      </c>
    </row>
    <row r="155" spans="1:14" ht="30" customHeight="1" x14ac:dyDescent="0.3">
      <c r="A155" s="235" t="s">
        <v>138</v>
      </c>
      <c r="B155" s="236">
        <f>VLOOKUP(Table245[[#This Row],[Location 
(drop-down)]],'List source'!D$2:E$60,2,FALSE)</f>
        <v>110</v>
      </c>
      <c r="C155" s="237" t="s">
        <v>413</v>
      </c>
      <c r="D155" s="238" t="str">
        <f t="shared" si="4"/>
        <v>A154-110-24</v>
      </c>
      <c r="E155" s="51">
        <v>45607</v>
      </c>
      <c r="F155" s="51">
        <v>45610</v>
      </c>
      <c r="G155" s="51">
        <v>45617</v>
      </c>
      <c r="H155" s="10" t="s">
        <v>16</v>
      </c>
      <c r="I155" s="10" t="s">
        <v>17</v>
      </c>
      <c r="J155" s="10" t="s">
        <v>182</v>
      </c>
      <c r="K155" s="10" t="s">
        <v>414</v>
      </c>
      <c r="L155" s="11" t="s">
        <v>19</v>
      </c>
      <c r="M155" s="50"/>
      <c r="N155" s="13" t="s">
        <v>415</v>
      </c>
    </row>
    <row r="156" spans="1:14" ht="30" customHeight="1" x14ac:dyDescent="0.3">
      <c r="A156" s="239" t="s">
        <v>138</v>
      </c>
      <c r="B156" s="240">
        <f>VLOOKUP(Table245[[#This Row],[Location 
(drop-down)]],'List source'!D$2:E$60,2,FALSE)</f>
        <v>110</v>
      </c>
      <c r="C156" s="241" t="s">
        <v>416</v>
      </c>
      <c r="D156" s="242" t="str">
        <f t="shared" si="4"/>
        <v>A155-110-24</v>
      </c>
      <c r="E156" s="51">
        <v>45607</v>
      </c>
      <c r="F156" s="51">
        <v>45610</v>
      </c>
      <c r="G156" s="51">
        <v>45617</v>
      </c>
      <c r="H156" s="10" t="s">
        <v>16</v>
      </c>
      <c r="I156" s="10" t="s">
        <v>26</v>
      </c>
      <c r="J156" s="10" t="s">
        <v>182</v>
      </c>
      <c r="K156" s="10" t="s">
        <v>414</v>
      </c>
      <c r="L156" s="11" t="s">
        <v>19</v>
      </c>
      <c r="M156" s="50"/>
      <c r="N156" s="13" t="s">
        <v>417</v>
      </c>
    </row>
    <row r="157" spans="1:14" ht="30" customHeight="1" x14ac:dyDescent="0.3">
      <c r="A157" s="9" t="s">
        <v>418</v>
      </c>
      <c r="B157" s="13">
        <f>VLOOKUP(Table245[[#This Row],[Location 
(drop-down)]],'List source'!D$2:E$60,2,FALSE)</f>
        <v>179</v>
      </c>
      <c r="C157" s="23" t="s">
        <v>419</v>
      </c>
      <c r="D157" s="30" t="str">
        <f t="shared" si="4"/>
        <v>A156-179-24</v>
      </c>
      <c r="E157" s="51">
        <v>45607</v>
      </c>
      <c r="F157" s="51">
        <v>45614</v>
      </c>
      <c r="G157" s="51">
        <v>45660</v>
      </c>
      <c r="H157" s="10" t="s">
        <v>16</v>
      </c>
      <c r="I157" s="10" t="s">
        <v>17</v>
      </c>
      <c r="J157" s="10" t="s">
        <v>41</v>
      </c>
      <c r="K157" s="10" t="s">
        <v>41</v>
      </c>
      <c r="L157" s="11" t="s">
        <v>19</v>
      </c>
      <c r="M157" s="50"/>
      <c r="N157" s="13" t="s">
        <v>415</v>
      </c>
    </row>
    <row r="158" spans="1:14" ht="30" customHeight="1" x14ac:dyDescent="0.3">
      <c r="A158" s="9" t="s">
        <v>65</v>
      </c>
      <c r="B158" s="13">
        <f>VLOOKUP(Table245[[#This Row],[Location 
(drop-down)]],'List source'!D$2:E$60,2,FALSE)</f>
        <v>155</v>
      </c>
      <c r="C158" s="23" t="s">
        <v>420</v>
      </c>
      <c r="D158" s="30" t="str">
        <f t="shared" si="4"/>
        <v>A157-155-24</v>
      </c>
      <c r="E158" s="51">
        <v>45615</v>
      </c>
      <c r="F158" s="51">
        <v>45616</v>
      </c>
      <c r="G158" s="51">
        <v>45679</v>
      </c>
      <c r="H158" s="10" t="s">
        <v>52</v>
      </c>
      <c r="I158" s="10" t="s">
        <v>26</v>
      </c>
      <c r="J158" s="10" t="s">
        <v>134</v>
      </c>
      <c r="K158" s="51" t="s">
        <v>254</v>
      </c>
      <c r="L158" s="51" t="s">
        <v>421</v>
      </c>
      <c r="M158" s="50"/>
      <c r="N158" s="10" t="s">
        <v>256</v>
      </c>
    </row>
    <row r="159" spans="1:14" ht="30" customHeight="1" x14ac:dyDescent="0.3">
      <c r="A159" s="189" t="s">
        <v>138</v>
      </c>
      <c r="B159" s="217">
        <f>VLOOKUP(Table245[[#This Row],[Location 
(drop-down)]],'List source'!D$2:E$60,2,FALSE)</f>
        <v>110</v>
      </c>
      <c r="C159" s="232" t="s">
        <v>422</v>
      </c>
      <c r="D159" s="201" t="str">
        <f t="shared" si="4"/>
        <v>A158-110-24</v>
      </c>
      <c r="E159" s="51">
        <v>45540</v>
      </c>
      <c r="F159" s="51">
        <v>45540</v>
      </c>
      <c r="G159" s="51">
        <v>45566</v>
      </c>
      <c r="H159" s="10" t="s">
        <v>52</v>
      </c>
      <c r="I159" s="10" t="s">
        <v>53</v>
      </c>
      <c r="J159" s="10" t="s">
        <v>168</v>
      </c>
      <c r="K159" s="10" t="s">
        <v>423</v>
      </c>
      <c r="L159" s="10" t="s">
        <v>170</v>
      </c>
      <c r="M159" s="50"/>
      <c r="N159" s="10" t="s">
        <v>397</v>
      </c>
    </row>
    <row r="160" spans="1:14" ht="30" customHeight="1" x14ac:dyDescent="0.3">
      <c r="A160" s="9" t="s">
        <v>273</v>
      </c>
      <c r="B160" s="13">
        <f>VLOOKUP(Table245[[#This Row],[Location 
(drop-down)]],'List source'!D$2:E$60,2,FALSE)</f>
        <v>140</v>
      </c>
      <c r="C160" s="23" t="s">
        <v>424</v>
      </c>
      <c r="D160" s="30" t="str">
        <f t="shared" si="4"/>
        <v>A159-140-24</v>
      </c>
      <c r="E160" s="51">
        <v>45582</v>
      </c>
      <c r="F160" s="51">
        <v>45582</v>
      </c>
      <c r="G160" s="51">
        <v>45586</v>
      </c>
      <c r="H160" s="10" t="s">
        <v>52</v>
      </c>
      <c r="I160" s="10" t="s">
        <v>53</v>
      </c>
      <c r="J160" s="10" t="s">
        <v>168</v>
      </c>
      <c r="K160" s="10" t="s">
        <v>425</v>
      </c>
      <c r="L160" s="10" t="s">
        <v>170</v>
      </c>
      <c r="M160" s="50"/>
      <c r="N160" s="13" t="s">
        <v>397</v>
      </c>
    </row>
    <row r="161" spans="1:14" ht="30" customHeight="1" x14ac:dyDescent="0.3">
      <c r="A161" s="9" t="s">
        <v>166</v>
      </c>
      <c r="B161" s="13">
        <f>VLOOKUP(Table245[[#This Row],[Location 
(drop-down)]],'List source'!D$2:E$60,2,FALSE)</f>
        <v>198</v>
      </c>
      <c r="C161" s="23" t="s">
        <v>426</v>
      </c>
      <c r="D161" s="30" t="str">
        <f t="shared" si="4"/>
        <v>A160-198-24</v>
      </c>
      <c r="E161" s="51">
        <v>45582</v>
      </c>
      <c r="F161" s="51">
        <v>45582</v>
      </c>
      <c r="G161" s="51">
        <v>45604</v>
      </c>
      <c r="H161" s="10" t="s">
        <v>52</v>
      </c>
      <c r="I161" s="10" t="s">
        <v>26</v>
      </c>
      <c r="J161" s="10" t="s">
        <v>168</v>
      </c>
      <c r="K161" s="10" t="s">
        <v>427</v>
      </c>
      <c r="L161" s="10" t="s">
        <v>170</v>
      </c>
      <c r="M161" s="50"/>
      <c r="N161" s="10" t="s">
        <v>428</v>
      </c>
    </row>
    <row r="162" spans="1:14" ht="30" customHeight="1" x14ac:dyDescent="0.3">
      <c r="A162" s="9" t="s">
        <v>429</v>
      </c>
      <c r="B162" s="13">
        <f>VLOOKUP(Table245[[#This Row],[Location 
(drop-down)]],'List source'!D$2:E$60,2,FALSE)</f>
        <v>133</v>
      </c>
      <c r="C162" s="23" t="s">
        <v>430</v>
      </c>
      <c r="D162" s="30" t="str">
        <f t="shared" ref="D162:D193" si="6">"A" &amp; C162 &amp; "-" &amp; B162 &amp; "-" &amp; "24"</f>
        <v>A161-133-24</v>
      </c>
      <c r="E162" s="51">
        <v>45630</v>
      </c>
      <c r="F162" s="51">
        <v>45637</v>
      </c>
      <c r="G162" s="51" t="s">
        <v>211</v>
      </c>
      <c r="H162" s="10" t="s">
        <v>16</v>
      </c>
      <c r="I162" s="10" t="s">
        <v>17</v>
      </c>
      <c r="J162" s="10" t="s">
        <v>23</v>
      </c>
      <c r="K162" s="10" t="s">
        <v>23</v>
      </c>
      <c r="L162" s="10" t="s">
        <v>19</v>
      </c>
      <c r="M162" s="50"/>
      <c r="N162" s="13" t="s">
        <v>415</v>
      </c>
    </row>
    <row r="163" spans="1:14" ht="30" customHeight="1" x14ac:dyDescent="0.3">
      <c r="A163" s="9" t="s">
        <v>138</v>
      </c>
      <c r="B163" s="13">
        <f>VLOOKUP(Table245[[#This Row],[Location 
(drop-down)]],'List source'!D$2:E$60,2,FALSE)</f>
        <v>110</v>
      </c>
      <c r="C163" s="23" t="s">
        <v>431</v>
      </c>
      <c r="D163" s="30" t="str">
        <f t="shared" si="6"/>
        <v>A162-110-24</v>
      </c>
      <c r="E163" s="51">
        <v>45630</v>
      </c>
      <c r="F163" s="51">
        <v>45630</v>
      </c>
      <c r="G163" s="51" t="s">
        <v>211</v>
      </c>
      <c r="H163" s="10" t="s">
        <v>59</v>
      </c>
      <c r="I163" s="10" t="s">
        <v>26</v>
      </c>
      <c r="J163" s="10" t="s">
        <v>23</v>
      </c>
      <c r="K163" s="10"/>
      <c r="L163" s="10" t="s">
        <v>432</v>
      </c>
      <c r="M163" s="50" t="s">
        <v>59</v>
      </c>
      <c r="N163" s="10"/>
    </row>
    <row r="164" spans="1:14" ht="30" customHeight="1" x14ac:dyDescent="0.3">
      <c r="A164" s="189" t="s">
        <v>318</v>
      </c>
      <c r="B164" s="217">
        <f>VLOOKUP(Table245[[#This Row],[Location 
(drop-down)]],'List source'!D$2:E$60,2,FALSE)</f>
        <v>115</v>
      </c>
      <c r="C164" s="232" t="s">
        <v>433</v>
      </c>
      <c r="D164" s="201" t="str">
        <f t="shared" si="6"/>
        <v>A163-115-24</v>
      </c>
      <c r="E164" s="51">
        <v>45629</v>
      </c>
      <c r="F164" s="51">
        <v>45630</v>
      </c>
      <c r="G164" s="51"/>
      <c r="H164" s="10" t="s">
        <v>52</v>
      </c>
      <c r="I164" s="10" t="s">
        <v>17</v>
      </c>
      <c r="J164" s="10" t="s">
        <v>60</v>
      </c>
      <c r="K164" s="10"/>
      <c r="L164" s="10" t="s">
        <v>348</v>
      </c>
      <c r="M164" s="50"/>
      <c r="N164" s="10"/>
    </row>
    <row r="165" spans="1:14" ht="30" customHeight="1" x14ac:dyDescent="0.3">
      <c r="A165" s="9" t="s">
        <v>388</v>
      </c>
      <c r="B165" s="13">
        <f>VLOOKUP(Table245[[#This Row],[Location 
(drop-down)]],'List source'!D$2:E$60,2,FALSE)</f>
        <v>191</v>
      </c>
      <c r="C165" s="23" t="s">
        <v>434</v>
      </c>
      <c r="D165" s="30" t="str">
        <f t="shared" si="6"/>
        <v>A164-191-24</v>
      </c>
      <c r="E165" s="51">
        <v>45636</v>
      </c>
      <c r="F165" s="51">
        <v>45637</v>
      </c>
      <c r="G165" s="51">
        <v>45637</v>
      </c>
      <c r="H165" s="10" t="s">
        <v>59</v>
      </c>
      <c r="I165" s="10" t="s">
        <v>26</v>
      </c>
      <c r="J165" s="10" t="s">
        <v>23</v>
      </c>
      <c r="K165" s="10" t="s">
        <v>202</v>
      </c>
      <c r="L165" s="10" t="s">
        <v>73</v>
      </c>
      <c r="M165" s="10" t="s">
        <v>63</v>
      </c>
      <c r="N165" s="10" t="s">
        <v>435</v>
      </c>
    </row>
    <row r="166" spans="1:14" ht="30" customHeight="1" x14ac:dyDescent="0.3">
      <c r="A166" s="9" t="s">
        <v>436</v>
      </c>
      <c r="B166" s="13">
        <f>VLOOKUP(Table245[[#This Row],[Location 
(drop-down)]],'List source'!D$2:E$60,2,FALSE)</f>
        <v>129</v>
      </c>
      <c r="C166" s="23" t="s">
        <v>437</v>
      </c>
      <c r="D166" s="30" t="str">
        <f t="shared" si="6"/>
        <v>A165-129-24</v>
      </c>
      <c r="E166" s="51">
        <v>45652</v>
      </c>
      <c r="F166" s="51">
        <v>45666</v>
      </c>
      <c r="G166" s="51">
        <v>45701</v>
      </c>
      <c r="H166" s="10" t="s">
        <v>16</v>
      </c>
      <c r="I166" s="10" t="s">
        <v>17</v>
      </c>
      <c r="J166" s="10" t="s">
        <v>182</v>
      </c>
      <c r="K166" s="10" t="s">
        <v>438</v>
      </c>
      <c r="L166" s="10" t="s">
        <v>19</v>
      </c>
      <c r="M166" s="50"/>
      <c r="N166" s="10" t="s">
        <v>415</v>
      </c>
    </row>
    <row r="167" spans="1:14" ht="30" customHeight="1" x14ac:dyDescent="0.3">
      <c r="A167" s="9" t="s">
        <v>21</v>
      </c>
      <c r="B167" s="13">
        <f>VLOOKUP(Table245[[#This Row],[Location 
(drop-down)]],'List source'!D$2:E$60,2,FALSE)</f>
        <v>131</v>
      </c>
      <c r="C167" s="23" t="s">
        <v>439</v>
      </c>
      <c r="D167" s="30" t="str">
        <f t="shared" si="6"/>
        <v>A166-131-24</v>
      </c>
      <c r="E167" s="51">
        <v>45643</v>
      </c>
      <c r="F167" s="51">
        <v>45643</v>
      </c>
      <c r="G167" s="51">
        <v>45671</v>
      </c>
      <c r="H167" s="10" t="s">
        <v>52</v>
      </c>
      <c r="I167" s="10" t="s">
        <v>26</v>
      </c>
      <c r="J167" s="10" t="s">
        <v>54</v>
      </c>
      <c r="K167" s="10" t="s">
        <v>440</v>
      </c>
      <c r="L167" s="10" t="s">
        <v>55</v>
      </c>
      <c r="M167" s="50"/>
      <c r="N167" s="10"/>
    </row>
    <row r="168" spans="1:14" ht="30" customHeight="1" x14ac:dyDescent="0.3">
      <c r="A168" s="9" t="s">
        <v>264</v>
      </c>
      <c r="B168" s="13">
        <f>VLOOKUP(Table245[[#This Row],[Location 
(drop-down)]],'List source'!D$2:E$60,2,FALSE)</f>
        <v>132</v>
      </c>
      <c r="C168" s="23" t="s">
        <v>441</v>
      </c>
      <c r="D168" s="30" t="str">
        <f t="shared" si="6"/>
        <v>A167-132-24</v>
      </c>
      <c r="E168" s="51">
        <v>45588</v>
      </c>
      <c r="F168" s="51">
        <v>45588</v>
      </c>
      <c r="G168" s="51">
        <v>45644</v>
      </c>
      <c r="H168" s="10" t="s">
        <v>52</v>
      </c>
      <c r="I168" s="10" t="s">
        <v>26</v>
      </c>
      <c r="J168" s="10" t="s">
        <v>54</v>
      </c>
      <c r="K168" s="10" t="s">
        <v>442</v>
      </c>
      <c r="L168" s="10" t="s">
        <v>125</v>
      </c>
      <c r="M168" s="50"/>
      <c r="N168" s="10"/>
    </row>
    <row r="169" spans="1:14" ht="30" customHeight="1" x14ac:dyDescent="0.3">
      <c r="A169" s="9" t="s">
        <v>261</v>
      </c>
      <c r="B169" s="13">
        <f>VLOOKUP(Table245[[#This Row],[Location 
(drop-down)]],'List source'!D$2:E$60,2,FALSE)</f>
        <v>210</v>
      </c>
      <c r="C169" s="23" t="s">
        <v>443</v>
      </c>
      <c r="D169" s="30" t="str">
        <f t="shared" si="6"/>
        <v>A168-210-24</v>
      </c>
      <c r="E169" s="51">
        <v>45656</v>
      </c>
      <c r="F169" s="51">
        <v>45657</v>
      </c>
      <c r="G169" s="51">
        <v>45659</v>
      </c>
      <c r="H169" s="10" t="s">
        <v>16</v>
      </c>
      <c r="I169" s="10" t="s">
        <v>26</v>
      </c>
      <c r="J169" s="10" t="s">
        <v>49</v>
      </c>
      <c r="K169" s="10"/>
      <c r="L169" s="10" t="s">
        <v>19</v>
      </c>
      <c r="M169" s="50"/>
      <c r="N169" s="10" t="s">
        <v>444</v>
      </c>
    </row>
    <row r="170" spans="1:14" ht="30" customHeight="1" x14ac:dyDescent="0.3">
      <c r="A170" s="9" t="s">
        <v>65</v>
      </c>
      <c r="B170" s="13">
        <f>VLOOKUP(Table245[[#This Row],[Location 
(drop-down)]],'List source'!D$2:E$60,2,FALSE)</f>
        <v>155</v>
      </c>
      <c r="C170" s="23" t="s">
        <v>445</v>
      </c>
      <c r="D170" s="30" t="str">
        <f t="shared" si="6"/>
        <v>A169-155-24</v>
      </c>
      <c r="E170" s="51">
        <v>45642</v>
      </c>
      <c r="F170" s="51">
        <v>45642</v>
      </c>
      <c r="G170" s="51">
        <v>45680</v>
      </c>
      <c r="H170" s="10" t="s">
        <v>31</v>
      </c>
      <c r="I170" s="10" t="s">
        <v>26</v>
      </c>
      <c r="J170" s="10" t="s">
        <v>23</v>
      </c>
      <c r="K170" s="10" t="s">
        <v>446</v>
      </c>
      <c r="L170" s="10" t="s">
        <v>447</v>
      </c>
      <c r="M170" s="50" t="s">
        <v>31</v>
      </c>
      <c r="N170" s="10" t="s">
        <v>448</v>
      </c>
    </row>
    <row r="171" spans="1:14" ht="30" customHeight="1" x14ac:dyDescent="0.3">
      <c r="A171" s="9" t="s">
        <v>186</v>
      </c>
      <c r="B171" s="13">
        <f>VLOOKUP(Table245[[#This Row],[Location 
(drop-down)]],'List source'!D$2:E$60,2,FALSE)</f>
        <v>130</v>
      </c>
      <c r="C171" s="23" t="s">
        <v>449</v>
      </c>
      <c r="D171" s="30" t="str">
        <f t="shared" si="6"/>
        <v>A170-130-24</v>
      </c>
      <c r="E171" s="51">
        <v>45582</v>
      </c>
      <c r="F171" s="51">
        <v>45582</v>
      </c>
      <c r="G171" s="51">
        <v>45714</v>
      </c>
      <c r="H171" s="10" t="s">
        <v>52</v>
      </c>
      <c r="I171" s="10" t="s">
        <v>26</v>
      </c>
      <c r="J171" s="10" t="s">
        <v>54</v>
      </c>
      <c r="K171" s="10" t="s">
        <v>450</v>
      </c>
      <c r="L171" s="10" t="s">
        <v>55</v>
      </c>
      <c r="M171" s="10"/>
      <c r="N171" s="10" t="s">
        <v>451</v>
      </c>
    </row>
    <row r="172" spans="1:14" ht="30" customHeight="1" x14ac:dyDescent="0.3">
      <c r="A172" s="9"/>
      <c r="B172" s="13" t="e">
        <f>VLOOKUP(Table245[[#This Row],[Location 
(drop-down)]],'List source'!D$2:E$60,2,FALSE)</f>
        <v>#N/A</v>
      </c>
      <c r="C172" s="23" t="s">
        <v>452</v>
      </c>
      <c r="D172" s="30" t="e">
        <f t="shared" si="6"/>
        <v>#N/A</v>
      </c>
      <c r="E172" s="51"/>
      <c r="F172" s="51"/>
      <c r="G172" s="51"/>
      <c r="H172" s="10"/>
      <c r="I172" s="10"/>
      <c r="J172" s="10"/>
      <c r="K172" s="10"/>
      <c r="L172" s="10"/>
      <c r="M172" s="10"/>
      <c r="N172" s="10"/>
    </row>
    <row r="173" spans="1:14" ht="30" customHeight="1" x14ac:dyDescent="0.3">
      <c r="A173" s="9"/>
      <c r="B173" s="13" t="e">
        <f>VLOOKUP(Table245[[#This Row],[Location 
(drop-down)]],'List source'!D$2:E$60,2,FALSE)</f>
        <v>#N/A</v>
      </c>
      <c r="C173" s="23" t="s">
        <v>453</v>
      </c>
      <c r="D173" s="30" t="e">
        <f t="shared" si="6"/>
        <v>#N/A</v>
      </c>
      <c r="E173" s="51"/>
      <c r="F173" s="51"/>
      <c r="G173" s="51"/>
      <c r="H173" s="10"/>
      <c r="I173" s="10"/>
      <c r="J173" s="10"/>
      <c r="K173" s="10"/>
      <c r="L173" s="10"/>
      <c r="M173" s="10"/>
      <c r="N173" s="10"/>
    </row>
    <row r="174" spans="1:14" ht="30" customHeight="1" x14ac:dyDescent="0.3">
      <c r="A174" s="9"/>
      <c r="B174" s="13" t="e">
        <f>VLOOKUP(Table245[[#This Row],[Location 
(drop-down)]],'List source'!D$2:E$60,2,FALSE)</f>
        <v>#N/A</v>
      </c>
      <c r="C174" s="23" t="s">
        <v>454</v>
      </c>
      <c r="D174" s="30" t="e">
        <f t="shared" si="6"/>
        <v>#N/A</v>
      </c>
      <c r="E174" s="51"/>
      <c r="F174" s="51"/>
      <c r="G174" s="51"/>
      <c r="H174" s="10"/>
      <c r="I174" s="10"/>
      <c r="J174" s="10"/>
      <c r="K174" s="10"/>
      <c r="L174" s="10"/>
      <c r="M174" s="10"/>
      <c r="N174" s="10"/>
    </row>
    <row r="175" spans="1:14" ht="30" customHeight="1" x14ac:dyDescent="0.3">
      <c r="A175" s="9"/>
      <c r="B175" s="13" t="e">
        <f>VLOOKUP(Table245[[#This Row],[Location 
(drop-down)]],'List source'!D$2:E$60,2,FALSE)</f>
        <v>#N/A</v>
      </c>
      <c r="C175" s="23" t="s">
        <v>455</v>
      </c>
      <c r="D175" s="30" t="e">
        <f t="shared" si="6"/>
        <v>#N/A</v>
      </c>
      <c r="E175" s="51"/>
      <c r="F175" s="51"/>
      <c r="G175" s="51"/>
      <c r="H175" s="10"/>
      <c r="I175" s="10"/>
      <c r="J175" s="10"/>
      <c r="K175" s="10"/>
      <c r="L175" s="10"/>
      <c r="M175" s="10"/>
      <c r="N175" s="10"/>
    </row>
    <row r="176" spans="1:14" ht="30" customHeight="1" x14ac:dyDescent="0.3">
      <c r="A176" s="9"/>
      <c r="B176" s="13" t="e">
        <f>VLOOKUP(Table245[[#This Row],[Location 
(drop-down)]],'List source'!D$2:E$60,2,FALSE)</f>
        <v>#N/A</v>
      </c>
      <c r="C176" s="23" t="s">
        <v>456</v>
      </c>
      <c r="D176" s="30" t="e">
        <f t="shared" si="6"/>
        <v>#N/A</v>
      </c>
      <c r="E176" s="51"/>
      <c r="F176" s="51"/>
      <c r="G176" s="51"/>
      <c r="H176" s="10"/>
      <c r="I176" s="10"/>
      <c r="J176" s="10"/>
      <c r="K176" s="10"/>
      <c r="L176" s="10"/>
      <c r="M176" s="10"/>
      <c r="N176" s="10"/>
    </row>
    <row r="177" spans="1:14" ht="30" customHeight="1" x14ac:dyDescent="0.3">
      <c r="A177" s="9"/>
      <c r="B177" s="13" t="e">
        <f>VLOOKUP(Table245[[#This Row],[Location 
(drop-down)]],'List source'!D$2:E$60,2,FALSE)</f>
        <v>#N/A</v>
      </c>
      <c r="C177" s="23" t="s">
        <v>457</v>
      </c>
      <c r="D177" s="30" t="e">
        <f t="shared" si="6"/>
        <v>#N/A</v>
      </c>
      <c r="E177" s="51"/>
      <c r="F177" s="51"/>
      <c r="G177" s="51"/>
      <c r="H177" s="10"/>
      <c r="I177" s="10"/>
      <c r="J177" s="10"/>
      <c r="K177" s="10"/>
      <c r="L177" s="10"/>
      <c r="M177" s="10"/>
      <c r="N177" s="10"/>
    </row>
    <row r="178" spans="1:14" ht="30" customHeight="1" x14ac:dyDescent="0.3">
      <c r="A178" s="9"/>
      <c r="B178" s="13" t="e">
        <f>VLOOKUP(Table245[[#This Row],[Location 
(drop-down)]],'List source'!D$2:E$60,2,FALSE)</f>
        <v>#N/A</v>
      </c>
      <c r="C178" s="23" t="s">
        <v>458</v>
      </c>
      <c r="D178" s="30" t="e">
        <f t="shared" si="6"/>
        <v>#N/A</v>
      </c>
      <c r="E178" s="51"/>
      <c r="F178" s="51"/>
      <c r="G178" s="51"/>
      <c r="H178" s="10"/>
      <c r="I178" s="10"/>
      <c r="J178" s="10"/>
      <c r="K178" s="10"/>
      <c r="L178" s="10"/>
      <c r="M178" s="10"/>
      <c r="N178" s="10"/>
    </row>
    <row r="179" spans="1:14" ht="30" customHeight="1" x14ac:dyDescent="0.3">
      <c r="A179" s="9"/>
      <c r="B179" s="13" t="e">
        <f>VLOOKUP(Table245[[#This Row],[Location 
(drop-down)]],'List source'!D$2:E$60,2,FALSE)</f>
        <v>#N/A</v>
      </c>
      <c r="C179" s="23" t="s">
        <v>459</v>
      </c>
      <c r="D179" s="30" t="e">
        <f t="shared" si="6"/>
        <v>#N/A</v>
      </c>
      <c r="E179" s="51"/>
      <c r="F179" s="51"/>
      <c r="G179" s="51"/>
      <c r="H179" s="10"/>
      <c r="I179" s="10"/>
      <c r="J179" s="10"/>
      <c r="K179" s="10"/>
      <c r="L179" s="10"/>
      <c r="M179" s="10"/>
      <c r="N179" s="10"/>
    </row>
    <row r="180" spans="1:14" ht="30" customHeight="1" x14ac:dyDescent="0.3">
      <c r="A180" s="9"/>
      <c r="B180" s="13" t="e">
        <f>VLOOKUP(Table245[[#This Row],[Location 
(drop-down)]],'List source'!D$2:E$60,2,FALSE)</f>
        <v>#N/A</v>
      </c>
      <c r="C180" s="23" t="s">
        <v>460</v>
      </c>
      <c r="D180" s="30" t="e">
        <f t="shared" si="6"/>
        <v>#N/A</v>
      </c>
      <c r="E180" s="51"/>
      <c r="F180" s="51"/>
      <c r="G180" s="51"/>
      <c r="H180" s="10"/>
      <c r="I180" s="10"/>
      <c r="J180" s="10"/>
      <c r="K180" s="10"/>
      <c r="L180" s="10"/>
      <c r="M180" s="10"/>
      <c r="N180" s="10"/>
    </row>
    <row r="181" spans="1:14" ht="30" customHeight="1" x14ac:dyDescent="0.3">
      <c r="A181" s="9"/>
      <c r="B181" s="13" t="e">
        <f>VLOOKUP(Table245[[#This Row],[Location 
(drop-down)]],'List source'!D$2:E$60,2,FALSE)</f>
        <v>#N/A</v>
      </c>
      <c r="C181" s="23" t="s">
        <v>461</v>
      </c>
      <c r="D181" s="30" t="e">
        <f t="shared" si="6"/>
        <v>#N/A</v>
      </c>
      <c r="E181" s="51"/>
      <c r="F181" s="51"/>
      <c r="G181" s="51"/>
      <c r="H181" s="10"/>
      <c r="I181" s="10"/>
      <c r="J181" s="10"/>
      <c r="K181" s="10"/>
      <c r="L181" s="10"/>
      <c r="M181" s="10"/>
      <c r="N181" s="10"/>
    </row>
    <row r="182" spans="1:14" ht="30" customHeight="1" x14ac:dyDescent="0.3">
      <c r="A182" s="9"/>
      <c r="B182" s="13" t="e">
        <f>VLOOKUP(Table245[[#This Row],[Location 
(drop-down)]],'List source'!D$2:E$60,2,FALSE)</f>
        <v>#N/A</v>
      </c>
      <c r="C182" s="23" t="s">
        <v>462</v>
      </c>
      <c r="D182" s="30" t="e">
        <f t="shared" si="6"/>
        <v>#N/A</v>
      </c>
      <c r="E182" s="51"/>
      <c r="F182" s="51"/>
      <c r="G182" s="51"/>
      <c r="H182" s="10"/>
      <c r="I182" s="10"/>
      <c r="J182" s="10"/>
      <c r="K182" s="10"/>
      <c r="L182" s="10"/>
      <c r="M182" s="10"/>
      <c r="N182" s="10"/>
    </row>
    <row r="183" spans="1:14" ht="30" customHeight="1" x14ac:dyDescent="0.3">
      <c r="A183" s="9"/>
      <c r="B183" s="13" t="e">
        <f>VLOOKUP(Table245[[#This Row],[Location 
(drop-down)]],'List source'!D$2:E$60,2,FALSE)</f>
        <v>#N/A</v>
      </c>
      <c r="C183" s="23" t="s">
        <v>463</v>
      </c>
      <c r="D183" s="30" t="e">
        <f t="shared" si="6"/>
        <v>#N/A</v>
      </c>
      <c r="E183" s="51"/>
      <c r="F183" s="51"/>
      <c r="G183" s="51"/>
      <c r="H183" s="10"/>
      <c r="I183" s="10"/>
      <c r="J183" s="10"/>
      <c r="K183" s="10"/>
      <c r="L183" s="10"/>
      <c r="M183" s="10"/>
      <c r="N183" s="10"/>
    </row>
    <row r="184" spans="1:14" ht="30" customHeight="1" x14ac:dyDescent="0.3">
      <c r="A184" s="94"/>
      <c r="B184" s="95" t="e">
        <f>VLOOKUP(Table245[[#This Row],[Location 
(drop-down)]],'List source'!D$2:E$60,2,FALSE)</f>
        <v>#N/A</v>
      </c>
      <c r="C184" s="23" t="s">
        <v>464</v>
      </c>
      <c r="D184" s="30" t="e">
        <f t="shared" si="6"/>
        <v>#N/A</v>
      </c>
      <c r="E184" s="161"/>
      <c r="F184" s="161"/>
      <c r="G184" s="161"/>
      <c r="H184" s="98"/>
      <c r="I184" s="98"/>
      <c r="J184" s="98"/>
      <c r="K184" s="98"/>
      <c r="L184" s="98"/>
      <c r="M184" s="98"/>
      <c r="N184" s="98"/>
    </row>
    <row r="185" spans="1:14" ht="30" customHeight="1" x14ac:dyDescent="0.3">
      <c r="A185" s="9"/>
      <c r="B185" s="13" t="e">
        <f>VLOOKUP(Table245[[#This Row],[Location 
(drop-down)]],'List source'!D$2:E$60,2,FALSE)</f>
        <v>#N/A</v>
      </c>
      <c r="C185" s="23" t="s">
        <v>465</v>
      </c>
      <c r="D185" s="30" t="e">
        <f t="shared" si="6"/>
        <v>#N/A</v>
      </c>
      <c r="E185" s="51"/>
      <c r="F185" s="51"/>
      <c r="G185" s="51"/>
      <c r="H185" s="10"/>
      <c r="I185" s="10"/>
      <c r="J185" s="10"/>
      <c r="K185" s="10"/>
      <c r="L185" s="10"/>
      <c r="M185" s="10"/>
      <c r="N185" s="10"/>
    </row>
    <row r="186" spans="1:14" ht="30" customHeight="1" x14ac:dyDescent="0.3">
      <c r="A186" s="9"/>
      <c r="B186" s="13" t="e">
        <f>VLOOKUP(Table245[[#This Row],[Location 
(drop-down)]],'List source'!D$2:E$60,2,FALSE)</f>
        <v>#N/A</v>
      </c>
      <c r="C186" s="23" t="s">
        <v>466</v>
      </c>
      <c r="D186" s="30" t="e">
        <f t="shared" si="6"/>
        <v>#N/A</v>
      </c>
      <c r="E186" s="51"/>
      <c r="F186" s="51"/>
      <c r="G186" s="51"/>
      <c r="H186" s="10"/>
      <c r="I186" s="10"/>
      <c r="J186" s="10"/>
      <c r="K186" s="10"/>
      <c r="L186" s="10"/>
      <c r="M186" s="10"/>
      <c r="N186" s="10"/>
    </row>
    <row r="187" spans="1:14" ht="30" customHeight="1" x14ac:dyDescent="0.3">
      <c r="A187" s="9"/>
      <c r="B187" s="13" t="e">
        <f>VLOOKUP(Table245[[#This Row],[Location 
(drop-down)]],'List source'!D$2:E$60,2,FALSE)</f>
        <v>#N/A</v>
      </c>
      <c r="C187" s="23" t="s">
        <v>467</v>
      </c>
      <c r="D187" s="30" t="e">
        <f t="shared" si="6"/>
        <v>#N/A</v>
      </c>
      <c r="E187" s="51"/>
      <c r="F187" s="51"/>
      <c r="G187" s="51"/>
      <c r="H187" s="10"/>
      <c r="I187" s="10"/>
      <c r="J187" s="10"/>
      <c r="K187" s="10"/>
      <c r="L187" s="10"/>
      <c r="M187" s="10"/>
      <c r="N187" s="10"/>
    </row>
    <row r="188" spans="1:14" ht="30" customHeight="1" x14ac:dyDescent="0.3">
      <c r="A188" s="9"/>
      <c r="B188" s="13" t="e">
        <f>VLOOKUP(Table245[[#This Row],[Location 
(drop-down)]],'List source'!D$2:E$60,2,FALSE)</f>
        <v>#N/A</v>
      </c>
      <c r="C188" s="23" t="s">
        <v>468</v>
      </c>
      <c r="D188" s="30" t="e">
        <f t="shared" si="6"/>
        <v>#N/A</v>
      </c>
      <c r="E188" s="51"/>
      <c r="F188" s="51"/>
      <c r="G188" s="51"/>
      <c r="H188" s="10"/>
      <c r="I188" s="10"/>
      <c r="J188" s="10"/>
      <c r="K188" s="10"/>
      <c r="L188" s="10"/>
      <c r="M188" s="10"/>
      <c r="N188" s="10"/>
    </row>
    <row r="189" spans="1:14" ht="30" customHeight="1" x14ac:dyDescent="0.3">
      <c r="A189" s="9"/>
      <c r="B189" s="13" t="e">
        <f>VLOOKUP(Table245[[#This Row],[Location 
(drop-down)]],'List source'!D$2:E$60,2,FALSE)</f>
        <v>#N/A</v>
      </c>
      <c r="C189" s="23" t="s">
        <v>469</v>
      </c>
      <c r="D189" s="30" t="e">
        <f t="shared" si="6"/>
        <v>#N/A</v>
      </c>
      <c r="E189" s="51"/>
      <c r="F189" s="51"/>
      <c r="G189" s="51"/>
      <c r="H189" s="10"/>
      <c r="I189" s="10"/>
      <c r="J189" s="10"/>
      <c r="K189" s="10"/>
      <c r="L189" s="10"/>
      <c r="M189" s="10"/>
      <c r="N189" s="10"/>
    </row>
    <row r="190" spans="1:14" ht="30" customHeight="1" x14ac:dyDescent="0.3">
      <c r="A190" s="9"/>
      <c r="B190" s="13" t="e">
        <f>VLOOKUP(Table245[[#This Row],[Location 
(drop-down)]],'List source'!D$2:E$60,2,FALSE)</f>
        <v>#N/A</v>
      </c>
      <c r="C190" s="23" t="s">
        <v>470</v>
      </c>
      <c r="D190" s="30" t="e">
        <f t="shared" si="6"/>
        <v>#N/A</v>
      </c>
      <c r="E190" s="51"/>
      <c r="F190" s="51"/>
      <c r="G190" s="51"/>
      <c r="H190" s="10"/>
      <c r="I190" s="10"/>
      <c r="J190" s="10"/>
      <c r="K190" s="10"/>
      <c r="L190" s="10"/>
      <c r="M190" s="10"/>
      <c r="N190" s="10"/>
    </row>
    <row r="191" spans="1:14" ht="30" customHeight="1" x14ac:dyDescent="0.3">
      <c r="A191" s="9"/>
      <c r="B191" s="13" t="e">
        <f>VLOOKUP(Table245[[#This Row],[Location 
(drop-down)]],'List source'!D$2:E$60,2,FALSE)</f>
        <v>#N/A</v>
      </c>
      <c r="C191" s="23" t="s">
        <v>471</v>
      </c>
      <c r="D191" s="30" t="e">
        <f t="shared" si="6"/>
        <v>#N/A</v>
      </c>
      <c r="E191" s="51"/>
      <c r="F191" s="51"/>
      <c r="G191" s="51"/>
      <c r="H191" s="10"/>
      <c r="I191" s="10"/>
      <c r="J191" s="10"/>
      <c r="K191" s="10"/>
      <c r="L191" s="10"/>
      <c r="M191" s="10"/>
      <c r="N191" s="10"/>
    </row>
    <row r="192" spans="1:14" ht="30" customHeight="1" x14ac:dyDescent="0.3">
      <c r="A192" s="9"/>
      <c r="B192" s="13" t="e">
        <f>VLOOKUP(Table245[[#This Row],[Location 
(drop-down)]],'List source'!D$2:E$60,2,FALSE)</f>
        <v>#N/A</v>
      </c>
      <c r="C192" s="23" t="s">
        <v>472</v>
      </c>
      <c r="D192" s="30" t="e">
        <f t="shared" si="6"/>
        <v>#N/A</v>
      </c>
      <c r="E192" s="51"/>
      <c r="F192" s="51"/>
      <c r="G192" s="51"/>
      <c r="H192" s="10"/>
      <c r="I192" s="10"/>
      <c r="J192" s="10"/>
      <c r="K192" s="10"/>
      <c r="L192" s="10"/>
      <c r="M192" s="10"/>
      <c r="N192" s="10"/>
    </row>
    <row r="193" spans="1:14" ht="30" customHeight="1" x14ac:dyDescent="0.3">
      <c r="A193" s="9"/>
      <c r="B193" s="13" t="e">
        <f>VLOOKUP(Table245[[#This Row],[Location 
(drop-down)]],'List source'!D$2:E$60,2,FALSE)</f>
        <v>#N/A</v>
      </c>
      <c r="C193" s="23" t="s">
        <v>473</v>
      </c>
      <c r="D193" s="30" t="e">
        <f t="shared" si="6"/>
        <v>#N/A</v>
      </c>
      <c r="E193" s="51"/>
      <c r="F193" s="51"/>
      <c r="G193" s="51"/>
      <c r="H193" s="10"/>
      <c r="I193" s="10"/>
      <c r="J193" s="10"/>
      <c r="K193" s="10"/>
      <c r="L193" s="10"/>
      <c r="M193" s="10"/>
      <c r="N193" s="10"/>
    </row>
    <row r="194" spans="1:14" ht="30" customHeight="1" x14ac:dyDescent="0.3">
      <c r="A194" s="9"/>
      <c r="B194" s="13" t="e">
        <f>VLOOKUP(Table245[[#This Row],[Location 
(drop-down)]],'List source'!D$2:E$60,2,FALSE)</f>
        <v>#N/A</v>
      </c>
      <c r="C194" s="23" t="s">
        <v>474</v>
      </c>
      <c r="D194" s="30" t="e">
        <f t="shared" ref="D194:D201" si="7">"A" &amp; C194 &amp; "-" &amp; B194 &amp; "-" &amp; "24"</f>
        <v>#N/A</v>
      </c>
      <c r="E194" s="51"/>
      <c r="F194" s="51"/>
      <c r="G194" s="51"/>
      <c r="H194" s="10"/>
      <c r="I194" s="10"/>
      <c r="J194" s="10"/>
      <c r="K194" s="10"/>
      <c r="L194" s="10"/>
      <c r="M194" s="10"/>
      <c r="N194" s="10"/>
    </row>
    <row r="195" spans="1:14" ht="30" customHeight="1" x14ac:dyDescent="0.3">
      <c r="A195" s="9"/>
      <c r="B195" s="13" t="e">
        <f>VLOOKUP(Table245[[#This Row],[Location 
(drop-down)]],'List source'!D$2:E$60,2,FALSE)</f>
        <v>#N/A</v>
      </c>
      <c r="C195" s="23" t="s">
        <v>475</v>
      </c>
      <c r="D195" s="30" t="e">
        <f t="shared" si="7"/>
        <v>#N/A</v>
      </c>
      <c r="E195" s="51"/>
      <c r="F195" s="51"/>
      <c r="G195" s="51"/>
      <c r="H195" s="10"/>
      <c r="I195" s="10"/>
      <c r="J195" s="10"/>
      <c r="K195" s="10"/>
      <c r="L195" s="10"/>
      <c r="M195" s="10"/>
      <c r="N195" s="10"/>
    </row>
    <row r="196" spans="1:14" ht="30" customHeight="1" x14ac:dyDescent="0.3">
      <c r="A196" s="9"/>
      <c r="B196" s="13" t="e">
        <f>VLOOKUP(Table245[[#This Row],[Location 
(drop-down)]],'List source'!D$2:E$60,2,FALSE)</f>
        <v>#N/A</v>
      </c>
      <c r="C196" s="23" t="s">
        <v>476</v>
      </c>
      <c r="D196" s="30" t="e">
        <f t="shared" si="7"/>
        <v>#N/A</v>
      </c>
      <c r="E196" s="51"/>
      <c r="F196" s="51"/>
      <c r="G196" s="51"/>
      <c r="H196" s="10"/>
      <c r="I196" s="10"/>
      <c r="J196" s="10"/>
      <c r="K196" s="10"/>
      <c r="L196" s="10"/>
      <c r="M196" s="10"/>
      <c r="N196" s="10"/>
    </row>
    <row r="197" spans="1:14" ht="30" customHeight="1" x14ac:dyDescent="0.3">
      <c r="A197" s="9"/>
      <c r="B197" s="13" t="e">
        <f>VLOOKUP(Table245[[#This Row],[Location 
(drop-down)]],'List source'!D$2:E$60,2,FALSE)</f>
        <v>#N/A</v>
      </c>
      <c r="C197" s="23" t="s">
        <v>477</v>
      </c>
      <c r="D197" s="30" t="e">
        <f t="shared" si="7"/>
        <v>#N/A</v>
      </c>
      <c r="E197" s="51"/>
      <c r="F197" s="51"/>
      <c r="G197" s="51"/>
      <c r="H197" s="10"/>
      <c r="I197" s="10"/>
      <c r="J197" s="10"/>
      <c r="K197" s="10"/>
      <c r="L197" s="10"/>
      <c r="M197" s="10"/>
      <c r="N197" s="10"/>
    </row>
    <row r="198" spans="1:14" ht="30" customHeight="1" x14ac:dyDescent="0.3">
      <c r="A198" s="9"/>
      <c r="B198" s="13" t="e">
        <f>VLOOKUP(Table245[[#This Row],[Location 
(drop-down)]],'List source'!D$2:E$60,2,FALSE)</f>
        <v>#N/A</v>
      </c>
      <c r="C198" s="23" t="s">
        <v>478</v>
      </c>
      <c r="D198" s="30" t="e">
        <f t="shared" si="7"/>
        <v>#N/A</v>
      </c>
      <c r="E198" s="51"/>
      <c r="F198" s="51"/>
      <c r="G198" s="51"/>
      <c r="H198" s="10"/>
      <c r="I198" s="10"/>
      <c r="J198" s="10"/>
      <c r="K198" s="10"/>
      <c r="L198" s="10"/>
      <c r="M198" s="10"/>
      <c r="N198" s="10"/>
    </row>
    <row r="199" spans="1:14" ht="30" customHeight="1" x14ac:dyDescent="0.3">
      <c r="A199" s="9"/>
      <c r="B199" s="13" t="e">
        <f>VLOOKUP(Table245[[#This Row],[Location 
(drop-down)]],'List source'!D$2:E$60,2,FALSE)</f>
        <v>#N/A</v>
      </c>
      <c r="C199" s="23" t="s">
        <v>479</v>
      </c>
      <c r="D199" s="30" t="e">
        <f t="shared" si="7"/>
        <v>#N/A</v>
      </c>
      <c r="E199" s="51"/>
      <c r="F199" s="51"/>
      <c r="G199" s="51"/>
      <c r="H199" s="10"/>
      <c r="I199" s="10"/>
      <c r="J199" s="10"/>
      <c r="K199" s="10"/>
      <c r="L199" s="10"/>
      <c r="M199" s="10"/>
      <c r="N199" s="10"/>
    </row>
    <row r="200" spans="1:14" ht="30" customHeight="1" x14ac:dyDescent="0.3">
      <c r="A200" s="9"/>
      <c r="B200" s="13" t="e">
        <f>VLOOKUP(Table245[[#This Row],[Location 
(drop-down)]],'List source'!D$2:E$60,2,FALSE)</f>
        <v>#N/A</v>
      </c>
      <c r="C200" s="23" t="s">
        <v>480</v>
      </c>
      <c r="D200" s="30" t="e">
        <f t="shared" si="7"/>
        <v>#N/A</v>
      </c>
      <c r="E200" s="51"/>
      <c r="F200" s="51"/>
      <c r="G200" s="51"/>
      <c r="H200" s="10"/>
      <c r="I200" s="10"/>
      <c r="J200" s="10"/>
      <c r="K200" s="10"/>
      <c r="L200" s="10"/>
      <c r="M200" s="10"/>
      <c r="N200" s="10"/>
    </row>
    <row r="201" spans="1:14" ht="30" customHeight="1" x14ac:dyDescent="0.3">
      <c r="A201" s="9"/>
      <c r="B201" s="13" t="e">
        <f>VLOOKUP(Table245[[#This Row],[Location 
(drop-down)]],'List source'!D$2:E$60,2,FALSE)</f>
        <v>#N/A</v>
      </c>
      <c r="C201" s="23" t="s">
        <v>481</v>
      </c>
      <c r="D201" s="30" t="e">
        <f t="shared" si="7"/>
        <v>#N/A</v>
      </c>
      <c r="E201" s="51"/>
      <c r="F201" s="51"/>
      <c r="G201" s="51"/>
      <c r="H201" s="10"/>
      <c r="I201" s="10"/>
      <c r="J201" s="10"/>
      <c r="K201" s="10"/>
      <c r="L201" s="10"/>
      <c r="M201" s="10"/>
      <c r="N201" s="10"/>
    </row>
  </sheetData>
  <phoneticPr fontId="4" type="noConversion"/>
  <pageMargins left="0.7" right="0.7" top="0.75" bottom="0.75" header="0.3" footer="0.3"/>
  <pageSetup scale="40"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4">
        <x14:dataValidation type="list" allowBlank="1" showInputMessage="1" showErrorMessage="1" xr:uid="{7A823B04-A3FE-4E0B-A863-EBB28A7079B2}">
          <x14:formula1>
            <xm:f>'List source'!$A$25:$A$29</xm:f>
          </x14:formula1>
          <xm:sqref>H2:H54 H56:H201</xm:sqref>
        </x14:dataValidation>
        <x14:dataValidation type="list" allowBlank="1" showInputMessage="1" showErrorMessage="1" xr:uid="{DE4447E7-CC6D-4691-BB4D-90A1AD11933D}">
          <x14:formula1>
            <xm:f>'List source'!$B$25:$B$28</xm:f>
          </x14:formula1>
          <xm:sqref>I2:I201</xm:sqref>
        </x14:dataValidation>
        <x14:dataValidation type="list" allowBlank="1" showInputMessage="1" showErrorMessage="1" xr:uid="{F0B2EAAF-F803-4715-9954-E1755F055EB5}">
          <x14:formula1>
            <xm:f>'List source'!$A$32:$A$35</xm:f>
          </x14:formula1>
          <xm:sqref>M2:M54 M56:M164 M166:M170</xm:sqref>
        </x14:dataValidation>
        <x14:dataValidation type="list" allowBlank="1" showInputMessage="1" showErrorMessage="1" xr:uid="{00000000-0002-0000-0000-000000000000}">
          <x14:formula1>
            <xm:f>'List source'!$D$2:$D$61</xm:f>
          </x14:formula1>
          <xm:sqref>A2:A201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24CB1-320A-4D13-ABED-DC1EEDB0A386}">
  <sheetPr codeName="Sheet5">
    <tabColor rgb="FFC00000"/>
    <pageSetUpPr fitToPage="1"/>
  </sheetPr>
  <dimension ref="A1:N1419"/>
  <sheetViews>
    <sheetView showGridLines="0" zoomScale="70" zoomScaleNormal="70" workbookViewId="0">
      <pane ySplit="1" topLeftCell="A978" activePane="bottomLeft" state="frozen"/>
      <selection activeCell="D1" sqref="D1"/>
      <selection pane="bottomLeft" activeCell="K978" sqref="K978"/>
    </sheetView>
  </sheetViews>
  <sheetFormatPr defaultColWidth="9.44140625" defaultRowHeight="14.4" x14ac:dyDescent="0.3"/>
  <cols>
    <col min="1" max="1" width="26.5546875" style="198" customWidth="1"/>
    <col min="2" max="2" width="9.5546875" style="3" customWidth="1"/>
    <col min="3" max="3" width="7.44140625" style="3" customWidth="1"/>
    <col min="4" max="4" width="27.44140625" style="3" customWidth="1"/>
    <col min="5" max="5" width="56.44140625" style="124" customWidth="1"/>
    <col min="6" max="6" width="21.44140625" style="152" customWidth="1"/>
    <col min="7" max="7" width="32.44140625" style="124" customWidth="1"/>
    <col min="8" max="8" width="33.5546875" style="152" customWidth="1"/>
    <col min="9" max="9" width="16" style="8" customWidth="1"/>
    <col min="10" max="10" width="14.5546875" style="8" customWidth="1"/>
    <col min="11" max="11" width="15.44140625" style="8" customWidth="1"/>
    <col min="12" max="12" width="26.44140625" customWidth="1"/>
    <col min="13" max="13" width="24.5546875" style="3" bestFit="1" customWidth="1"/>
    <col min="14" max="14" width="15.44140625" style="227" customWidth="1"/>
    <col min="15" max="16384" width="9.44140625" style="3"/>
  </cols>
  <sheetData>
    <row r="1" spans="1:14" s="4" customFormat="1" ht="43.2" x14ac:dyDescent="0.3">
      <c r="A1" s="442" t="s">
        <v>482</v>
      </c>
      <c r="B1" s="443" t="s">
        <v>1</v>
      </c>
      <c r="C1" s="443" t="s">
        <v>2</v>
      </c>
      <c r="D1" s="443" t="s">
        <v>483</v>
      </c>
      <c r="E1" s="138" t="s">
        <v>484</v>
      </c>
      <c r="F1" s="138" t="s">
        <v>485</v>
      </c>
      <c r="G1" s="138" t="s">
        <v>486</v>
      </c>
      <c r="H1" s="138" t="s">
        <v>487</v>
      </c>
      <c r="I1" s="138" t="s">
        <v>488</v>
      </c>
      <c r="J1" s="138" t="s">
        <v>489</v>
      </c>
      <c r="K1" s="138" t="s">
        <v>490</v>
      </c>
      <c r="L1" s="137" t="s">
        <v>491</v>
      </c>
      <c r="M1" s="224" t="s">
        <v>492</v>
      </c>
      <c r="N1" s="431" t="s">
        <v>493</v>
      </c>
    </row>
    <row r="2" spans="1:14" s="4" customFormat="1" ht="43.2" x14ac:dyDescent="0.3">
      <c r="A2" s="22" t="s">
        <v>138</v>
      </c>
      <c r="B2" s="27">
        <f>VLOOKUP(Table27[[#This Row],[Location 
(drop-down)]],'List source'!D$2:E$60,2,FALSE)</f>
        <v>110</v>
      </c>
      <c r="C2" s="222" t="s">
        <v>15</v>
      </c>
      <c r="D2" s="30" t="str">
        <f t="shared" ref="D2:D65" si="0">"PTO" &amp; C2 &amp; "-" &amp; B2 &amp; "-" &amp; "24"</f>
        <v>PTO001-110-24</v>
      </c>
      <c r="E2" s="180" t="s">
        <v>494</v>
      </c>
      <c r="F2" s="154" t="str" cm="1">
        <f t="array" aca="1" ref="F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2" s="1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Sulfate</v>
      </c>
      <c r="H2" s="154">
        <v>2.12</v>
      </c>
      <c r="I2" s="24">
        <v>45301</v>
      </c>
      <c r="J2" s="24" t="s">
        <v>495</v>
      </c>
      <c r="K2" s="76">
        <v>45301</v>
      </c>
      <c r="L2" s="10" t="s">
        <v>496</v>
      </c>
      <c r="M2" s="426">
        <v>1</v>
      </c>
      <c r="N2" s="13" t="str">
        <f t="shared" ref="N2:N65" ca="1" si="1">IF(ISBLANK(K2), TODAY()-(I2), "CLOSED")</f>
        <v>CLOSED</v>
      </c>
    </row>
    <row r="3" spans="1:14" s="4" customFormat="1" ht="18" x14ac:dyDescent="0.3">
      <c r="A3" s="9" t="s">
        <v>138</v>
      </c>
      <c r="B3" s="13">
        <f>VLOOKUP(Table27[[#This Row],[Location 
(drop-down)]],'List source'!D$2:E$60,2,FALSE)</f>
        <v>110</v>
      </c>
      <c r="C3" s="222" t="s">
        <v>22</v>
      </c>
      <c r="D3" s="30" t="str">
        <f t="shared" si="0"/>
        <v>PTO002-110-24</v>
      </c>
      <c r="E3" s="334" t="s">
        <v>497</v>
      </c>
      <c r="F3" s="154" t="str" cm="1">
        <f t="array" aca="1" ref="F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3" s="1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3" s="154">
        <v>12.14</v>
      </c>
      <c r="I3" s="24">
        <v>45301</v>
      </c>
      <c r="J3" s="24" t="s">
        <v>498</v>
      </c>
      <c r="K3" s="77">
        <v>45610</v>
      </c>
      <c r="L3" s="10"/>
      <c r="M3" s="427">
        <v>2</v>
      </c>
      <c r="N3" s="13" t="str">
        <f t="shared" ca="1" si="1"/>
        <v>CLOSED</v>
      </c>
    </row>
    <row r="4" spans="1:14" s="4" customFormat="1" ht="28.8" x14ac:dyDescent="0.3">
      <c r="A4" s="9" t="s">
        <v>107</v>
      </c>
      <c r="B4" s="13">
        <f>VLOOKUP(Table27[[#This Row],[Location 
(drop-down)]],'List source'!D$2:E$60,2,FALSE)</f>
        <v>120</v>
      </c>
      <c r="C4" s="222" t="s">
        <v>25</v>
      </c>
      <c r="D4" s="30" t="str">
        <f t="shared" si="0"/>
        <v>PTO003-120-24</v>
      </c>
      <c r="E4" s="9" t="s">
        <v>499</v>
      </c>
      <c r="F4" s="25" t="str" cm="1">
        <f t="array" aca="1" ref="F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 s="154">
        <v>6.24</v>
      </c>
      <c r="I4" s="24">
        <v>45301</v>
      </c>
      <c r="J4" s="24" t="s">
        <v>182</v>
      </c>
      <c r="K4" s="77">
        <v>45559</v>
      </c>
      <c r="L4" s="86"/>
      <c r="M4" s="427">
        <v>3</v>
      </c>
      <c r="N4" s="13" t="str">
        <f t="shared" ca="1" si="1"/>
        <v>CLOSED</v>
      </c>
    </row>
    <row r="5" spans="1:14" s="4" customFormat="1" ht="43.2" x14ac:dyDescent="0.3">
      <c r="A5" s="9" t="s">
        <v>21</v>
      </c>
      <c r="B5" s="13">
        <f>VLOOKUP(Table27[[#This Row],[Location 
(drop-down)]],'List source'!D$2:E$60,2,FALSE)</f>
        <v>131</v>
      </c>
      <c r="C5" s="222" t="s">
        <v>30</v>
      </c>
      <c r="D5" s="30" t="str">
        <f t="shared" si="0"/>
        <v>PTO004-131-24</v>
      </c>
      <c r="E5" s="9" t="s">
        <v>494</v>
      </c>
      <c r="F5" s="25" t="str" cm="1">
        <f t="array" aca="1" ref="F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5"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Sulfate</v>
      </c>
      <c r="H5" s="154">
        <v>2.12</v>
      </c>
      <c r="I5" s="24">
        <v>45301</v>
      </c>
      <c r="J5" s="24" t="s">
        <v>495</v>
      </c>
      <c r="K5" s="77">
        <v>45301</v>
      </c>
      <c r="L5" s="10" t="s">
        <v>496</v>
      </c>
      <c r="M5" s="426">
        <v>4</v>
      </c>
      <c r="N5" s="13" t="str">
        <f t="shared" ca="1" si="1"/>
        <v>CLOSED</v>
      </c>
    </row>
    <row r="6" spans="1:14" s="4" customFormat="1" ht="18" x14ac:dyDescent="0.3">
      <c r="A6" s="9" t="s">
        <v>157</v>
      </c>
      <c r="B6" s="13">
        <f>VLOOKUP(Table27[[#This Row],[Location 
(drop-down)]],'List source'!D$2:E$60,2,FALSE)</f>
        <v>136</v>
      </c>
      <c r="C6" s="222" t="s">
        <v>36</v>
      </c>
      <c r="D6" s="30" t="str">
        <f t="shared" si="0"/>
        <v>PTO005-136-24</v>
      </c>
      <c r="E6" s="102" t="s">
        <v>500</v>
      </c>
      <c r="F6" s="107" t="str" cm="1">
        <f t="array" aca="1" ref="F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6"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6" s="182">
        <v>2.16</v>
      </c>
      <c r="I6" s="12">
        <v>45301</v>
      </c>
      <c r="J6" s="12" t="s">
        <v>501</v>
      </c>
      <c r="K6" s="77">
        <v>45330</v>
      </c>
      <c r="L6" s="10"/>
      <c r="M6" s="427">
        <v>5</v>
      </c>
      <c r="N6" s="13" t="str">
        <f t="shared" ca="1" si="1"/>
        <v>CLOSED</v>
      </c>
    </row>
    <row r="7" spans="1:14" s="4" customFormat="1" ht="18" x14ac:dyDescent="0.3">
      <c r="A7" s="9" t="s">
        <v>273</v>
      </c>
      <c r="B7" s="13">
        <f>VLOOKUP(Table27[[#This Row],[Location 
(drop-down)]],'List source'!D$2:E$60,2,FALSE)</f>
        <v>140</v>
      </c>
      <c r="C7" s="222" t="s">
        <v>38</v>
      </c>
      <c r="D7" s="30" t="str">
        <f t="shared" si="0"/>
        <v>PTO006-140-24</v>
      </c>
      <c r="E7" s="102" t="s">
        <v>502</v>
      </c>
      <c r="F7" s="107" t="str" cm="1">
        <f t="array" aca="1" ref="F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7" s="107">
        <v>2.4500000000000002</v>
      </c>
      <c r="I7" s="12">
        <v>45301</v>
      </c>
      <c r="J7" s="12" t="s">
        <v>182</v>
      </c>
      <c r="K7" s="77">
        <v>45539</v>
      </c>
      <c r="L7" s="10"/>
      <c r="M7" s="427">
        <v>6</v>
      </c>
      <c r="N7" s="13" t="str">
        <f t="shared" ca="1" si="1"/>
        <v>CLOSED</v>
      </c>
    </row>
    <row r="8" spans="1:14" s="4" customFormat="1" ht="18" x14ac:dyDescent="0.3">
      <c r="A8" s="9" t="s">
        <v>145</v>
      </c>
      <c r="B8" s="13">
        <f>VLOOKUP(Table27[[#This Row],[Location 
(drop-down)]],'List source'!D$2:E$60,2,FALSE)</f>
        <v>145</v>
      </c>
      <c r="C8" s="222" t="s">
        <v>40</v>
      </c>
      <c r="D8" s="30" t="str">
        <f t="shared" si="0"/>
        <v>PTO007-145-24</v>
      </c>
      <c r="E8" s="102" t="s">
        <v>503</v>
      </c>
      <c r="F8" s="107" t="str" cm="1">
        <f t="array" aca="1" ref="F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8"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 s="107">
        <v>3.21</v>
      </c>
      <c r="I8" s="12">
        <v>45301</v>
      </c>
      <c r="J8" s="12" t="s">
        <v>182</v>
      </c>
      <c r="K8" s="77">
        <v>45356</v>
      </c>
      <c r="L8" s="10"/>
      <c r="M8" s="427">
        <v>7</v>
      </c>
      <c r="N8" s="13" t="str">
        <f t="shared" ca="1" si="1"/>
        <v>CLOSED</v>
      </c>
    </row>
    <row r="9" spans="1:14" s="4" customFormat="1" ht="18" x14ac:dyDescent="0.3">
      <c r="A9" s="9" t="s">
        <v>147</v>
      </c>
      <c r="B9" s="13">
        <f>VLOOKUP(Table27[[#This Row],[Location 
(drop-down)]],'List source'!D$2:E$61,2,FALSE)</f>
        <v>185</v>
      </c>
      <c r="C9" s="222" t="s">
        <v>43</v>
      </c>
      <c r="D9" s="30" t="str">
        <f t="shared" si="0"/>
        <v>PTO008-185-24</v>
      </c>
      <c r="E9" s="102" t="s">
        <v>504</v>
      </c>
      <c r="F9" s="107" t="str" cm="1">
        <f t="array" aca="1" ref="F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9"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9" s="107">
        <v>2.92</v>
      </c>
      <c r="I9" s="12">
        <v>45301</v>
      </c>
      <c r="J9" s="12" t="s">
        <v>498</v>
      </c>
      <c r="K9" s="77">
        <v>45328</v>
      </c>
      <c r="L9" s="10"/>
      <c r="M9" s="427">
        <v>8</v>
      </c>
      <c r="N9" s="13" t="str">
        <f t="shared" ca="1" si="1"/>
        <v>CLOSED</v>
      </c>
    </row>
    <row r="10" spans="1:14" s="4" customFormat="1" ht="18" x14ac:dyDescent="0.3">
      <c r="A10" s="9" t="s">
        <v>147</v>
      </c>
      <c r="B10" s="13">
        <f>VLOOKUP(Table27[[#This Row],[Location 
(drop-down)]],'List source'!D$2:E$61,2,FALSE)</f>
        <v>185</v>
      </c>
      <c r="C10" s="222" t="s">
        <v>45</v>
      </c>
      <c r="D10" s="30" t="str">
        <f t="shared" si="0"/>
        <v>PTO009-185-24</v>
      </c>
      <c r="E10" s="102" t="s">
        <v>505</v>
      </c>
      <c r="F10" s="107" t="str" cm="1">
        <f t="array" aca="1" ref="F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0"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10" s="107">
        <v>-6.31</v>
      </c>
      <c r="I10" s="12">
        <v>45301</v>
      </c>
      <c r="J10" s="12" t="s">
        <v>49</v>
      </c>
      <c r="K10" s="77">
        <v>45337</v>
      </c>
      <c r="L10" s="10"/>
      <c r="M10" s="427">
        <v>9</v>
      </c>
      <c r="N10" s="13" t="str">
        <f t="shared" ca="1" si="1"/>
        <v>CLOSED</v>
      </c>
    </row>
    <row r="11" spans="1:14" s="4" customFormat="1" ht="43.2" x14ac:dyDescent="0.3">
      <c r="A11" s="9" t="s">
        <v>388</v>
      </c>
      <c r="B11" s="13">
        <f>VLOOKUP(Table27[[#This Row],[Location 
(drop-down)]],'List source'!D$2:E$60,2,FALSE)</f>
        <v>191</v>
      </c>
      <c r="C11" s="222" t="s">
        <v>48</v>
      </c>
      <c r="D11" s="30" t="str">
        <f t="shared" si="0"/>
        <v>PTO010-191-24</v>
      </c>
      <c r="E11" s="102" t="s">
        <v>506</v>
      </c>
      <c r="F11" s="107" t="str" cm="1">
        <f t="array" aca="1" ref="F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1"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Chloride</v>
      </c>
      <c r="H11" s="107">
        <v>2.7</v>
      </c>
      <c r="I11" s="12">
        <v>45301</v>
      </c>
      <c r="J11" s="12" t="s">
        <v>495</v>
      </c>
      <c r="K11" s="77">
        <v>45301</v>
      </c>
      <c r="L11" s="10" t="s">
        <v>496</v>
      </c>
      <c r="M11" s="426">
        <v>10</v>
      </c>
      <c r="N11" s="13" t="str">
        <f t="shared" ca="1" si="1"/>
        <v>CLOSED</v>
      </c>
    </row>
    <row r="12" spans="1:14" s="4" customFormat="1" ht="18" x14ac:dyDescent="0.3">
      <c r="A12" s="9" t="s">
        <v>388</v>
      </c>
      <c r="B12" s="13">
        <f>VLOOKUP(Table27[[#This Row],[Location 
(drop-down)]],'List source'!D$2:E$60,2,FALSE)</f>
        <v>191</v>
      </c>
      <c r="C12" s="222" t="s">
        <v>51</v>
      </c>
      <c r="D12" s="30" t="str">
        <f t="shared" si="0"/>
        <v>PTO011-191-24</v>
      </c>
      <c r="E12" s="102" t="s">
        <v>502</v>
      </c>
      <c r="F12" s="107" t="str" cm="1">
        <f t="array" aca="1" ref="F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2"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12" s="107">
        <v>2.4500000000000002</v>
      </c>
      <c r="I12" s="12">
        <v>45301</v>
      </c>
      <c r="J12" s="12" t="s">
        <v>501</v>
      </c>
      <c r="K12" s="77">
        <v>45422</v>
      </c>
      <c r="L12" s="10"/>
      <c r="M12" s="427">
        <v>11</v>
      </c>
      <c r="N12" s="13" t="str">
        <f t="shared" ca="1" si="1"/>
        <v>CLOSED</v>
      </c>
    </row>
    <row r="13" spans="1:14" s="4" customFormat="1" ht="18" x14ac:dyDescent="0.3">
      <c r="A13" s="9" t="s">
        <v>288</v>
      </c>
      <c r="B13" s="13">
        <f>VLOOKUP(Table27[[#This Row],[Location 
(drop-down)]],'List source'!D$2:E$60,2,FALSE)</f>
        <v>197</v>
      </c>
      <c r="C13" s="222" t="s">
        <v>58</v>
      </c>
      <c r="D13" s="30" t="str">
        <f t="shared" si="0"/>
        <v>PTO012-197-24</v>
      </c>
      <c r="E13" s="81" t="s">
        <v>507</v>
      </c>
      <c r="F13" s="93" t="str" cm="1">
        <f t="array" aca="1" ref="F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 s="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Ethanol</v>
      </c>
      <c r="H13" s="93">
        <v>2.95</v>
      </c>
      <c r="I13" s="12">
        <v>45301</v>
      </c>
      <c r="J13" s="12" t="s">
        <v>41</v>
      </c>
      <c r="K13" s="77">
        <v>45657</v>
      </c>
      <c r="L13" s="10"/>
      <c r="M13" s="427">
        <v>12</v>
      </c>
      <c r="N13" s="13" t="str">
        <f t="shared" ca="1" si="1"/>
        <v>CLOSED</v>
      </c>
    </row>
    <row r="14" spans="1:14" s="4" customFormat="1" ht="18" x14ac:dyDescent="0.3">
      <c r="A14" s="9" t="s">
        <v>288</v>
      </c>
      <c r="B14" s="13">
        <f>VLOOKUP(Table27[[#This Row],[Location 
(drop-down)]],'List source'!D$2:E$60,2,FALSE)</f>
        <v>197</v>
      </c>
      <c r="C14" s="222" t="s">
        <v>66</v>
      </c>
      <c r="D14" s="30" t="str">
        <f t="shared" si="0"/>
        <v>PTO013-197-24</v>
      </c>
      <c r="E14" s="81" t="s">
        <v>508</v>
      </c>
      <c r="F14" s="93" t="str" cm="1">
        <f t="array" aca="1" ref="F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4" s="8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14" s="93">
        <v>11.49</v>
      </c>
      <c r="I14" s="12">
        <v>45301</v>
      </c>
      <c r="J14" s="12" t="s">
        <v>41</v>
      </c>
      <c r="K14" s="77">
        <v>45601</v>
      </c>
      <c r="L14" s="10"/>
      <c r="M14" s="427">
        <v>13</v>
      </c>
      <c r="N14" s="13" t="str">
        <f t="shared" ca="1" si="1"/>
        <v>CLOSED</v>
      </c>
    </row>
    <row r="15" spans="1:14" s="4" customFormat="1" ht="18" x14ac:dyDescent="0.3">
      <c r="A15" s="9" t="s">
        <v>318</v>
      </c>
      <c r="B15" s="13">
        <f>VLOOKUP(Table27[[#This Row],[Location 
(drop-down)]],'List source'!D$2:E$60,2,FALSE)</f>
        <v>115</v>
      </c>
      <c r="C15" s="222" t="s">
        <v>69</v>
      </c>
      <c r="D15" s="30" t="str">
        <f t="shared" si="0"/>
        <v>PTO014-115-24</v>
      </c>
      <c r="E15" s="9" t="s">
        <v>509</v>
      </c>
      <c r="F15" s="10" t="str" cm="1">
        <f t="array" aca="1" ref="F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5" s="10">
        <v>3.46</v>
      </c>
      <c r="I15" s="12">
        <v>45301</v>
      </c>
      <c r="J15" s="12" t="s">
        <v>495</v>
      </c>
      <c r="K15" s="77">
        <v>45303</v>
      </c>
      <c r="L15" s="10" t="s">
        <v>510</v>
      </c>
      <c r="M15" s="427">
        <v>14</v>
      </c>
      <c r="N15" s="13" t="str">
        <f t="shared" ca="1" si="1"/>
        <v>CLOSED</v>
      </c>
    </row>
    <row r="16" spans="1:14" s="4" customFormat="1" ht="43.2" x14ac:dyDescent="0.3">
      <c r="A16" s="9" t="s">
        <v>157</v>
      </c>
      <c r="B16" s="13">
        <f>VLOOKUP(Table27[[#This Row],[Location 
(drop-down)]],'List source'!D$2:E$60,2,FALSE)</f>
        <v>136</v>
      </c>
      <c r="C16" s="222" t="s">
        <v>71</v>
      </c>
      <c r="D16" s="30" t="str">
        <f t="shared" si="0"/>
        <v>PTO015-136-24</v>
      </c>
      <c r="E16" s="9" t="s">
        <v>511</v>
      </c>
      <c r="F16" s="10" t="str" cm="1">
        <f t="array" aca="1" ref="F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6" s="10">
        <v>2.13</v>
      </c>
      <c r="I16" s="12">
        <v>45301</v>
      </c>
      <c r="J16" s="12" t="s">
        <v>495</v>
      </c>
      <c r="K16" s="77">
        <v>45301</v>
      </c>
      <c r="L16" s="10" t="s">
        <v>496</v>
      </c>
      <c r="M16" s="426">
        <v>15</v>
      </c>
      <c r="N16" s="13" t="str">
        <f t="shared" ca="1" si="1"/>
        <v>CLOSED</v>
      </c>
    </row>
    <row r="17" spans="1:14" s="4" customFormat="1" ht="18" x14ac:dyDescent="0.3">
      <c r="A17" s="9" t="s">
        <v>157</v>
      </c>
      <c r="B17" s="13">
        <f>VLOOKUP(Table27[[#This Row],[Location 
(drop-down)]],'List source'!D$2:E$60,2,FALSE)</f>
        <v>136</v>
      </c>
      <c r="C17" s="222" t="s">
        <v>76</v>
      </c>
      <c r="D17" s="30" t="str">
        <f t="shared" si="0"/>
        <v>PTO016-136-24</v>
      </c>
      <c r="E17" s="9" t="s">
        <v>512</v>
      </c>
      <c r="F17" s="10" t="str" cm="1">
        <f t="array" aca="1" ref="F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Temp</v>
      </c>
      <c r="H17" s="10">
        <v>-2.5</v>
      </c>
      <c r="I17" s="12">
        <v>45301</v>
      </c>
      <c r="J17" s="12" t="s">
        <v>501</v>
      </c>
      <c r="K17" s="77">
        <v>45315</v>
      </c>
      <c r="L17" s="10"/>
      <c r="M17" s="427">
        <v>16</v>
      </c>
      <c r="N17" s="13" t="str">
        <f t="shared" ca="1" si="1"/>
        <v>CLOSED</v>
      </c>
    </row>
    <row r="18" spans="1:14" s="4" customFormat="1" ht="18" x14ac:dyDescent="0.3">
      <c r="A18" s="9" t="s">
        <v>388</v>
      </c>
      <c r="B18" s="13">
        <f>VLOOKUP(Table27[[#This Row],[Location 
(drop-down)]],'List source'!D$2:E$60,2,FALSE)</f>
        <v>191</v>
      </c>
      <c r="C18" s="222" t="s">
        <v>77</v>
      </c>
      <c r="D18" s="30" t="str">
        <f t="shared" si="0"/>
        <v>PTO017-191-24</v>
      </c>
      <c r="E18" s="9" t="s">
        <v>513</v>
      </c>
      <c r="F18" s="10" t="str" cm="1">
        <f t="array" aca="1" ref="F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8" s="10">
        <v>-3.01</v>
      </c>
      <c r="I18" s="12">
        <v>45301</v>
      </c>
      <c r="J18" s="12" t="s">
        <v>501</v>
      </c>
      <c r="K18" s="77">
        <v>45595</v>
      </c>
      <c r="L18" s="10"/>
      <c r="M18" s="427">
        <v>17</v>
      </c>
      <c r="N18" s="13" t="str">
        <f t="shared" ca="1" si="1"/>
        <v>CLOSED</v>
      </c>
    </row>
    <row r="19" spans="1:14" s="4" customFormat="1" ht="43.2" x14ac:dyDescent="0.3">
      <c r="A19" s="9" t="s">
        <v>318</v>
      </c>
      <c r="B19" s="13">
        <f>VLOOKUP(Table27[[#This Row],[Location 
(drop-down)]],'List source'!D$2:E$60,2,FALSE)</f>
        <v>115</v>
      </c>
      <c r="C19" s="222" t="s">
        <v>78</v>
      </c>
      <c r="D19" s="30" t="str">
        <f t="shared" si="0"/>
        <v>PTO018-115-24</v>
      </c>
      <c r="E19" s="9" t="s">
        <v>514</v>
      </c>
      <c r="F19" s="10" t="str" cm="1">
        <f t="array" aca="1" ref="F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 s="10" t="s">
        <v>515</v>
      </c>
      <c r="I19" s="12">
        <v>45302</v>
      </c>
      <c r="J19" s="12" t="s">
        <v>495</v>
      </c>
      <c r="K19" s="77">
        <v>45302</v>
      </c>
      <c r="L19" s="10" t="s">
        <v>496</v>
      </c>
      <c r="M19" s="426">
        <v>18</v>
      </c>
      <c r="N19" s="13" t="str">
        <f t="shared" ca="1" si="1"/>
        <v>CLOSED</v>
      </c>
    </row>
    <row r="20" spans="1:14" s="4" customFormat="1" ht="18" x14ac:dyDescent="0.3">
      <c r="A20" s="9" t="s">
        <v>318</v>
      </c>
      <c r="B20" s="13">
        <f>VLOOKUP(Table27[[#This Row],[Location 
(drop-down)]],'List source'!D$2:E$60,2,FALSE)</f>
        <v>115</v>
      </c>
      <c r="C20" s="222" t="s">
        <v>82</v>
      </c>
      <c r="D20" s="30" t="str">
        <f t="shared" si="0"/>
        <v>PTO019-115-24</v>
      </c>
      <c r="E20" s="9" t="s">
        <v>516</v>
      </c>
      <c r="F20" s="10" t="str" cm="1">
        <f t="array" aca="1" ref="F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20" s="10">
        <v>2.4500000000000002</v>
      </c>
      <c r="I20" s="12">
        <v>45302</v>
      </c>
      <c r="J20" s="12" t="s">
        <v>495</v>
      </c>
      <c r="K20" s="77">
        <v>45303</v>
      </c>
      <c r="L20" s="10" t="s">
        <v>510</v>
      </c>
      <c r="M20" s="427">
        <v>19</v>
      </c>
      <c r="N20" s="13" t="str">
        <f t="shared" ca="1" si="1"/>
        <v>CLOSED</v>
      </c>
    </row>
    <row r="21" spans="1:14" s="4" customFormat="1" ht="18" x14ac:dyDescent="0.3">
      <c r="A21" s="9" t="s">
        <v>157</v>
      </c>
      <c r="B21" s="13">
        <f>VLOOKUP(Table27[[#This Row],[Location 
(drop-down)]],'List source'!D$2:E$60,2,FALSE)</f>
        <v>136</v>
      </c>
      <c r="C21" s="222" t="s">
        <v>87</v>
      </c>
      <c r="D21" s="30" t="str">
        <f t="shared" si="0"/>
        <v>PTO020-136-24</v>
      </c>
      <c r="E21" s="9" t="s">
        <v>517</v>
      </c>
      <c r="F21" s="10" t="str" cm="1">
        <f t="array" aca="1" ref="F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 s="39" t="s">
        <v>518</v>
      </c>
      <c r="I21" s="12">
        <v>45302</v>
      </c>
      <c r="J21" s="12" t="s">
        <v>501</v>
      </c>
      <c r="K21" s="77">
        <v>45371</v>
      </c>
      <c r="L21" s="10"/>
      <c r="M21" s="427">
        <v>20</v>
      </c>
      <c r="N21" s="13" t="str">
        <f t="shared" ca="1" si="1"/>
        <v>CLOSED</v>
      </c>
    </row>
    <row r="22" spans="1:14" s="4" customFormat="1" ht="43.2" x14ac:dyDescent="0.3">
      <c r="A22" s="9" t="s">
        <v>70</v>
      </c>
      <c r="B22" s="13">
        <f>VLOOKUP(Table27[[#This Row],[Location 
(drop-down)]],'List source'!D$2:E$60,2,FALSE)</f>
        <v>146</v>
      </c>
      <c r="C22" s="222" t="s">
        <v>89</v>
      </c>
      <c r="D22" s="30" t="str">
        <f t="shared" si="0"/>
        <v>PTO021-146-24</v>
      </c>
      <c r="E22" s="9" t="s">
        <v>519</v>
      </c>
      <c r="F22" s="10" t="str" cm="1">
        <f t="array" aca="1" ref="F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22" s="10">
        <v>2.16</v>
      </c>
      <c r="I22" s="12">
        <v>45302</v>
      </c>
      <c r="J22" s="12" t="s">
        <v>495</v>
      </c>
      <c r="K22" s="77">
        <v>45302</v>
      </c>
      <c r="L22" s="10" t="s">
        <v>496</v>
      </c>
      <c r="M22" s="426">
        <v>21</v>
      </c>
      <c r="N22" s="13" t="str">
        <f t="shared" ca="1" si="1"/>
        <v>CLOSED</v>
      </c>
    </row>
    <row r="23" spans="1:14" s="4" customFormat="1" ht="43.2" x14ac:dyDescent="0.3">
      <c r="A23" s="9" t="s">
        <v>57</v>
      </c>
      <c r="B23" s="13">
        <f>VLOOKUP(Table27[[#This Row],[Location 
(drop-down)]],'List source'!D$2:E$60,2,FALSE)</f>
        <v>170</v>
      </c>
      <c r="C23" s="222" t="s">
        <v>91</v>
      </c>
      <c r="D23" s="30" t="str">
        <f t="shared" si="0"/>
        <v>PTO022-170-24</v>
      </c>
      <c r="E23" s="9" t="s">
        <v>520</v>
      </c>
      <c r="F23" s="10" t="str" cm="1">
        <f t="array" aca="1" ref="F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 s="10" t="s">
        <v>521</v>
      </c>
      <c r="I23" s="12">
        <v>45302</v>
      </c>
      <c r="J23" s="12" t="s">
        <v>495</v>
      </c>
      <c r="K23" s="77">
        <v>45302</v>
      </c>
      <c r="L23" s="10" t="s">
        <v>496</v>
      </c>
      <c r="M23" s="426">
        <v>22</v>
      </c>
      <c r="N23" s="13" t="str">
        <f t="shared" ca="1" si="1"/>
        <v>CLOSED</v>
      </c>
    </row>
    <row r="24" spans="1:14" s="4" customFormat="1" ht="43.2" x14ac:dyDescent="0.3">
      <c r="A24" s="9" t="s">
        <v>57</v>
      </c>
      <c r="B24" s="13">
        <f>VLOOKUP(Table27[[#This Row],[Location 
(drop-down)]],'List source'!D$2:E$60,2,FALSE)</f>
        <v>170</v>
      </c>
      <c r="C24" s="222" t="s">
        <v>94</v>
      </c>
      <c r="D24" s="30" t="str">
        <f t="shared" si="0"/>
        <v>PTO023-170-24</v>
      </c>
      <c r="E24" s="9" t="s">
        <v>522</v>
      </c>
      <c r="F24" s="10" t="str" cm="1">
        <f t="array" aca="1" ref="F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v>
      </c>
      <c r="H24" s="10">
        <v>2.27</v>
      </c>
      <c r="I24" s="12">
        <v>45302</v>
      </c>
      <c r="J24" s="12" t="s">
        <v>495</v>
      </c>
      <c r="K24" s="77">
        <v>45302</v>
      </c>
      <c r="L24" s="10" t="s">
        <v>496</v>
      </c>
      <c r="M24" s="426">
        <v>23</v>
      </c>
      <c r="N24" s="13" t="str">
        <f t="shared" ca="1" si="1"/>
        <v>CLOSED</v>
      </c>
    </row>
    <row r="25" spans="1:14" s="4" customFormat="1" ht="43.2" x14ac:dyDescent="0.3">
      <c r="A25" s="9" t="s">
        <v>57</v>
      </c>
      <c r="B25" s="13">
        <f>VLOOKUP(Table27[[#This Row],[Location 
(drop-down)]],'List source'!D$2:E$60,2,FALSE)</f>
        <v>170</v>
      </c>
      <c r="C25" s="222" t="s">
        <v>96</v>
      </c>
      <c r="D25" s="30" t="str">
        <f t="shared" si="0"/>
        <v>PTO024-170-24</v>
      </c>
      <c r="E25" s="9" t="s">
        <v>523</v>
      </c>
      <c r="F25" s="10" t="str" cm="1">
        <f t="array" aca="1" ref="F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25" s="366" t="s">
        <v>524</v>
      </c>
      <c r="H25" s="10">
        <v>2.11</v>
      </c>
      <c r="I25" s="14">
        <v>45302</v>
      </c>
      <c r="J25" s="12" t="s">
        <v>495</v>
      </c>
      <c r="K25" s="77">
        <v>45302</v>
      </c>
      <c r="L25" s="10" t="s">
        <v>496</v>
      </c>
      <c r="M25" s="426">
        <v>24</v>
      </c>
      <c r="N25" s="13" t="str">
        <f t="shared" ca="1" si="1"/>
        <v>CLOSED</v>
      </c>
    </row>
    <row r="26" spans="1:14" s="4" customFormat="1" ht="28.8" x14ac:dyDescent="0.3">
      <c r="A26" s="9" t="s">
        <v>138</v>
      </c>
      <c r="B26" s="13">
        <f>VLOOKUP(Table27[[#This Row],[Location 
(drop-down)]],'List source'!D$2:E$60,2,FALSE)</f>
        <v>110</v>
      </c>
      <c r="C26" s="222" t="s">
        <v>97</v>
      </c>
      <c r="D26" s="30" t="str">
        <f t="shared" si="0"/>
        <v>PTO025-110-24</v>
      </c>
      <c r="E26" s="101" t="s">
        <v>525</v>
      </c>
      <c r="F26" s="13" t="str" cm="1">
        <f t="array" aca="1" ref="F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6" s="13">
        <v>-2.2400000000000002</v>
      </c>
      <c r="I26" s="12">
        <v>45306</v>
      </c>
      <c r="J26" s="12" t="s">
        <v>498</v>
      </c>
      <c r="K26" s="77">
        <v>45574</v>
      </c>
      <c r="L26" s="10"/>
      <c r="M26" s="427">
        <v>25</v>
      </c>
      <c r="N26" s="13" t="str">
        <f t="shared" ca="1" si="1"/>
        <v>CLOSED</v>
      </c>
    </row>
    <row r="27" spans="1:14" s="4" customFormat="1" ht="18" x14ac:dyDescent="0.3">
      <c r="A27" s="9" t="s">
        <v>126</v>
      </c>
      <c r="B27" s="13">
        <f>VLOOKUP(Table27[[#This Row],[Location 
(drop-down)]],'List source'!D$2:E$60,2,FALSE)</f>
        <v>125</v>
      </c>
      <c r="C27" s="222" t="s">
        <v>100</v>
      </c>
      <c r="D27" s="30" t="str">
        <f t="shared" si="0"/>
        <v>PTO026-125-24</v>
      </c>
      <c r="E27" s="9" t="s">
        <v>526</v>
      </c>
      <c r="F27" s="10" t="str" cm="1">
        <f t="array" aca="1" ref="F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7" s="10">
        <v>11.44</v>
      </c>
      <c r="I27" s="12">
        <v>45306</v>
      </c>
      <c r="J27" s="12" t="s">
        <v>195</v>
      </c>
      <c r="K27" s="77">
        <v>45371</v>
      </c>
      <c r="L27" s="10"/>
      <c r="M27" s="427">
        <v>26</v>
      </c>
      <c r="N27" s="13" t="str">
        <f t="shared" ca="1" si="1"/>
        <v>CLOSED</v>
      </c>
    </row>
    <row r="28" spans="1:14" s="4" customFormat="1" ht="43.2" x14ac:dyDescent="0.3">
      <c r="A28" s="9" t="s">
        <v>153</v>
      </c>
      <c r="B28" s="13">
        <f>VLOOKUP(Table27[[#This Row],[Location 
(drop-down)]],'List source'!D$2:E$60,2,FALSE)</f>
        <v>126</v>
      </c>
      <c r="C28" s="222" t="s">
        <v>104</v>
      </c>
      <c r="D28" s="30" t="str">
        <f t="shared" si="0"/>
        <v>PTO027-126-24</v>
      </c>
      <c r="E28" s="209" t="s">
        <v>527</v>
      </c>
      <c r="F28" s="10" t="str" cm="1">
        <f t="array" aca="1" ref="F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8" s="10">
        <v>2.11</v>
      </c>
      <c r="I28" s="12">
        <v>45306</v>
      </c>
      <c r="J28" s="12" t="s">
        <v>495</v>
      </c>
      <c r="K28" s="77">
        <v>45306</v>
      </c>
      <c r="L28" s="10" t="s">
        <v>496</v>
      </c>
      <c r="M28" s="427">
        <v>27</v>
      </c>
      <c r="N28" s="13" t="str">
        <f t="shared" ca="1" si="1"/>
        <v>CLOSED</v>
      </c>
    </row>
    <row r="29" spans="1:14" s="4" customFormat="1" ht="43.2" x14ac:dyDescent="0.3">
      <c r="A29" s="9" t="s">
        <v>153</v>
      </c>
      <c r="B29" s="13">
        <f>VLOOKUP(Table27[[#This Row],[Location 
(drop-down)]],'List source'!D$2:E$60,2,FALSE)</f>
        <v>126</v>
      </c>
      <c r="C29" s="222" t="s">
        <v>108</v>
      </c>
      <c r="D29" s="30" t="str">
        <f t="shared" si="0"/>
        <v>PTO028-126-24</v>
      </c>
      <c r="E29" s="9" t="s">
        <v>528</v>
      </c>
      <c r="F29" s="10" t="str" cm="1">
        <f t="array" aca="1" ref="F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 s="10" t="s">
        <v>529</v>
      </c>
      <c r="I29" s="12">
        <v>45306</v>
      </c>
      <c r="J29" s="12" t="s">
        <v>495</v>
      </c>
      <c r="K29" s="77">
        <v>45306</v>
      </c>
      <c r="L29" s="10" t="s">
        <v>496</v>
      </c>
      <c r="M29" s="427">
        <v>28</v>
      </c>
      <c r="N29" s="13" t="str">
        <f t="shared" ca="1" si="1"/>
        <v>CLOSED</v>
      </c>
    </row>
    <row r="30" spans="1:14" s="4" customFormat="1" ht="28.8" x14ac:dyDescent="0.3">
      <c r="A30" s="9" t="s">
        <v>153</v>
      </c>
      <c r="B30" s="13">
        <f>VLOOKUP(Table27[[#This Row],[Location 
(drop-down)]],'List source'!D$2:E$60,2,FALSE)</f>
        <v>126</v>
      </c>
      <c r="C30" s="222" t="s">
        <v>115</v>
      </c>
      <c r="D30" s="30" t="str">
        <f t="shared" si="0"/>
        <v>PTO029-126-24</v>
      </c>
      <c r="E30" s="9" t="s">
        <v>530</v>
      </c>
      <c r="F30" s="10" t="str" cm="1">
        <f t="array" aca="1" ref="F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0" s="10">
        <v>2.14</v>
      </c>
      <c r="I30" s="12">
        <v>45306</v>
      </c>
      <c r="J30" s="12" t="s">
        <v>195</v>
      </c>
      <c r="K30" s="77">
        <v>45418</v>
      </c>
      <c r="L30" s="10"/>
      <c r="M30" s="427">
        <v>29</v>
      </c>
      <c r="N30" s="13" t="str">
        <f t="shared" ca="1" si="1"/>
        <v>CLOSED</v>
      </c>
    </row>
    <row r="31" spans="1:14" s="4" customFormat="1" ht="28.8" x14ac:dyDescent="0.3">
      <c r="A31" s="9" t="s">
        <v>153</v>
      </c>
      <c r="B31" s="13">
        <f>VLOOKUP(Table27[[#This Row],[Location 
(drop-down)]],'List source'!D$2:E$60,2,FALSE)</f>
        <v>126</v>
      </c>
      <c r="C31" s="222" t="s">
        <v>117</v>
      </c>
      <c r="D31" s="30" t="str">
        <f t="shared" si="0"/>
        <v>PTO030-126-24</v>
      </c>
      <c r="E31" s="9" t="s">
        <v>531</v>
      </c>
      <c r="F31" s="10" t="str" cm="1">
        <f t="array" aca="1" ref="F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1" s="10" t="s">
        <v>532</v>
      </c>
      <c r="I31" s="12">
        <v>45306</v>
      </c>
      <c r="J31" s="12" t="s">
        <v>195</v>
      </c>
      <c r="K31" s="77">
        <v>45401</v>
      </c>
      <c r="L31" s="10"/>
      <c r="M31" s="427">
        <v>30</v>
      </c>
      <c r="N31" s="13" t="str">
        <f t="shared" ca="1" si="1"/>
        <v>CLOSED</v>
      </c>
    </row>
    <row r="32" spans="1:14" s="4" customFormat="1" ht="43.2" x14ac:dyDescent="0.3">
      <c r="A32" s="9" t="s">
        <v>157</v>
      </c>
      <c r="B32" s="13">
        <f>VLOOKUP(Table27[[#This Row],[Location 
(drop-down)]],'List source'!D$2:E$60,2,FALSE)</f>
        <v>136</v>
      </c>
      <c r="C32" s="222" t="s">
        <v>118</v>
      </c>
      <c r="D32" s="30" t="str">
        <f t="shared" si="0"/>
        <v>PTO031-136-24</v>
      </c>
      <c r="E32" s="363" t="s">
        <v>533</v>
      </c>
      <c r="F32" s="211" t="str" cm="1">
        <f t="array" aca="1" ref="F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2" s="36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2" s="214">
        <v>2.0499999999999998</v>
      </c>
      <c r="I32" s="12">
        <v>45306</v>
      </c>
      <c r="J32" s="12" t="s">
        <v>495</v>
      </c>
      <c r="K32" s="77">
        <v>45306</v>
      </c>
      <c r="L32" s="10" t="s">
        <v>496</v>
      </c>
      <c r="M32" s="427">
        <v>31</v>
      </c>
      <c r="N32" s="13" t="str">
        <f t="shared" ca="1" si="1"/>
        <v>CLOSED</v>
      </c>
    </row>
    <row r="33" spans="1:14" s="4" customFormat="1" ht="43.2" x14ac:dyDescent="0.3">
      <c r="A33" s="9" t="s">
        <v>273</v>
      </c>
      <c r="B33" s="13">
        <f>VLOOKUP(Table27[[#This Row],[Location 
(drop-down)]],'List source'!D$2:E$60,2,FALSE)</f>
        <v>140</v>
      </c>
      <c r="C33" s="222" t="s">
        <v>120</v>
      </c>
      <c r="D33" s="30" t="str">
        <f t="shared" si="0"/>
        <v>PTO032-140-24</v>
      </c>
      <c r="E33" s="9" t="s">
        <v>534</v>
      </c>
      <c r="F33" s="10" t="str" cm="1">
        <f t="array" aca="1" ref="F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33" s="10">
        <v>-2.2000000000000002</v>
      </c>
      <c r="I33" s="12">
        <v>45306</v>
      </c>
      <c r="J33" s="12" t="s">
        <v>495</v>
      </c>
      <c r="K33" s="77">
        <v>45306</v>
      </c>
      <c r="L33" s="10" t="s">
        <v>496</v>
      </c>
      <c r="M33" s="427">
        <v>32</v>
      </c>
      <c r="N33" s="13" t="str">
        <f t="shared" ca="1" si="1"/>
        <v>CLOSED</v>
      </c>
    </row>
    <row r="34" spans="1:14" s="4" customFormat="1" ht="28.8" x14ac:dyDescent="0.3">
      <c r="A34" s="9" t="s">
        <v>29</v>
      </c>
      <c r="B34" s="13">
        <f>VLOOKUP(Table27[[#This Row],[Location 
(drop-down)]],'List source'!D$2:E$60,2,FALSE)</f>
        <v>141</v>
      </c>
      <c r="C34" s="222" t="s">
        <v>121</v>
      </c>
      <c r="D34" s="30" t="str">
        <f t="shared" si="0"/>
        <v>PTO033-141-24</v>
      </c>
      <c r="E34" s="9" t="s">
        <v>535</v>
      </c>
      <c r="F34" s="10" t="str" cm="1">
        <f t="array" aca="1" ref="F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4" s="10">
        <v>-2.14</v>
      </c>
      <c r="I34" s="12">
        <v>45306</v>
      </c>
      <c r="J34" s="12" t="s">
        <v>182</v>
      </c>
      <c r="K34" s="77">
        <v>45315</v>
      </c>
      <c r="L34" s="10"/>
      <c r="M34" s="427">
        <v>33</v>
      </c>
      <c r="N34" s="13" t="str">
        <f t="shared" ca="1" si="1"/>
        <v>CLOSED</v>
      </c>
    </row>
    <row r="35" spans="1:14" s="4" customFormat="1" ht="18" x14ac:dyDescent="0.3">
      <c r="A35" s="9" t="s">
        <v>29</v>
      </c>
      <c r="B35" s="13">
        <f>VLOOKUP(Table27[[#This Row],[Location 
(drop-down)]],'List source'!D$2:E$60,2,FALSE)</f>
        <v>141</v>
      </c>
      <c r="C35" s="222" t="s">
        <v>123</v>
      </c>
      <c r="D35" s="30" t="str">
        <f t="shared" si="0"/>
        <v>PTO034-141-24</v>
      </c>
      <c r="E35" s="9" t="s">
        <v>536</v>
      </c>
      <c r="F35" s="10" t="str" cm="1">
        <f t="array" aca="1" ref="F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35" s="10">
        <v>-2.86</v>
      </c>
      <c r="I35" s="12">
        <v>45306</v>
      </c>
      <c r="J35" s="12" t="s">
        <v>182</v>
      </c>
      <c r="K35" s="77">
        <v>45315</v>
      </c>
      <c r="L35" s="10"/>
      <c r="M35" s="427">
        <v>34</v>
      </c>
      <c r="N35" s="13" t="str">
        <f t="shared" ca="1" si="1"/>
        <v>CLOSED</v>
      </c>
    </row>
    <row r="36" spans="1:14" s="4" customFormat="1" ht="43.2" x14ac:dyDescent="0.3">
      <c r="A36" s="9" t="s">
        <v>161</v>
      </c>
      <c r="B36" s="13">
        <f>VLOOKUP(Table27[[#This Row],[Location 
(drop-down)]],'List source'!D$2:E$60,2,FALSE)</f>
        <v>142</v>
      </c>
      <c r="C36" s="222" t="s">
        <v>127</v>
      </c>
      <c r="D36" s="30" t="str">
        <f t="shared" si="0"/>
        <v>PTO035-142-24</v>
      </c>
      <c r="E36" s="9" t="s">
        <v>537</v>
      </c>
      <c r="F36" s="10" t="str" cm="1">
        <f t="array" aca="1" ref="F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6" s="10">
        <v>-2.2999999999999998</v>
      </c>
      <c r="I36" s="12">
        <v>45306</v>
      </c>
      <c r="J36" s="12" t="s">
        <v>495</v>
      </c>
      <c r="K36" s="77">
        <v>45306</v>
      </c>
      <c r="L36" s="10" t="s">
        <v>496</v>
      </c>
      <c r="M36" s="427">
        <v>35</v>
      </c>
      <c r="N36" s="13" t="str">
        <f t="shared" ca="1" si="1"/>
        <v>CLOSED</v>
      </c>
    </row>
    <row r="37" spans="1:14" s="4" customFormat="1" ht="43.2" x14ac:dyDescent="0.3">
      <c r="A37" s="9" t="s">
        <v>310</v>
      </c>
      <c r="B37" s="13">
        <f>VLOOKUP(Table27[[#This Row],[Location 
(drop-down)]],'List source'!D$2:E$60,2,FALSE)</f>
        <v>144</v>
      </c>
      <c r="C37" s="222" t="s">
        <v>128</v>
      </c>
      <c r="D37" s="30" t="str">
        <f t="shared" si="0"/>
        <v>PTO036-144-24</v>
      </c>
      <c r="E37" s="9" t="s">
        <v>538</v>
      </c>
      <c r="F37" s="10" t="str" cm="1">
        <f t="array" aca="1" ref="F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 s="10" t="s">
        <v>539</v>
      </c>
      <c r="I37" s="12">
        <v>45306</v>
      </c>
      <c r="J37" s="12" t="s">
        <v>495</v>
      </c>
      <c r="K37" s="77">
        <v>45306</v>
      </c>
      <c r="L37" s="10" t="s">
        <v>496</v>
      </c>
      <c r="M37" s="427">
        <v>36</v>
      </c>
      <c r="N37" s="13" t="str">
        <f t="shared" ca="1" si="1"/>
        <v>CLOSED</v>
      </c>
    </row>
    <row r="38" spans="1:14" s="4" customFormat="1" ht="43.2" x14ac:dyDescent="0.3">
      <c r="A38" s="9" t="s">
        <v>145</v>
      </c>
      <c r="B38" s="13">
        <f>VLOOKUP(Table27[[#This Row],[Location 
(drop-down)]],'List source'!D$2:E$60,2,FALSE)</f>
        <v>145</v>
      </c>
      <c r="C38" s="222" t="s">
        <v>131</v>
      </c>
      <c r="D38" s="30" t="str">
        <f t="shared" si="0"/>
        <v>PTO037-145-24</v>
      </c>
      <c r="E38" s="9" t="s">
        <v>537</v>
      </c>
      <c r="F38" s="10" t="str" cm="1">
        <f t="array" aca="1" ref="F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8" s="10">
        <v>-2.0499999999999998</v>
      </c>
      <c r="I38" s="12">
        <v>45306</v>
      </c>
      <c r="J38" s="12" t="s">
        <v>495</v>
      </c>
      <c r="K38" s="77">
        <v>45306</v>
      </c>
      <c r="L38" s="10" t="s">
        <v>496</v>
      </c>
      <c r="M38" s="427">
        <v>37</v>
      </c>
      <c r="N38" s="13" t="str">
        <f t="shared" ca="1" si="1"/>
        <v>CLOSED</v>
      </c>
    </row>
    <row r="39" spans="1:14" s="4" customFormat="1" ht="28.8" x14ac:dyDescent="0.3">
      <c r="A39" s="9" t="s">
        <v>70</v>
      </c>
      <c r="B39" s="13">
        <f>VLOOKUP(Table27[[#This Row],[Location 
(drop-down)]],'List source'!D$2:E$60,2,FALSE)</f>
        <v>146</v>
      </c>
      <c r="C39" s="222" t="s">
        <v>132</v>
      </c>
      <c r="D39" s="30" t="str">
        <f t="shared" si="0"/>
        <v>PTO038-146-24</v>
      </c>
      <c r="E39" s="9" t="s">
        <v>540</v>
      </c>
      <c r="F39" s="10" t="str" cm="1">
        <f t="array" aca="1" ref="F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9" s="10">
        <v>-3</v>
      </c>
      <c r="I39" s="12">
        <v>45306</v>
      </c>
      <c r="J39" s="12" t="s">
        <v>501</v>
      </c>
      <c r="K39" s="77">
        <v>45341</v>
      </c>
      <c r="L39" s="10"/>
      <c r="M39" s="427">
        <v>38</v>
      </c>
      <c r="N39" s="13" t="str">
        <f t="shared" ca="1" si="1"/>
        <v>CLOSED</v>
      </c>
    </row>
    <row r="40" spans="1:14" s="4" customFormat="1" ht="43.2" x14ac:dyDescent="0.3">
      <c r="A40" s="9" t="s">
        <v>70</v>
      </c>
      <c r="B40" s="13">
        <f>VLOOKUP(Table27[[#This Row],[Location 
(drop-down)]],'List source'!D$2:E$60,2,FALSE)</f>
        <v>146</v>
      </c>
      <c r="C40" s="222" t="s">
        <v>133</v>
      </c>
      <c r="D40" s="30" t="str">
        <f t="shared" si="0"/>
        <v>PTO039-146-24</v>
      </c>
      <c r="E40" s="9" t="s">
        <v>541</v>
      </c>
      <c r="F40" s="10" t="str" cm="1">
        <f t="array" aca="1" ref="F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D1319-19 - HC Type</v>
      </c>
      <c r="H40" s="10" t="s">
        <v>542</v>
      </c>
      <c r="I40" s="12">
        <v>45306</v>
      </c>
      <c r="J40" s="12" t="s">
        <v>501</v>
      </c>
      <c r="K40" s="77">
        <v>45337</v>
      </c>
      <c r="L40" s="10"/>
      <c r="M40" s="427">
        <v>39</v>
      </c>
      <c r="N40" s="13" t="str">
        <f t="shared" ca="1" si="1"/>
        <v>CLOSED</v>
      </c>
    </row>
    <row r="41" spans="1:14" s="4" customFormat="1" ht="28.8" x14ac:dyDescent="0.3">
      <c r="A41" s="9" t="s">
        <v>86</v>
      </c>
      <c r="B41" s="13">
        <f>VLOOKUP(Table27[[#This Row],[Location 
(drop-down)]],'List source'!D$2:E$60,2,FALSE)</f>
        <v>150</v>
      </c>
      <c r="C41" s="222" t="s">
        <v>139</v>
      </c>
      <c r="D41" s="30" t="str">
        <f t="shared" si="0"/>
        <v>PTO040-150-24</v>
      </c>
      <c r="E41" s="9" t="s">
        <v>543</v>
      </c>
      <c r="F41" s="10" t="str" cm="1">
        <f t="array" aca="1" ref="F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 &amp; Toluene</v>
      </c>
      <c r="H41" s="39" t="s">
        <v>544</v>
      </c>
      <c r="I41" s="12">
        <v>45306</v>
      </c>
      <c r="J41" s="12" t="s">
        <v>134</v>
      </c>
      <c r="K41" s="77">
        <v>45761</v>
      </c>
      <c r="L41" s="10"/>
      <c r="M41" s="427">
        <v>40</v>
      </c>
      <c r="N41" s="13" t="str">
        <f t="shared" ca="1" si="1"/>
        <v>CLOSED</v>
      </c>
    </row>
    <row r="42" spans="1:14" s="4" customFormat="1" ht="28.8" x14ac:dyDescent="0.3">
      <c r="A42" s="9" t="s">
        <v>65</v>
      </c>
      <c r="B42" s="13">
        <f>VLOOKUP(Table27[[#This Row],[Location 
(drop-down)]],'List source'!D$2:E$60,2,FALSE)</f>
        <v>155</v>
      </c>
      <c r="C42" s="222" t="s">
        <v>142</v>
      </c>
      <c r="D42" s="30" t="str">
        <f t="shared" si="0"/>
        <v>PTO041-155-24</v>
      </c>
      <c r="E42" s="90" t="s">
        <v>545</v>
      </c>
      <c r="F42" s="38" t="str" cm="1">
        <f t="array" aca="1" ref="F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2"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v>
      </c>
      <c r="H42" s="38" t="s">
        <v>546</v>
      </c>
      <c r="I42" s="12">
        <v>45306</v>
      </c>
      <c r="J42" s="12" t="s">
        <v>134</v>
      </c>
      <c r="K42" s="77">
        <v>45337</v>
      </c>
      <c r="L42" s="10"/>
      <c r="M42" s="427">
        <v>41</v>
      </c>
      <c r="N42" s="13" t="str">
        <f t="shared" ca="1" si="1"/>
        <v>CLOSED</v>
      </c>
    </row>
    <row r="43" spans="1:14" s="4" customFormat="1" ht="28.8" x14ac:dyDescent="0.3">
      <c r="A43" s="9" t="s">
        <v>235</v>
      </c>
      <c r="B43" s="13">
        <f>VLOOKUP(Table27[[#This Row],[Location 
(drop-down)]],'List source'!D$2:E$60,2,FALSE)</f>
        <v>160</v>
      </c>
      <c r="C43" s="222" t="s">
        <v>146</v>
      </c>
      <c r="D43" s="30" t="str">
        <f t="shared" si="0"/>
        <v>PTO042-160-24</v>
      </c>
      <c r="E43" s="9" t="s">
        <v>547</v>
      </c>
      <c r="F43" s="10" t="str" cm="1">
        <f t="array" aca="1" ref="F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&amp; EPA</v>
      </c>
      <c r="H43" s="10" t="s">
        <v>548</v>
      </c>
      <c r="I43" s="12">
        <v>45306</v>
      </c>
      <c r="J43" s="12" t="s">
        <v>182</v>
      </c>
      <c r="K43" s="77">
        <v>45559</v>
      </c>
      <c r="L43" s="10"/>
      <c r="M43" s="427">
        <v>42</v>
      </c>
      <c r="N43" s="13" t="str">
        <f t="shared" ca="1" si="1"/>
        <v>CLOSED</v>
      </c>
    </row>
    <row r="44" spans="1:14" s="4" customFormat="1" ht="43.2" x14ac:dyDescent="0.3">
      <c r="A44" s="9" t="s">
        <v>209</v>
      </c>
      <c r="B44" s="13">
        <f>VLOOKUP(Table27[[#This Row],[Location 
(drop-down)]],'List source'!D$2:E$60,2,FALSE)</f>
        <v>165</v>
      </c>
      <c r="C44" s="222" t="s">
        <v>148</v>
      </c>
      <c r="D44" s="30" t="str">
        <f t="shared" si="0"/>
        <v>PTO043-165-24</v>
      </c>
      <c r="E44" s="9" t="s">
        <v>549</v>
      </c>
      <c r="F44" s="10" t="str" cm="1">
        <f t="array" aca="1" ref="F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D3606-20e1 &amp; D3606-22; Benzene</v>
      </c>
      <c r="H44" s="10" t="s">
        <v>550</v>
      </c>
      <c r="I44" s="12">
        <v>45306</v>
      </c>
      <c r="J44" s="12" t="s">
        <v>495</v>
      </c>
      <c r="K44" s="77">
        <v>45306</v>
      </c>
      <c r="L44" s="10" t="s">
        <v>496</v>
      </c>
      <c r="M44" s="427">
        <v>43</v>
      </c>
      <c r="N44" s="13" t="str">
        <f t="shared" ca="1" si="1"/>
        <v>CLOSED</v>
      </c>
    </row>
    <row r="45" spans="1:14" s="4" customFormat="1" ht="28.8" x14ac:dyDescent="0.3">
      <c r="A45" s="9" t="s">
        <v>209</v>
      </c>
      <c r="B45" s="13">
        <f>VLOOKUP(Table27[[#This Row],[Location 
(drop-down)]],'List source'!D$2:E$60,2,FALSE)</f>
        <v>165</v>
      </c>
      <c r="C45" s="222" t="s">
        <v>150</v>
      </c>
      <c r="D45" s="30" t="str">
        <f t="shared" si="0"/>
        <v>PTO044-165-24</v>
      </c>
      <c r="E45" s="9" t="s">
        <v>551</v>
      </c>
      <c r="F45" s="10" t="str" cm="1">
        <f t="array" aca="1" ref="F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45" s="10">
        <v>2.27</v>
      </c>
      <c r="I45" s="12">
        <v>45306</v>
      </c>
      <c r="J45" s="12" t="s">
        <v>495</v>
      </c>
      <c r="K45" s="77">
        <v>45329</v>
      </c>
      <c r="L45" s="10" t="s">
        <v>552</v>
      </c>
      <c r="M45" s="427">
        <v>44</v>
      </c>
      <c r="N45" s="13" t="str">
        <f t="shared" ca="1" si="1"/>
        <v>CLOSED</v>
      </c>
    </row>
    <row r="46" spans="1:14" s="4" customFormat="1" ht="43.2" x14ac:dyDescent="0.3">
      <c r="A46" s="9" t="s">
        <v>209</v>
      </c>
      <c r="B46" s="13">
        <f>VLOOKUP(Table27[[#This Row],[Location 
(drop-down)]],'List source'!D$2:E$60,2,FALSE)</f>
        <v>165</v>
      </c>
      <c r="C46" s="222" t="s">
        <v>152</v>
      </c>
      <c r="D46" s="30" t="str">
        <f t="shared" si="0"/>
        <v>PTO045-165-24</v>
      </c>
      <c r="E46" s="9" t="s">
        <v>553</v>
      </c>
      <c r="F46" s="10" t="str" cm="1">
        <f t="array" aca="1" ref="F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46" s="39" t="s">
        <v>554</v>
      </c>
      <c r="I46" s="12">
        <v>45306</v>
      </c>
      <c r="J46" s="12" t="s">
        <v>495</v>
      </c>
      <c r="K46" s="77">
        <v>45306</v>
      </c>
      <c r="L46" s="10" t="s">
        <v>496</v>
      </c>
      <c r="M46" s="427">
        <v>45</v>
      </c>
      <c r="N46" s="13" t="str">
        <f t="shared" ca="1" si="1"/>
        <v>CLOSED</v>
      </c>
    </row>
    <row r="47" spans="1:14" s="4" customFormat="1" ht="43.2" x14ac:dyDescent="0.3">
      <c r="A47" s="9" t="s">
        <v>57</v>
      </c>
      <c r="B47" s="13">
        <f>VLOOKUP(Table27[[#This Row],[Location 
(drop-down)]],'List source'!D$2:E$60,2,FALSE)</f>
        <v>170</v>
      </c>
      <c r="C47" s="222" t="s">
        <v>154</v>
      </c>
      <c r="D47" s="30" t="str">
        <f t="shared" si="0"/>
        <v>PTO046-170-24</v>
      </c>
      <c r="E47" s="9" t="s">
        <v>549</v>
      </c>
      <c r="F47" s="10" t="str" cm="1">
        <f t="array" aca="1" ref="F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D3606-20e1 &amp; D3606-22; Benzene</v>
      </c>
      <c r="H47" s="10" t="s">
        <v>555</v>
      </c>
      <c r="I47" s="12">
        <v>45306</v>
      </c>
      <c r="J47" s="12" t="s">
        <v>495</v>
      </c>
      <c r="K47" s="77">
        <v>45306</v>
      </c>
      <c r="L47" s="10" t="s">
        <v>496</v>
      </c>
      <c r="M47" s="427">
        <v>46</v>
      </c>
      <c r="N47" s="13" t="str">
        <f t="shared" ca="1" si="1"/>
        <v>CLOSED</v>
      </c>
    </row>
    <row r="48" spans="1:14" s="4" customFormat="1" ht="18" x14ac:dyDescent="0.3">
      <c r="A48" s="9" t="s">
        <v>57</v>
      </c>
      <c r="B48" s="13">
        <f>VLOOKUP(Table27[[#This Row],[Location 
(drop-down)]],'List source'!D$2:E$60,2,FALSE)</f>
        <v>170</v>
      </c>
      <c r="C48" s="222" t="s">
        <v>158</v>
      </c>
      <c r="D48" s="30" t="str">
        <f t="shared" si="0"/>
        <v>PTO047-170-24</v>
      </c>
      <c r="E48" s="136" t="s">
        <v>556</v>
      </c>
      <c r="F48" s="118" t="str" cm="1">
        <f t="array" aca="1" ref="F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8" s="13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8" s="118" t="s">
        <v>557</v>
      </c>
      <c r="I48" s="12">
        <v>45306</v>
      </c>
      <c r="J48" s="12" t="s">
        <v>501</v>
      </c>
      <c r="K48" s="77">
        <v>45337</v>
      </c>
      <c r="L48" s="10"/>
      <c r="M48" s="427">
        <v>47</v>
      </c>
      <c r="N48" s="13" t="str">
        <f t="shared" ca="1" si="1"/>
        <v>CLOSED</v>
      </c>
    </row>
    <row r="49" spans="1:14" s="4" customFormat="1" ht="43.2" x14ac:dyDescent="0.3">
      <c r="A49" s="9" t="s">
        <v>325</v>
      </c>
      <c r="B49" s="13">
        <f>VLOOKUP(Table27[[#This Row],[Location 
(drop-down)]],'List source'!D$2:E$60,2,FALSE)</f>
        <v>180</v>
      </c>
      <c r="C49" s="222" t="s">
        <v>160</v>
      </c>
      <c r="D49" s="30" t="str">
        <f t="shared" si="0"/>
        <v>PTO048-180-24</v>
      </c>
      <c r="E49" s="22" t="s">
        <v>549</v>
      </c>
      <c r="F49" s="25" t="str" cm="1">
        <f t="array" aca="1" ref="F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9"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D3606-20e1 &amp; D3606-22; Benzene</v>
      </c>
      <c r="H49" s="25" t="s">
        <v>558</v>
      </c>
      <c r="I49" s="12">
        <v>45306</v>
      </c>
      <c r="J49" s="12" t="s">
        <v>495</v>
      </c>
      <c r="K49" s="77">
        <v>45306</v>
      </c>
      <c r="L49" s="10" t="s">
        <v>496</v>
      </c>
      <c r="M49" s="427">
        <v>48</v>
      </c>
      <c r="N49" s="13" t="str">
        <f t="shared" ca="1" si="1"/>
        <v>CLOSED</v>
      </c>
    </row>
    <row r="50" spans="1:14" s="4" customFormat="1" ht="28.8" x14ac:dyDescent="0.3">
      <c r="A50" s="9" t="s">
        <v>147</v>
      </c>
      <c r="B50" s="13">
        <f>VLOOKUP(Table27[[#This Row],[Location 
(drop-down)]],'List source'!D$2:E$61,2,FALSE)</f>
        <v>185</v>
      </c>
      <c r="C50" s="222" t="s">
        <v>162</v>
      </c>
      <c r="D50" s="30" t="str">
        <f t="shared" si="0"/>
        <v>PTO049-185-24</v>
      </c>
      <c r="E50" s="9" t="s">
        <v>559</v>
      </c>
      <c r="F50" s="10" t="str" cm="1">
        <f t="array" aca="1" ref="F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0" s="10">
        <v>2.16</v>
      </c>
      <c r="I50" s="12">
        <v>45306</v>
      </c>
      <c r="J50" s="12" t="s">
        <v>195</v>
      </c>
      <c r="K50" s="77">
        <v>45337</v>
      </c>
      <c r="L50" s="10"/>
      <c r="M50" s="427">
        <v>49</v>
      </c>
      <c r="N50" s="13" t="str">
        <f t="shared" ca="1" si="1"/>
        <v>CLOSED</v>
      </c>
    </row>
    <row r="51" spans="1:14" s="4" customFormat="1" ht="43.2" x14ac:dyDescent="0.3">
      <c r="A51" s="9" t="s">
        <v>44</v>
      </c>
      <c r="B51" s="13">
        <f>VLOOKUP(Table27[[#This Row],[Location 
(drop-down)]],'List source'!D$2:E$60,2,FALSE)</f>
        <v>192</v>
      </c>
      <c r="C51" s="222" t="s">
        <v>163</v>
      </c>
      <c r="D51" s="30" t="str">
        <f t="shared" si="0"/>
        <v>PTO050-192-24</v>
      </c>
      <c r="E51" s="9" t="s">
        <v>560</v>
      </c>
      <c r="F51" s="10" t="str" cm="1">
        <f t="array" aca="1" ref="F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1" s="10">
        <v>-2.64</v>
      </c>
      <c r="I51" s="12">
        <v>45306</v>
      </c>
      <c r="J51" s="12" t="s">
        <v>495</v>
      </c>
      <c r="K51" s="77">
        <v>45306</v>
      </c>
      <c r="L51" s="10" t="s">
        <v>496</v>
      </c>
      <c r="M51" s="427">
        <v>50</v>
      </c>
      <c r="N51" s="13" t="str">
        <f t="shared" ca="1" si="1"/>
        <v>CLOSED</v>
      </c>
    </row>
    <row r="52" spans="1:14" s="4" customFormat="1" ht="43.2" x14ac:dyDescent="0.3">
      <c r="A52" s="9" t="s">
        <v>261</v>
      </c>
      <c r="B52" s="13">
        <f>VLOOKUP(Table27[[#This Row],[Location 
(drop-down)]],'List source'!D$2:E$60,2,FALSE)</f>
        <v>210</v>
      </c>
      <c r="C52" s="222" t="s">
        <v>167</v>
      </c>
      <c r="D52" s="30" t="str">
        <f t="shared" si="0"/>
        <v>PTO051-210-24</v>
      </c>
      <c r="E52" s="99" t="s">
        <v>561</v>
      </c>
      <c r="F52" s="10" t="str" cm="1">
        <f t="array" aca="1" ref="F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D3606-22; Benzene</v>
      </c>
      <c r="H52" s="156" t="s">
        <v>562</v>
      </c>
      <c r="I52" s="12">
        <v>45306</v>
      </c>
      <c r="J52" s="12" t="s">
        <v>495</v>
      </c>
      <c r="K52" s="77">
        <v>45306</v>
      </c>
      <c r="L52" s="10" t="s">
        <v>496</v>
      </c>
      <c r="M52" s="427">
        <v>51</v>
      </c>
      <c r="N52" s="13" t="str">
        <f t="shared" ca="1" si="1"/>
        <v>CLOSED</v>
      </c>
    </row>
    <row r="53" spans="1:14" s="4" customFormat="1" ht="18" x14ac:dyDescent="0.3">
      <c r="A53" s="9" t="s">
        <v>261</v>
      </c>
      <c r="B53" s="13">
        <f>VLOOKUP(Table27[[#This Row],[Location 
(drop-down)]],'List source'!D$2:E$60,2,FALSE)</f>
        <v>210</v>
      </c>
      <c r="C53" s="222" t="s">
        <v>172</v>
      </c>
      <c r="D53" s="30" t="str">
        <f t="shared" si="0"/>
        <v>PTO052-210-24</v>
      </c>
      <c r="E53" s="9" t="s">
        <v>563</v>
      </c>
      <c r="F53" s="10" t="str" cm="1">
        <f t="array" aca="1" ref="F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3" s="10">
        <v>-2.5099999999999998</v>
      </c>
      <c r="I53" s="12">
        <v>45306</v>
      </c>
      <c r="J53" s="12" t="s">
        <v>498</v>
      </c>
      <c r="K53" s="77">
        <v>45467</v>
      </c>
      <c r="L53" s="10"/>
      <c r="M53" s="427">
        <v>52</v>
      </c>
      <c r="N53" s="13" t="str">
        <f t="shared" ca="1" si="1"/>
        <v>CLOSED</v>
      </c>
    </row>
    <row r="54" spans="1:14" s="4" customFormat="1" ht="28.8" x14ac:dyDescent="0.3">
      <c r="A54" s="9" t="s">
        <v>564</v>
      </c>
      <c r="B54" s="13">
        <f>VLOOKUP(Table27[[#This Row],[Location 
(drop-down)]],'List source'!D$2:E$60,2,FALSE)</f>
        <v>215</v>
      </c>
      <c r="C54" s="222" t="s">
        <v>176</v>
      </c>
      <c r="D54" s="30" t="str">
        <f t="shared" si="0"/>
        <v>PTO053-215-24</v>
      </c>
      <c r="E54" s="9" t="s">
        <v>565</v>
      </c>
      <c r="F54" s="10" t="str" cm="1">
        <f t="array" aca="1" ref="F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v>
      </c>
      <c r="H54" s="10" t="s">
        <v>566</v>
      </c>
      <c r="I54" s="12">
        <v>45306</v>
      </c>
      <c r="J54" s="12" t="s">
        <v>195</v>
      </c>
      <c r="K54" s="77" t="s">
        <v>114</v>
      </c>
      <c r="L54" s="2" t="s">
        <v>567</v>
      </c>
      <c r="M54" s="427">
        <v>53</v>
      </c>
      <c r="N54" s="13" t="str">
        <f t="shared" ca="1" si="1"/>
        <v>CLOSED</v>
      </c>
    </row>
    <row r="55" spans="1:14" s="4" customFormat="1" ht="28.8" x14ac:dyDescent="0.3">
      <c r="A55" s="9" t="s">
        <v>564</v>
      </c>
      <c r="B55" s="13">
        <f>VLOOKUP(Table27[[#This Row],[Location 
(drop-down)]],'List source'!D$2:E$60,2,FALSE)</f>
        <v>215</v>
      </c>
      <c r="C55" s="222" t="s">
        <v>179</v>
      </c>
      <c r="D55" s="30" t="str">
        <f t="shared" si="0"/>
        <v>PTO054-215-24</v>
      </c>
      <c r="E55" s="9" t="s">
        <v>568</v>
      </c>
      <c r="F55" s="10" t="str" cm="1">
        <f t="array" aca="1" ref="F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55" s="157" t="s">
        <v>569</v>
      </c>
      <c r="I55" s="12">
        <v>45306</v>
      </c>
      <c r="J55" s="12" t="s">
        <v>195</v>
      </c>
      <c r="K55" s="77" t="s">
        <v>114</v>
      </c>
      <c r="L55" s="2" t="s">
        <v>567</v>
      </c>
      <c r="M55" s="427">
        <v>54</v>
      </c>
      <c r="N55" s="13" t="str">
        <f t="shared" ca="1" si="1"/>
        <v>CLOSED</v>
      </c>
    </row>
    <row r="56" spans="1:14" s="4" customFormat="1" ht="43.2" x14ac:dyDescent="0.3">
      <c r="A56" s="9" t="s">
        <v>564</v>
      </c>
      <c r="B56" s="13">
        <f>VLOOKUP(Table27[[#This Row],[Location 
(drop-down)]],'List source'!D$2:E$60,2,FALSE)</f>
        <v>215</v>
      </c>
      <c r="C56" s="222" t="s">
        <v>181</v>
      </c>
      <c r="D56" s="30" t="str">
        <f t="shared" si="0"/>
        <v>PTO055-215-24</v>
      </c>
      <c r="E56" s="9" t="s">
        <v>570</v>
      </c>
      <c r="F56" s="10" t="str" cm="1">
        <f t="array" aca="1" ref="F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 s="10" t="s">
        <v>571</v>
      </c>
      <c r="I56" s="12">
        <v>45306</v>
      </c>
      <c r="J56" s="12" t="s">
        <v>495</v>
      </c>
      <c r="K56" s="77">
        <v>45306</v>
      </c>
      <c r="L56" s="10" t="s">
        <v>496</v>
      </c>
      <c r="M56" s="427">
        <v>55</v>
      </c>
      <c r="N56" s="13" t="str">
        <f t="shared" ca="1" si="1"/>
        <v>CLOSED</v>
      </c>
    </row>
    <row r="57" spans="1:14" s="4" customFormat="1" ht="28.8" x14ac:dyDescent="0.3">
      <c r="A57" s="9" t="s">
        <v>107</v>
      </c>
      <c r="B57" s="13">
        <f>VLOOKUP(Table27[[#This Row],[Location 
(drop-down)]],'List source'!D$2:E$60,2,FALSE)</f>
        <v>120</v>
      </c>
      <c r="C57" s="222" t="s">
        <v>187</v>
      </c>
      <c r="D57" s="30" t="str">
        <f t="shared" si="0"/>
        <v>PTO056-120-24</v>
      </c>
      <c r="E57" s="9" t="s">
        <v>572</v>
      </c>
      <c r="F57" s="10" t="str" cm="1">
        <f t="array" aca="1" ref="F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API Gravity</v>
      </c>
      <c r="H57" s="10">
        <v>-235.5</v>
      </c>
      <c r="I57" s="12">
        <v>45307</v>
      </c>
      <c r="J57" s="12" t="s">
        <v>495</v>
      </c>
      <c r="K57" s="77">
        <v>45309</v>
      </c>
      <c r="L57" s="10" t="s">
        <v>510</v>
      </c>
      <c r="M57" s="427">
        <v>56</v>
      </c>
      <c r="N57" s="13" t="str">
        <f t="shared" ca="1" si="1"/>
        <v>CLOSED</v>
      </c>
    </row>
    <row r="58" spans="1:14" s="4" customFormat="1" ht="18" x14ac:dyDescent="0.3">
      <c r="A58" s="9" t="s">
        <v>107</v>
      </c>
      <c r="B58" s="13">
        <f>VLOOKUP(Table27[[#This Row],[Location 
(drop-down)]],'List source'!D$2:E$60,2,FALSE)</f>
        <v>120</v>
      </c>
      <c r="C58" s="222" t="s">
        <v>189</v>
      </c>
      <c r="D58" s="30" t="str">
        <f t="shared" si="0"/>
        <v>PTO057-120-24</v>
      </c>
      <c r="E58" s="9" t="s">
        <v>568</v>
      </c>
      <c r="F58" s="10" t="str" cm="1">
        <f t="array" aca="1" ref="F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58" s="10">
        <v>-3.3</v>
      </c>
      <c r="I58" s="12">
        <v>45307</v>
      </c>
      <c r="J58" s="12" t="s">
        <v>495</v>
      </c>
      <c r="K58" s="77">
        <v>45309</v>
      </c>
      <c r="L58" s="10" t="s">
        <v>510</v>
      </c>
      <c r="M58" s="427">
        <v>57</v>
      </c>
      <c r="N58" s="13" t="str">
        <f t="shared" ca="1" si="1"/>
        <v>CLOSED</v>
      </c>
    </row>
    <row r="59" spans="1:14" s="4" customFormat="1" ht="43.2" x14ac:dyDescent="0.3">
      <c r="A59" s="9" t="s">
        <v>107</v>
      </c>
      <c r="B59" s="13">
        <f>VLOOKUP(Table27[[#This Row],[Location 
(drop-down)]],'List source'!D$2:E$60,2,FALSE)</f>
        <v>120</v>
      </c>
      <c r="C59" s="222" t="s">
        <v>190</v>
      </c>
      <c r="D59" s="30" t="str">
        <f t="shared" si="0"/>
        <v>PTO058-120-24</v>
      </c>
      <c r="E59" s="9" t="s">
        <v>573</v>
      </c>
      <c r="F59" s="10" t="str" cm="1">
        <f t="array" aca="1" ref="F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59" s="10">
        <v>-2.77</v>
      </c>
      <c r="I59" s="12">
        <v>45307</v>
      </c>
      <c r="J59" s="12" t="s">
        <v>495</v>
      </c>
      <c r="K59" s="77">
        <v>45307</v>
      </c>
      <c r="L59" s="10" t="s">
        <v>496</v>
      </c>
      <c r="M59" s="427">
        <v>58</v>
      </c>
      <c r="N59" s="13" t="str">
        <f t="shared" ca="1" si="1"/>
        <v>CLOSED</v>
      </c>
    </row>
    <row r="60" spans="1:14" s="4" customFormat="1" ht="43.2" x14ac:dyDescent="0.3">
      <c r="A60" s="9" t="s">
        <v>21</v>
      </c>
      <c r="B60" s="13">
        <f>VLOOKUP(Table27[[#This Row],[Location 
(drop-down)]],'List source'!D$2:E$60,2,FALSE)</f>
        <v>131</v>
      </c>
      <c r="C60" s="222" t="s">
        <v>191</v>
      </c>
      <c r="D60" s="30" t="str">
        <f t="shared" si="0"/>
        <v>PTO059-131-24</v>
      </c>
      <c r="E60" s="9" t="s">
        <v>574</v>
      </c>
      <c r="F60" s="10" t="str" cm="1">
        <f t="array" aca="1" ref="F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60" s="10">
        <v>2.09</v>
      </c>
      <c r="I60" s="12">
        <v>45307</v>
      </c>
      <c r="J60" s="12" t="s">
        <v>495</v>
      </c>
      <c r="K60" s="77">
        <v>45307</v>
      </c>
      <c r="L60" s="10" t="s">
        <v>496</v>
      </c>
      <c r="M60" s="427">
        <v>59</v>
      </c>
      <c r="N60" s="13" t="str">
        <f t="shared" ca="1" si="1"/>
        <v>CLOSED</v>
      </c>
    </row>
    <row r="61" spans="1:14" s="4" customFormat="1" ht="43.2" x14ac:dyDescent="0.3">
      <c r="A61" s="9" t="s">
        <v>70</v>
      </c>
      <c r="B61" s="13">
        <f>VLOOKUP(Table27[[#This Row],[Location 
(drop-down)]],'List source'!D$2:E$60,2,FALSE)</f>
        <v>146</v>
      </c>
      <c r="C61" s="222" t="s">
        <v>194</v>
      </c>
      <c r="D61" s="30" t="str">
        <f t="shared" si="0"/>
        <v>PTO060-146-24</v>
      </c>
      <c r="E61" s="9" t="s">
        <v>575</v>
      </c>
      <c r="F61" s="10" t="str" cm="1">
        <f t="array" aca="1" ref="F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61" s="10">
        <v>-2.0499999999999998</v>
      </c>
      <c r="I61" s="12">
        <v>45307</v>
      </c>
      <c r="J61" s="12" t="s">
        <v>495</v>
      </c>
      <c r="K61" s="77">
        <v>45307</v>
      </c>
      <c r="L61" s="10" t="s">
        <v>496</v>
      </c>
      <c r="M61" s="427">
        <v>60</v>
      </c>
      <c r="N61" s="13" t="str">
        <f t="shared" ca="1" si="1"/>
        <v>CLOSED</v>
      </c>
    </row>
    <row r="62" spans="1:14" s="4" customFormat="1" ht="43.2" x14ac:dyDescent="0.3">
      <c r="A62" s="9" t="s">
        <v>70</v>
      </c>
      <c r="B62" s="13">
        <f>VLOOKUP(Table27[[#This Row],[Location 
(drop-down)]],'List source'!D$2:E$60,2,FALSE)</f>
        <v>146</v>
      </c>
      <c r="C62" s="222" t="s">
        <v>198</v>
      </c>
      <c r="D62" s="30" t="str">
        <f t="shared" si="0"/>
        <v>PTO061-146-24</v>
      </c>
      <c r="E62" s="9" t="s">
        <v>576</v>
      </c>
      <c r="F62" s="10" t="str" cm="1">
        <f t="array" aca="1" ref="F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62" s="10">
        <v>2.99</v>
      </c>
      <c r="I62" s="12">
        <v>45307</v>
      </c>
      <c r="J62" s="12" t="s">
        <v>495</v>
      </c>
      <c r="K62" s="77">
        <v>45307</v>
      </c>
      <c r="L62" s="10" t="s">
        <v>496</v>
      </c>
      <c r="M62" s="427">
        <v>61</v>
      </c>
      <c r="N62" s="13" t="str">
        <f t="shared" ca="1" si="1"/>
        <v>CLOSED</v>
      </c>
    </row>
    <row r="63" spans="1:14" s="4" customFormat="1" ht="18" x14ac:dyDescent="0.3">
      <c r="A63" s="9" t="s">
        <v>86</v>
      </c>
      <c r="B63" s="13">
        <f>VLOOKUP(Table27[[#This Row],[Location 
(drop-down)]],'List source'!D$2:E$60,2,FALSE)</f>
        <v>150</v>
      </c>
      <c r="C63" s="222" t="s">
        <v>201</v>
      </c>
      <c r="D63" s="30" t="str">
        <f t="shared" si="0"/>
        <v>PTO062-150-24</v>
      </c>
      <c r="E63" s="9" t="s">
        <v>577</v>
      </c>
      <c r="F63" s="10" t="str" cm="1">
        <f t="array" aca="1" ref="F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63" s="157" t="s">
        <v>578</v>
      </c>
      <c r="I63" s="12">
        <v>45307</v>
      </c>
      <c r="J63" s="12" t="s">
        <v>182</v>
      </c>
      <c r="K63" s="77">
        <v>45566</v>
      </c>
      <c r="L63" s="10"/>
      <c r="M63" s="427">
        <v>62</v>
      </c>
      <c r="N63" s="13" t="str">
        <f t="shared" ca="1" si="1"/>
        <v>CLOSED</v>
      </c>
    </row>
    <row r="64" spans="1:14" s="4" customFormat="1" ht="43.2" x14ac:dyDescent="0.3">
      <c r="A64" s="9" t="s">
        <v>86</v>
      </c>
      <c r="B64" s="13">
        <f>VLOOKUP(Table27[[#This Row],[Location 
(drop-down)]],'List source'!D$2:E$60,2,FALSE)</f>
        <v>150</v>
      </c>
      <c r="C64" s="222" t="s">
        <v>203</v>
      </c>
      <c r="D64" s="30" t="str">
        <f t="shared" si="0"/>
        <v>PTO063-150-24</v>
      </c>
      <c r="E64" s="9" t="s">
        <v>579</v>
      </c>
      <c r="F64" s="10" t="str" cm="1">
        <f t="array" aca="1" ref="F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64" s="10">
        <v>-2.25</v>
      </c>
      <c r="I64" s="12">
        <v>45307</v>
      </c>
      <c r="J64" s="12" t="s">
        <v>495</v>
      </c>
      <c r="K64" s="77">
        <v>45307</v>
      </c>
      <c r="L64" s="10" t="s">
        <v>496</v>
      </c>
      <c r="M64" s="427">
        <v>63</v>
      </c>
      <c r="N64" s="13" t="str">
        <f t="shared" ca="1" si="1"/>
        <v>CLOSED</v>
      </c>
    </row>
    <row r="65" spans="1:14" s="4" customFormat="1" ht="43.2" x14ac:dyDescent="0.3">
      <c r="A65" s="235" t="s">
        <v>65</v>
      </c>
      <c r="B65" s="236">
        <f>VLOOKUP(Table27[[#This Row],[Location 
(drop-down)]],'List source'!D$2:E$60,2,FALSE)</f>
        <v>155</v>
      </c>
      <c r="C65" s="262" t="s">
        <v>205</v>
      </c>
      <c r="D65" s="238" t="str">
        <f t="shared" si="0"/>
        <v>PTO064-155-24</v>
      </c>
      <c r="E65" s="235" t="s">
        <v>580</v>
      </c>
      <c r="F65" s="263" t="str" cm="1">
        <f t="array" aca="1" ref="F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5"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65" s="263" t="s">
        <v>581</v>
      </c>
      <c r="I65" s="264">
        <v>45307</v>
      </c>
      <c r="J65" s="264" t="s">
        <v>182</v>
      </c>
      <c r="K65" s="250">
        <v>45631</v>
      </c>
      <c r="L65" s="10"/>
      <c r="M65" s="427">
        <v>64</v>
      </c>
      <c r="N65" s="13" t="str">
        <f t="shared" ca="1" si="1"/>
        <v>CLOSED</v>
      </c>
    </row>
    <row r="66" spans="1:14" s="4" customFormat="1" ht="18" x14ac:dyDescent="0.3">
      <c r="A66" s="9" t="s">
        <v>65</v>
      </c>
      <c r="B66" s="13">
        <f>VLOOKUP(Table27[[#This Row],[Location 
(drop-down)]],'List source'!D$2:E$60,2,FALSE)</f>
        <v>155</v>
      </c>
      <c r="C66" s="222" t="s">
        <v>206</v>
      </c>
      <c r="D66" s="30" t="str">
        <f t="shared" ref="D66:D129" si="2">"PTO" &amp; C66 &amp; "-" &amp; B66 &amp; "-" &amp; "24"</f>
        <v>PTO065-155-24</v>
      </c>
      <c r="E66" s="9" t="s">
        <v>582</v>
      </c>
      <c r="F66" s="10" t="str" cm="1">
        <f t="array" aca="1" ref="F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6"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66" s="10">
        <v>4.93</v>
      </c>
      <c r="I66" s="12">
        <v>45307</v>
      </c>
      <c r="J66" s="12" t="s">
        <v>134</v>
      </c>
      <c r="K66" s="77">
        <v>45378</v>
      </c>
      <c r="L66" s="10"/>
      <c r="M66" s="427">
        <v>65</v>
      </c>
      <c r="N66" s="13" t="str">
        <f t="shared" ref="N66:N129" ca="1" si="3">IF(ISBLANK(K66), TODAY()-(I66), "CLOSED")</f>
        <v>CLOSED</v>
      </c>
    </row>
    <row r="67" spans="1:14" s="4" customFormat="1" ht="28.8" x14ac:dyDescent="0.3">
      <c r="A67" s="9" t="s">
        <v>65</v>
      </c>
      <c r="B67" s="13">
        <f>VLOOKUP(Table27[[#This Row],[Location 
(drop-down)]],'List source'!D$2:E$60,2,FALSE)</f>
        <v>155</v>
      </c>
      <c r="C67" s="222" t="s">
        <v>208</v>
      </c>
      <c r="D67" s="30" t="str">
        <f t="shared" si="2"/>
        <v>PTO066-155-24</v>
      </c>
      <c r="E67" s="9" t="s">
        <v>583</v>
      </c>
      <c r="F67" s="10" t="str" cm="1">
        <f t="array" aca="1" ref="F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67" s="10">
        <v>4.29</v>
      </c>
      <c r="I67" s="12">
        <v>45307</v>
      </c>
      <c r="J67" s="12" t="s">
        <v>134</v>
      </c>
      <c r="K67" s="77">
        <v>45337</v>
      </c>
      <c r="L67" s="10"/>
      <c r="M67" s="427">
        <v>66</v>
      </c>
      <c r="N67" s="13" t="str">
        <f t="shared" ca="1" si="3"/>
        <v>CLOSED</v>
      </c>
    </row>
    <row r="68" spans="1:14" s="4" customFormat="1" ht="18" x14ac:dyDescent="0.3">
      <c r="A68" s="9" t="s">
        <v>159</v>
      </c>
      <c r="B68" s="13">
        <f>VLOOKUP(Table27[[#This Row],[Location 
(drop-down)]],'List source'!D$2:E$60,2,FALSE)</f>
        <v>156</v>
      </c>
      <c r="C68" s="222" t="s">
        <v>210</v>
      </c>
      <c r="D68" s="30" t="str">
        <f t="shared" si="2"/>
        <v>PTO067-156-24</v>
      </c>
      <c r="E68" s="9" t="s">
        <v>584</v>
      </c>
      <c r="F68" s="10" t="str" cm="1">
        <f t="array" aca="1" ref="F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68" s="157" t="s">
        <v>585</v>
      </c>
      <c r="I68" s="12">
        <v>45307</v>
      </c>
      <c r="J68" s="12" t="s">
        <v>134</v>
      </c>
      <c r="K68" s="77">
        <v>45337</v>
      </c>
      <c r="L68" s="10"/>
      <c r="M68" s="427">
        <v>67</v>
      </c>
      <c r="N68" s="13" t="str">
        <f t="shared" ca="1" si="3"/>
        <v>CLOSED</v>
      </c>
    </row>
    <row r="69" spans="1:14" s="4" customFormat="1" ht="18" x14ac:dyDescent="0.3">
      <c r="A69" s="9" t="s">
        <v>175</v>
      </c>
      <c r="B69" s="13">
        <f>VLOOKUP(Table27[[#This Row],[Location 
(drop-down)]],'List source'!D$2:E$60,2,FALSE)</f>
        <v>159</v>
      </c>
      <c r="C69" s="222" t="s">
        <v>212</v>
      </c>
      <c r="D69" s="30" t="str">
        <f t="shared" si="2"/>
        <v>PTO068-159-24</v>
      </c>
      <c r="E69" s="9" t="s">
        <v>586</v>
      </c>
      <c r="F69" s="10" t="str" cm="1">
        <f t="array" aca="1" ref="F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69" s="10">
        <v>-2.25</v>
      </c>
      <c r="I69" s="12">
        <v>45307</v>
      </c>
      <c r="J69" s="12" t="s">
        <v>134</v>
      </c>
      <c r="K69" s="77">
        <v>45318</v>
      </c>
      <c r="L69" s="10"/>
      <c r="M69" s="427">
        <v>68</v>
      </c>
      <c r="N69" s="13" t="str">
        <f t="shared" ca="1" si="3"/>
        <v>CLOSED</v>
      </c>
    </row>
    <row r="70" spans="1:14" s="4" customFormat="1" ht="18" x14ac:dyDescent="0.3">
      <c r="A70" s="9" t="s">
        <v>175</v>
      </c>
      <c r="B70" s="13">
        <f>VLOOKUP(Table27[[#This Row],[Location 
(drop-down)]],'List source'!D$2:E$60,2,FALSE)</f>
        <v>159</v>
      </c>
      <c r="C70" s="222" t="s">
        <v>216</v>
      </c>
      <c r="D70" s="30" t="str">
        <f t="shared" si="2"/>
        <v>PTO069-159-24</v>
      </c>
      <c r="E70" s="9" t="s">
        <v>587</v>
      </c>
      <c r="F70" s="10" t="str" cm="1">
        <f t="array" aca="1" ref="F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0" s="10">
        <v>-3.27</v>
      </c>
      <c r="I70" s="12">
        <v>45307</v>
      </c>
      <c r="J70" s="12" t="s">
        <v>49</v>
      </c>
      <c r="K70" s="77">
        <v>45327</v>
      </c>
      <c r="L70" s="10"/>
      <c r="M70" s="427">
        <v>69</v>
      </c>
      <c r="N70" s="13" t="str">
        <f t="shared" ca="1" si="3"/>
        <v>CLOSED</v>
      </c>
    </row>
    <row r="71" spans="1:14" s="4" customFormat="1" ht="28.8" x14ac:dyDescent="0.3">
      <c r="A71" s="9" t="s">
        <v>209</v>
      </c>
      <c r="B71" s="13">
        <f>VLOOKUP(Table27[[#This Row],[Location 
(drop-down)]],'List source'!D$2:E$60,2,FALSE)</f>
        <v>165</v>
      </c>
      <c r="C71" s="222" t="s">
        <v>218</v>
      </c>
      <c r="D71" s="30" t="str">
        <f t="shared" si="2"/>
        <v>PTO070-165-24</v>
      </c>
      <c r="E71" s="9" t="s">
        <v>588</v>
      </c>
      <c r="F71" s="10" t="str" cm="1">
        <f t="array" aca="1" ref="F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1" s="10" t="s">
        <v>589</v>
      </c>
      <c r="I71" s="12">
        <v>45307</v>
      </c>
      <c r="J71" s="12" t="s">
        <v>495</v>
      </c>
      <c r="K71" s="77">
        <v>45308</v>
      </c>
      <c r="L71" s="10" t="s">
        <v>510</v>
      </c>
      <c r="M71" s="427">
        <v>70</v>
      </c>
      <c r="N71" s="13" t="str">
        <f t="shared" ca="1" si="3"/>
        <v>CLOSED</v>
      </c>
    </row>
    <row r="72" spans="1:14" s="4" customFormat="1" ht="18" x14ac:dyDescent="0.3">
      <c r="A72" s="9" t="s">
        <v>209</v>
      </c>
      <c r="B72" s="13">
        <f>VLOOKUP(Table27[[#This Row],[Location 
(drop-down)]],'List source'!D$2:E$60,2,FALSE)</f>
        <v>165</v>
      </c>
      <c r="C72" s="222" t="s">
        <v>222</v>
      </c>
      <c r="D72" s="30" t="str">
        <f t="shared" si="2"/>
        <v>PTO071-165-24</v>
      </c>
      <c r="E72" s="9" t="s">
        <v>590</v>
      </c>
      <c r="F72" s="10" t="str" cm="1">
        <f t="array" aca="1" ref="F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2" s="10">
        <v>2.3199999999999998</v>
      </c>
      <c r="I72" s="12">
        <v>45307</v>
      </c>
      <c r="J72" s="12" t="s">
        <v>134</v>
      </c>
      <c r="K72" s="77">
        <v>45391</v>
      </c>
      <c r="L72" s="10"/>
      <c r="M72" s="427">
        <v>71</v>
      </c>
      <c r="N72" s="13" t="str">
        <f t="shared" ca="1" si="3"/>
        <v>CLOSED</v>
      </c>
    </row>
    <row r="73" spans="1:14" s="4" customFormat="1" ht="18" x14ac:dyDescent="0.3">
      <c r="A73" s="9" t="s">
        <v>209</v>
      </c>
      <c r="B73" s="13">
        <f>VLOOKUP(Table27[[#This Row],[Location 
(drop-down)]],'List source'!D$2:E$60,2,FALSE)</f>
        <v>165</v>
      </c>
      <c r="C73" s="222" t="s">
        <v>224</v>
      </c>
      <c r="D73" s="30" t="str">
        <f t="shared" si="2"/>
        <v>PTO072-165-24</v>
      </c>
      <c r="E73" s="9" t="s">
        <v>591</v>
      </c>
      <c r="F73" s="10" t="str" cm="1">
        <f t="array" aca="1" ref="F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3" s="10">
        <v>-20.399999999999999</v>
      </c>
      <c r="I73" s="12">
        <v>45307</v>
      </c>
      <c r="J73" s="12" t="s">
        <v>134</v>
      </c>
      <c r="K73" s="77">
        <v>45511</v>
      </c>
      <c r="L73" s="10"/>
      <c r="M73" s="427">
        <v>72</v>
      </c>
      <c r="N73" s="13" t="str">
        <f t="shared" ca="1" si="3"/>
        <v>CLOSED</v>
      </c>
    </row>
    <row r="74" spans="1:14" s="4" customFormat="1" ht="18" x14ac:dyDescent="0.3">
      <c r="A74" s="9" t="s">
        <v>325</v>
      </c>
      <c r="B74" s="13">
        <f>VLOOKUP(Table27[[#This Row],[Location 
(drop-down)]],'List source'!D$2:E$60,2,FALSE)</f>
        <v>180</v>
      </c>
      <c r="C74" s="222" t="s">
        <v>225</v>
      </c>
      <c r="D74" s="30" t="str">
        <f t="shared" si="2"/>
        <v>PTO073-180-24</v>
      </c>
      <c r="E74" s="101" t="s">
        <v>592</v>
      </c>
      <c r="F74" s="13" t="str" cm="1">
        <f t="array" aca="1" ref="F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4"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74" s="13">
        <v>-2.82</v>
      </c>
      <c r="I74" s="12">
        <v>45307</v>
      </c>
      <c r="J74" s="14" t="s">
        <v>495</v>
      </c>
      <c r="K74" s="77">
        <v>45307</v>
      </c>
      <c r="L74" s="10" t="s">
        <v>510</v>
      </c>
      <c r="M74" s="427">
        <v>73</v>
      </c>
      <c r="N74" s="13" t="str">
        <f t="shared" ca="1" si="3"/>
        <v>CLOSED</v>
      </c>
    </row>
    <row r="75" spans="1:14" s="4" customFormat="1" ht="43.2" x14ac:dyDescent="0.3">
      <c r="A75" s="9" t="s">
        <v>325</v>
      </c>
      <c r="B75" s="13">
        <f>VLOOKUP(Table27[[#This Row],[Location 
(drop-down)]],'List source'!D$2:E$60,2,FALSE)</f>
        <v>180</v>
      </c>
      <c r="C75" s="222" t="s">
        <v>226</v>
      </c>
      <c r="D75" s="30" t="str">
        <f t="shared" si="2"/>
        <v>PTO074-180-24</v>
      </c>
      <c r="E75" s="101" t="s">
        <v>579</v>
      </c>
      <c r="F75" s="13" t="str" cm="1">
        <f t="array" aca="1" ref="F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75" s="13">
        <v>-2.25</v>
      </c>
      <c r="I75" s="12">
        <v>45307</v>
      </c>
      <c r="J75" s="14" t="s">
        <v>495</v>
      </c>
      <c r="K75" s="77">
        <v>45307</v>
      </c>
      <c r="L75" s="10" t="s">
        <v>496</v>
      </c>
      <c r="M75" s="427">
        <v>74</v>
      </c>
      <c r="N75" s="13" t="str">
        <f t="shared" ca="1" si="3"/>
        <v>CLOSED</v>
      </c>
    </row>
    <row r="76" spans="1:14" s="4" customFormat="1" ht="18" x14ac:dyDescent="0.3">
      <c r="A76" s="9" t="s">
        <v>75</v>
      </c>
      <c r="B76" s="13">
        <f>VLOOKUP(Table27[[#This Row],[Location 
(drop-down)]],'List source'!D$2:E$60,2,FALSE)</f>
        <v>190</v>
      </c>
      <c r="C76" s="222" t="s">
        <v>227</v>
      </c>
      <c r="D76" s="30" t="str">
        <f t="shared" si="2"/>
        <v>PTO075-190-24</v>
      </c>
      <c r="E76" s="101" t="s">
        <v>593</v>
      </c>
      <c r="F76" s="13" t="str" cm="1">
        <f t="array" aca="1" ref="F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 s="337"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6" s="367">
        <v>4.3499999999999996</v>
      </c>
      <c r="I76" s="12">
        <v>45307</v>
      </c>
      <c r="J76" s="14" t="s">
        <v>501</v>
      </c>
      <c r="K76" s="77">
        <v>45324</v>
      </c>
      <c r="L76" s="10"/>
      <c r="M76" s="427">
        <v>75</v>
      </c>
      <c r="N76" s="13" t="str">
        <f t="shared" ca="1" si="3"/>
        <v>CLOSED</v>
      </c>
    </row>
    <row r="77" spans="1:14" s="4" customFormat="1" ht="18" x14ac:dyDescent="0.3">
      <c r="A77" s="9" t="s">
        <v>388</v>
      </c>
      <c r="B77" s="13">
        <f>VLOOKUP(Table27[[#This Row],[Location 
(drop-down)]],'List source'!D$2:E$60,2,FALSE)</f>
        <v>191</v>
      </c>
      <c r="C77" s="222" t="s">
        <v>229</v>
      </c>
      <c r="D77" s="30" t="str">
        <f t="shared" si="2"/>
        <v>PTO076-191-24</v>
      </c>
      <c r="E77" s="101" t="s">
        <v>593</v>
      </c>
      <c r="F77" s="13" t="str" cm="1">
        <f t="array" aca="1" ref="F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7" s="13">
        <v>4.3499999999999996</v>
      </c>
      <c r="I77" s="12">
        <v>45307</v>
      </c>
      <c r="J77" s="14" t="s">
        <v>495</v>
      </c>
      <c r="K77" s="77">
        <v>45313</v>
      </c>
      <c r="L77" s="10" t="s">
        <v>510</v>
      </c>
      <c r="M77" s="427">
        <v>76</v>
      </c>
      <c r="N77" s="13" t="str">
        <f t="shared" ca="1" si="3"/>
        <v>CLOSED</v>
      </c>
    </row>
    <row r="78" spans="1:14" s="4" customFormat="1" ht="18" x14ac:dyDescent="0.3">
      <c r="A78" s="9" t="s">
        <v>388</v>
      </c>
      <c r="B78" s="13">
        <f>VLOOKUP(Table27[[#This Row],[Location 
(drop-down)]],'List source'!D$2:E$60,2,FALSE)</f>
        <v>191</v>
      </c>
      <c r="C78" s="222" t="s">
        <v>233</v>
      </c>
      <c r="D78" s="30" t="str">
        <f t="shared" si="2"/>
        <v>PTO077-191-24</v>
      </c>
      <c r="E78" s="101" t="s">
        <v>594</v>
      </c>
      <c r="F78" s="13" t="str" cm="1">
        <f t="array" aca="1" ref="F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D4807 - Sediment</v>
      </c>
      <c r="H78" s="13">
        <v>4.17</v>
      </c>
      <c r="I78" s="12">
        <v>45307</v>
      </c>
      <c r="J78" s="14" t="s">
        <v>501</v>
      </c>
      <c r="K78" s="77">
        <v>45356</v>
      </c>
      <c r="L78" s="10"/>
      <c r="M78" s="427">
        <v>77</v>
      </c>
      <c r="N78" s="13" t="str">
        <f t="shared" ca="1" si="3"/>
        <v>CLOSED</v>
      </c>
    </row>
    <row r="79" spans="1:14" s="4" customFormat="1" ht="43.2" x14ac:dyDescent="0.3">
      <c r="A79" s="9" t="s">
        <v>261</v>
      </c>
      <c r="B79" s="13">
        <f>VLOOKUP(Table27[[#This Row],[Location 
(drop-down)]],'List source'!D$2:E$60,2,FALSE)</f>
        <v>210</v>
      </c>
      <c r="C79" s="222" t="s">
        <v>236</v>
      </c>
      <c r="D79" s="30" t="str">
        <f t="shared" si="2"/>
        <v>PTO078-210-24</v>
      </c>
      <c r="E79" s="101" t="s">
        <v>595</v>
      </c>
      <c r="F79" s="13" t="str" cm="1">
        <f t="array" aca="1" ref="F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 s="21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79" s="367">
        <v>2.7</v>
      </c>
      <c r="I79" s="12">
        <v>45307</v>
      </c>
      <c r="J79" s="14" t="s">
        <v>495</v>
      </c>
      <c r="K79" s="77">
        <v>45307</v>
      </c>
      <c r="L79" s="10" t="s">
        <v>496</v>
      </c>
      <c r="M79" s="427">
        <v>78</v>
      </c>
      <c r="N79" s="13" t="str">
        <f t="shared" ca="1" si="3"/>
        <v>CLOSED</v>
      </c>
    </row>
    <row r="80" spans="1:14" s="4" customFormat="1" ht="18" x14ac:dyDescent="0.3">
      <c r="A80" s="9" t="s">
        <v>261</v>
      </c>
      <c r="B80" s="13">
        <f>VLOOKUP(Table27[[#This Row],[Location 
(drop-down)]],'List source'!D$2:E$60,2,FALSE)</f>
        <v>210</v>
      </c>
      <c r="C80" s="222" t="s">
        <v>238</v>
      </c>
      <c r="D80" s="30" t="str">
        <f t="shared" si="2"/>
        <v>PTO079-210-24</v>
      </c>
      <c r="E80" s="90" t="s">
        <v>596</v>
      </c>
      <c r="F80" s="336" t="str" cm="1">
        <f t="array" aca="1" ref="F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0" s="19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80" s="367">
        <v>-24.94</v>
      </c>
      <c r="I80" s="12">
        <v>45307</v>
      </c>
      <c r="J80" s="14" t="s">
        <v>330</v>
      </c>
      <c r="K80" s="77">
        <v>45432</v>
      </c>
      <c r="L80" s="10"/>
      <c r="M80" s="427">
        <v>79</v>
      </c>
      <c r="N80" s="13" t="str">
        <f t="shared" ca="1" si="3"/>
        <v>CLOSED</v>
      </c>
    </row>
    <row r="81" spans="1:14" s="4" customFormat="1" ht="18" x14ac:dyDescent="0.3">
      <c r="A81" s="9" t="s">
        <v>597</v>
      </c>
      <c r="B81" s="13">
        <f>VLOOKUP(Table27[[#This Row],[Location 
(drop-down)]],'List source'!D$2:E$60,2,FALSE)</f>
        <v>139</v>
      </c>
      <c r="C81" s="222" t="s">
        <v>240</v>
      </c>
      <c r="D81" s="30" t="str">
        <f t="shared" si="2"/>
        <v>PTO080-139-24</v>
      </c>
      <c r="E81" s="101" t="s">
        <v>598</v>
      </c>
      <c r="F81" s="13" t="str" cm="1">
        <f t="array" aca="1" ref="F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1" s="36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81" s="13">
        <v>-3.57</v>
      </c>
      <c r="I81" s="12">
        <v>45307</v>
      </c>
      <c r="J81" s="14" t="s">
        <v>501</v>
      </c>
      <c r="K81" s="77">
        <v>45369</v>
      </c>
      <c r="L81" s="10"/>
      <c r="M81" s="427">
        <v>80</v>
      </c>
      <c r="N81" s="13" t="str">
        <f t="shared" ca="1" si="3"/>
        <v>CLOSED</v>
      </c>
    </row>
    <row r="82" spans="1:14" s="4" customFormat="1" ht="18" x14ac:dyDescent="0.3">
      <c r="A82" s="9" t="s">
        <v>597</v>
      </c>
      <c r="B82" s="13">
        <f>VLOOKUP(Table27[[#This Row],[Location 
(drop-down)]],'List source'!D$2:E$60,2,FALSE)</f>
        <v>139</v>
      </c>
      <c r="C82" s="222" t="s">
        <v>242</v>
      </c>
      <c r="D82" s="30" t="str">
        <f t="shared" si="2"/>
        <v>PTO081-139-24</v>
      </c>
      <c r="E82" s="101" t="s">
        <v>599</v>
      </c>
      <c r="F82" s="13" t="str" cm="1">
        <f t="array" aca="1" ref="F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2"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82" s="13">
        <v>-2.74</v>
      </c>
      <c r="I82" s="12">
        <v>45307</v>
      </c>
      <c r="J82" s="14" t="s">
        <v>501</v>
      </c>
      <c r="K82" s="77">
        <v>45369</v>
      </c>
      <c r="L82" s="10"/>
      <c r="M82" s="427">
        <v>81</v>
      </c>
      <c r="N82" s="13" t="str">
        <f t="shared" ca="1" si="3"/>
        <v>CLOSED</v>
      </c>
    </row>
    <row r="83" spans="1:14" s="4" customFormat="1" ht="43.2" x14ac:dyDescent="0.3">
      <c r="A83" s="9" t="s">
        <v>65</v>
      </c>
      <c r="B83" s="13">
        <f>VLOOKUP(Table27[[#This Row],[Location 
(drop-down)]],'List source'!D$2:E$60,2,FALSE)</f>
        <v>155</v>
      </c>
      <c r="C83" s="222" t="s">
        <v>243</v>
      </c>
      <c r="D83" s="30" t="str">
        <f t="shared" si="2"/>
        <v>PTO082-155-24</v>
      </c>
      <c r="E83" s="127" t="s">
        <v>600</v>
      </c>
      <c r="F83" s="13" t="str" cm="1">
        <f t="array" aca="1" ref="F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3" s="101" t="s">
        <v>524</v>
      </c>
      <c r="H83" s="13">
        <v>-2.1800000000000002</v>
      </c>
      <c r="I83" s="12">
        <v>45307</v>
      </c>
      <c r="J83" s="14" t="s">
        <v>495</v>
      </c>
      <c r="K83" s="77">
        <v>45307</v>
      </c>
      <c r="L83" s="10" t="s">
        <v>496</v>
      </c>
      <c r="M83" s="427">
        <v>82</v>
      </c>
      <c r="N83" s="13" t="str">
        <f t="shared" ca="1" si="3"/>
        <v>CLOSED</v>
      </c>
    </row>
    <row r="84" spans="1:14" s="4" customFormat="1" ht="18" x14ac:dyDescent="0.3">
      <c r="A84" s="9" t="s">
        <v>65</v>
      </c>
      <c r="B84" s="13">
        <f>VLOOKUP(Table27[[#This Row],[Location 
(drop-down)]],'List source'!D$2:E$60,2,FALSE)</f>
        <v>155</v>
      </c>
      <c r="C84" s="222" t="s">
        <v>246</v>
      </c>
      <c r="D84" s="30" t="str">
        <f t="shared" si="2"/>
        <v>PTO083-155-24</v>
      </c>
      <c r="E84" s="9" t="s">
        <v>601</v>
      </c>
      <c r="F84" s="10" t="str" cm="1">
        <f t="array" aca="1" ref="F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Sulfur Content</v>
      </c>
      <c r="H84" s="10">
        <v>3.05</v>
      </c>
      <c r="I84" s="12">
        <v>45307</v>
      </c>
      <c r="J84" s="14" t="s">
        <v>134</v>
      </c>
      <c r="K84" s="77">
        <v>45379</v>
      </c>
      <c r="L84" s="10"/>
      <c r="M84" s="427">
        <v>83</v>
      </c>
      <c r="N84" s="13" t="str">
        <f t="shared" ca="1" si="3"/>
        <v>CLOSED</v>
      </c>
    </row>
    <row r="85" spans="1:14" s="4" customFormat="1" ht="18" x14ac:dyDescent="0.3">
      <c r="A85" s="9" t="s">
        <v>166</v>
      </c>
      <c r="B85" s="13">
        <f>VLOOKUP(Table27[[#This Row],[Location 
(drop-down)]],'List source'!D$2:E$60,2,FALSE)</f>
        <v>198</v>
      </c>
      <c r="C85" s="222" t="s">
        <v>251</v>
      </c>
      <c r="D85" s="30" t="str">
        <f t="shared" si="2"/>
        <v>PTO084-198-24</v>
      </c>
      <c r="E85" s="9" t="s">
        <v>602</v>
      </c>
      <c r="F85" s="10" t="str" cm="1">
        <f t="array" aca="1" ref="F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85" s="10">
        <v>2.4700000000000002</v>
      </c>
      <c r="I85" s="12">
        <v>45307</v>
      </c>
      <c r="J85" s="14" t="s">
        <v>41</v>
      </c>
      <c r="K85" s="79">
        <v>45617</v>
      </c>
      <c r="L85" s="10"/>
      <c r="M85" s="427">
        <v>84</v>
      </c>
      <c r="N85" s="13" t="str">
        <f t="shared" ca="1" si="3"/>
        <v>CLOSED</v>
      </c>
    </row>
    <row r="86" spans="1:14" s="4" customFormat="1" ht="28.8" x14ac:dyDescent="0.3">
      <c r="A86" s="9" t="s">
        <v>166</v>
      </c>
      <c r="B86" s="13">
        <f>VLOOKUP(Table27[[#This Row],[Location 
(drop-down)]],'List source'!D$2:E$60,2,FALSE)</f>
        <v>198</v>
      </c>
      <c r="C86" s="222" t="s">
        <v>253</v>
      </c>
      <c r="D86" s="30" t="str">
        <f t="shared" si="2"/>
        <v>PTO085-198-24</v>
      </c>
      <c r="E86" s="9" t="s">
        <v>603</v>
      </c>
      <c r="F86" s="10" t="str" cm="1">
        <f t="array" aca="1" ref="F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 s="10" t="s">
        <v>604</v>
      </c>
      <c r="I86" s="12">
        <v>45307</v>
      </c>
      <c r="J86" s="12" t="s">
        <v>495</v>
      </c>
      <c r="K86" s="77">
        <v>45308</v>
      </c>
      <c r="L86" s="10" t="s">
        <v>510</v>
      </c>
      <c r="M86" s="427">
        <v>85</v>
      </c>
      <c r="N86" s="13" t="str">
        <f t="shared" ca="1" si="3"/>
        <v>CLOSED</v>
      </c>
    </row>
    <row r="87" spans="1:14" s="4" customFormat="1" ht="43.2" x14ac:dyDescent="0.3">
      <c r="A87" s="9" t="s">
        <v>261</v>
      </c>
      <c r="B87" s="13">
        <f>VLOOKUP(Table27[[#This Row],[Location 
(drop-down)]],'List source'!D$2:E$60,2,FALSE)</f>
        <v>210</v>
      </c>
      <c r="C87" s="222" t="s">
        <v>257</v>
      </c>
      <c r="D87" s="30" t="str">
        <f t="shared" si="2"/>
        <v>PTO086-210-24</v>
      </c>
      <c r="E87" s="9" t="s">
        <v>605</v>
      </c>
      <c r="F87" s="10" t="str" cm="1">
        <f t="array" aca="1" ref="F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 D1319</v>
      </c>
      <c r="H87" s="10">
        <v>-2.35</v>
      </c>
      <c r="I87" s="12">
        <v>45307</v>
      </c>
      <c r="J87" s="12" t="s">
        <v>495</v>
      </c>
      <c r="K87" s="77">
        <v>45307</v>
      </c>
      <c r="L87" s="10" t="s">
        <v>496</v>
      </c>
      <c r="M87" s="427">
        <v>86</v>
      </c>
      <c r="N87" s="13" t="str">
        <f t="shared" ca="1" si="3"/>
        <v>CLOSED</v>
      </c>
    </row>
    <row r="88" spans="1:14" s="4" customFormat="1" ht="43.2" x14ac:dyDescent="0.3">
      <c r="A88" s="9" t="s">
        <v>261</v>
      </c>
      <c r="B88" s="13">
        <f>VLOOKUP(Table27[[#This Row],[Location 
(drop-down)]],'List source'!D$2:E$60,2,FALSE)</f>
        <v>210</v>
      </c>
      <c r="C88" s="222" t="s">
        <v>259</v>
      </c>
      <c r="D88" s="30" t="str">
        <f t="shared" si="2"/>
        <v>PTO087-210-24</v>
      </c>
      <c r="E88" s="9" t="s">
        <v>606</v>
      </c>
      <c r="F88" s="50" t="str" cm="1">
        <f t="array" aca="1" ref="F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88" s="196" t="s">
        <v>607</v>
      </c>
      <c r="H88" s="160">
        <v>-2.37</v>
      </c>
      <c r="I88" s="12">
        <v>45307</v>
      </c>
      <c r="J88" s="12" t="s">
        <v>495</v>
      </c>
      <c r="K88" s="77">
        <v>45307</v>
      </c>
      <c r="L88" s="10" t="s">
        <v>496</v>
      </c>
      <c r="M88" s="427">
        <v>87</v>
      </c>
      <c r="N88" s="13" t="str">
        <f t="shared" ca="1" si="3"/>
        <v>CLOSED</v>
      </c>
    </row>
    <row r="89" spans="1:14" s="4" customFormat="1" ht="43.2" x14ac:dyDescent="0.3">
      <c r="A89" s="9" t="s">
        <v>65</v>
      </c>
      <c r="B89" s="13">
        <f>VLOOKUP(Table27[[#This Row],[Location 
(drop-down)]],'List source'!D$2:E$60,2,FALSE)</f>
        <v>155</v>
      </c>
      <c r="C89" s="222" t="s">
        <v>262</v>
      </c>
      <c r="D89" s="30" t="str">
        <f t="shared" si="2"/>
        <v>PTO088-155-24</v>
      </c>
      <c r="E89" s="9" t="s">
        <v>608</v>
      </c>
      <c r="F89" s="10" t="str" cm="1">
        <f t="array" aca="1" ref="F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89"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89" s="10">
        <v>-2.82</v>
      </c>
      <c r="I89" s="12">
        <v>45307</v>
      </c>
      <c r="J89" s="12" t="s">
        <v>495</v>
      </c>
      <c r="K89" s="77">
        <v>45307</v>
      </c>
      <c r="L89" s="10" t="s">
        <v>496</v>
      </c>
      <c r="M89" s="427">
        <v>88</v>
      </c>
      <c r="N89" s="13" t="str">
        <f t="shared" ca="1" si="3"/>
        <v>CLOSED</v>
      </c>
    </row>
    <row r="90" spans="1:14" s="4" customFormat="1" ht="18" x14ac:dyDescent="0.3">
      <c r="A90" s="9" t="s">
        <v>65</v>
      </c>
      <c r="B90" s="13">
        <f>VLOOKUP(Table27[[#This Row],[Location 
(drop-down)]],'List source'!D$2:E$60,2,FALSE)</f>
        <v>155</v>
      </c>
      <c r="C90" s="222" t="s">
        <v>265</v>
      </c>
      <c r="D90" s="30" t="str">
        <f t="shared" si="2"/>
        <v>PTO089-155-24</v>
      </c>
      <c r="E90" s="9" t="s">
        <v>609</v>
      </c>
      <c r="F90" s="10" t="str" cm="1">
        <f t="array" aca="1" ref="F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D6667 - Sulfur in LPG by UVF</v>
      </c>
      <c r="H90" s="10">
        <v>-2.02</v>
      </c>
      <c r="I90" s="12">
        <v>45307</v>
      </c>
      <c r="J90" s="12" t="s">
        <v>134</v>
      </c>
      <c r="K90" s="77">
        <v>45337</v>
      </c>
      <c r="L90" s="10"/>
      <c r="M90" s="427">
        <v>89</v>
      </c>
      <c r="N90" s="13" t="str">
        <f t="shared" ca="1" si="3"/>
        <v>CLOSED</v>
      </c>
    </row>
    <row r="91" spans="1:14" s="4" customFormat="1" ht="18" x14ac:dyDescent="0.3">
      <c r="A91" s="9" t="s">
        <v>207</v>
      </c>
      <c r="B91" s="13">
        <f>VLOOKUP(Table27[[#This Row],[Location 
(drop-down)]],'List source'!D$2:E$60,2,FALSE)</f>
        <v>189</v>
      </c>
      <c r="C91" s="222" t="s">
        <v>267</v>
      </c>
      <c r="D91" s="30" t="str">
        <f t="shared" si="2"/>
        <v>PTO090-189-24</v>
      </c>
      <c r="E91" s="362" t="s">
        <v>610</v>
      </c>
      <c r="F91" s="212" t="str" cm="1">
        <f t="array" aca="1" ref="F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91" s="21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91" s="368">
        <v>8.89</v>
      </c>
      <c r="I91" s="12">
        <v>45307</v>
      </c>
      <c r="J91" s="12" t="s">
        <v>41</v>
      </c>
      <c r="K91" s="77">
        <v>45615</v>
      </c>
      <c r="L91" s="10"/>
      <c r="M91" s="427">
        <v>90</v>
      </c>
      <c r="N91" s="13" t="str">
        <f t="shared" ca="1" si="3"/>
        <v>CLOSED</v>
      </c>
    </row>
    <row r="92" spans="1:14" s="4" customFormat="1" ht="28.8" x14ac:dyDescent="0.3">
      <c r="A92" s="272" t="s">
        <v>107</v>
      </c>
      <c r="B92" s="273">
        <f>VLOOKUP(Table27[[#This Row],[Location 
(drop-down)]],'List source'!D$2:E$60,2,FALSE)</f>
        <v>120</v>
      </c>
      <c r="C92" s="274" t="s">
        <v>269</v>
      </c>
      <c r="D92" s="275" t="str">
        <f t="shared" si="2"/>
        <v>PTO091-120-24</v>
      </c>
      <c r="E92" s="272" t="s">
        <v>611</v>
      </c>
      <c r="F92" s="277" t="str" cm="1">
        <f t="array" aca="1" ref="F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2"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 xml:space="preserve">EN 14103 - Linolenic Acid Methyl Ester </v>
      </c>
      <c r="H92" s="277">
        <v>2.81</v>
      </c>
      <c r="I92" s="279">
        <v>45307</v>
      </c>
      <c r="J92" s="279" t="s">
        <v>182</v>
      </c>
      <c r="K92" s="280">
        <v>45642</v>
      </c>
      <c r="L92" s="10"/>
      <c r="M92" s="427">
        <v>91</v>
      </c>
      <c r="N92" s="13" t="str">
        <f t="shared" ca="1" si="3"/>
        <v>CLOSED</v>
      </c>
    </row>
    <row r="93" spans="1:14" s="4" customFormat="1" ht="18" x14ac:dyDescent="0.3">
      <c r="A93" s="9" t="s">
        <v>107</v>
      </c>
      <c r="B93" s="13">
        <f>VLOOKUP(Table27[[#This Row],[Location 
(drop-down)]],'List source'!D$2:E$60,2,FALSE)</f>
        <v>120</v>
      </c>
      <c r="C93" s="222" t="s">
        <v>270</v>
      </c>
      <c r="D93" s="30" t="str">
        <f t="shared" si="2"/>
        <v>PTO092-120-24</v>
      </c>
      <c r="E93" s="9" t="s">
        <v>612</v>
      </c>
      <c r="F93" s="10" t="str" cm="1">
        <f t="array" aca="1" ref="F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3" s="10">
        <v>2.0099999999999998</v>
      </c>
      <c r="I93" s="12">
        <v>45307</v>
      </c>
      <c r="J93" s="12" t="s">
        <v>182</v>
      </c>
      <c r="K93" s="77">
        <v>45553</v>
      </c>
      <c r="L93" s="10"/>
      <c r="M93" s="427">
        <v>92</v>
      </c>
      <c r="N93" s="13" t="str">
        <f t="shared" ca="1" si="3"/>
        <v>CLOSED</v>
      </c>
    </row>
    <row r="94" spans="1:14" s="4" customFormat="1" ht="18" x14ac:dyDescent="0.3">
      <c r="A94" s="272" t="s">
        <v>107</v>
      </c>
      <c r="B94" s="273">
        <f>VLOOKUP(Table27[[#This Row],[Location 
(drop-down)]],'List source'!D$2:E$60,2,FALSE)</f>
        <v>120</v>
      </c>
      <c r="C94" s="274" t="s">
        <v>272</v>
      </c>
      <c r="D94" s="275" t="str">
        <f t="shared" si="2"/>
        <v>PTO093-120-24</v>
      </c>
      <c r="E94" s="272" t="s">
        <v>613</v>
      </c>
      <c r="F94" s="277" t="str" cm="1">
        <f t="array" aca="1" ref="F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4"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E203 - Water</v>
      </c>
      <c r="H94" s="277">
        <v>-4.55</v>
      </c>
      <c r="I94" s="279">
        <v>45307</v>
      </c>
      <c r="J94" s="279" t="s">
        <v>182</v>
      </c>
      <c r="K94" s="280">
        <v>45642</v>
      </c>
      <c r="L94" s="10"/>
      <c r="M94" s="427">
        <v>93</v>
      </c>
      <c r="N94" s="13" t="str">
        <f t="shared" ca="1" si="3"/>
        <v>CLOSED</v>
      </c>
    </row>
    <row r="95" spans="1:14" s="4" customFormat="1" ht="43.2" x14ac:dyDescent="0.3">
      <c r="A95" s="9" t="s">
        <v>186</v>
      </c>
      <c r="B95" s="13">
        <f>VLOOKUP(Table27[[#This Row],[Location 
(drop-down)]],'List source'!D$2:E$60,2,FALSE)</f>
        <v>130</v>
      </c>
      <c r="C95" s="222" t="s">
        <v>274</v>
      </c>
      <c r="D95" s="30" t="str">
        <f t="shared" si="2"/>
        <v>PTO094-130-24</v>
      </c>
      <c r="E95" s="9" t="s">
        <v>614</v>
      </c>
      <c r="F95" s="10" t="str" cm="1">
        <f t="array" aca="1" ref="F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14538 - Elements</v>
      </c>
      <c r="H95" s="10">
        <v>2.67</v>
      </c>
      <c r="I95" s="12">
        <v>45307</v>
      </c>
      <c r="J95" s="12" t="s">
        <v>495</v>
      </c>
      <c r="K95" s="77">
        <v>45307</v>
      </c>
      <c r="L95" s="10" t="s">
        <v>496</v>
      </c>
      <c r="M95" s="427">
        <v>94</v>
      </c>
      <c r="N95" s="13" t="str">
        <f t="shared" ca="1" si="3"/>
        <v>CLOSED</v>
      </c>
    </row>
    <row r="96" spans="1:14" s="4" customFormat="1" ht="18" x14ac:dyDescent="0.3">
      <c r="A96" s="9" t="s">
        <v>186</v>
      </c>
      <c r="B96" s="13">
        <f>VLOOKUP(Table27[[#This Row],[Location 
(drop-down)]],'List source'!D$2:E$60,2,FALSE)</f>
        <v>130</v>
      </c>
      <c r="C96" s="222" t="s">
        <v>276</v>
      </c>
      <c r="D96" s="30" t="str">
        <f t="shared" si="2"/>
        <v>PTO095-130-24</v>
      </c>
      <c r="E96" s="22" t="s">
        <v>615</v>
      </c>
      <c r="F96" s="25" t="str" cm="1">
        <f t="array" aca="1" ref="F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6"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 14103 - FAME (ester)</v>
      </c>
      <c r="H96" s="25">
        <v>-33.25</v>
      </c>
      <c r="I96" s="12">
        <v>45307</v>
      </c>
      <c r="J96" s="12" t="s">
        <v>495</v>
      </c>
      <c r="K96" s="77">
        <v>45307</v>
      </c>
      <c r="L96" s="10" t="s">
        <v>510</v>
      </c>
      <c r="M96" s="427">
        <v>95</v>
      </c>
      <c r="N96" s="13" t="str">
        <f t="shared" ca="1" si="3"/>
        <v>CLOSED</v>
      </c>
    </row>
    <row r="97" spans="1:14" s="4" customFormat="1" ht="18" x14ac:dyDescent="0.3">
      <c r="A97" s="9" t="s">
        <v>145</v>
      </c>
      <c r="B97" s="13">
        <f>VLOOKUP(Table27[[#This Row],[Location 
(drop-down)]],'List source'!D$2:E$60,2,FALSE)</f>
        <v>145</v>
      </c>
      <c r="C97" s="222" t="s">
        <v>277</v>
      </c>
      <c r="D97" s="30" t="str">
        <f t="shared" si="2"/>
        <v>PTO096-145-24</v>
      </c>
      <c r="E97" s="9" t="s">
        <v>616</v>
      </c>
      <c r="F97" s="10" t="str" cm="1">
        <f t="array" aca="1" ref="F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7" s="10">
        <v>3.59</v>
      </c>
      <c r="I97" s="12">
        <v>45307</v>
      </c>
      <c r="J97" s="12" t="s">
        <v>495</v>
      </c>
      <c r="K97" s="77">
        <v>45313</v>
      </c>
      <c r="L97" s="10" t="s">
        <v>510</v>
      </c>
      <c r="M97" s="427">
        <v>96</v>
      </c>
      <c r="N97" s="13" t="str">
        <f t="shared" ca="1" si="3"/>
        <v>CLOSED</v>
      </c>
    </row>
    <row r="98" spans="1:14" s="4" customFormat="1" ht="28.8" x14ac:dyDescent="0.3">
      <c r="A98" s="9" t="s">
        <v>57</v>
      </c>
      <c r="B98" s="13">
        <f>VLOOKUP(Table27[[#This Row],[Location 
(drop-down)]],'List source'!D$2:E$60,2,FALSE)</f>
        <v>170</v>
      </c>
      <c r="C98" s="222" t="s">
        <v>278</v>
      </c>
      <c r="D98" s="30" t="str">
        <f t="shared" si="2"/>
        <v>PTO097-170-24</v>
      </c>
      <c r="E98" s="9" t="s">
        <v>617</v>
      </c>
      <c r="F98" s="10" t="str" cm="1">
        <f t="array" aca="1" ref="F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98" s="10">
        <v>-2.41</v>
      </c>
      <c r="I98" s="12">
        <v>45307</v>
      </c>
      <c r="J98" s="12" t="s">
        <v>495</v>
      </c>
      <c r="K98" s="77">
        <v>45336</v>
      </c>
      <c r="L98" s="10" t="s">
        <v>510</v>
      </c>
      <c r="M98" s="427">
        <v>97</v>
      </c>
      <c r="N98" s="13" t="str">
        <f t="shared" ca="1" si="3"/>
        <v>CLOSED</v>
      </c>
    </row>
    <row r="99" spans="1:14" s="4" customFormat="1" ht="43.2" x14ac:dyDescent="0.3">
      <c r="A99" s="9" t="s">
        <v>138</v>
      </c>
      <c r="B99" s="13">
        <f>VLOOKUP(Table27[[#This Row],[Location 
(drop-down)]],'List source'!D$2:E$60,2,FALSE)</f>
        <v>110</v>
      </c>
      <c r="C99" s="222" t="s">
        <v>282</v>
      </c>
      <c r="D99" s="30" t="str">
        <f t="shared" si="2"/>
        <v>PTO098-110-24</v>
      </c>
      <c r="E99" s="9" t="s">
        <v>618</v>
      </c>
      <c r="F99" s="10" t="str" cm="1">
        <f t="array" aca="1" ref="F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9" s="10" t="s">
        <v>619</v>
      </c>
      <c r="I99" s="12">
        <v>45327</v>
      </c>
      <c r="J99" s="12" t="s">
        <v>495</v>
      </c>
      <c r="K99" s="77">
        <v>45327</v>
      </c>
      <c r="L99" s="10" t="s">
        <v>496</v>
      </c>
      <c r="M99" s="427">
        <v>98</v>
      </c>
      <c r="N99" s="13" t="str">
        <f t="shared" ca="1" si="3"/>
        <v>CLOSED</v>
      </c>
    </row>
    <row r="100" spans="1:14" s="4" customFormat="1" ht="18" x14ac:dyDescent="0.3">
      <c r="A100" s="9" t="s">
        <v>107</v>
      </c>
      <c r="B100" s="13">
        <f>VLOOKUP(Table27[[#This Row],[Location 
(drop-down)]],'List source'!D$2:E$60,2,FALSE)</f>
        <v>120</v>
      </c>
      <c r="C100" s="222" t="s">
        <v>284</v>
      </c>
      <c r="D100" s="30" t="str">
        <f t="shared" si="2"/>
        <v>PTO099-120-24</v>
      </c>
      <c r="E100" s="9" t="s">
        <v>620</v>
      </c>
      <c r="F100" s="10" t="str" cm="1">
        <f t="array" aca="1" ref="F1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 s="10">
        <v>-2.0299999999999998</v>
      </c>
      <c r="I100" s="12">
        <v>45327</v>
      </c>
      <c r="J100" s="12" t="s">
        <v>495</v>
      </c>
      <c r="K100" s="77">
        <v>45545</v>
      </c>
      <c r="L100" s="10" t="s">
        <v>621</v>
      </c>
      <c r="M100" s="427">
        <v>99</v>
      </c>
      <c r="N100" s="13" t="str">
        <f t="shared" ca="1" si="3"/>
        <v>CLOSED</v>
      </c>
    </row>
    <row r="101" spans="1:14" s="4" customFormat="1" ht="43.2" x14ac:dyDescent="0.3">
      <c r="A101" s="9" t="s">
        <v>235</v>
      </c>
      <c r="B101" s="13">
        <f>VLOOKUP(Table27[[#This Row],[Location 
(drop-down)]],'List source'!D$2:E$60,2,FALSE)</f>
        <v>160</v>
      </c>
      <c r="C101" s="222" t="s">
        <v>286</v>
      </c>
      <c r="D101" s="30" t="str">
        <f t="shared" si="2"/>
        <v>PTO100-160-24</v>
      </c>
      <c r="E101" s="9" t="s">
        <v>622</v>
      </c>
      <c r="F101" s="10" t="str" cm="1">
        <f t="array" aca="1" ref="F1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1" s="9" t="s">
        <v>623</v>
      </c>
      <c r="H101" s="10" t="s">
        <v>624</v>
      </c>
      <c r="I101" s="12">
        <v>45327</v>
      </c>
      <c r="J101" s="12" t="s">
        <v>495</v>
      </c>
      <c r="K101" s="77">
        <v>45327</v>
      </c>
      <c r="L101" s="10" t="s">
        <v>625</v>
      </c>
      <c r="M101" s="427">
        <v>100</v>
      </c>
      <c r="N101" s="13" t="str">
        <f t="shared" ca="1" si="3"/>
        <v>CLOSED</v>
      </c>
    </row>
    <row r="102" spans="1:14" s="4" customFormat="1" ht="18" x14ac:dyDescent="0.3">
      <c r="A102" s="9" t="s">
        <v>57</v>
      </c>
      <c r="B102" s="13">
        <f>VLOOKUP(Table27[[#This Row],[Location 
(drop-down)]],'List source'!D$2:E$60,2,FALSE)</f>
        <v>170</v>
      </c>
      <c r="C102" s="222" t="s">
        <v>289</v>
      </c>
      <c r="D102" s="30" t="str">
        <f t="shared" si="2"/>
        <v>PTO101-170-24</v>
      </c>
      <c r="E102" s="9" t="s">
        <v>626</v>
      </c>
      <c r="F102" s="10" t="str" cm="1">
        <f t="array" aca="1" ref="F1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2" s="36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 s="10">
        <v>2.27</v>
      </c>
      <c r="I102" s="12">
        <v>45327</v>
      </c>
      <c r="J102" s="12" t="s">
        <v>501</v>
      </c>
      <c r="K102" s="77">
        <v>45406</v>
      </c>
      <c r="L102" s="10"/>
      <c r="M102" s="427">
        <v>101</v>
      </c>
      <c r="N102" s="13" t="str">
        <f t="shared" ca="1" si="3"/>
        <v>CLOSED</v>
      </c>
    </row>
    <row r="103" spans="1:14" s="4" customFormat="1" ht="28.8" x14ac:dyDescent="0.3">
      <c r="A103" s="9" t="s">
        <v>57</v>
      </c>
      <c r="B103" s="13">
        <f>VLOOKUP(Table27[[#This Row],[Location 
(drop-down)]],'List source'!D$2:E$60,2,FALSE)</f>
        <v>170</v>
      </c>
      <c r="C103" s="222" t="s">
        <v>291</v>
      </c>
      <c r="D103" s="30" t="str">
        <f t="shared" si="2"/>
        <v>PTO102-170-24</v>
      </c>
      <c r="E103" s="9" t="s">
        <v>627</v>
      </c>
      <c r="F103" s="10" t="str" cm="1">
        <f t="array" aca="1" ref="F1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3" s="10">
        <v>2.46</v>
      </c>
      <c r="I103" s="12">
        <v>45327</v>
      </c>
      <c r="J103" s="96" t="s">
        <v>495</v>
      </c>
      <c r="K103" s="77">
        <v>45336</v>
      </c>
      <c r="L103" s="411" t="s">
        <v>628</v>
      </c>
      <c r="M103" s="356">
        <v>102</v>
      </c>
      <c r="N103" s="13" t="str">
        <f t="shared" ca="1" si="3"/>
        <v>CLOSED</v>
      </c>
    </row>
    <row r="104" spans="1:14" s="4" customFormat="1" ht="28.8" x14ac:dyDescent="0.3">
      <c r="A104" s="9" t="s">
        <v>57</v>
      </c>
      <c r="B104" s="13">
        <f>VLOOKUP(Table27[[#This Row],[Location 
(drop-down)]],'List source'!D$2:E$60,2,FALSE)</f>
        <v>170</v>
      </c>
      <c r="C104" s="222" t="s">
        <v>292</v>
      </c>
      <c r="D104" s="30" t="str">
        <f t="shared" si="2"/>
        <v>PTO103-170-24</v>
      </c>
      <c r="E104" s="90" t="s">
        <v>629</v>
      </c>
      <c r="F104" s="10" t="str" cm="1">
        <f t="array" aca="1" ref="F1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4"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04" s="352">
        <v>2.25</v>
      </c>
      <c r="I104" s="216">
        <v>45327</v>
      </c>
      <c r="J104" s="177" t="s">
        <v>495</v>
      </c>
      <c r="K104" s="158">
        <v>45336</v>
      </c>
      <c r="L104" s="411" t="s">
        <v>628</v>
      </c>
      <c r="M104" s="356">
        <v>103</v>
      </c>
      <c r="N104" s="13" t="str">
        <f t="shared" ca="1" si="3"/>
        <v>CLOSED</v>
      </c>
    </row>
    <row r="105" spans="1:14" s="4" customFormat="1" ht="28.8" x14ac:dyDescent="0.3">
      <c r="A105" s="9" t="s">
        <v>57</v>
      </c>
      <c r="B105" s="13">
        <f>VLOOKUP(Table27[[#This Row],[Location 
(drop-down)]],'List source'!D$2:E$60,2,FALSE)</f>
        <v>170</v>
      </c>
      <c r="C105" s="222" t="s">
        <v>295</v>
      </c>
      <c r="D105" s="30" t="str">
        <f t="shared" si="2"/>
        <v>PTO104-170-24</v>
      </c>
      <c r="E105" s="9" t="s">
        <v>630</v>
      </c>
      <c r="F105" s="10" t="str" cm="1">
        <f t="array" aca="1" ref="F1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5" s="10" t="s">
        <v>631</v>
      </c>
      <c r="I105" s="216">
        <v>45327</v>
      </c>
      <c r="J105" s="177" t="s">
        <v>495</v>
      </c>
      <c r="K105" s="158">
        <v>45336</v>
      </c>
      <c r="L105" s="10" t="s">
        <v>628</v>
      </c>
      <c r="M105" s="428">
        <v>104</v>
      </c>
      <c r="N105" s="13" t="str">
        <f t="shared" ca="1" si="3"/>
        <v>CLOSED</v>
      </c>
    </row>
    <row r="106" spans="1:14" s="4" customFormat="1" ht="43.2" x14ac:dyDescent="0.3">
      <c r="A106" s="9" t="s">
        <v>388</v>
      </c>
      <c r="B106" s="13">
        <f>VLOOKUP(Table27[[#This Row],[Location 
(drop-down)]],'List source'!D$2:E$60,2,FALSE)</f>
        <v>191</v>
      </c>
      <c r="C106" s="222" t="s">
        <v>298</v>
      </c>
      <c r="D106" s="30" t="str">
        <f t="shared" si="2"/>
        <v>PTO105-191-24</v>
      </c>
      <c r="E106" s="9" t="s">
        <v>632</v>
      </c>
      <c r="F106" s="10" t="str" cm="1">
        <f t="array" aca="1" ref="F1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6" s="10">
        <v>-2.21</v>
      </c>
      <c r="I106" s="216">
        <v>45327</v>
      </c>
      <c r="J106" s="177" t="s">
        <v>495</v>
      </c>
      <c r="K106" s="158">
        <v>45327</v>
      </c>
      <c r="L106" s="10" t="s">
        <v>496</v>
      </c>
      <c r="M106" s="428">
        <v>105</v>
      </c>
      <c r="N106" s="13" t="str">
        <f t="shared" ca="1" si="3"/>
        <v>CLOSED</v>
      </c>
    </row>
    <row r="107" spans="1:14" s="4" customFormat="1" ht="18" x14ac:dyDescent="0.3">
      <c r="A107" s="9" t="s">
        <v>388</v>
      </c>
      <c r="B107" s="13">
        <f>VLOOKUP(Table27[[#This Row],[Location 
(drop-down)]],'List source'!D$2:E$60,2,FALSE)</f>
        <v>191</v>
      </c>
      <c r="C107" s="222" t="s">
        <v>300</v>
      </c>
      <c r="D107" s="30" t="str">
        <f t="shared" si="2"/>
        <v>PTO106-191-24</v>
      </c>
      <c r="E107" s="9" t="s">
        <v>633</v>
      </c>
      <c r="F107" s="10" t="str" cm="1">
        <f t="array" aca="1" ref="F1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7" s="10">
        <v>6.26</v>
      </c>
      <c r="I107" s="12">
        <v>45327</v>
      </c>
      <c r="J107" s="24" t="s">
        <v>495</v>
      </c>
      <c r="K107" s="77">
        <v>45327</v>
      </c>
      <c r="L107" s="10" t="s">
        <v>510</v>
      </c>
      <c r="M107" s="427">
        <v>106</v>
      </c>
      <c r="N107" s="13" t="str">
        <f t="shared" ca="1" si="3"/>
        <v>CLOSED</v>
      </c>
    </row>
    <row r="108" spans="1:14" s="4" customFormat="1" ht="28.8" x14ac:dyDescent="0.3">
      <c r="A108" s="9" t="s">
        <v>261</v>
      </c>
      <c r="B108" s="13">
        <f>VLOOKUP(Table27[[#This Row],[Location 
(drop-down)]],'List source'!D$2:E$60,2,FALSE)</f>
        <v>210</v>
      </c>
      <c r="C108" s="222" t="s">
        <v>304</v>
      </c>
      <c r="D108" s="30" t="str">
        <f t="shared" si="2"/>
        <v>PTO107-210-24</v>
      </c>
      <c r="E108" s="9" t="s">
        <v>634</v>
      </c>
      <c r="F108" s="10" t="str" cm="1">
        <f t="array" aca="1" ref="F1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 s="10" t="s">
        <v>529</v>
      </c>
      <c r="I108" s="12">
        <v>45327</v>
      </c>
      <c r="J108" s="177" t="s">
        <v>495</v>
      </c>
      <c r="K108" s="158">
        <v>45331</v>
      </c>
      <c r="L108" s="10" t="s">
        <v>510</v>
      </c>
      <c r="M108" s="428">
        <v>107</v>
      </c>
      <c r="N108" s="13" t="str">
        <f t="shared" ca="1" si="3"/>
        <v>CLOSED</v>
      </c>
    </row>
    <row r="109" spans="1:14" s="4" customFormat="1" ht="18" x14ac:dyDescent="0.3">
      <c r="A109" s="9" t="s">
        <v>261</v>
      </c>
      <c r="B109" s="13">
        <f>VLOOKUP(Table27[[#This Row],[Location 
(drop-down)]],'List source'!D$2:E$60,2,FALSE)</f>
        <v>210</v>
      </c>
      <c r="C109" s="222" t="s">
        <v>305</v>
      </c>
      <c r="D109" s="30" t="str">
        <f t="shared" si="2"/>
        <v>PTO108-210-24</v>
      </c>
      <c r="E109" s="9" t="s">
        <v>635</v>
      </c>
      <c r="F109" s="10" t="str" cm="1">
        <f t="array" aca="1" ref="F1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9" s="10">
        <v>-4.43</v>
      </c>
      <c r="I109" s="12">
        <v>45327</v>
      </c>
      <c r="J109" s="177" t="s">
        <v>498</v>
      </c>
      <c r="K109" s="158">
        <v>45432</v>
      </c>
      <c r="L109" s="10"/>
      <c r="M109" s="428">
        <v>108</v>
      </c>
      <c r="N109" s="13" t="str">
        <f t="shared" ca="1" si="3"/>
        <v>CLOSED</v>
      </c>
    </row>
    <row r="110" spans="1:14" s="4" customFormat="1" ht="28.8" x14ac:dyDescent="0.3">
      <c r="A110" s="9" t="s">
        <v>107</v>
      </c>
      <c r="B110" s="13">
        <f>VLOOKUP(Table27[[#This Row],[Location 
(drop-down)]],'List source'!D$2:E$60,2,FALSE)</f>
        <v>120</v>
      </c>
      <c r="C110" s="222" t="s">
        <v>307</v>
      </c>
      <c r="D110" s="30" t="str">
        <f t="shared" si="2"/>
        <v>PTO109-120-24</v>
      </c>
      <c r="E110" s="9" t="s">
        <v>636</v>
      </c>
      <c r="F110" s="10" t="str" cm="1">
        <f t="array" aca="1" ref="F1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10" s="10">
        <v>2.17</v>
      </c>
      <c r="I110" s="12">
        <v>45327</v>
      </c>
      <c r="J110" s="177" t="s">
        <v>182</v>
      </c>
      <c r="K110" s="158">
        <v>45553</v>
      </c>
      <c r="L110" s="10"/>
      <c r="M110" s="428">
        <v>109</v>
      </c>
      <c r="N110" s="13" t="str">
        <f t="shared" ca="1" si="3"/>
        <v>CLOSED</v>
      </c>
    </row>
    <row r="111" spans="1:14" s="4" customFormat="1" ht="28.8" x14ac:dyDescent="0.3">
      <c r="A111" s="235" t="s">
        <v>107</v>
      </c>
      <c r="B111" s="236">
        <f>VLOOKUP(Table27[[#This Row],[Location 
(drop-down)]],'List source'!D$2:E$60,2,FALSE)</f>
        <v>120</v>
      </c>
      <c r="C111" s="262" t="s">
        <v>311</v>
      </c>
      <c r="D111" s="238" t="str">
        <f t="shared" si="2"/>
        <v>PTO110-120-24</v>
      </c>
      <c r="E111" s="235" t="s">
        <v>637</v>
      </c>
      <c r="F111" s="263" t="str" cm="1">
        <f t="array" aca="1" ref="F1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1"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111" s="263" t="s">
        <v>638</v>
      </c>
      <c r="I111" s="264">
        <v>45327</v>
      </c>
      <c r="J111" s="358" t="s">
        <v>182</v>
      </c>
      <c r="K111" s="360">
        <v>45649</v>
      </c>
      <c r="L111" s="10"/>
      <c r="M111" s="428">
        <v>110</v>
      </c>
      <c r="N111" s="13" t="str">
        <f t="shared" ca="1" si="3"/>
        <v>CLOSED</v>
      </c>
    </row>
    <row r="112" spans="1:14" s="4" customFormat="1" ht="28.8" x14ac:dyDescent="0.3">
      <c r="A112" s="9" t="s">
        <v>126</v>
      </c>
      <c r="B112" s="13">
        <f>VLOOKUP(Table27[[#This Row],[Location 
(drop-down)]],'List source'!D$2:E$60,2,FALSE)</f>
        <v>125</v>
      </c>
      <c r="C112" s="222" t="s">
        <v>313</v>
      </c>
      <c r="D112" s="30" t="str">
        <f t="shared" si="2"/>
        <v>PTO111-125-24</v>
      </c>
      <c r="E112" s="94" t="s">
        <v>639</v>
      </c>
      <c r="F112" s="10" t="str" cm="1">
        <f t="array" aca="1" ref="F1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2" s="3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112" s="10" t="s">
        <v>640</v>
      </c>
      <c r="I112" s="12">
        <v>45376</v>
      </c>
      <c r="J112" s="177" t="s">
        <v>495</v>
      </c>
      <c r="K112" s="158">
        <v>45376</v>
      </c>
      <c r="L112" s="10" t="s">
        <v>510</v>
      </c>
      <c r="M112" s="428">
        <v>111</v>
      </c>
      <c r="N112" s="13" t="str">
        <f t="shared" ca="1" si="3"/>
        <v>CLOSED</v>
      </c>
    </row>
    <row r="113" spans="1:14" s="4" customFormat="1" ht="18" x14ac:dyDescent="0.3">
      <c r="A113" s="9" t="s">
        <v>126</v>
      </c>
      <c r="B113" s="13">
        <f>VLOOKUP(Table27[[#This Row],[Location 
(drop-down)]],'List source'!D$2:E$60,2,FALSE)</f>
        <v>125</v>
      </c>
      <c r="C113" s="222" t="s">
        <v>315</v>
      </c>
      <c r="D113" s="30" t="str">
        <f t="shared" si="2"/>
        <v>PTO112-125-24</v>
      </c>
      <c r="E113" s="9" t="s">
        <v>641</v>
      </c>
      <c r="F113" s="10" t="str" cm="1">
        <f t="array" aca="1" ref="F1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113" s="10">
        <v>17.27</v>
      </c>
      <c r="I113" s="12">
        <v>45376</v>
      </c>
      <c r="J113" s="12" t="s">
        <v>195</v>
      </c>
      <c r="K113" s="77">
        <v>45838</v>
      </c>
      <c r="L113" s="10"/>
      <c r="M113" s="427">
        <v>112</v>
      </c>
      <c r="N113" s="13" t="str">
        <f t="shared" ca="1" si="3"/>
        <v>CLOSED</v>
      </c>
    </row>
    <row r="114" spans="1:14" s="4" customFormat="1" ht="18" x14ac:dyDescent="0.3">
      <c r="A114" s="9" t="s">
        <v>126</v>
      </c>
      <c r="B114" s="13">
        <f>VLOOKUP(Table27[[#This Row],[Location 
(drop-down)]],'List source'!D$2:E$60,2,FALSE)</f>
        <v>125</v>
      </c>
      <c r="C114" s="222" t="s">
        <v>317</v>
      </c>
      <c r="D114" s="30" t="str">
        <f t="shared" si="2"/>
        <v>PTO113-125-24</v>
      </c>
      <c r="E114" s="22" t="s">
        <v>642</v>
      </c>
      <c r="F114" s="10" t="str" cm="1">
        <f t="array" aca="1" ref="F1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14" s="10">
        <v>-2.94</v>
      </c>
      <c r="I114" s="12">
        <v>45376</v>
      </c>
      <c r="J114" s="177" t="s">
        <v>495</v>
      </c>
      <c r="K114" s="158">
        <v>45376</v>
      </c>
      <c r="L114" s="10" t="s">
        <v>510</v>
      </c>
      <c r="M114" s="428">
        <v>113</v>
      </c>
      <c r="N114" s="13" t="str">
        <f t="shared" ca="1" si="3"/>
        <v>CLOSED</v>
      </c>
    </row>
    <row r="115" spans="1:14" s="4" customFormat="1" ht="18" x14ac:dyDescent="0.3">
      <c r="A115" s="9" t="s">
        <v>126</v>
      </c>
      <c r="B115" s="13">
        <f>VLOOKUP(Table27[[#This Row],[Location 
(drop-down)]],'List source'!D$2:E$60,2,FALSE)</f>
        <v>125</v>
      </c>
      <c r="C115" s="222" t="s">
        <v>319</v>
      </c>
      <c r="D115" s="30" t="str">
        <f t="shared" si="2"/>
        <v>PTO114-125-24</v>
      </c>
      <c r="E115" s="9" t="s">
        <v>643</v>
      </c>
      <c r="F115" s="10" t="str" cm="1">
        <f t="array" aca="1" ref="F1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15" s="10">
        <v>-8.25</v>
      </c>
      <c r="I115" s="12">
        <v>45376</v>
      </c>
      <c r="J115" s="177" t="s">
        <v>495</v>
      </c>
      <c r="K115" s="158">
        <v>45376</v>
      </c>
      <c r="L115" s="10" t="s">
        <v>510</v>
      </c>
      <c r="M115" s="428">
        <v>114</v>
      </c>
      <c r="N115" s="13" t="str">
        <f t="shared" ca="1" si="3"/>
        <v>CLOSED</v>
      </c>
    </row>
    <row r="116" spans="1:14" s="4" customFormat="1" ht="28.8" x14ac:dyDescent="0.3">
      <c r="A116" s="9" t="s">
        <v>126</v>
      </c>
      <c r="B116" s="13">
        <f>VLOOKUP(Table27[[#This Row],[Location 
(drop-down)]],'List source'!D$2:E$60,2,FALSE)</f>
        <v>125</v>
      </c>
      <c r="C116" s="222" t="s">
        <v>321</v>
      </c>
      <c r="D116" s="30" t="str">
        <f t="shared" si="2"/>
        <v>PTO115-125-24</v>
      </c>
      <c r="E116" s="9" t="s">
        <v>644</v>
      </c>
      <c r="F116" s="10" t="str" cm="1">
        <f t="array" aca="1" ref="F1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16" s="10">
        <v>-5.9</v>
      </c>
      <c r="I116" s="12">
        <v>45376</v>
      </c>
      <c r="J116" s="177" t="s">
        <v>495</v>
      </c>
      <c r="K116" s="158">
        <v>45376</v>
      </c>
      <c r="L116" s="10" t="s">
        <v>510</v>
      </c>
      <c r="M116" s="428">
        <v>115</v>
      </c>
      <c r="N116" s="13" t="str">
        <f t="shared" ca="1" si="3"/>
        <v>CLOSED</v>
      </c>
    </row>
    <row r="117" spans="1:14" s="4" customFormat="1" ht="43.2" x14ac:dyDescent="0.3">
      <c r="A117" s="9" t="s">
        <v>39</v>
      </c>
      <c r="B117" s="13">
        <f>VLOOKUP(Table27[[#This Row],[Location 
(drop-down)]],'List source'!D$2:E$60,2,FALSE)</f>
        <v>127</v>
      </c>
      <c r="C117" s="222" t="s">
        <v>326</v>
      </c>
      <c r="D117" s="30" t="str">
        <f t="shared" si="2"/>
        <v>PTO116-127-24</v>
      </c>
      <c r="E117" s="9" t="s">
        <v>645</v>
      </c>
      <c r="F117" s="10" t="str" cm="1">
        <f t="array" aca="1" ref="F1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7" s="10" t="s">
        <v>529</v>
      </c>
      <c r="I117" s="12">
        <v>45376</v>
      </c>
      <c r="J117" s="12" t="s">
        <v>495</v>
      </c>
      <c r="K117" s="77">
        <v>45376</v>
      </c>
      <c r="L117" s="10" t="s">
        <v>496</v>
      </c>
      <c r="M117" s="356">
        <v>116</v>
      </c>
      <c r="N117" s="13" t="str">
        <f t="shared" ca="1" si="3"/>
        <v>CLOSED</v>
      </c>
    </row>
    <row r="118" spans="1:14" s="4" customFormat="1" ht="18" x14ac:dyDescent="0.3">
      <c r="A118" s="9" t="s">
        <v>39</v>
      </c>
      <c r="B118" s="13">
        <f>VLOOKUP(Table27[[#This Row],[Location 
(drop-down)]],'List source'!D$2:E$60,2,FALSE)</f>
        <v>127</v>
      </c>
      <c r="C118" s="222" t="s">
        <v>328</v>
      </c>
      <c r="D118" s="30" t="str">
        <f t="shared" si="2"/>
        <v>PTO117-127-24</v>
      </c>
      <c r="E118" s="9" t="s">
        <v>646</v>
      </c>
      <c r="F118" s="10" t="str" cm="1">
        <f t="array" aca="1" ref="F1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18" s="10">
        <v>-2.14</v>
      </c>
      <c r="I118" s="12">
        <v>45376</v>
      </c>
      <c r="J118" s="12" t="s">
        <v>498</v>
      </c>
      <c r="K118" s="77">
        <v>45390</v>
      </c>
      <c r="L118" s="10"/>
      <c r="M118" s="427">
        <v>117</v>
      </c>
      <c r="N118" s="13" t="str">
        <f t="shared" ca="1" si="3"/>
        <v>CLOSED</v>
      </c>
    </row>
    <row r="119" spans="1:14" s="4" customFormat="1" ht="18" x14ac:dyDescent="0.3">
      <c r="A119" s="9" t="s">
        <v>186</v>
      </c>
      <c r="B119" s="13">
        <f>VLOOKUP(Table27[[#This Row],[Location 
(drop-down)]],'List source'!D$2:E$60,2,FALSE)</f>
        <v>130</v>
      </c>
      <c r="C119" s="222" t="s">
        <v>329</v>
      </c>
      <c r="D119" s="30" t="str">
        <f t="shared" si="2"/>
        <v>PTO118-130-24</v>
      </c>
      <c r="E119" s="9" t="s">
        <v>647</v>
      </c>
      <c r="F119" s="10" t="str" cm="1">
        <f t="array" aca="1" ref="F1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119" s="10">
        <v>3.14</v>
      </c>
      <c r="I119" s="12">
        <v>45376</v>
      </c>
      <c r="J119" s="12" t="s">
        <v>54</v>
      </c>
      <c r="K119" s="77">
        <v>45509</v>
      </c>
      <c r="L119" s="10"/>
      <c r="M119" s="427">
        <v>118</v>
      </c>
      <c r="N119" s="13" t="str">
        <f t="shared" ca="1" si="3"/>
        <v>CLOSED</v>
      </c>
    </row>
    <row r="120" spans="1:14" s="4" customFormat="1" ht="28.8" x14ac:dyDescent="0.3">
      <c r="A120" s="9" t="s">
        <v>186</v>
      </c>
      <c r="B120" s="13">
        <f>VLOOKUP(Table27[[#This Row],[Location 
(drop-down)]],'List source'!D$2:E$60,2,FALSE)</f>
        <v>130</v>
      </c>
      <c r="C120" s="222" t="s">
        <v>335</v>
      </c>
      <c r="D120" s="30" t="str">
        <f t="shared" si="2"/>
        <v>PTO119-130-24</v>
      </c>
      <c r="E120" s="9" t="s">
        <v>648</v>
      </c>
      <c r="F120" s="10" t="str" cm="1">
        <f t="array" aca="1" ref="F1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20" s="10">
        <v>-3.38</v>
      </c>
      <c r="I120" s="12">
        <v>45376</v>
      </c>
      <c r="J120" s="12" t="s">
        <v>54</v>
      </c>
      <c r="K120" s="77">
        <v>45514</v>
      </c>
      <c r="L120" s="10"/>
      <c r="M120" s="427">
        <v>119</v>
      </c>
      <c r="N120" s="13" t="str">
        <f t="shared" ca="1" si="3"/>
        <v>CLOSED</v>
      </c>
    </row>
    <row r="121" spans="1:14" s="4" customFormat="1" ht="18" x14ac:dyDescent="0.3">
      <c r="A121" s="9" t="s">
        <v>21</v>
      </c>
      <c r="B121" s="13">
        <f>VLOOKUP(Table27[[#This Row],[Location 
(drop-down)]],'List source'!D$2:E$60,2,FALSE)</f>
        <v>131</v>
      </c>
      <c r="C121" s="222" t="s">
        <v>339</v>
      </c>
      <c r="D121" s="30" t="str">
        <f t="shared" si="2"/>
        <v>PTO120-131-24</v>
      </c>
      <c r="E121" s="9" t="s">
        <v>649</v>
      </c>
      <c r="F121" s="10" t="str" cm="1">
        <f t="array" aca="1" ref="F1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1" s="10">
        <v>-7.23</v>
      </c>
      <c r="I121" s="12">
        <v>45376</v>
      </c>
      <c r="J121" s="12" t="s">
        <v>54</v>
      </c>
      <c r="K121" s="77">
        <v>45408</v>
      </c>
      <c r="L121" s="10"/>
      <c r="M121" s="427">
        <v>120</v>
      </c>
      <c r="N121" s="13" t="str">
        <f t="shared" ca="1" si="3"/>
        <v>CLOSED</v>
      </c>
    </row>
    <row r="122" spans="1:14" s="4" customFormat="1" ht="18" x14ac:dyDescent="0.3">
      <c r="A122" s="9" t="s">
        <v>264</v>
      </c>
      <c r="B122" s="13">
        <f>VLOOKUP(Table27[[#This Row],[Location 
(drop-down)]],'List source'!D$2:E$60,2,FALSE)</f>
        <v>132</v>
      </c>
      <c r="C122" s="222" t="s">
        <v>341</v>
      </c>
      <c r="D122" s="30" t="str">
        <f t="shared" si="2"/>
        <v>PTO121-132-24</v>
      </c>
      <c r="E122" s="9" t="s">
        <v>650</v>
      </c>
      <c r="F122" s="10" t="str" cm="1">
        <f t="array" aca="1" ref="F1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2" s="36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2" s="10">
        <v>3.16</v>
      </c>
      <c r="I122" s="12">
        <v>45376</v>
      </c>
      <c r="J122" s="12" t="s">
        <v>49</v>
      </c>
      <c r="K122" s="77">
        <v>45546</v>
      </c>
      <c r="L122" s="10"/>
      <c r="M122" s="427">
        <v>121</v>
      </c>
      <c r="N122" s="13" t="str">
        <f t="shared" ca="1" si="3"/>
        <v>CLOSED</v>
      </c>
    </row>
    <row r="123" spans="1:14" s="4" customFormat="1" ht="28.8" x14ac:dyDescent="0.3">
      <c r="A123" s="9" t="s">
        <v>264</v>
      </c>
      <c r="B123" s="13">
        <f>VLOOKUP(Table27[[#This Row],[Location 
(drop-down)]],'List source'!D$2:E$60,2,FALSE)</f>
        <v>132</v>
      </c>
      <c r="C123" s="222" t="s">
        <v>343</v>
      </c>
      <c r="D123" s="30" t="str">
        <f t="shared" si="2"/>
        <v>PTO122-132-24</v>
      </c>
      <c r="E123" s="9" t="s">
        <v>651</v>
      </c>
      <c r="F123" s="10" t="str" cm="1">
        <f t="array" aca="1" ref="F1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23" s="10">
        <v>4.51</v>
      </c>
      <c r="I123" s="12">
        <v>45376</v>
      </c>
      <c r="J123" s="12" t="s">
        <v>54</v>
      </c>
      <c r="K123" s="77">
        <v>45807</v>
      </c>
      <c r="L123" s="10"/>
      <c r="M123" s="427">
        <v>122</v>
      </c>
      <c r="N123" s="13" t="str">
        <f t="shared" ca="1" si="3"/>
        <v>CLOSED</v>
      </c>
    </row>
    <row r="124" spans="1:14" s="4" customFormat="1" ht="18" x14ac:dyDescent="0.3">
      <c r="A124" s="9" t="s">
        <v>264</v>
      </c>
      <c r="B124" s="13">
        <f>VLOOKUP(Table27[[#This Row],[Location 
(drop-down)]],'List source'!D$2:E$60,2,FALSE)</f>
        <v>132</v>
      </c>
      <c r="C124" s="222" t="s">
        <v>346</v>
      </c>
      <c r="D124" s="30" t="str">
        <f t="shared" si="2"/>
        <v>PTO123-132-24</v>
      </c>
      <c r="E124" s="9" t="s">
        <v>652</v>
      </c>
      <c r="F124" s="10" t="str" cm="1">
        <f t="array" aca="1" ref="F1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4"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24" s="10">
        <v>9.3800000000000008</v>
      </c>
      <c r="I124" s="12">
        <v>45376</v>
      </c>
      <c r="J124" s="234" t="s">
        <v>495</v>
      </c>
      <c r="K124" s="220">
        <v>45653</v>
      </c>
      <c r="L124" s="10" t="s">
        <v>653</v>
      </c>
      <c r="M124" s="427">
        <v>123</v>
      </c>
      <c r="N124" s="13" t="str">
        <f t="shared" ca="1" si="3"/>
        <v>CLOSED</v>
      </c>
    </row>
    <row r="125" spans="1:14" s="4" customFormat="1" ht="18" x14ac:dyDescent="0.3">
      <c r="A125" s="9" t="s">
        <v>264</v>
      </c>
      <c r="B125" s="13">
        <f>VLOOKUP(Table27[[#This Row],[Location 
(drop-down)]],'List source'!D$2:E$60,2,FALSE)</f>
        <v>132</v>
      </c>
      <c r="C125" s="222" t="s">
        <v>350</v>
      </c>
      <c r="D125" s="30" t="str">
        <f t="shared" si="2"/>
        <v>PTO124-132-24</v>
      </c>
      <c r="E125" s="9" t="s">
        <v>654</v>
      </c>
      <c r="F125" s="10" t="str" cm="1">
        <f t="array" aca="1" ref="F1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5"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25" s="10">
        <v>6</v>
      </c>
      <c r="I125" s="12">
        <v>45376</v>
      </c>
      <c r="J125" s="12" t="s">
        <v>54</v>
      </c>
      <c r="K125" s="77">
        <v>45679</v>
      </c>
      <c r="L125" s="10"/>
      <c r="M125" s="427">
        <v>124</v>
      </c>
      <c r="N125" s="13" t="str">
        <f t="shared" ca="1" si="3"/>
        <v>CLOSED</v>
      </c>
    </row>
    <row r="126" spans="1:14" s="4" customFormat="1" ht="18" x14ac:dyDescent="0.3">
      <c r="A126" s="9" t="s">
        <v>264</v>
      </c>
      <c r="B126" s="13">
        <f>VLOOKUP(Table27[[#This Row],[Location 
(drop-down)]],'List source'!D$2:E$60,2,FALSE)</f>
        <v>132</v>
      </c>
      <c r="C126" s="222" t="s">
        <v>352</v>
      </c>
      <c r="D126" s="30" t="str">
        <f t="shared" si="2"/>
        <v>PTO125-132-24</v>
      </c>
      <c r="E126" s="9" t="s">
        <v>655</v>
      </c>
      <c r="F126" s="10" t="str" cm="1">
        <f t="array" aca="1" ref="F1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Sulfur</v>
      </c>
      <c r="H126" s="39" t="s">
        <v>656</v>
      </c>
      <c r="I126" s="12">
        <v>45376</v>
      </c>
      <c r="J126" s="12" t="s">
        <v>182</v>
      </c>
      <c r="K126" s="77">
        <v>45883</v>
      </c>
      <c r="L126" s="10"/>
      <c r="M126" s="427">
        <v>125</v>
      </c>
      <c r="N126" s="13" t="str">
        <f t="shared" ca="1" si="3"/>
        <v>CLOSED</v>
      </c>
    </row>
    <row r="127" spans="1:14" s="4" customFormat="1" ht="28.8" x14ac:dyDescent="0.3">
      <c r="A127" s="9" t="s">
        <v>157</v>
      </c>
      <c r="B127" s="13">
        <f>VLOOKUP(Table27[[#This Row],[Location 
(drop-down)]],'List source'!D$2:E$60,2,FALSE)</f>
        <v>136</v>
      </c>
      <c r="C127" s="222" t="s">
        <v>354</v>
      </c>
      <c r="D127" s="30" t="str">
        <f t="shared" si="2"/>
        <v>PTO126-136-24</v>
      </c>
      <c r="E127" s="9" t="s">
        <v>657</v>
      </c>
      <c r="F127" s="10" t="str" cm="1">
        <f t="array" aca="1" ref="F1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27" s="39" t="s">
        <v>658</v>
      </c>
      <c r="I127" s="12">
        <v>45376</v>
      </c>
      <c r="J127" s="12" t="s">
        <v>501</v>
      </c>
      <c r="K127" s="77">
        <v>45468</v>
      </c>
      <c r="L127" s="10"/>
      <c r="M127" s="427">
        <v>126</v>
      </c>
      <c r="N127" s="13" t="str">
        <f t="shared" ca="1" si="3"/>
        <v>CLOSED</v>
      </c>
    </row>
    <row r="128" spans="1:14" s="4" customFormat="1" ht="28.8" x14ac:dyDescent="0.3">
      <c r="A128" s="9" t="s">
        <v>157</v>
      </c>
      <c r="B128" s="13">
        <f>VLOOKUP(Table27[[#This Row],[Location 
(drop-down)]],'List source'!D$2:E$60,2,FALSE)</f>
        <v>136</v>
      </c>
      <c r="C128" s="222" t="s">
        <v>356</v>
      </c>
      <c r="D128" s="30" t="str">
        <f t="shared" si="2"/>
        <v>PTO127-136-24</v>
      </c>
      <c r="E128" s="9" t="s">
        <v>659</v>
      </c>
      <c r="F128" s="10" t="str" cm="1">
        <f t="array" aca="1" ref="F1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128" s="10">
        <v>23.79</v>
      </c>
      <c r="I128" s="12">
        <v>45376</v>
      </c>
      <c r="J128" s="12" t="s">
        <v>495</v>
      </c>
      <c r="K128" s="77">
        <v>45376</v>
      </c>
      <c r="L128" s="10" t="s">
        <v>510</v>
      </c>
      <c r="M128" s="427">
        <v>127</v>
      </c>
      <c r="N128" s="13" t="str">
        <f t="shared" ca="1" si="3"/>
        <v>CLOSED</v>
      </c>
    </row>
    <row r="129" spans="1:14" s="4" customFormat="1" ht="18" x14ac:dyDescent="0.3">
      <c r="A129" s="9" t="s">
        <v>235</v>
      </c>
      <c r="B129" s="13">
        <f>VLOOKUP(Table27[[#This Row],[Location 
(drop-down)]],'List source'!D$2:E$60,2,FALSE)</f>
        <v>160</v>
      </c>
      <c r="C129" s="222" t="s">
        <v>358</v>
      </c>
      <c r="D129" s="30" t="str">
        <f t="shared" si="2"/>
        <v>PTO128-160-24</v>
      </c>
      <c r="E129" s="9" t="s">
        <v>660</v>
      </c>
      <c r="F129" s="10" t="str" cm="1">
        <f t="array" aca="1" ref="F1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129" s="39" t="s">
        <v>661</v>
      </c>
      <c r="I129" s="12">
        <v>45376</v>
      </c>
      <c r="J129" s="12" t="s">
        <v>134</v>
      </c>
      <c r="K129" s="77">
        <v>45694</v>
      </c>
      <c r="L129" s="10"/>
      <c r="M129" s="427">
        <v>128</v>
      </c>
      <c r="N129" s="13" t="str">
        <f t="shared" ca="1" si="3"/>
        <v>CLOSED</v>
      </c>
    </row>
    <row r="130" spans="1:14" s="4" customFormat="1" ht="28.8" x14ac:dyDescent="0.3">
      <c r="A130" s="9" t="s">
        <v>209</v>
      </c>
      <c r="B130" s="13">
        <f>VLOOKUP(Table27[[#This Row],[Location 
(drop-down)]],'List source'!D$2:E$60,2,FALSE)</f>
        <v>165</v>
      </c>
      <c r="C130" s="222" t="s">
        <v>359</v>
      </c>
      <c r="D130" s="30" t="str">
        <f t="shared" ref="D130:D193" si="4">"PTO" &amp; C130 &amp; "-" &amp; B130 &amp; "-" &amp; "24"</f>
        <v>PTO129-165-24</v>
      </c>
      <c r="E130" s="9" t="s">
        <v>636</v>
      </c>
      <c r="F130" s="10" t="str" cm="1">
        <f t="array" aca="1" ref="F1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0"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30" s="10">
        <v>2.17</v>
      </c>
      <c r="I130" s="12">
        <v>45376</v>
      </c>
      <c r="J130" s="12" t="s">
        <v>495</v>
      </c>
      <c r="K130" s="77">
        <v>45450</v>
      </c>
      <c r="L130" s="10" t="s">
        <v>662</v>
      </c>
      <c r="M130" s="427">
        <v>129</v>
      </c>
      <c r="N130" s="13" t="str">
        <f t="shared" ref="N130:N193" ca="1" si="5">IF(ISBLANK(K130), TODAY()-(I130), "CLOSED")</f>
        <v>CLOSED</v>
      </c>
    </row>
    <row r="131" spans="1:14" s="4" customFormat="1" ht="18" x14ac:dyDescent="0.3">
      <c r="A131" s="9" t="s">
        <v>209</v>
      </c>
      <c r="B131" s="13">
        <f>VLOOKUP(Table27[[#This Row],[Location 
(drop-down)]],'List source'!D$2:E$60,2,FALSE)</f>
        <v>165</v>
      </c>
      <c r="C131" s="222" t="s">
        <v>362</v>
      </c>
      <c r="D131" s="30" t="str">
        <f t="shared" si="4"/>
        <v>PTO130-165-24</v>
      </c>
      <c r="E131" s="94" t="s">
        <v>663</v>
      </c>
      <c r="F131" s="98" t="str" cm="1">
        <f t="array" aca="1" ref="F1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131" s="98">
        <v>2.12</v>
      </c>
      <c r="I131" s="12">
        <v>45376</v>
      </c>
      <c r="J131" s="12" t="s">
        <v>134</v>
      </c>
      <c r="K131" s="77">
        <v>45538</v>
      </c>
      <c r="L131" s="10"/>
      <c r="M131" s="427">
        <v>130</v>
      </c>
      <c r="N131" s="13" t="str">
        <f t="shared" ca="1" si="5"/>
        <v>CLOSED</v>
      </c>
    </row>
    <row r="132" spans="1:14" s="4" customFormat="1" ht="28.8" x14ac:dyDescent="0.3">
      <c r="A132" s="9" t="s">
        <v>57</v>
      </c>
      <c r="B132" s="13">
        <f>VLOOKUP(Table27[[#This Row],[Location 
(drop-down)]],'List source'!D$2:E$60,2,FALSE)</f>
        <v>170</v>
      </c>
      <c r="C132" s="222" t="s">
        <v>364</v>
      </c>
      <c r="D132" s="30" t="str">
        <f t="shared" si="4"/>
        <v>PTO131-170-24</v>
      </c>
      <c r="E132" s="159" t="s">
        <v>664</v>
      </c>
      <c r="F132" s="206" t="str" cm="1">
        <f t="array" aca="1" ref="F1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2" s="15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32" s="206">
        <v>2.4500000000000002</v>
      </c>
      <c r="I132" s="110">
        <v>45376</v>
      </c>
      <c r="J132" s="12" t="s">
        <v>495</v>
      </c>
      <c r="K132" s="77">
        <v>45405</v>
      </c>
      <c r="L132" s="10" t="s">
        <v>510</v>
      </c>
      <c r="M132" s="427">
        <v>131</v>
      </c>
      <c r="N132" s="13" t="str">
        <f t="shared" ca="1" si="5"/>
        <v>CLOSED</v>
      </c>
    </row>
    <row r="133" spans="1:14" s="4" customFormat="1" ht="18" x14ac:dyDescent="0.3">
      <c r="A133" s="9" t="s">
        <v>57</v>
      </c>
      <c r="B133" s="13">
        <f>VLOOKUP(Table27[[#This Row],[Location 
(drop-down)]],'List source'!D$2:E$60,2,FALSE)</f>
        <v>170</v>
      </c>
      <c r="C133" s="222" t="s">
        <v>366</v>
      </c>
      <c r="D133" s="30" t="str">
        <f t="shared" si="4"/>
        <v>PTO132-170-24</v>
      </c>
      <c r="E133" s="22" t="s">
        <v>665</v>
      </c>
      <c r="F133" s="25" t="str" cm="1">
        <f t="array" aca="1" ref="F1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 s="16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133" s="154" t="s">
        <v>666</v>
      </c>
      <c r="I133" s="12">
        <v>45376</v>
      </c>
      <c r="J133" s="12" t="s">
        <v>501</v>
      </c>
      <c r="K133" s="77">
        <v>45406</v>
      </c>
      <c r="L133" s="10"/>
      <c r="M133" s="427">
        <v>132</v>
      </c>
      <c r="N133" s="13" t="str">
        <f t="shared" ca="1" si="5"/>
        <v>CLOSED</v>
      </c>
    </row>
    <row r="134" spans="1:14" s="4" customFormat="1" ht="28.8" x14ac:dyDescent="0.3">
      <c r="A134" s="9" t="s">
        <v>57</v>
      </c>
      <c r="B134" s="13">
        <f>VLOOKUP(Table27[[#This Row],[Location 
(drop-down)]],'List source'!D$2:E$60,2,FALSE)</f>
        <v>170</v>
      </c>
      <c r="C134" s="222" t="s">
        <v>370</v>
      </c>
      <c r="D134" s="30" t="str">
        <f t="shared" si="4"/>
        <v>PTO133-170-24</v>
      </c>
      <c r="E134" s="9" t="s">
        <v>667</v>
      </c>
      <c r="F134" s="50" t="str" cm="1">
        <f t="array" aca="1" ref="F1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 s="19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134" s="160" t="s">
        <v>668</v>
      </c>
      <c r="I134" s="12">
        <v>45376</v>
      </c>
      <c r="J134" s="12" t="s">
        <v>60</v>
      </c>
      <c r="K134" s="77">
        <v>45610</v>
      </c>
      <c r="L134" s="10"/>
      <c r="M134" s="427">
        <v>133</v>
      </c>
      <c r="N134" s="13" t="str">
        <f t="shared" ca="1" si="5"/>
        <v>CLOSED</v>
      </c>
    </row>
    <row r="135" spans="1:14" s="4" customFormat="1" ht="18" x14ac:dyDescent="0.3">
      <c r="A135" s="9" t="s">
        <v>57</v>
      </c>
      <c r="B135" s="13">
        <f>VLOOKUP(Table27[[#This Row],[Location 
(drop-down)]],'List source'!D$2:E$60,2,FALSE)</f>
        <v>170</v>
      </c>
      <c r="C135" s="222" t="s">
        <v>372</v>
      </c>
      <c r="D135" s="30" t="str">
        <f t="shared" si="4"/>
        <v>PTO134-170-24</v>
      </c>
      <c r="E135" s="9" t="s">
        <v>669</v>
      </c>
      <c r="F135" s="10" t="str" cm="1">
        <f t="array" aca="1" ref="F1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 s="36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35" s="39" t="s">
        <v>670</v>
      </c>
      <c r="I135" s="12">
        <v>45376</v>
      </c>
      <c r="J135" s="12" t="s">
        <v>60</v>
      </c>
      <c r="K135" s="77">
        <v>45610</v>
      </c>
      <c r="L135" s="10"/>
      <c r="M135" s="427">
        <v>134</v>
      </c>
      <c r="N135" s="13" t="str">
        <f t="shared" ca="1" si="5"/>
        <v>CLOSED</v>
      </c>
    </row>
    <row r="136" spans="1:14" s="4" customFormat="1" ht="18" x14ac:dyDescent="0.3">
      <c r="A136" s="9" t="s">
        <v>388</v>
      </c>
      <c r="B136" s="13">
        <f>VLOOKUP(Table27[[#This Row],[Location 
(drop-down)]],'List source'!D$2:E$60,2,FALSE)</f>
        <v>191</v>
      </c>
      <c r="C136" s="222" t="s">
        <v>374</v>
      </c>
      <c r="D136" s="30" t="str">
        <f t="shared" si="4"/>
        <v>PTO135-191-24</v>
      </c>
      <c r="E136" s="9" t="s">
        <v>671</v>
      </c>
      <c r="F136" s="10" t="str" cm="1">
        <f t="array" aca="1" ref="F1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136" s="395">
        <v>2.17</v>
      </c>
      <c r="I136" s="12">
        <v>45376</v>
      </c>
      <c r="J136" s="12" t="s">
        <v>501</v>
      </c>
      <c r="K136" s="77">
        <v>45474</v>
      </c>
      <c r="L136" s="10"/>
      <c r="M136" s="427">
        <v>135</v>
      </c>
      <c r="N136" s="13" t="str">
        <f t="shared" ca="1" si="5"/>
        <v>CLOSED</v>
      </c>
    </row>
    <row r="137" spans="1:14" s="4" customFormat="1" ht="18" x14ac:dyDescent="0.3">
      <c r="A137" s="9" t="s">
        <v>388</v>
      </c>
      <c r="B137" s="13">
        <f>VLOOKUP(Table27[[#This Row],[Location 
(drop-down)]],'List source'!D$2:E$60,2,FALSE)</f>
        <v>191</v>
      </c>
      <c r="C137" s="222" t="s">
        <v>375</v>
      </c>
      <c r="D137" s="30" t="str">
        <f t="shared" si="4"/>
        <v>PTO136-191-24</v>
      </c>
      <c r="E137" s="9" t="s">
        <v>650</v>
      </c>
      <c r="F137" s="10" t="str" cm="1">
        <f t="array" aca="1" ref="F1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7" s="10">
        <v>3.16</v>
      </c>
      <c r="I137" s="12">
        <v>45376</v>
      </c>
      <c r="J137" s="12" t="s">
        <v>501</v>
      </c>
      <c r="K137" s="77">
        <v>45428</v>
      </c>
      <c r="L137" s="10"/>
      <c r="M137" s="427">
        <v>136</v>
      </c>
      <c r="N137" s="13" t="str">
        <f t="shared" ca="1" si="5"/>
        <v>CLOSED</v>
      </c>
    </row>
    <row r="138" spans="1:14" s="4" customFormat="1" ht="43.2" x14ac:dyDescent="0.3">
      <c r="A138" s="9" t="s">
        <v>388</v>
      </c>
      <c r="B138" s="13">
        <f>VLOOKUP(Table27[[#This Row],[Location 
(drop-down)]],'List source'!D$2:E$60,2,FALSE)</f>
        <v>191</v>
      </c>
      <c r="C138" s="222" t="s">
        <v>376</v>
      </c>
      <c r="D138" s="30" t="str">
        <f t="shared" si="4"/>
        <v>PTO137-191-24</v>
      </c>
      <c r="E138" s="101" t="s">
        <v>672</v>
      </c>
      <c r="F138" s="382" t="str" cm="1">
        <f t="array" aca="1" ref="F1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38" s="382">
        <v>2.2999999999999998</v>
      </c>
      <c r="I138" s="110">
        <v>45376</v>
      </c>
      <c r="J138" s="12" t="s">
        <v>495</v>
      </c>
      <c r="K138" s="77">
        <v>45376</v>
      </c>
      <c r="L138" s="10" t="s">
        <v>673</v>
      </c>
      <c r="M138" s="427">
        <v>137</v>
      </c>
      <c r="N138" s="13" t="str">
        <f t="shared" ca="1" si="5"/>
        <v>CLOSED</v>
      </c>
    </row>
    <row r="139" spans="1:14" s="4" customFormat="1" ht="18" x14ac:dyDescent="0.3">
      <c r="A139" s="9" t="s">
        <v>130</v>
      </c>
      <c r="B139" s="13">
        <f>VLOOKUP(Table27[[#This Row],[Location 
(drop-down)]],'List source'!D$2:E$60,2,FALSE)</f>
        <v>194</v>
      </c>
      <c r="C139" s="222" t="s">
        <v>378</v>
      </c>
      <c r="D139" s="30" t="str">
        <f t="shared" si="4"/>
        <v>PTO138-194-24</v>
      </c>
      <c r="E139" s="101" t="s">
        <v>674</v>
      </c>
      <c r="F139" s="382" t="str" cm="1">
        <f t="array" aca="1" ref="F1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139" s="396" t="s">
        <v>675</v>
      </c>
      <c r="I139" s="110">
        <v>45376</v>
      </c>
      <c r="J139" s="12" t="s">
        <v>495</v>
      </c>
      <c r="K139" s="77">
        <v>45376</v>
      </c>
      <c r="L139" s="10" t="s">
        <v>510</v>
      </c>
      <c r="M139" s="427">
        <v>138</v>
      </c>
      <c r="N139" s="13" t="str">
        <f t="shared" ca="1" si="5"/>
        <v>CLOSED</v>
      </c>
    </row>
    <row r="140" spans="1:14" s="4" customFormat="1" ht="18" x14ac:dyDescent="0.3">
      <c r="A140" s="9" t="s">
        <v>288</v>
      </c>
      <c r="B140" s="13">
        <f>VLOOKUP(Table27[[#This Row],[Location 
(drop-down)]],'List source'!D$2:E$60,2,FALSE)</f>
        <v>197</v>
      </c>
      <c r="C140" s="222" t="s">
        <v>380</v>
      </c>
      <c r="D140" s="30" t="str">
        <f t="shared" si="4"/>
        <v>PTO139-197-24</v>
      </c>
      <c r="E140" s="101" t="s">
        <v>676</v>
      </c>
      <c r="F140" s="13" t="str" cm="1">
        <f t="array" aca="1" ref="F1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0"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140" s="13">
        <v>3.07</v>
      </c>
      <c r="I140" s="12">
        <v>45376</v>
      </c>
      <c r="J140" s="12" t="s">
        <v>495</v>
      </c>
      <c r="K140" s="77">
        <v>45597</v>
      </c>
      <c r="L140" s="10" t="s">
        <v>510</v>
      </c>
      <c r="M140" s="427">
        <v>139</v>
      </c>
      <c r="N140" s="13" t="str">
        <f t="shared" ca="1" si="5"/>
        <v>CLOSED</v>
      </c>
    </row>
    <row r="141" spans="1:14" s="4" customFormat="1" ht="18" x14ac:dyDescent="0.3">
      <c r="A141" s="9" t="s">
        <v>288</v>
      </c>
      <c r="B141" s="13">
        <f>VLOOKUP(Table27[[#This Row],[Location 
(drop-down)]],'List source'!D$2:E$60,2,FALSE)</f>
        <v>197</v>
      </c>
      <c r="C141" s="222" t="s">
        <v>381</v>
      </c>
      <c r="D141" s="30" t="str">
        <f t="shared" si="4"/>
        <v>PTO140-197-24</v>
      </c>
      <c r="E141" s="101" t="s">
        <v>677</v>
      </c>
      <c r="F141" s="13" t="str" cm="1">
        <f t="array" aca="1" ref="F1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1"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D4529 - Heat of Combustion</v>
      </c>
      <c r="H141" s="13">
        <v>2.6</v>
      </c>
      <c r="I141" s="12">
        <v>45376</v>
      </c>
      <c r="J141" s="12" t="s">
        <v>41</v>
      </c>
      <c r="K141" s="77">
        <v>45602</v>
      </c>
      <c r="L141" s="10"/>
      <c r="M141" s="427">
        <v>140</v>
      </c>
      <c r="N141" s="13" t="str">
        <f t="shared" ca="1" si="5"/>
        <v>CLOSED</v>
      </c>
    </row>
    <row r="142" spans="1:14" s="4" customFormat="1" ht="43.2" x14ac:dyDescent="0.3">
      <c r="A142" s="9" t="s">
        <v>288</v>
      </c>
      <c r="B142" s="13">
        <f>VLOOKUP(Table27[[#This Row],[Location 
(drop-down)]],'List source'!D$2:E$60,2,FALSE)</f>
        <v>197</v>
      </c>
      <c r="C142" s="222" t="s">
        <v>382</v>
      </c>
      <c r="D142" s="30" t="str">
        <f t="shared" si="4"/>
        <v>PTO141-197-24</v>
      </c>
      <c r="E142" s="101" t="s">
        <v>678</v>
      </c>
      <c r="F142" s="13" t="str" cm="1">
        <f t="array" aca="1" ref="F1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2"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142" s="13" t="s">
        <v>679</v>
      </c>
      <c r="I142" s="21">
        <v>45376</v>
      </c>
      <c r="J142" s="12" t="s">
        <v>41</v>
      </c>
      <c r="K142" s="77">
        <v>45602</v>
      </c>
      <c r="L142" s="10"/>
      <c r="M142" s="427">
        <v>141</v>
      </c>
      <c r="N142" s="13" t="str">
        <f t="shared" ca="1" si="5"/>
        <v>CLOSED</v>
      </c>
    </row>
    <row r="143" spans="1:14" s="4" customFormat="1" ht="28.8" x14ac:dyDescent="0.3">
      <c r="A143" s="9" t="s">
        <v>288</v>
      </c>
      <c r="B143" s="13">
        <f>VLOOKUP(Table27[[#This Row],[Location 
(drop-down)]],'List source'!D$2:E$60,2,FALSE)</f>
        <v>197</v>
      </c>
      <c r="C143" s="222" t="s">
        <v>383</v>
      </c>
      <c r="D143" s="30" t="str">
        <f t="shared" si="4"/>
        <v>PTO142-197-24</v>
      </c>
      <c r="E143" s="101" t="s">
        <v>680</v>
      </c>
      <c r="F143" s="13" t="str" cm="1">
        <f t="array" aca="1" ref="F1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3"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43" s="11" t="s">
        <v>681</v>
      </c>
      <c r="I143" s="12">
        <v>45376</v>
      </c>
      <c r="J143" s="12" t="s">
        <v>41</v>
      </c>
      <c r="K143" s="77">
        <v>45600</v>
      </c>
      <c r="L143" s="10"/>
      <c r="M143" s="427">
        <v>142</v>
      </c>
      <c r="N143" s="13" t="str">
        <f t="shared" ca="1" si="5"/>
        <v>CLOSED</v>
      </c>
    </row>
    <row r="144" spans="1:14" s="4" customFormat="1" ht="18" x14ac:dyDescent="0.3">
      <c r="A144" s="9" t="s">
        <v>166</v>
      </c>
      <c r="B144" s="13">
        <f>VLOOKUP(Table27[[#This Row],[Location 
(drop-down)]],'List source'!D$2:E$60,2,FALSE)</f>
        <v>198</v>
      </c>
      <c r="C144" s="222" t="s">
        <v>386</v>
      </c>
      <c r="D144" s="30" t="str">
        <f t="shared" si="4"/>
        <v>PTO143-198-24</v>
      </c>
      <c r="E144" s="101" t="s">
        <v>682</v>
      </c>
      <c r="F144" s="13" t="str" cm="1">
        <f t="array" aca="1" ref="F1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4"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4" s="339" t="s">
        <v>683</v>
      </c>
      <c r="I144" s="12">
        <v>45376</v>
      </c>
      <c r="J144" s="12" t="s">
        <v>41</v>
      </c>
      <c r="K144" s="77">
        <v>45595</v>
      </c>
      <c r="L144" s="10"/>
      <c r="M144" s="427">
        <v>143</v>
      </c>
      <c r="N144" s="13" t="str">
        <f t="shared" ca="1" si="5"/>
        <v>CLOSED</v>
      </c>
    </row>
    <row r="145" spans="1:14" s="4" customFormat="1" ht="18" x14ac:dyDescent="0.3">
      <c r="A145" s="9" t="s">
        <v>166</v>
      </c>
      <c r="B145" s="13">
        <f>VLOOKUP(Table27[[#This Row],[Location 
(drop-down)]],'List source'!D$2:E$60,2,FALSE)</f>
        <v>198</v>
      </c>
      <c r="C145" s="222" t="s">
        <v>389</v>
      </c>
      <c r="D145" s="30" t="str">
        <f t="shared" si="4"/>
        <v>PTO144-198-24</v>
      </c>
      <c r="E145" s="101" t="s">
        <v>684</v>
      </c>
      <c r="F145" s="13" t="str" cm="1">
        <f t="array" aca="1" ref="F1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5"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Sulfur</v>
      </c>
      <c r="H145" s="13">
        <v>3</v>
      </c>
      <c r="I145" s="12">
        <v>45376</v>
      </c>
      <c r="J145" s="12" t="s">
        <v>41</v>
      </c>
      <c r="K145" s="77">
        <v>45636</v>
      </c>
      <c r="L145" s="10"/>
      <c r="M145" s="427">
        <v>144</v>
      </c>
      <c r="N145" s="13" t="str">
        <f t="shared" ca="1" si="5"/>
        <v>CLOSED</v>
      </c>
    </row>
    <row r="146" spans="1:14" s="4" customFormat="1" ht="18" x14ac:dyDescent="0.3">
      <c r="A146" s="9" t="s">
        <v>261</v>
      </c>
      <c r="B146" s="13">
        <f>VLOOKUP(Table27[[#This Row],[Location 
(drop-down)]],'List source'!D$2:E$60,2,FALSE)</f>
        <v>210</v>
      </c>
      <c r="C146" s="222" t="s">
        <v>390</v>
      </c>
      <c r="D146" s="30" t="str">
        <f t="shared" si="4"/>
        <v>PTO145-210-24</v>
      </c>
      <c r="E146" s="101" t="s">
        <v>685</v>
      </c>
      <c r="F146" s="13" t="str" cm="1">
        <f t="array" aca="1" ref="F1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6"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6" s="11" t="s">
        <v>686</v>
      </c>
      <c r="I146" s="12">
        <v>45376</v>
      </c>
      <c r="J146" s="12" t="s">
        <v>498</v>
      </c>
      <c r="K146" s="77">
        <v>45441</v>
      </c>
      <c r="L146" s="10"/>
      <c r="M146" s="427">
        <v>145</v>
      </c>
      <c r="N146" s="13" t="str">
        <f t="shared" ca="1" si="5"/>
        <v>CLOSED</v>
      </c>
    </row>
    <row r="147" spans="1:14" s="4" customFormat="1" ht="18" x14ac:dyDescent="0.3">
      <c r="A147" s="9" t="s">
        <v>261</v>
      </c>
      <c r="B147" s="13">
        <f>VLOOKUP(Table27[[#This Row],[Location 
(drop-down)]],'List source'!D$2:E$60,2,FALSE)</f>
        <v>210</v>
      </c>
      <c r="C147" s="222" t="s">
        <v>392</v>
      </c>
      <c r="D147" s="30" t="str">
        <f t="shared" si="4"/>
        <v>PTO146-210-24</v>
      </c>
      <c r="E147" s="101" t="s">
        <v>687</v>
      </c>
      <c r="F147" s="13" t="str" cm="1">
        <f t="array" aca="1" ref="F1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7"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D5001 - Lubricity</v>
      </c>
      <c r="H147" s="11" t="s">
        <v>688</v>
      </c>
      <c r="I147" s="12">
        <v>45376</v>
      </c>
      <c r="J147" s="12" t="s">
        <v>498</v>
      </c>
      <c r="K147" s="77">
        <v>45441</v>
      </c>
      <c r="L147" s="10"/>
      <c r="M147" s="427">
        <v>146</v>
      </c>
      <c r="N147" s="13" t="str">
        <f t="shared" ca="1" si="5"/>
        <v>CLOSED</v>
      </c>
    </row>
    <row r="148" spans="1:14" s="4" customFormat="1" ht="18" x14ac:dyDescent="0.3">
      <c r="A148" s="9" t="s">
        <v>261</v>
      </c>
      <c r="B148" s="13">
        <f>VLOOKUP(Table27[[#This Row],[Location 
(drop-down)]],'List source'!D$2:E$60,2,FALSE)</f>
        <v>210</v>
      </c>
      <c r="C148" s="222" t="s">
        <v>395</v>
      </c>
      <c r="D148" s="30" t="str">
        <f t="shared" si="4"/>
        <v>PTO147-210-24</v>
      </c>
      <c r="E148" s="101" t="s">
        <v>689</v>
      </c>
      <c r="F148" s="13" t="str" cm="1">
        <f t="array" aca="1" ref="F1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8"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48" s="11" t="s">
        <v>690</v>
      </c>
      <c r="I148" s="12">
        <v>45376</v>
      </c>
      <c r="J148" s="12" t="s">
        <v>498</v>
      </c>
      <c r="K148" s="77">
        <v>45432</v>
      </c>
      <c r="L148" s="17"/>
      <c r="M148" s="427">
        <v>147</v>
      </c>
      <c r="N148" s="13" t="str">
        <f t="shared" ca="1" si="5"/>
        <v>CLOSED</v>
      </c>
    </row>
    <row r="149" spans="1:14" s="4" customFormat="1" ht="28.8" x14ac:dyDescent="0.3">
      <c r="A149" s="9" t="s">
        <v>564</v>
      </c>
      <c r="B149" s="13">
        <f>VLOOKUP(Table27[[#This Row],[Location 
(drop-down)]],'List source'!D$2:E$60,2,FALSE)</f>
        <v>215</v>
      </c>
      <c r="C149" s="222" t="s">
        <v>398</v>
      </c>
      <c r="D149" s="30" t="str">
        <f t="shared" si="4"/>
        <v>PTO148-215-24</v>
      </c>
      <c r="E149" s="101" t="s">
        <v>691</v>
      </c>
      <c r="F149" s="27" t="str" cm="1">
        <f t="array" aca="1" ref="F1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49" s="22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9" s="23" t="s">
        <v>692</v>
      </c>
      <c r="I149" s="403">
        <v>45376</v>
      </c>
      <c r="J149" s="12" t="s">
        <v>195</v>
      </c>
      <c r="K149" s="408">
        <v>45436</v>
      </c>
      <c r="L149" s="10"/>
      <c r="M149" s="426">
        <v>148</v>
      </c>
      <c r="N149" s="13" t="str">
        <f t="shared" ca="1" si="5"/>
        <v>CLOSED</v>
      </c>
    </row>
    <row r="150" spans="1:14" s="4" customFormat="1" ht="28.8" x14ac:dyDescent="0.3">
      <c r="A150" s="9" t="s">
        <v>564</v>
      </c>
      <c r="B150" s="13">
        <f>VLOOKUP(Table27[[#This Row],[Location 
(drop-down)]],'List source'!D$2:E$60,2,FALSE)</f>
        <v>215</v>
      </c>
      <c r="C150" s="222" t="s">
        <v>400</v>
      </c>
      <c r="D150" s="30" t="str">
        <f t="shared" si="4"/>
        <v>PTO149-215-24</v>
      </c>
      <c r="E150" s="101" t="s">
        <v>693</v>
      </c>
      <c r="F150" s="13" t="str" cm="1">
        <f t="array" aca="1" ref="F1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50"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50" s="13" t="s">
        <v>694</v>
      </c>
      <c r="I150" s="21">
        <v>45376</v>
      </c>
      <c r="J150" s="12" t="s">
        <v>195</v>
      </c>
      <c r="K150" s="79">
        <v>45532</v>
      </c>
      <c r="L150" s="10"/>
      <c r="M150" s="427">
        <v>149</v>
      </c>
      <c r="N150" s="13" t="str">
        <f t="shared" ca="1" si="5"/>
        <v>CLOSED</v>
      </c>
    </row>
    <row r="151" spans="1:14" s="4" customFormat="1" ht="18" x14ac:dyDescent="0.3">
      <c r="A151" s="9" t="s">
        <v>564</v>
      </c>
      <c r="B151" s="13">
        <f>VLOOKUP(Table27[[#This Row],[Location 
(drop-down)]],'List source'!D$2:E$60,2,FALSE)</f>
        <v>215</v>
      </c>
      <c r="C151" s="222" t="s">
        <v>403</v>
      </c>
      <c r="D151" s="30" t="str">
        <f t="shared" si="4"/>
        <v>PTO150-215-24</v>
      </c>
      <c r="E151" s="101" t="s">
        <v>695</v>
      </c>
      <c r="F151" s="13" t="str" cm="1">
        <f t="array" aca="1" ref="F1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51"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51" s="11" t="s">
        <v>696</v>
      </c>
      <c r="I151" s="21">
        <v>45376</v>
      </c>
      <c r="J151" s="12" t="s">
        <v>195</v>
      </c>
      <c r="K151" s="79">
        <v>45553</v>
      </c>
      <c r="L151" s="10"/>
      <c r="M151" s="427">
        <v>150</v>
      </c>
      <c r="N151" s="13" t="str">
        <f t="shared" ca="1" si="5"/>
        <v>CLOSED</v>
      </c>
    </row>
    <row r="152" spans="1:14" s="4" customFormat="1" ht="28.8" x14ac:dyDescent="0.3">
      <c r="A152" s="9" t="s">
        <v>564</v>
      </c>
      <c r="B152" s="13">
        <f>VLOOKUP(Table27[[#This Row],[Location 
(drop-down)]],'List source'!D$2:E$60,2,FALSE)</f>
        <v>215</v>
      </c>
      <c r="C152" s="222" t="s">
        <v>406</v>
      </c>
      <c r="D152" s="30" t="str">
        <f t="shared" si="4"/>
        <v>PTO151-215-24</v>
      </c>
      <c r="E152" s="101" t="s">
        <v>697</v>
      </c>
      <c r="F152" s="13" t="str" cm="1">
        <f t="array" aca="1" ref="F1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52"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52" s="13">
        <v>7.3</v>
      </c>
      <c r="I152" s="21">
        <v>45376</v>
      </c>
      <c r="J152" s="418" t="s">
        <v>195</v>
      </c>
      <c r="K152" s="419" t="s">
        <v>114</v>
      </c>
      <c r="L152" s="2" t="s">
        <v>567</v>
      </c>
      <c r="M152" s="427">
        <v>151</v>
      </c>
      <c r="N152" s="13" t="str">
        <f t="shared" ca="1" si="5"/>
        <v>CLOSED</v>
      </c>
    </row>
    <row r="153" spans="1:14" s="4" customFormat="1" ht="28.8" x14ac:dyDescent="0.3">
      <c r="A153" s="189" t="s">
        <v>138</v>
      </c>
      <c r="B153" s="217">
        <f>VLOOKUP(Table27[[#This Row],[Location 
(drop-down)]],'List source'!D$2:E$60,2,FALSE)</f>
        <v>110</v>
      </c>
      <c r="C153" s="251" t="s">
        <v>408</v>
      </c>
      <c r="D153" s="30" t="str">
        <f t="shared" si="4"/>
        <v>PTO152-110-24</v>
      </c>
      <c r="E153" s="101" t="s">
        <v>698</v>
      </c>
      <c r="F153" s="13" t="str" cm="1">
        <f t="array" aca="1" ref="F1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3"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53" s="11" t="s">
        <v>699</v>
      </c>
      <c r="I153" s="21">
        <v>45387</v>
      </c>
      <c r="J153" s="417" t="s">
        <v>498</v>
      </c>
      <c r="K153" s="408">
        <v>45905</v>
      </c>
      <c r="L153" s="413"/>
      <c r="M153" s="356">
        <v>152</v>
      </c>
      <c r="N153" s="13" t="str">
        <f t="shared" ca="1" si="5"/>
        <v>CLOSED</v>
      </c>
    </row>
    <row r="154" spans="1:14" s="4" customFormat="1" ht="18" x14ac:dyDescent="0.3">
      <c r="A154" s="9" t="s">
        <v>318</v>
      </c>
      <c r="B154" s="13">
        <f>VLOOKUP(Table27[[#This Row],[Location 
(drop-down)]],'List source'!D$2:E$60,2,FALSE)</f>
        <v>115</v>
      </c>
      <c r="C154" s="222" t="s">
        <v>411</v>
      </c>
      <c r="D154" s="30" t="str">
        <f t="shared" si="4"/>
        <v>PTO153-115-24</v>
      </c>
      <c r="E154" s="101" t="s">
        <v>700</v>
      </c>
      <c r="F154" s="13" t="str" cm="1">
        <f t="array" aca="1" ref="F1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4"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54" s="13">
        <v>15.67</v>
      </c>
      <c r="I154" s="21">
        <v>45387</v>
      </c>
      <c r="J154" s="14" t="s">
        <v>495</v>
      </c>
      <c r="K154" s="79">
        <v>45411</v>
      </c>
      <c r="L154" s="10" t="s">
        <v>510</v>
      </c>
      <c r="M154" s="427">
        <v>153</v>
      </c>
      <c r="N154" s="13" t="str">
        <f t="shared" ca="1" si="5"/>
        <v>CLOSED</v>
      </c>
    </row>
    <row r="155" spans="1:14" s="4" customFormat="1" ht="28.8" x14ac:dyDescent="0.3">
      <c r="A155" s="9" t="s">
        <v>318</v>
      </c>
      <c r="B155" s="13">
        <f>VLOOKUP(Table27[[#This Row],[Location 
(drop-down)]],'List source'!D$2:E$60,2,FALSE)</f>
        <v>115</v>
      </c>
      <c r="C155" s="222" t="s">
        <v>413</v>
      </c>
      <c r="D155" s="30" t="str">
        <f t="shared" si="4"/>
        <v>PTO154-115-24</v>
      </c>
      <c r="E155" s="101" t="s">
        <v>701</v>
      </c>
      <c r="F155" s="95" t="str" cm="1">
        <f t="array" aca="1" ref="F1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5" s="21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D2622-16 - Sulfur by WDXRF &amp; EPA</v>
      </c>
      <c r="H155" s="109" t="s">
        <v>702</v>
      </c>
      <c r="I155" s="21">
        <v>45387</v>
      </c>
      <c r="J155" s="14" t="s">
        <v>495</v>
      </c>
      <c r="K155" s="79">
        <v>45411</v>
      </c>
      <c r="L155" s="10" t="s">
        <v>510</v>
      </c>
      <c r="M155" s="427">
        <v>154</v>
      </c>
      <c r="N155" s="13" t="str">
        <f t="shared" ca="1" si="5"/>
        <v>CLOSED</v>
      </c>
    </row>
    <row r="156" spans="1:14" s="4" customFormat="1" ht="28.8" x14ac:dyDescent="0.3">
      <c r="A156" s="272" t="s">
        <v>107</v>
      </c>
      <c r="B156" s="273">
        <f>VLOOKUP(Table27[[#This Row],[Location 
(drop-down)]],'List source'!D$2:E$60,2,FALSE)</f>
        <v>120</v>
      </c>
      <c r="C156" s="274" t="s">
        <v>416</v>
      </c>
      <c r="D156" s="275" t="str">
        <f t="shared" si="4"/>
        <v>PTO155-120-24</v>
      </c>
      <c r="E156" s="375" t="s">
        <v>703</v>
      </c>
      <c r="F156" s="383" t="str" cm="1">
        <f t="array" aca="1" ref="F1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6" s="387"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156" s="383">
        <v>8.69</v>
      </c>
      <c r="I156" s="401">
        <v>45387</v>
      </c>
      <c r="J156" s="281" t="s">
        <v>182</v>
      </c>
      <c r="K156" s="282">
        <v>45638</v>
      </c>
      <c r="L156" s="10"/>
      <c r="M156" s="427">
        <v>155</v>
      </c>
      <c r="N156" s="13" t="str">
        <f t="shared" ca="1" si="5"/>
        <v>CLOSED</v>
      </c>
    </row>
    <row r="157" spans="1:14" s="4" customFormat="1" ht="18" x14ac:dyDescent="0.3">
      <c r="A157" s="235" t="s">
        <v>107</v>
      </c>
      <c r="B157" s="236">
        <f>VLOOKUP(Table27[[#This Row],[Location 
(drop-down)]],'List source'!D$2:E$60,2,FALSE)</f>
        <v>120</v>
      </c>
      <c r="C157" s="262" t="s">
        <v>419</v>
      </c>
      <c r="D157" s="238" t="str">
        <f t="shared" si="4"/>
        <v>PTO156-120-24</v>
      </c>
      <c r="E157" s="267" t="s">
        <v>704</v>
      </c>
      <c r="F157" s="268" t="str" cm="1">
        <f t="array" aca="1" ref="F1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7" s="38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157" s="237" t="s">
        <v>705</v>
      </c>
      <c r="I157" s="269">
        <v>45387</v>
      </c>
      <c r="J157" s="270" t="s">
        <v>182</v>
      </c>
      <c r="K157" s="271">
        <v>45637</v>
      </c>
      <c r="L157" s="10"/>
      <c r="M157" s="427">
        <v>156</v>
      </c>
      <c r="N157" s="13" t="str">
        <f t="shared" ca="1" si="5"/>
        <v>CLOSED</v>
      </c>
    </row>
    <row r="158" spans="1:14" s="4" customFormat="1" ht="28.8" x14ac:dyDescent="0.3">
      <c r="A158" s="9" t="s">
        <v>126</v>
      </c>
      <c r="B158" s="13">
        <f>VLOOKUP(Table27[[#This Row],[Location 
(drop-down)]],'List source'!D$2:E$60,2,FALSE)</f>
        <v>125</v>
      </c>
      <c r="C158" s="222" t="s">
        <v>420</v>
      </c>
      <c r="D158" s="30" t="str">
        <f t="shared" si="4"/>
        <v>PTO157-125-24</v>
      </c>
      <c r="E158" s="9" t="s">
        <v>706</v>
      </c>
      <c r="F158" s="10" t="str" cm="1">
        <f t="array" aca="1" ref="F1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58" s="39" t="s">
        <v>707</v>
      </c>
      <c r="I158" s="20">
        <v>45387</v>
      </c>
      <c r="J158" s="19" t="s">
        <v>495</v>
      </c>
      <c r="K158" s="80">
        <v>45393</v>
      </c>
      <c r="L158" s="10" t="s">
        <v>510</v>
      </c>
      <c r="M158" s="427">
        <v>157</v>
      </c>
      <c r="N158" s="13" t="str">
        <f t="shared" ca="1" si="5"/>
        <v>CLOSED</v>
      </c>
    </row>
    <row r="159" spans="1:14" s="4" customFormat="1" ht="28.8" x14ac:dyDescent="0.3">
      <c r="A159" s="9" t="s">
        <v>186</v>
      </c>
      <c r="B159" s="13">
        <f>VLOOKUP(Table27[[#This Row],[Location 
(drop-down)]],'List source'!D$2:E$60,2,FALSE)</f>
        <v>130</v>
      </c>
      <c r="C159" s="222" t="s">
        <v>422</v>
      </c>
      <c r="D159" s="30" t="str">
        <f t="shared" si="4"/>
        <v>PTO158-130-24</v>
      </c>
      <c r="E159" s="101" t="s">
        <v>708</v>
      </c>
      <c r="F159" s="13" t="str" cm="1">
        <f t="array" aca="1" ref="F1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59"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59" s="11" t="s">
        <v>709</v>
      </c>
      <c r="I159" s="21">
        <v>45387</v>
      </c>
      <c r="J159" s="14" t="s">
        <v>495</v>
      </c>
      <c r="K159" s="79">
        <v>45393</v>
      </c>
      <c r="L159" s="10" t="s">
        <v>510</v>
      </c>
      <c r="M159" s="427">
        <v>158</v>
      </c>
      <c r="N159" s="13" t="str">
        <f t="shared" ca="1" si="5"/>
        <v>CLOSED</v>
      </c>
    </row>
    <row r="160" spans="1:14" s="4" customFormat="1" ht="18" x14ac:dyDescent="0.3">
      <c r="A160" s="9" t="s">
        <v>186</v>
      </c>
      <c r="B160" s="13">
        <f>VLOOKUP(Table27[[#This Row],[Location 
(drop-down)]],'List source'!D$2:E$60,2,FALSE)</f>
        <v>130</v>
      </c>
      <c r="C160" s="222" t="s">
        <v>424</v>
      </c>
      <c r="D160" s="30" t="str">
        <f t="shared" si="4"/>
        <v>PTO159-130-24</v>
      </c>
      <c r="E160" s="104" t="s">
        <v>710</v>
      </c>
      <c r="F160" s="16" t="str" cm="1">
        <f t="array" aca="1" ref="F1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0" s="10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60" s="367">
        <v>2.06</v>
      </c>
      <c r="I160" s="20">
        <v>45387</v>
      </c>
      <c r="J160" s="19" t="s">
        <v>495</v>
      </c>
      <c r="K160" s="79">
        <v>45387</v>
      </c>
      <c r="L160" s="355" t="s">
        <v>673</v>
      </c>
      <c r="M160" s="356">
        <v>159</v>
      </c>
      <c r="N160" s="13" t="str">
        <f t="shared" ca="1" si="5"/>
        <v>CLOSED</v>
      </c>
    </row>
    <row r="161" spans="1:14" s="4" customFormat="1" ht="18" x14ac:dyDescent="0.3">
      <c r="A161" s="9" t="s">
        <v>186</v>
      </c>
      <c r="B161" s="13">
        <f>VLOOKUP(Table27[[#This Row],[Location 
(drop-down)]],'List source'!D$2:E$60,2,FALSE)</f>
        <v>130</v>
      </c>
      <c r="C161" s="222" t="s">
        <v>426</v>
      </c>
      <c r="D161" s="30" t="str">
        <f t="shared" si="4"/>
        <v>PTO160-130-24</v>
      </c>
      <c r="E161" s="101" t="s">
        <v>711</v>
      </c>
      <c r="F161" s="13" t="str" cm="1">
        <f t="array" aca="1" ref="F1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1"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61" s="13">
        <v>2.16</v>
      </c>
      <c r="I161" s="21">
        <v>45387</v>
      </c>
      <c r="J161" s="14" t="s">
        <v>495</v>
      </c>
      <c r="K161" s="79">
        <v>45387</v>
      </c>
      <c r="L161" s="355" t="s">
        <v>673</v>
      </c>
      <c r="M161" s="356">
        <v>160</v>
      </c>
      <c r="N161" s="13" t="str">
        <f t="shared" ca="1" si="5"/>
        <v>CLOSED</v>
      </c>
    </row>
    <row r="162" spans="1:14" s="4" customFormat="1" ht="28.8" x14ac:dyDescent="0.3">
      <c r="A162" s="9" t="s">
        <v>21</v>
      </c>
      <c r="B162" s="13">
        <f>VLOOKUP(Table27[[#This Row],[Location 
(drop-down)]],'List source'!D$2:E$60,2,FALSE)</f>
        <v>131</v>
      </c>
      <c r="C162" s="222" t="s">
        <v>430</v>
      </c>
      <c r="D162" s="30" t="str">
        <f t="shared" si="4"/>
        <v>PTO161-131-24</v>
      </c>
      <c r="E162" s="104" t="s">
        <v>712</v>
      </c>
      <c r="F162" s="16" t="str" cm="1">
        <f t="array" aca="1" ref="F1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2" s="10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Toluene &amp; Total Aromatics</v>
      </c>
      <c r="H162" s="16" t="s">
        <v>713</v>
      </c>
      <c r="I162" s="20">
        <v>45387</v>
      </c>
      <c r="J162" s="19" t="s">
        <v>54</v>
      </c>
      <c r="K162" s="79">
        <v>45408</v>
      </c>
      <c r="L162" s="17"/>
      <c r="M162" s="427">
        <v>161</v>
      </c>
      <c r="N162" s="13" t="str">
        <f t="shared" ca="1" si="5"/>
        <v>CLOSED</v>
      </c>
    </row>
    <row r="163" spans="1:14" s="4" customFormat="1" ht="18" x14ac:dyDescent="0.3">
      <c r="A163" s="9" t="s">
        <v>21</v>
      </c>
      <c r="B163" s="13">
        <f>VLOOKUP(Table27[[#This Row],[Location 
(drop-down)]],'List source'!D$2:E$60,2,FALSE)</f>
        <v>131</v>
      </c>
      <c r="C163" s="222" t="s">
        <v>431</v>
      </c>
      <c r="D163" s="30" t="str">
        <f t="shared" si="4"/>
        <v>PTO162-131-24</v>
      </c>
      <c r="E163" s="101" t="s">
        <v>714</v>
      </c>
      <c r="F163" s="13" t="str" cm="1">
        <f t="array" aca="1" ref="F1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3"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63" s="13">
        <v>3.1</v>
      </c>
      <c r="I163" s="21">
        <v>45387</v>
      </c>
      <c r="J163" s="12" t="s">
        <v>54</v>
      </c>
      <c r="K163" s="79">
        <v>45408</v>
      </c>
      <c r="L163" s="10"/>
      <c r="M163" s="427">
        <v>162</v>
      </c>
      <c r="N163" s="13" t="str">
        <f t="shared" ca="1" si="5"/>
        <v>CLOSED</v>
      </c>
    </row>
    <row r="164" spans="1:14" s="4" customFormat="1" ht="28.8" x14ac:dyDescent="0.3">
      <c r="A164" s="9" t="s">
        <v>264</v>
      </c>
      <c r="B164" s="13">
        <f>VLOOKUP(Table27[[#This Row],[Location 
(drop-down)]],'List source'!D$2:E$60,2,FALSE)</f>
        <v>132</v>
      </c>
      <c r="C164" s="222" t="s">
        <v>433</v>
      </c>
      <c r="D164" s="30" t="str">
        <f t="shared" si="4"/>
        <v>PTO163-132-24</v>
      </c>
      <c r="E164" s="104" t="s">
        <v>715</v>
      </c>
      <c r="F164" s="16" t="str" cm="1">
        <f t="array" aca="1" ref="F1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4" s="10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64" s="16" t="s">
        <v>624</v>
      </c>
      <c r="I164" s="20">
        <v>45387</v>
      </c>
      <c r="J164" s="12" t="s">
        <v>49</v>
      </c>
      <c r="K164" s="80">
        <v>45546</v>
      </c>
      <c r="L164" s="17"/>
      <c r="M164" s="427">
        <v>163</v>
      </c>
      <c r="N164" s="13" t="str">
        <f t="shared" ca="1" si="5"/>
        <v>CLOSED</v>
      </c>
    </row>
    <row r="165" spans="1:14" s="4" customFormat="1" ht="18" x14ac:dyDescent="0.3">
      <c r="A165" s="9" t="s">
        <v>264</v>
      </c>
      <c r="B165" s="13">
        <f>VLOOKUP(Table27[[#This Row],[Location 
(drop-down)]],'List source'!D$2:E$60,2,FALSE)</f>
        <v>132</v>
      </c>
      <c r="C165" s="222" t="s">
        <v>434</v>
      </c>
      <c r="D165" s="30" t="str">
        <f t="shared" si="4"/>
        <v>PTO164-132-24</v>
      </c>
      <c r="E165" s="101" t="s">
        <v>716</v>
      </c>
      <c r="F165" s="13" t="str" cm="1">
        <f t="array" aca="1" ref="F1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5"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165" s="11" t="s">
        <v>717</v>
      </c>
      <c r="I165" s="21">
        <v>45387</v>
      </c>
      <c r="J165" s="12" t="s">
        <v>49</v>
      </c>
      <c r="K165" s="77">
        <v>45546</v>
      </c>
      <c r="L165" s="10"/>
      <c r="M165" s="427">
        <v>164</v>
      </c>
      <c r="N165" s="13" t="str">
        <f t="shared" ca="1" si="5"/>
        <v>CLOSED</v>
      </c>
    </row>
    <row r="166" spans="1:14" s="4" customFormat="1" ht="28.8" x14ac:dyDescent="0.3">
      <c r="A166" s="9" t="s">
        <v>264</v>
      </c>
      <c r="B166" s="13">
        <f>VLOOKUP(Table27[[#This Row],[Location 
(drop-down)]],'List source'!D$2:E$60,2,FALSE)</f>
        <v>132</v>
      </c>
      <c r="C166" s="222" t="s">
        <v>437</v>
      </c>
      <c r="D166" s="30" t="str">
        <f t="shared" si="4"/>
        <v>PTO165-132-24</v>
      </c>
      <c r="E166" s="104" t="s">
        <v>718</v>
      </c>
      <c r="F166" s="16" t="str" cm="1">
        <f t="array" aca="1" ref="F1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6" s="10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66" s="15" t="s">
        <v>719</v>
      </c>
      <c r="I166" s="20">
        <v>45387</v>
      </c>
      <c r="J166" s="12" t="s">
        <v>495</v>
      </c>
      <c r="K166" s="80">
        <v>45393</v>
      </c>
      <c r="L166" s="10" t="s">
        <v>510</v>
      </c>
      <c r="M166" s="427">
        <v>165</v>
      </c>
      <c r="N166" s="13" t="str">
        <f t="shared" ca="1" si="5"/>
        <v>CLOSED</v>
      </c>
    </row>
    <row r="167" spans="1:14" s="4" customFormat="1" ht="18" x14ac:dyDescent="0.3">
      <c r="A167" s="9" t="s">
        <v>157</v>
      </c>
      <c r="B167" s="13">
        <f>VLOOKUP(Table27[[#This Row],[Location 
(drop-down)]],'List source'!D$2:E$60,2,FALSE)</f>
        <v>136</v>
      </c>
      <c r="C167" s="222" t="s">
        <v>439</v>
      </c>
      <c r="D167" s="30" t="str">
        <f t="shared" si="4"/>
        <v>PTO166-136-24</v>
      </c>
      <c r="E167" s="101" t="s">
        <v>720</v>
      </c>
      <c r="F167" s="13" t="str" cm="1">
        <f t="array" aca="1" ref="F1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7" s="10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67" s="13">
        <v>2.0299999999999998</v>
      </c>
      <c r="I167" s="21">
        <v>45387</v>
      </c>
      <c r="J167" s="12" t="s">
        <v>501</v>
      </c>
      <c r="K167" s="77">
        <v>45422</v>
      </c>
      <c r="L167" s="10"/>
      <c r="M167" s="427">
        <v>166</v>
      </c>
      <c r="N167" s="13" t="str">
        <f t="shared" ca="1" si="5"/>
        <v>CLOSED</v>
      </c>
    </row>
    <row r="168" spans="1:14" s="4" customFormat="1" ht="28.8" x14ac:dyDescent="0.3">
      <c r="A168" s="9" t="s">
        <v>157</v>
      </c>
      <c r="B168" s="13">
        <f>VLOOKUP(Table27[[#This Row],[Location 
(drop-down)]],'List source'!D$2:E$60,2,FALSE)</f>
        <v>136</v>
      </c>
      <c r="C168" s="222" t="s">
        <v>441</v>
      </c>
      <c r="D168" s="30" t="str">
        <f t="shared" si="4"/>
        <v>PTO167-136-24</v>
      </c>
      <c r="E168" s="104" t="s">
        <v>721</v>
      </c>
      <c r="F168" s="16" t="str" cm="1">
        <f t="array" aca="1" ref="F1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8" s="10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68" s="15" t="s">
        <v>722</v>
      </c>
      <c r="I168" s="20">
        <v>45387</v>
      </c>
      <c r="J168" s="12" t="s">
        <v>501</v>
      </c>
      <c r="K168" s="80">
        <v>45485</v>
      </c>
      <c r="L168" s="17"/>
      <c r="M168" s="427">
        <v>167</v>
      </c>
      <c r="N168" s="13" t="str">
        <f t="shared" ca="1" si="5"/>
        <v>CLOSED</v>
      </c>
    </row>
    <row r="169" spans="1:14" s="4" customFormat="1" ht="18" x14ac:dyDescent="0.3">
      <c r="A169" s="9" t="s">
        <v>273</v>
      </c>
      <c r="B169" s="13">
        <f>VLOOKUP(Table27[[#This Row],[Location 
(drop-down)]],'List source'!D$2:E$60,2,FALSE)</f>
        <v>140</v>
      </c>
      <c r="C169" s="222" t="s">
        <v>443</v>
      </c>
      <c r="D169" s="30" t="str">
        <f t="shared" si="4"/>
        <v>PTO168-140-24</v>
      </c>
      <c r="E169" s="9" t="s">
        <v>723</v>
      </c>
      <c r="F169" s="10" t="str" cm="1">
        <f t="array" aca="1" ref="F1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69" s="39" t="s">
        <v>724</v>
      </c>
      <c r="I169" s="21">
        <v>45387</v>
      </c>
      <c r="J169" s="12" t="s">
        <v>182</v>
      </c>
      <c r="K169" s="77">
        <v>45539</v>
      </c>
      <c r="L169" s="10"/>
      <c r="M169" s="427">
        <v>168</v>
      </c>
      <c r="N169" s="13" t="str">
        <f t="shared" ca="1" si="5"/>
        <v>CLOSED</v>
      </c>
    </row>
    <row r="170" spans="1:14" s="4" customFormat="1" ht="28.8" x14ac:dyDescent="0.3">
      <c r="A170" s="9" t="s">
        <v>29</v>
      </c>
      <c r="B170" s="13">
        <f>VLOOKUP(Table27[[#This Row],[Location 
(drop-down)]],'List source'!D$2:E$60,2,FALSE)</f>
        <v>141</v>
      </c>
      <c r="C170" s="222" t="s">
        <v>445</v>
      </c>
      <c r="D170" s="30" t="str">
        <f t="shared" si="4"/>
        <v>PTO169-141-24</v>
      </c>
      <c r="E170" s="11" t="s">
        <v>725</v>
      </c>
      <c r="F170" s="11" t="str" cm="1">
        <f t="array" aca="1" ref="F1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0" s="28"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70" s="11" t="s">
        <v>726</v>
      </c>
      <c r="I170" s="21">
        <v>45387</v>
      </c>
      <c r="J170" s="11" t="s">
        <v>182</v>
      </c>
      <c r="K170" s="14">
        <v>45408</v>
      </c>
      <c r="L170" s="10"/>
      <c r="M170" s="427">
        <v>169</v>
      </c>
      <c r="N170" s="13" t="str">
        <f t="shared" ca="1" si="5"/>
        <v>CLOSED</v>
      </c>
    </row>
    <row r="171" spans="1:14" s="4" customFormat="1" ht="28.8" x14ac:dyDescent="0.3">
      <c r="A171" s="9" t="s">
        <v>310</v>
      </c>
      <c r="B171" s="13">
        <f>VLOOKUP(Table27[[#This Row],[Location 
(drop-down)]],'List source'!D$2:E$60,2,FALSE)</f>
        <v>144</v>
      </c>
      <c r="C171" s="222" t="s">
        <v>449</v>
      </c>
      <c r="D171" s="30" t="str">
        <f t="shared" si="4"/>
        <v>PTO170-144-24</v>
      </c>
      <c r="E171" s="90" t="s">
        <v>727</v>
      </c>
      <c r="F171" s="38" t="str" cm="1">
        <f t="array" aca="1" ref="F1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1"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1" s="215" t="s">
        <v>728</v>
      </c>
      <c r="I171" s="21">
        <v>45387</v>
      </c>
      <c r="J171" s="177" t="s">
        <v>495</v>
      </c>
      <c r="K171" s="158">
        <v>45388</v>
      </c>
      <c r="L171" s="10" t="s">
        <v>510</v>
      </c>
      <c r="M171" s="428">
        <v>170</v>
      </c>
      <c r="N171" s="13" t="str">
        <f t="shared" ca="1" si="5"/>
        <v>CLOSED</v>
      </c>
    </row>
    <row r="172" spans="1:14" s="4" customFormat="1" ht="18" x14ac:dyDescent="0.3">
      <c r="A172" s="235" t="s">
        <v>86</v>
      </c>
      <c r="B172" s="236">
        <f>VLOOKUP(Table27[[#This Row],[Location 
(drop-down)]],'List source'!D$2:E$60,2,FALSE)</f>
        <v>150</v>
      </c>
      <c r="C172" s="262" t="s">
        <v>452</v>
      </c>
      <c r="D172" s="238" t="str">
        <f t="shared" si="4"/>
        <v>PTO171-150-24</v>
      </c>
      <c r="E172" s="235" t="s">
        <v>729</v>
      </c>
      <c r="F172" s="348" t="str" cm="1">
        <f t="array" aca="1" ref="F1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2" s="347"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72" s="348">
        <v>12.53</v>
      </c>
      <c r="I172" s="402">
        <v>45387</v>
      </c>
      <c r="J172" s="404" t="s">
        <v>182</v>
      </c>
      <c r="K172" s="407">
        <v>45638</v>
      </c>
      <c r="L172" s="10"/>
      <c r="M172" s="426">
        <v>171</v>
      </c>
      <c r="N172" s="13" t="str">
        <f t="shared" ca="1" si="5"/>
        <v>CLOSED</v>
      </c>
    </row>
    <row r="173" spans="1:14" s="4" customFormat="1" ht="28.8" x14ac:dyDescent="0.3">
      <c r="A173" s="9" t="s">
        <v>65</v>
      </c>
      <c r="B173" s="13">
        <f>VLOOKUP(Table27[[#This Row],[Location 
(drop-down)]],'List source'!D$2:E$60,2,FALSE)</f>
        <v>155</v>
      </c>
      <c r="C173" s="222" t="s">
        <v>453</v>
      </c>
      <c r="D173" s="30" t="str">
        <f t="shared" si="4"/>
        <v>PTO172-155-24</v>
      </c>
      <c r="E173" s="9" t="s">
        <v>730</v>
      </c>
      <c r="F173" s="10" t="str" cm="1">
        <f t="array" aca="1" ref="F1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73" s="39" t="s">
        <v>731</v>
      </c>
      <c r="I173" s="21">
        <v>45387</v>
      </c>
      <c r="J173" s="12" t="s">
        <v>134</v>
      </c>
      <c r="K173" s="77">
        <v>45418</v>
      </c>
      <c r="L173" s="10"/>
      <c r="M173" s="427">
        <v>172</v>
      </c>
      <c r="N173" s="13" t="str">
        <f t="shared" ca="1" si="5"/>
        <v>CLOSED</v>
      </c>
    </row>
    <row r="174" spans="1:14" s="4" customFormat="1" ht="28.8" x14ac:dyDescent="0.3">
      <c r="A174" s="9" t="s">
        <v>65</v>
      </c>
      <c r="B174" s="13">
        <f>VLOOKUP(Table27[[#This Row],[Location 
(drop-down)]],'List source'!D$2:E$60,2,FALSE)</f>
        <v>155</v>
      </c>
      <c r="C174" s="222" t="s">
        <v>454</v>
      </c>
      <c r="D174" s="30" t="str">
        <f t="shared" si="4"/>
        <v>PTO173-155-24</v>
      </c>
      <c r="E174" s="9" t="s">
        <v>732</v>
      </c>
      <c r="F174" s="10" t="str" cm="1">
        <f t="array" aca="1" ref="F1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174" s="39" t="s">
        <v>733</v>
      </c>
      <c r="I174" s="21">
        <v>45387</v>
      </c>
      <c r="J174" s="12" t="s">
        <v>134</v>
      </c>
      <c r="K174" s="77">
        <v>45394</v>
      </c>
      <c r="L174" s="10"/>
      <c r="M174" s="427">
        <v>173</v>
      </c>
      <c r="N174" s="13" t="str">
        <f t="shared" ca="1" si="5"/>
        <v>CLOSED</v>
      </c>
    </row>
    <row r="175" spans="1:14" s="4" customFormat="1" ht="28.8" x14ac:dyDescent="0.3">
      <c r="A175" s="9" t="s">
        <v>235</v>
      </c>
      <c r="B175" s="13">
        <f>VLOOKUP(Table27[[#This Row],[Location 
(drop-down)]],'List source'!D$2:E$60,2,FALSE)</f>
        <v>160</v>
      </c>
      <c r="C175" s="222" t="s">
        <v>455</v>
      </c>
      <c r="D175" s="30" t="str">
        <f t="shared" si="4"/>
        <v>PTO174-160-24</v>
      </c>
      <c r="E175" s="9" t="s">
        <v>734</v>
      </c>
      <c r="F175" s="10" t="str" cm="1">
        <f t="array" aca="1" ref="F1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175" s="10" t="s">
        <v>529</v>
      </c>
      <c r="I175" s="21">
        <v>45387</v>
      </c>
      <c r="J175" s="12" t="s">
        <v>182</v>
      </c>
      <c r="K175" s="77">
        <v>45561</v>
      </c>
      <c r="L175" s="10"/>
      <c r="M175" s="427">
        <v>174</v>
      </c>
      <c r="N175" s="13" t="str">
        <f t="shared" ca="1" si="5"/>
        <v>CLOSED</v>
      </c>
    </row>
    <row r="176" spans="1:14" s="4" customFormat="1" ht="28.8" x14ac:dyDescent="0.3">
      <c r="A176" s="9" t="s">
        <v>235</v>
      </c>
      <c r="B176" s="13">
        <f>VLOOKUP(Table27[[#This Row],[Location 
(drop-down)]],'List source'!D$2:E$60,2,FALSE)</f>
        <v>160</v>
      </c>
      <c r="C176" s="222" t="s">
        <v>456</v>
      </c>
      <c r="D176" s="30" t="str">
        <f t="shared" si="4"/>
        <v>PTO175-160-24</v>
      </c>
      <c r="E176" s="9" t="s">
        <v>735</v>
      </c>
      <c r="F176" s="10" t="str" cm="1">
        <f t="array" aca="1" ref="F1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76" s="10" t="s">
        <v>736</v>
      </c>
      <c r="I176" s="21">
        <v>45387</v>
      </c>
      <c r="J176" s="12" t="s">
        <v>495</v>
      </c>
      <c r="K176" s="77">
        <v>45559</v>
      </c>
      <c r="L176" s="10" t="s">
        <v>510</v>
      </c>
      <c r="M176" s="427">
        <v>175</v>
      </c>
      <c r="N176" s="13" t="str">
        <f t="shared" ca="1" si="5"/>
        <v>CLOSED</v>
      </c>
    </row>
    <row r="177" spans="1:14" s="4" customFormat="1" ht="18" x14ac:dyDescent="0.3">
      <c r="A177" s="9" t="s">
        <v>235</v>
      </c>
      <c r="B177" s="13">
        <f>VLOOKUP(Table27[[#This Row],[Location 
(drop-down)]],'List source'!D$2:E$60,2,FALSE)</f>
        <v>160</v>
      </c>
      <c r="C177" s="222" t="s">
        <v>457</v>
      </c>
      <c r="D177" s="30" t="str">
        <f t="shared" si="4"/>
        <v>PTO176-160-24</v>
      </c>
      <c r="E177" s="9" t="s">
        <v>737</v>
      </c>
      <c r="F177" s="10" t="str" cm="1">
        <f t="array" aca="1" ref="F1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77" s="10">
        <v>3.67</v>
      </c>
      <c r="I177" s="21">
        <v>45387</v>
      </c>
      <c r="J177" s="12" t="s">
        <v>182</v>
      </c>
      <c r="K177" s="77">
        <v>45588</v>
      </c>
      <c r="L177" s="10"/>
      <c r="M177" s="427">
        <v>176</v>
      </c>
      <c r="N177" s="13" t="str">
        <f t="shared" ca="1" si="5"/>
        <v>CLOSED</v>
      </c>
    </row>
    <row r="178" spans="1:14" s="4" customFormat="1" ht="28.8" x14ac:dyDescent="0.3">
      <c r="A178" s="9" t="s">
        <v>235</v>
      </c>
      <c r="B178" s="13">
        <f>VLOOKUP(Table27[[#This Row],[Location 
(drop-down)]],'List source'!D$2:E$60,2,FALSE)</f>
        <v>160</v>
      </c>
      <c r="C178" s="222" t="s">
        <v>458</v>
      </c>
      <c r="D178" s="30" t="str">
        <f t="shared" si="4"/>
        <v>PTO177-160-24</v>
      </c>
      <c r="E178" s="9" t="s">
        <v>738</v>
      </c>
      <c r="F178" s="10" t="str" cm="1">
        <f t="array" aca="1" ref="F1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78" s="10">
        <v>93.87</v>
      </c>
      <c r="I178" s="21">
        <v>45387</v>
      </c>
      <c r="J178" s="12" t="s">
        <v>495</v>
      </c>
      <c r="K178" s="77">
        <v>45559</v>
      </c>
      <c r="L178" s="10" t="s">
        <v>510</v>
      </c>
      <c r="M178" s="427">
        <v>177</v>
      </c>
      <c r="N178" s="13" t="str">
        <f t="shared" ca="1" si="5"/>
        <v>CLOSED</v>
      </c>
    </row>
    <row r="179" spans="1:14" s="4" customFormat="1" ht="28.8" x14ac:dyDescent="0.3">
      <c r="A179" s="9" t="s">
        <v>209</v>
      </c>
      <c r="B179" s="13">
        <f>VLOOKUP(Table27[[#This Row],[Location 
(drop-down)]],'List source'!D$2:E$60,2,FALSE)</f>
        <v>165</v>
      </c>
      <c r="C179" s="222" t="s">
        <v>459</v>
      </c>
      <c r="D179" s="30" t="str">
        <f t="shared" si="4"/>
        <v>PTO178-165-24</v>
      </c>
      <c r="E179" s="9" t="s">
        <v>739</v>
      </c>
      <c r="F179" s="10" t="str" cm="1">
        <f t="array" aca="1" ref="F1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179" s="10">
        <v>6.19</v>
      </c>
      <c r="I179" s="21">
        <v>45387</v>
      </c>
      <c r="J179" s="12" t="s">
        <v>495</v>
      </c>
      <c r="K179" s="77">
        <v>45425</v>
      </c>
      <c r="L179" s="10" t="s">
        <v>740</v>
      </c>
      <c r="M179" s="427">
        <v>178</v>
      </c>
      <c r="N179" s="13" t="str">
        <f t="shared" ca="1" si="5"/>
        <v>CLOSED</v>
      </c>
    </row>
    <row r="180" spans="1:14" s="4" customFormat="1" ht="18" x14ac:dyDescent="0.3">
      <c r="A180" s="9" t="s">
        <v>57</v>
      </c>
      <c r="B180" s="13">
        <f>VLOOKUP(Table27[[#This Row],[Location 
(drop-down)]],'List source'!D$2:E$60,2,FALSE)</f>
        <v>170</v>
      </c>
      <c r="C180" s="222" t="s">
        <v>460</v>
      </c>
      <c r="D180" s="30" t="str">
        <f t="shared" si="4"/>
        <v>PTO179-170-24</v>
      </c>
      <c r="E180" s="9" t="s">
        <v>741</v>
      </c>
      <c r="F180" s="10" t="str" cm="1">
        <f t="array" aca="1" ref="F1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80" s="10">
        <v>7.03</v>
      </c>
      <c r="I180" s="21">
        <v>45387</v>
      </c>
      <c r="J180" s="12" t="s">
        <v>501</v>
      </c>
      <c r="K180" s="77">
        <v>45407</v>
      </c>
      <c r="L180" s="10"/>
      <c r="M180" s="427">
        <v>179</v>
      </c>
      <c r="N180" s="13" t="str">
        <f t="shared" ca="1" si="5"/>
        <v>CLOSED</v>
      </c>
    </row>
    <row r="181" spans="1:14" s="4" customFormat="1" ht="28.8" x14ac:dyDescent="0.3">
      <c r="A181" s="9" t="s">
        <v>57</v>
      </c>
      <c r="B181" s="13">
        <f>VLOOKUP(Table27[[#This Row],[Location 
(drop-down)]],'List source'!D$2:E$60,2,FALSE)</f>
        <v>170</v>
      </c>
      <c r="C181" s="222" t="s">
        <v>461</v>
      </c>
      <c r="D181" s="30" t="str">
        <f t="shared" si="4"/>
        <v>PTO180-170-24</v>
      </c>
      <c r="E181" s="22" t="s">
        <v>742</v>
      </c>
      <c r="F181" s="10" t="str" cm="1">
        <f t="array" aca="1" ref="F1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81" s="10" t="s">
        <v>743</v>
      </c>
      <c r="I181" s="21">
        <v>45387</v>
      </c>
      <c r="J181" s="12" t="s">
        <v>501</v>
      </c>
      <c r="K181" s="77">
        <v>45407</v>
      </c>
      <c r="L181" s="10"/>
      <c r="M181" s="427">
        <v>180</v>
      </c>
      <c r="N181" s="13" t="str">
        <f t="shared" ca="1" si="5"/>
        <v>CLOSED</v>
      </c>
    </row>
    <row r="182" spans="1:14" s="4" customFormat="1" ht="43.2" x14ac:dyDescent="0.3">
      <c r="A182" s="9" t="s">
        <v>57</v>
      </c>
      <c r="B182" s="13">
        <f>VLOOKUP(Table27[[#This Row],[Location 
(drop-down)]],'List source'!D$2:E$60,2,FALSE)</f>
        <v>170</v>
      </c>
      <c r="C182" s="222" t="s">
        <v>462</v>
      </c>
      <c r="D182" s="30" t="str">
        <f t="shared" si="4"/>
        <v>PTO181-170-24</v>
      </c>
      <c r="E182" s="9" t="s">
        <v>744</v>
      </c>
      <c r="F182" s="10" t="str" cm="1">
        <f t="array" aca="1" ref="F1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Toluene</v>
      </c>
      <c r="H182" s="39" t="s">
        <v>745</v>
      </c>
      <c r="I182" s="21">
        <v>45387</v>
      </c>
      <c r="J182" s="12" t="s">
        <v>495</v>
      </c>
      <c r="K182" s="77">
        <v>45387</v>
      </c>
      <c r="L182" s="10" t="s">
        <v>496</v>
      </c>
      <c r="M182" s="427">
        <v>181</v>
      </c>
      <c r="N182" s="13" t="str">
        <f t="shared" ca="1" si="5"/>
        <v>CLOSED</v>
      </c>
    </row>
    <row r="183" spans="1:14" s="4" customFormat="1" ht="43.2" x14ac:dyDescent="0.3">
      <c r="A183" s="9" t="s">
        <v>261</v>
      </c>
      <c r="B183" s="13">
        <f>VLOOKUP(Table27[[#This Row],[Location 
(drop-down)]],'List source'!D$2:E$60,2,FALSE)</f>
        <v>210</v>
      </c>
      <c r="C183" s="222" t="s">
        <v>463</v>
      </c>
      <c r="D183" s="30" t="str">
        <f t="shared" si="4"/>
        <v>PTO182-210-24</v>
      </c>
      <c r="E183" s="9" t="s">
        <v>746</v>
      </c>
      <c r="F183" s="10" t="str" cm="1">
        <f t="array" aca="1" ref="F1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83" s="39" t="s">
        <v>747</v>
      </c>
      <c r="I183" s="21">
        <v>45387</v>
      </c>
      <c r="J183" s="177" t="s">
        <v>495</v>
      </c>
      <c r="K183" s="158">
        <v>45387</v>
      </c>
      <c r="L183" s="10" t="s">
        <v>496</v>
      </c>
      <c r="M183" s="356">
        <v>182</v>
      </c>
      <c r="N183" s="13" t="str">
        <f t="shared" ca="1" si="5"/>
        <v>CLOSED</v>
      </c>
    </row>
    <row r="184" spans="1:14" s="4" customFormat="1" ht="43.2" x14ac:dyDescent="0.3">
      <c r="A184" s="9" t="s">
        <v>564</v>
      </c>
      <c r="B184" s="13">
        <f>VLOOKUP(Table27[[#This Row],[Location 
(drop-down)]],'List source'!D$2:E$60,2,FALSE)</f>
        <v>215</v>
      </c>
      <c r="C184" s="222" t="s">
        <v>464</v>
      </c>
      <c r="D184" s="30" t="str">
        <f t="shared" si="4"/>
        <v>PTO183-215-24</v>
      </c>
      <c r="E184" s="9" t="s">
        <v>748</v>
      </c>
      <c r="F184" s="10" t="str" cm="1">
        <f t="array" aca="1" ref="F1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84" s="39" t="s">
        <v>749</v>
      </c>
      <c r="I184" s="21">
        <v>45387</v>
      </c>
      <c r="J184" s="12" t="s">
        <v>495</v>
      </c>
      <c r="K184" s="77">
        <v>45387</v>
      </c>
      <c r="L184" s="10" t="s">
        <v>496</v>
      </c>
      <c r="M184" s="356">
        <v>183</v>
      </c>
      <c r="N184" s="13" t="str">
        <f t="shared" ca="1" si="5"/>
        <v>CLOSED</v>
      </c>
    </row>
    <row r="185" spans="1:14" s="4" customFormat="1" ht="43.2" x14ac:dyDescent="0.3">
      <c r="A185" s="9" t="s">
        <v>564</v>
      </c>
      <c r="B185" s="13">
        <f>VLOOKUP(Table27[[#This Row],[Location 
(drop-down)]],'List source'!D$2:E$60,2,FALSE)</f>
        <v>215</v>
      </c>
      <c r="C185" s="222" t="s">
        <v>465</v>
      </c>
      <c r="D185" s="30" t="str">
        <f t="shared" si="4"/>
        <v>PTO184-215-24</v>
      </c>
      <c r="E185" s="372" t="s">
        <v>750</v>
      </c>
      <c r="F185" s="10" t="str" cm="1">
        <f t="array" aca="1" ref="F1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85" s="10">
        <v>-2.3199999999999998</v>
      </c>
      <c r="I185" s="21">
        <v>45387</v>
      </c>
      <c r="J185" s="12" t="s">
        <v>495</v>
      </c>
      <c r="K185" s="77">
        <v>45387</v>
      </c>
      <c r="L185" s="10" t="s">
        <v>496</v>
      </c>
      <c r="M185" s="356">
        <v>184</v>
      </c>
      <c r="N185" s="13" t="str">
        <f t="shared" ca="1" si="5"/>
        <v>CLOSED</v>
      </c>
    </row>
    <row r="186" spans="1:14" s="4" customFormat="1" ht="43.2" x14ac:dyDescent="0.3">
      <c r="A186" s="9" t="s">
        <v>39</v>
      </c>
      <c r="B186" s="13">
        <f>VLOOKUP(Table27[[#This Row],[Location 
(drop-down)]],'List source'!D$2:E$60,2,FALSE)</f>
        <v>127</v>
      </c>
      <c r="C186" s="222" t="s">
        <v>466</v>
      </c>
      <c r="D186" s="30" t="str">
        <f t="shared" si="4"/>
        <v>PTO185-127-24</v>
      </c>
      <c r="E186" s="9" t="s">
        <v>751</v>
      </c>
      <c r="F186" s="10" t="str" cm="1">
        <f t="array" aca="1" ref="F1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186" s="10">
        <v>-2.17</v>
      </c>
      <c r="I186" s="21">
        <v>45397</v>
      </c>
      <c r="J186" s="12" t="s">
        <v>495</v>
      </c>
      <c r="K186" s="77">
        <v>45397</v>
      </c>
      <c r="L186" s="10" t="s">
        <v>496</v>
      </c>
      <c r="M186" s="356">
        <v>185</v>
      </c>
      <c r="N186" s="13" t="str">
        <f t="shared" ca="1" si="5"/>
        <v>CLOSED</v>
      </c>
    </row>
    <row r="187" spans="1:14" s="4" customFormat="1" ht="43.2" x14ac:dyDescent="0.3">
      <c r="A187" s="9" t="s">
        <v>186</v>
      </c>
      <c r="B187" s="13">
        <f>VLOOKUP(Table27[[#This Row],[Location 
(drop-down)]],'List source'!D$2:E$60,2,FALSE)</f>
        <v>130</v>
      </c>
      <c r="C187" s="222" t="s">
        <v>467</v>
      </c>
      <c r="D187" s="30" t="str">
        <f t="shared" si="4"/>
        <v>PTO186-130-24</v>
      </c>
      <c r="E187" s="9" t="s">
        <v>752</v>
      </c>
      <c r="F187" s="10" t="str" cm="1">
        <f t="array" aca="1" ref="F1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87" s="10" t="s">
        <v>753</v>
      </c>
      <c r="I187" s="21">
        <v>45397</v>
      </c>
      <c r="J187" s="12" t="s">
        <v>495</v>
      </c>
      <c r="K187" s="77">
        <v>45397</v>
      </c>
      <c r="L187" s="10" t="s">
        <v>496</v>
      </c>
      <c r="M187" s="356">
        <v>186</v>
      </c>
      <c r="N187" s="13" t="str">
        <f t="shared" ca="1" si="5"/>
        <v>CLOSED</v>
      </c>
    </row>
    <row r="188" spans="1:14" s="4" customFormat="1" ht="28.8" x14ac:dyDescent="0.3">
      <c r="A188" s="9" t="s">
        <v>186</v>
      </c>
      <c r="B188" s="13">
        <f>VLOOKUP(Table27[[#This Row],[Location 
(drop-down)]],'List source'!D$2:E$60,2,FALSE)</f>
        <v>130</v>
      </c>
      <c r="C188" s="222" t="s">
        <v>468</v>
      </c>
      <c r="D188" s="30" t="str">
        <f t="shared" si="4"/>
        <v>PTO187-130-24</v>
      </c>
      <c r="E188" s="9" t="s">
        <v>754</v>
      </c>
      <c r="F188" s="10" t="str" cm="1">
        <f t="array" aca="1" ref="F1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88" s="10">
        <v>-6.29</v>
      </c>
      <c r="I188" s="21">
        <v>45397</v>
      </c>
      <c r="J188" s="12" t="s">
        <v>495</v>
      </c>
      <c r="K188" s="77">
        <v>45397</v>
      </c>
      <c r="L188" s="10" t="s">
        <v>510</v>
      </c>
      <c r="M188" s="427">
        <v>187</v>
      </c>
      <c r="N188" s="13" t="str">
        <f t="shared" ca="1" si="5"/>
        <v>CLOSED</v>
      </c>
    </row>
    <row r="189" spans="1:14" s="4" customFormat="1" ht="28.8" x14ac:dyDescent="0.3">
      <c r="A189" s="9" t="s">
        <v>186</v>
      </c>
      <c r="B189" s="13">
        <f>VLOOKUP(Table27[[#This Row],[Location 
(drop-down)]],'List source'!D$2:E$60,2,FALSE)</f>
        <v>130</v>
      </c>
      <c r="C189" s="222" t="s">
        <v>469</v>
      </c>
      <c r="D189" s="30" t="str">
        <f t="shared" si="4"/>
        <v>PTO188-130-24</v>
      </c>
      <c r="E189" s="9" t="s">
        <v>755</v>
      </c>
      <c r="F189" s="10" t="str" cm="1">
        <f t="array" aca="1" ref="F1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D6378 - Vapor Pressure</v>
      </c>
      <c r="H189" s="10">
        <v>9.6</v>
      </c>
      <c r="I189" s="21">
        <v>45397</v>
      </c>
      <c r="J189" s="177" t="s">
        <v>495</v>
      </c>
      <c r="K189" s="158">
        <v>45397</v>
      </c>
      <c r="L189" s="10" t="s">
        <v>510</v>
      </c>
      <c r="M189" s="428">
        <v>188</v>
      </c>
      <c r="N189" s="13" t="str">
        <f t="shared" ca="1" si="5"/>
        <v>CLOSED</v>
      </c>
    </row>
    <row r="190" spans="1:14" s="4" customFormat="1" ht="18" x14ac:dyDescent="0.3">
      <c r="A190" s="9" t="s">
        <v>21</v>
      </c>
      <c r="B190" s="13">
        <f>VLOOKUP(Table27[[#This Row],[Location 
(drop-down)]],'List source'!D$2:E$60,2,FALSE)</f>
        <v>131</v>
      </c>
      <c r="C190" s="222" t="s">
        <v>470</v>
      </c>
      <c r="D190" s="30" t="str">
        <f t="shared" si="4"/>
        <v>PTO189-131-24</v>
      </c>
      <c r="E190" s="9" t="s">
        <v>756</v>
      </c>
      <c r="F190" s="10" t="str" cm="1">
        <f t="array" aca="1" ref="F1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90" s="10">
        <v>3.04</v>
      </c>
      <c r="I190" s="21">
        <v>45397</v>
      </c>
      <c r="J190" s="177" t="s">
        <v>54</v>
      </c>
      <c r="K190" s="158">
        <v>45414</v>
      </c>
      <c r="L190" s="10"/>
      <c r="M190" s="428">
        <v>189</v>
      </c>
      <c r="N190" s="13" t="str">
        <f t="shared" ca="1" si="5"/>
        <v>CLOSED</v>
      </c>
    </row>
    <row r="191" spans="1:14" s="4" customFormat="1" ht="18" x14ac:dyDescent="0.3">
      <c r="A191" s="9" t="s">
        <v>21</v>
      </c>
      <c r="B191" s="13">
        <f>VLOOKUP(Table27[[#This Row],[Location 
(drop-down)]],'List source'!D$2:E$60,2,FALSE)</f>
        <v>131</v>
      </c>
      <c r="C191" s="222" t="s">
        <v>471</v>
      </c>
      <c r="D191" s="30" t="str">
        <f t="shared" si="4"/>
        <v>PTO190-131-24</v>
      </c>
      <c r="E191" s="9" t="s">
        <v>757</v>
      </c>
      <c r="F191" s="10" t="str" cm="1">
        <f t="array" aca="1" ref="F1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91" s="10">
        <v>-3.87</v>
      </c>
      <c r="I191" s="21">
        <v>45397</v>
      </c>
      <c r="J191" s="177" t="s">
        <v>495</v>
      </c>
      <c r="K191" s="158">
        <v>45397</v>
      </c>
      <c r="L191" s="10" t="s">
        <v>510</v>
      </c>
      <c r="M191" s="428">
        <v>190</v>
      </c>
      <c r="N191" s="13" t="str">
        <f t="shared" ca="1" si="5"/>
        <v>CLOSED</v>
      </c>
    </row>
    <row r="192" spans="1:14" s="4" customFormat="1" ht="18" x14ac:dyDescent="0.3">
      <c r="A192" s="9" t="s">
        <v>273</v>
      </c>
      <c r="B192" s="13">
        <f>VLOOKUP(Table27[[#This Row],[Location 
(drop-down)]],'List source'!D$2:E$60,2,FALSE)</f>
        <v>140</v>
      </c>
      <c r="C192" s="222" t="s">
        <v>472</v>
      </c>
      <c r="D192" s="30" t="str">
        <f t="shared" si="4"/>
        <v>PTO191-140-24</v>
      </c>
      <c r="E192" s="9" t="s">
        <v>758</v>
      </c>
      <c r="F192" s="10" t="str" cm="1">
        <f t="array" aca="1" ref="F1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2" s="10">
        <v>-6.21</v>
      </c>
      <c r="I192" s="21">
        <v>45397</v>
      </c>
      <c r="J192" s="177" t="s">
        <v>182</v>
      </c>
      <c r="K192" s="158">
        <v>45539</v>
      </c>
      <c r="L192" s="369"/>
      <c r="M192" s="356">
        <v>191</v>
      </c>
      <c r="N192" s="13" t="str">
        <f t="shared" ca="1" si="5"/>
        <v>CLOSED</v>
      </c>
    </row>
    <row r="193" spans="1:14" s="4" customFormat="1" ht="43.2" x14ac:dyDescent="0.3">
      <c r="A193" s="9" t="s">
        <v>29</v>
      </c>
      <c r="B193" s="13">
        <f>VLOOKUP(Table27[[#This Row],[Location 
(drop-down)]],'List source'!D$2:E$60,2,FALSE)</f>
        <v>141</v>
      </c>
      <c r="C193" s="222" t="s">
        <v>473</v>
      </c>
      <c r="D193" s="30" t="str">
        <f t="shared" si="4"/>
        <v>PTO192-141-24</v>
      </c>
      <c r="E193" s="9" t="s">
        <v>759</v>
      </c>
      <c r="F193" s="10" t="str" cm="1">
        <f t="array" aca="1" ref="F1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93" s="10">
        <v>0</v>
      </c>
      <c r="I193" s="21">
        <v>45397</v>
      </c>
      <c r="J193" s="177" t="s">
        <v>495</v>
      </c>
      <c r="K193" s="158">
        <v>45397</v>
      </c>
      <c r="L193" s="10" t="s">
        <v>496</v>
      </c>
      <c r="M193" s="428">
        <v>192</v>
      </c>
      <c r="N193" s="13" t="str">
        <f t="shared" ca="1" si="5"/>
        <v>CLOSED</v>
      </c>
    </row>
    <row r="194" spans="1:14" s="4" customFormat="1" ht="18" x14ac:dyDescent="0.3">
      <c r="A194" s="189" t="s">
        <v>70</v>
      </c>
      <c r="B194" s="217">
        <f>VLOOKUP(Table27[[#This Row],[Location 
(drop-down)]],'List source'!D$2:E$60,2,FALSE)</f>
        <v>146</v>
      </c>
      <c r="C194" s="251" t="s">
        <v>474</v>
      </c>
      <c r="D194" s="201" t="str">
        <f t="shared" ref="D194:D257" si="6">"PTO" &amp; C194 &amp; "-" &amp; B194 &amp; "-" &amp; "24"</f>
        <v>PTO193-146-24</v>
      </c>
      <c r="E194" s="9" t="s">
        <v>760</v>
      </c>
      <c r="F194" s="10" t="str" cm="1">
        <f t="array" aca="1" ref="F1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4" s="10">
        <v>-2.2000000000000002</v>
      </c>
      <c r="I194" s="21">
        <v>45397</v>
      </c>
      <c r="J194" s="259" t="s">
        <v>60</v>
      </c>
      <c r="K194" s="258">
        <v>45685</v>
      </c>
      <c r="L194" s="369"/>
      <c r="M194" s="356">
        <v>193</v>
      </c>
      <c r="N194" s="13" t="str">
        <f t="shared" ref="N194:N257" ca="1" si="7">IF(ISBLANK(K194), TODAY()-(I194), "CLOSED")</f>
        <v>CLOSED</v>
      </c>
    </row>
    <row r="195" spans="1:14" s="4" customFormat="1" ht="28.8" x14ac:dyDescent="0.3">
      <c r="A195" s="9" t="s">
        <v>70</v>
      </c>
      <c r="B195" s="13">
        <f>VLOOKUP(Table27[[#This Row],[Location 
(drop-down)]],'List source'!D$2:E$60,2,FALSE)</f>
        <v>146</v>
      </c>
      <c r="C195" s="222" t="s">
        <v>475</v>
      </c>
      <c r="D195" s="30" t="str">
        <f t="shared" si="6"/>
        <v>PTO194-146-24</v>
      </c>
      <c r="E195" s="9" t="s">
        <v>761</v>
      </c>
      <c r="F195" s="10" t="str" cm="1">
        <f t="array" aca="1" ref="F1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95" s="10">
        <v>-2.1800000000000002</v>
      </c>
      <c r="I195" s="21">
        <v>45397</v>
      </c>
      <c r="J195" s="177" t="s">
        <v>501</v>
      </c>
      <c r="K195" s="158">
        <v>45428</v>
      </c>
      <c r="L195" s="369"/>
      <c r="M195" s="356">
        <v>194</v>
      </c>
      <c r="N195" s="13" t="str">
        <f t="shared" ca="1" si="7"/>
        <v>CLOSED</v>
      </c>
    </row>
    <row r="196" spans="1:14" s="4" customFormat="1" ht="43.2" x14ac:dyDescent="0.3">
      <c r="A196" s="9" t="s">
        <v>86</v>
      </c>
      <c r="B196" s="13">
        <f>VLOOKUP(Table27[[#This Row],[Location 
(drop-down)]],'List source'!D$2:E$60,2,FALSE)</f>
        <v>150</v>
      </c>
      <c r="C196" s="222" t="s">
        <v>476</v>
      </c>
      <c r="D196" s="30" t="str">
        <f t="shared" si="6"/>
        <v>PTO195-150-24</v>
      </c>
      <c r="E196" s="9" t="s">
        <v>762</v>
      </c>
      <c r="F196" s="10" t="str" cm="1">
        <f t="array" aca="1" ref="F1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96" s="39" t="s">
        <v>763</v>
      </c>
      <c r="I196" s="21">
        <v>45397</v>
      </c>
      <c r="J196" s="177" t="s">
        <v>495</v>
      </c>
      <c r="K196" s="158">
        <v>45397</v>
      </c>
      <c r="L196" s="10" t="s">
        <v>496</v>
      </c>
      <c r="M196" s="428">
        <v>195</v>
      </c>
      <c r="N196" s="13" t="str">
        <f t="shared" ca="1" si="7"/>
        <v>CLOSED</v>
      </c>
    </row>
    <row r="197" spans="1:14" s="4" customFormat="1" ht="18" x14ac:dyDescent="0.3">
      <c r="A197" s="9" t="s">
        <v>65</v>
      </c>
      <c r="B197" s="13">
        <f>VLOOKUP(Table27[[#This Row],[Location 
(drop-down)]],'List source'!D$2:E$60,2,FALSE)</f>
        <v>155</v>
      </c>
      <c r="C197" s="222" t="s">
        <v>477</v>
      </c>
      <c r="D197" s="30" t="str">
        <f t="shared" si="6"/>
        <v>PTO196-155-24</v>
      </c>
      <c r="E197" s="9" t="s">
        <v>764</v>
      </c>
      <c r="F197" s="10" t="str" cm="1">
        <f t="array" aca="1" ref="F1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197" s="10">
        <v>-2.12</v>
      </c>
      <c r="I197" s="21">
        <v>45397</v>
      </c>
      <c r="J197" s="177" t="s">
        <v>495</v>
      </c>
      <c r="K197" s="158">
        <v>45759</v>
      </c>
      <c r="L197" s="10" t="s">
        <v>765</v>
      </c>
      <c r="M197" s="428">
        <v>196</v>
      </c>
      <c r="N197" s="13" t="str">
        <f t="shared" ca="1" si="7"/>
        <v>CLOSED</v>
      </c>
    </row>
    <row r="198" spans="1:14" s="4" customFormat="1" ht="18" x14ac:dyDescent="0.3">
      <c r="A198" s="9" t="s">
        <v>35</v>
      </c>
      <c r="B198" s="13">
        <f>VLOOKUP(Table27[[#This Row],[Location 
(drop-down)]],'List source'!D$2:E$60,2,FALSE)</f>
        <v>158</v>
      </c>
      <c r="C198" s="222" t="s">
        <v>478</v>
      </c>
      <c r="D198" s="30" t="str">
        <f t="shared" si="6"/>
        <v>PTO197-158-24</v>
      </c>
      <c r="E198" s="9" t="s">
        <v>766</v>
      </c>
      <c r="F198" s="10" t="str" cm="1">
        <f t="array" aca="1" ref="F1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8" s="38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98" s="39">
        <v>7.07</v>
      </c>
      <c r="I198" s="21">
        <v>45397</v>
      </c>
      <c r="J198" s="177" t="s">
        <v>495</v>
      </c>
      <c r="K198" s="158">
        <v>45397</v>
      </c>
      <c r="L198" s="10" t="s">
        <v>510</v>
      </c>
      <c r="M198" s="428">
        <v>197</v>
      </c>
      <c r="N198" s="13" t="str">
        <f t="shared" ca="1" si="7"/>
        <v>CLOSED</v>
      </c>
    </row>
    <row r="199" spans="1:14" s="4" customFormat="1" ht="28.8" x14ac:dyDescent="0.3">
      <c r="A199" s="9" t="s">
        <v>235</v>
      </c>
      <c r="B199" s="13">
        <f>VLOOKUP(Table27[[#This Row],[Location 
(drop-down)]],'List source'!D$2:E$60,2,FALSE)</f>
        <v>160</v>
      </c>
      <c r="C199" s="222" t="s">
        <v>479</v>
      </c>
      <c r="D199" s="30" t="str">
        <f t="shared" si="6"/>
        <v>PTO198-160-24</v>
      </c>
      <c r="E199" s="9" t="s">
        <v>767</v>
      </c>
      <c r="F199" s="10" t="str" cm="1">
        <f t="array" aca="1" ref="F1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99" s="39" t="s">
        <v>768</v>
      </c>
      <c r="I199" s="21">
        <v>45397</v>
      </c>
      <c r="J199" s="12" t="s">
        <v>134</v>
      </c>
      <c r="K199" s="77">
        <v>45708</v>
      </c>
      <c r="L199" s="10"/>
      <c r="M199" s="427">
        <v>198</v>
      </c>
      <c r="N199" s="13" t="str">
        <f t="shared" ca="1" si="7"/>
        <v>CLOSED</v>
      </c>
    </row>
    <row r="200" spans="1:14" s="4" customFormat="1" ht="18" x14ac:dyDescent="0.3">
      <c r="A200" s="9" t="s">
        <v>235</v>
      </c>
      <c r="B200" s="13">
        <f>VLOOKUP(Table27[[#This Row],[Location 
(drop-down)]],'List source'!D$2:E$60,2,FALSE)</f>
        <v>160</v>
      </c>
      <c r="C200" s="222" t="s">
        <v>480</v>
      </c>
      <c r="D200" s="30" t="str">
        <f t="shared" si="6"/>
        <v>PTO199-160-24</v>
      </c>
      <c r="E200" s="9" t="s">
        <v>769</v>
      </c>
      <c r="F200" s="10" t="str" cm="1">
        <f t="array" aca="1" ref="F2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00" s="10">
        <v>4.91</v>
      </c>
      <c r="I200" s="21">
        <v>45397</v>
      </c>
      <c r="J200" s="12" t="s">
        <v>182</v>
      </c>
      <c r="K200" s="77">
        <v>45588</v>
      </c>
      <c r="L200" s="10"/>
      <c r="M200" s="427">
        <v>199</v>
      </c>
      <c r="N200" s="13" t="str">
        <f t="shared" ca="1" si="7"/>
        <v>CLOSED</v>
      </c>
    </row>
    <row r="201" spans="1:14" s="4" customFormat="1" ht="18" x14ac:dyDescent="0.3">
      <c r="A201" s="9" t="s">
        <v>235</v>
      </c>
      <c r="B201" s="13">
        <f>VLOOKUP(Table27[[#This Row],[Location 
(drop-down)]],'List source'!D$2:E$60,2,FALSE)</f>
        <v>160</v>
      </c>
      <c r="C201" s="222" t="s">
        <v>481</v>
      </c>
      <c r="D201" s="30" t="str">
        <f t="shared" si="6"/>
        <v>PTO200-160-24</v>
      </c>
      <c r="E201" s="9" t="s">
        <v>770</v>
      </c>
      <c r="F201" s="10" t="str" cm="1">
        <f t="array" aca="1" ref="F2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01" s="10">
        <v>72.31</v>
      </c>
      <c r="I201" s="21">
        <v>45397</v>
      </c>
      <c r="J201" s="12" t="s">
        <v>495</v>
      </c>
      <c r="K201" s="77">
        <v>45588</v>
      </c>
      <c r="L201" s="10" t="s">
        <v>510</v>
      </c>
      <c r="M201" s="356">
        <v>200</v>
      </c>
      <c r="N201" s="13" t="str">
        <f t="shared" ca="1" si="7"/>
        <v>CLOSED</v>
      </c>
    </row>
    <row r="202" spans="1:14" s="4" customFormat="1" ht="28.8" x14ac:dyDescent="0.3">
      <c r="A202" s="9" t="s">
        <v>235</v>
      </c>
      <c r="B202" s="13">
        <f>VLOOKUP(Table27[[#This Row],[Location 
(drop-down)]],'List source'!D$2:E$60,2,FALSE)</f>
        <v>160</v>
      </c>
      <c r="C202" s="222" t="s">
        <v>771</v>
      </c>
      <c r="D202" s="30" t="str">
        <f t="shared" si="6"/>
        <v>PTO201-160-24</v>
      </c>
      <c r="E202" s="9" t="s">
        <v>772</v>
      </c>
      <c r="F202" s="10" t="str" cm="1">
        <f t="array" aca="1" ref="F2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202" s="10">
        <v>0</v>
      </c>
      <c r="I202" s="21">
        <v>45397</v>
      </c>
      <c r="J202" s="12" t="s">
        <v>495</v>
      </c>
      <c r="K202" s="77">
        <v>45397</v>
      </c>
      <c r="L202" s="10" t="s">
        <v>510</v>
      </c>
      <c r="M202" s="356">
        <v>201</v>
      </c>
      <c r="N202" s="13" t="str">
        <f t="shared" ca="1" si="7"/>
        <v>CLOSED</v>
      </c>
    </row>
    <row r="203" spans="1:14" s="4" customFormat="1" ht="43.2" x14ac:dyDescent="0.3">
      <c r="A203" s="9" t="s">
        <v>209</v>
      </c>
      <c r="B203" s="13">
        <f>VLOOKUP(Table27[[#This Row],[Location 
(drop-down)]],'List source'!D$2:E$60,2,FALSE)</f>
        <v>165</v>
      </c>
      <c r="C203" s="222" t="s">
        <v>773</v>
      </c>
      <c r="D203" s="30" t="str">
        <f t="shared" si="6"/>
        <v>PTO202-165-24</v>
      </c>
      <c r="E203" s="9" t="s">
        <v>774</v>
      </c>
      <c r="F203" s="10" t="str" cm="1">
        <f t="array" aca="1" ref="F2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03" s="39" t="s">
        <v>775</v>
      </c>
      <c r="I203" s="21">
        <v>45397</v>
      </c>
      <c r="J203" s="12" t="s">
        <v>495</v>
      </c>
      <c r="K203" s="77">
        <v>45397</v>
      </c>
      <c r="L203" s="10" t="s">
        <v>496</v>
      </c>
      <c r="M203" s="427">
        <v>202</v>
      </c>
      <c r="N203" s="13" t="str">
        <f t="shared" ca="1" si="7"/>
        <v>CLOSED</v>
      </c>
    </row>
    <row r="204" spans="1:14" s="4" customFormat="1" ht="28.8" x14ac:dyDescent="0.3">
      <c r="A204" s="272" t="s">
        <v>209</v>
      </c>
      <c r="B204" s="273">
        <f>VLOOKUP(Table27[[#This Row],[Location 
(drop-down)]],'List source'!D$2:E$60,2,FALSE)</f>
        <v>165</v>
      </c>
      <c r="C204" s="274" t="s">
        <v>776</v>
      </c>
      <c r="D204" s="275" t="str">
        <f t="shared" si="6"/>
        <v>PTO203-165-24</v>
      </c>
      <c r="E204" s="272" t="s">
        <v>777</v>
      </c>
      <c r="F204" s="277" t="str" cm="1">
        <f t="array" aca="1" ref="F2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4"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204" s="277" t="s">
        <v>529</v>
      </c>
      <c r="I204" s="305">
        <v>45397</v>
      </c>
      <c r="J204" s="279" t="s">
        <v>182</v>
      </c>
      <c r="K204" s="354">
        <v>45671</v>
      </c>
      <c r="L204" s="231"/>
      <c r="M204" s="356">
        <v>203</v>
      </c>
      <c r="N204" s="13" t="str">
        <f t="shared" ca="1" si="7"/>
        <v>CLOSED</v>
      </c>
    </row>
    <row r="205" spans="1:14" s="4" customFormat="1" ht="28.8" x14ac:dyDescent="0.3">
      <c r="A205" s="235" t="s">
        <v>209</v>
      </c>
      <c r="B205" s="236">
        <f>VLOOKUP(Table27[[#This Row],[Location 
(drop-down)]],'List source'!D$2:E$60,2,FALSE)</f>
        <v>165</v>
      </c>
      <c r="C205" s="262" t="s">
        <v>778</v>
      </c>
      <c r="D205" s="238" t="str">
        <f t="shared" si="6"/>
        <v>PTO204-165-24</v>
      </c>
      <c r="E205" s="235" t="s">
        <v>779</v>
      </c>
      <c r="F205" s="263" t="str" cm="1">
        <f t="array" aca="1" ref="F2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5"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205" s="266" t="s">
        <v>780</v>
      </c>
      <c r="I205" s="269">
        <v>45397</v>
      </c>
      <c r="J205" s="264" t="s">
        <v>182</v>
      </c>
      <c r="K205" s="406">
        <v>45757</v>
      </c>
      <c r="L205" s="412"/>
      <c r="M205" s="356">
        <v>204</v>
      </c>
      <c r="N205" s="13" t="str">
        <f t="shared" ca="1" si="7"/>
        <v>CLOSED</v>
      </c>
    </row>
    <row r="206" spans="1:14" s="4" customFormat="1" ht="43.2" x14ac:dyDescent="0.3">
      <c r="A206" s="9" t="s">
        <v>209</v>
      </c>
      <c r="B206" s="13">
        <f>VLOOKUP(Table27[[#This Row],[Location 
(drop-down)]],'List source'!D$2:E$60,2,FALSE)</f>
        <v>165</v>
      </c>
      <c r="C206" s="222" t="s">
        <v>781</v>
      </c>
      <c r="D206" s="30" t="str">
        <f t="shared" si="6"/>
        <v>PTO205-165-24</v>
      </c>
      <c r="E206" s="9" t="s">
        <v>751</v>
      </c>
      <c r="F206" s="10" t="str" cm="1">
        <f t="array" aca="1" ref="F2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06" s="39">
        <v>2.11</v>
      </c>
      <c r="I206" s="21">
        <v>45397</v>
      </c>
      <c r="J206" s="12" t="s">
        <v>495</v>
      </c>
      <c r="K206" s="77">
        <v>45397</v>
      </c>
      <c r="L206" s="10" t="s">
        <v>496</v>
      </c>
      <c r="M206" s="426">
        <v>205</v>
      </c>
      <c r="N206" s="13" t="str">
        <f t="shared" ca="1" si="7"/>
        <v>CLOSED</v>
      </c>
    </row>
    <row r="207" spans="1:14" s="4" customFormat="1" ht="28.8" x14ac:dyDescent="0.3">
      <c r="A207" s="235" t="s">
        <v>209</v>
      </c>
      <c r="B207" s="236">
        <f>VLOOKUP(Table27[[#This Row],[Location 
(drop-down)]],'List source'!D$2:E$60,2,FALSE)</f>
        <v>165</v>
      </c>
      <c r="C207" s="262" t="s">
        <v>782</v>
      </c>
      <c r="D207" s="238" t="str">
        <f t="shared" si="6"/>
        <v>PTO206-165-24</v>
      </c>
      <c r="E207" s="235" t="s">
        <v>783</v>
      </c>
      <c r="F207" s="263" t="str" cm="1">
        <f t="array" aca="1" ref="F2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7"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207" s="263" t="s">
        <v>784</v>
      </c>
      <c r="I207" s="269">
        <v>45397</v>
      </c>
      <c r="J207" s="264" t="s">
        <v>182</v>
      </c>
      <c r="K207" s="250">
        <v>45757</v>
      </c>
      <c r="L207" s="369"/>
      <c r="M207" s="356">
        <v>206</v>
      </c>
      <c r="N207" s="13" t="str">
        <f t="shared" ca="1" si="7"/>
        <v>CLOSED</v>
      </c>
    </row>
    <row r="208" spans="1:14" s="4" customFormat="1" ht="28.8" x14ac:dyDescent="0.3">
      <c r="A208" s="9" t="s">
        <v>57</v>
      </c>
      <c r="B208" s="13">
        <f>VLOOKUP(Table27[[#This Row],[Location 
(drop-down)]],'List source'!D$2:E$60,2,FALSE)</f>
        <v>170</v>
      </c>
      <c r="C208" s="222" t="s">
        <v>785</v>
      </c>
      <c r="D208" s="30" t="str">
        <f t="shared" si="6"/>
        <v>PTO207-170-24</v>
      </c>
      <c r="E208" s="9" t="s">
        <v>786</v>
      </c>
      <c r="F208" s="10" t="str" cm="1">
        <f t="array" aca="1" ref="F2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208" s="39" t="s">
        <v>749</v>
      </c>
      <c r="I208" s="21">
        <v>45397</v>
      </c>
      <c r="J208" s="12" t="s">
        <v>501</v>
      </c>
      <c r="K208" s="77">
        <v>45450</v>
      </c>
      <c r="L208" s="10"/>
      <c r="M208" s="427">
        <v>207</v>
      </c>
      <c r="N208" s="13" t="str">
        <f t="shared" ca="1" si="7"/>
        <v>CLOSED</v>
      </c>
    </row>
    <row r="209" spans="1:14" s="4" customFormat="1" ht="43.2" x14ac:dyDescent="0.3">
      <c r="A209" s="9" t="s">
        <v>325</v>
      </c>
      <c r="B209" s="13">
        <f>VLOOKUP(Table27[[#This Row],[Location 
(drop-down)]],'List source'!D$2:E$60,2,FALSE)</f>
        <v>180</v>
      </c>
      <c r="C209" s="222" t="s">
        <v>787</v>
      </c>
      <c r="D209" s="30" t="str">
        <f t="shared" si="6"/>
        <v>PTO208-180-24</v>
      </c>
      <c r="E209" s="9" t="s">
        <v>788</v>
      </c>
      <c r="F209" s="10" t="str" cm="1">
        <f t="array" aca="1" ref="F2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209" s="10">
        <v>2.56</v>
      </c>
      <c r="I209" s="21">
        <v>45397</v>
      </c>
      <c r="J209" s="12" t="s">
        <v>495</v>
      </c>
      <c r="K209" s="77">
        <v>45397</v>
      </c>
      <c r="L209" s="10" t="s">
        <v>496</v>
      </c>
      <c r="M209" s="427">
        <v>208</v>
      </c>
      <c r="N209" s="13" t="str">
        <f t="shared" ca="1" si="7"/>
        <v>CLOSED</v>
      </c>
    </row>
    <row r="210" spans="1:14" s="4" customFormat="1" ht="43.2" x14ac:dyDescent="0.3">
      <c r="A210" s="9" t="s">
        <v>325</v>
      </c>
      <c r="B210" s="13">
        <f>VLOOKUP(Table27[[#This Row],[Location 
(drop-down)]],'List source'!D$2:E$60,2,FALSE)</f>
        <v>180</v>
      </c>
      <c r="C210" s="222" t="s">
        <v>789</v>
      </c>
      <c r="D210" s="30" t="str">
        <f t="shared" si="6"/>
        <v>PTO209-180-24</v>
      </c>
      <c r="E210" s="9" t="s">
        <v>790</v>
      </c>
      <c r="F210" s="10" t="str" cm="1">
        <f t="array" aca="1" ref="F2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10" s="39" t="s">
        <v>791</v>
      </c>
      <c r="I210" s="21">
        <v>45397</v>
      </c>
      <c r="J210" s="12" t="s">
        <v>495</v>
      </c>
      <c r="K210" s="77">
        <v>45397</v>
      </c>
      <c r="L210" s="10" t="s">
        <v>496</v>
      </c>
      <c r="M210" s="427">
        <v>209</v>
      </c>
      <c r="N210" s="13" t="str">
        <f t="shared" ca="1" si="7"/>
        <v>CLOSED</v>
      </c>
    </row>
    <row r="211" spans="1:14" s="4" customFormat="1" ht="18" x14ac:dyDescent="0.3">
      <c r="A211" s="9" t="s">
        <v>130</v>
      </c>
      <c r="B211" s="13">
        <f>VLOOKUP(Table27[[#This Row],[Location 
(drop-down)]],'List source'!D$2:E$60,2,FALSE)</f>
        <v>194</v>
      </c>
      <c r="C211" s="222" t="s">
        <v>792</v>
      </c>
      <c r="D211" s="30" t="str">
        <f t="shared" si="6"/>
        <v>PTO210-194-24</v>
      </c>
      <c r="E211" s="9" t="s">
        <v>793</v>
      </c>
      <c r="F211" s="10" t="str" cm="1">
        <f t="array" aca="1" ref="F2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1" s="10">
        <v>-145.61000000000001</v>
      </c>
      <c r="I211" s="21">
        <v>45397</v>
      </c>
      <c r="J211" s="12" t="s">
        <v>495</v>
      </c>
      <c r="K211" s="77">
        <v>45397</v>
      </c>
      <c r="L211" s="10" t="s">
        <v>510</v>
      </c>
      <c r="M211" s="356">
        <v>210</v>
      </c>
      <c r="N211" s="13" t="str">
        <f t="shared" ca="1" si="7"/>
        <v>CLOSED</v>
      </c>
    </row>
    <row r="212" spans="1:14" s="4" customFormat="1" ht="43.2" x14ac:dyDescent="0.3">
      <c r="A212" s="9" t="s">
        <v>261</v>
      </c>
      <c r="B212" s="13">
        <f>VLOOKUP(Table27[[#This Row],[Location 
(drop-down)]],'List source'!D$2:E$60,2,FALSE)</f>
        <v>210</v>
      </c>
      <c r="C212" s="222" t="s">
        <v>794</v>
      </c>
      <c r="D212" s="30" t="str">
        <f t="shared" si="6"/>
        <v>PTO211-210-24</v>
      </c>
      <c r="E212" s="123" t="s">
        <v>795</v>
      </c>
      <c r="F212" s="150" t="str" cm="1">
        <f t="array" aca="1" ref="F2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2" s="123"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2" s="150" t="s">
        <v>796</v>
      </c>
      <c r="I212" s="21">
        <v>45397</v>
      </c>
      <c r="J212" s="12" t="s">
        <v>495</v>
      </c>
      <c r="K212" s="77">
        <v>45397</v>
      </c>
      <c r="L212" s="10" t="s">
        <v>496</v>
      </c>
      <c r="M212" s="427">
        <v>211</v>
      </c>
      <c r="N212" s="13" t="str">
        <f t="shared" ca="1" si="7"/>
        <v>CLOSED</v>
      </c>
    </row>
    <row r="213" spans="1:14" s="4" customFormat="1" ht="28.8" x14ac:dyDescent="0.3">
      <c r="A213" s="9" t="s">
        <v>261</v>
      </c>
      <c r="B213" s="13">
        <f>VLOOKUP(Table27[[#This Row],[Location 
(drop-down)]],'List source'!D$2:E$60,2,FALSE)</f>
        <v>210</v>
      </c>
      <c r="C213" s="222" t="s">
        <v>797</v>
      </c>
      <c r="D213" s="30" t="str">
        <f t="shared" si="6"/>
        <v>PTO212-210-24</v>
      </c>
      <c r="E213" s="9" t="s">
        <v>798</v>
      </c>
      <c r="F213" s="10" t="str" cm="1">
        <f t="array" aca="1" ref="F2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13" s="39" t="s">
        <v>799</v>
      </c>
      <c r="I213" s="21">
        <v>45397</v>
      </c>
      <c r="J213" s="12" t="s">
        <v>495</v>
      </c>
      <c r="K213" s="77">
        <v>45397</v>
      </c>
      <c r="L213" s="10" t="s">
        <v>510</v>
      </c>
      <c r="M213" s="356">
        <v>212</v>
      </c>
      <c r="N213" s="13" t="str">
        <f t="shared" ca="1" si="7"/>
        <v>CLOSED</v>
      </c>
    </row>
    <row r="214" spans="1:14" s="4" customFormat="1" ht="43.2" x14ac:dyDescent="0.3">
      <c r="A214" s="9" t="s">
        <v>261</v>
      </c>
      <c r="B214" s="13">
        <f>VLOOKUP(Table27[[#This Row],[Location 
(drop-down)]],'List source'!D$2:E$60,2,FALSE)</f>
        <v>210</v>
      </c>
      <c r="C214" s="222" t="s">
        <v>800</v>
      </c>
      <c r="D214" s="30" t="str">
        <f t="shared" si="6"/>
        <v>PTO213-210-24</v>
      </c>
      <c r="E214" s="9" t="s">
        <v>801</v>
      </c>
      <c r="F214" s="10" t="str" cm="1">
        <f t="array" aca="1" ref="F2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214" s="10">
        <v>2.2000000000000002</v>
      </c>
      <c r="I214" s="21">
        <v>45397</v>
      </c>
      <c r="J214" s="12" t="s">
        <v>495</v>
      </c>
      <c r="K214" s="77">
        <v>45397</v>
      </c>
      <c r="L214" s="10" t="s">
        <v>496</v>
      </c>
      <c r="M214" s="427">
        <v>213</v>
      </c>
      <c r="N214" s="13" t="str">
        <f t="shared" ca="1" si="7"/>
        <v>CLOSED</v>
      </c>
    </row>
    <row r="215" spans="1:14" s="4" customFormat="1" ht="18" x14ac:dyDescent="0.3">
      <c r="A215" s="9" t="s">
        <v>261</v>
      </c>
      <c r="B215" s="13">
        <f>VLOOKUP(Table27[[#This Row],[Location 
(drop-down)]],'List source'!D$2:E$60,2,FALSE)</f>
        <v>210</v>
      </c>
      <c r="C215" s="222" t="s">
        <v>802</v>
      </c>
      <c r="D215" s="30" t="str">
        <f t="shared" si="6"/>
        <v>PTO214-210-24</v>
      </c>
      <c r="E215" s="126" t="s">
        <v>803</v>
      </c>
      <c r="F215" s="10" t="str" cm="1">
        <f t="array" aca="1" ref="F2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5" s="12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215" s="10">
        <v>-2.81</v>
      </c>
      <c r="I215" s="21">
        <v>45397</v>
      </c>
      <c r="J215" s="12" t="s">
        <v>498</v>
      </c>
      <c r="K215" s="77">
        <v>45433</v>
      </c>
      <c r="L215" s="369"/>
      <c r="M215" s="356">
        <v>214</v>
      </c>
      <c r="N215" s="13" t="str">
        <f t="shared" ca="1" si="7"/>
        <v>CLOSED</v>
      </c>
    </row>
    <row r="216" spans="1:14" s="4" customFormat="1" ht="18" x14ac:dyDescent="0.3">
      <c r="A216" s="9" t="s">
        <v>138</v>
      </c>
      <c r="B216" s="13">
        <f>VLOOKUP(Table27[[#This Row],[Location 
(drop-down)]],'List source'!D$2:E$60,2,FALSE)</f>
        <v>110</v>
      </c>
      <c r="C216" s="222" t="s">
        <v>804</v>
      </c>
      <c r="D216" s="30" t="str">
        <f t="shared" si="6"/>
        <v>PTO215-110-24</v>
      </c>
      <c r="E216" s="9" t="s">
        <v>805</v>
      </c>
      <c r="F216" s="10" t="str" cm="1">
        <f t="array" aca="1" ref="F2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16" s="39" t="s">
        <v>806</v>
      </c>
      <c r="I216" s="21">
        <v>45406</v>
      </c>
      <c r="J216" s="12" t="s">
        <v>495</v>
      </c>
      <c r="K216" s="77">
        <v>45406</v>
      </c>
      <c r="L216" s="10" t="s">
        <v>510</v>
      </c>
      <c r="M216" s="427">
        <v>215</v>
      </c>
      <c r="N216" s="13" t="str">
        <f t="shared" ca="1" si="7"/>
        <v>CLOSED</v>
      </c>
    </row>
    <row r="217" spans="1:14" s="4" customFormat="1" ht="18" x14ac:dyDescent="0.3">
      <c r="A217" s="9" t="s">
        <v>39</v>
      </c>
      <c r="B217" s="13">
        <f>VLOOKUP(Table27[[#This Row],[Location 
(drop-down)]],'List source'!D$2:E$60,2,FALSE)</f>
        <v>127</v>
      </c>
      <c r="C217" s="222" t="s">
        <v>807</v>
      </c>
      <c r="D217" s="30" t="str">
        <f t="shared" si="6"/>
        <v>PTO216-127-24</v>
      </c>
      <c r="E217" s="9" t="s">
        <v>808</v>
      </c>
      <c r="F217" s="10" t="str" cm="1">
        <f t="array" aca="1" ref="F2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17" s="39" t="s">
        <v>585</v>
      </c>
      <c r="I217" s="21">
        <v>45406</v>
      </c>
      <c r="J217" s="12" t="s">
        <v>330</v>
      </c>
      <c r="K217" s="77">
        <v>45427</v>
      </c>
      <c r="L217" s="98"/>
      <c r="M217" s="429">
        <v>216</v>
      </c>
      <c r="N217" s="13" t="str">
        <f t="shared" ca="1" si="7"/>
        <v>CLOSED</v>
      </c>
    </row>
    <row r="218" spans="1:14" s="4" customFormat="1" ht="43.2" x14ac:dyDescent="0.3">
      <c r="A218" s="9" t="s">
        <v>186</v>
      </c>
      <c r="B218" s="13">
        <f>VLOOKUP(Table27[[#This Row],[Location 
(drop-down)]],'List source'!D$2:E$60,2,FALSE)</f>
        <v>130</v>
      </c>
      <c r="C218" s="222" t="s">
        <v>809</v>
      </c>
      <c r="D218" s="30" t="str">
        <f t="shared" si="6"/>
        <v>PTO217-130-24</v>
      </c>
      <c r="E218" s="9" t="s">
        <v>810</v>
      </c>
      <c r="F218" s="10" t="str" cm="1">
        <f t="array" aca="1" ref="F2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18" s="10">
        <v>2.1</v>
      </c>
      <c r="I218" s="21">
        <v>45406</v>
      </c>
      <c r="J218" s="12" t="s">
        <v>495</v>
      </c>
      <c r="K218" s="191">
        <v>45406</v>
      </c>
      <c r="L218" s="409" t="s">
        <v>673</v>
      </c>
      <c r="M218" s="356">
        <v>217</v>
      </c>
      <c r="N218" s="13" t="str">
        <f t="shared" ca="1" si="7"/>
        <v>CLOSED</v>
      </c>
    </row>
    <row r="219" spans="1:14" s="4" customFormat="1" ht="18" x14ac:dyDescent="0.3">
      <c r="A219" s="9" t="s">
        <v>186</v>
      </c>
      <c r="B219" s="13">
        <f>VLOOKUP(Table27[[#This Row],[Location 
(drop-down)]],'List source'!D$2:E$60,2,FALSE)</f>
        <v>130</v>
      </c>
      <c r="C219" s="222" t="s">
        <v>811</v>
      </c>
      <c r="D219" s="30" t="str">
        <f t="shared" si="6"/>
        <v>PTO218-130-24</v>
      </c>
      <c r="E219" s="9" t="s">
        <v>812</v>
      </c>
      <c r="F219" s="10" t="str" cm="1">
        <f t="array" aca="1" ref="F2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19" s="39" t="s">
        <v>813</v>
      </c>
      <c r="I219" s="21">
        <v>45406</v>
      </c>
      <c r="J219" s="12" t="s">
        <v>54</v>
      </c>
      <c r="K219" s="77">
        <v>45482</v>
      </c>
      <c r="L219" s="369"/>
      <c r="M219" s="356">
        <v>218</v>
      </c>
      <c r="N219" s="13" t="str">
        <f t="shared" ca="1" si="7"/>
        <v>CLOSED</v>
      </c>
    </row>
    <row r="220" spans="1:14" s="4" customFormat="1" ht="18" x14ac:dyDescent="0.3">
      <c r="A220" s="9" t="s">
        <v>186</v>
      </c>
      <c r="B220" s="13">
        <f>VLOOKUP(Table27[[#This Row],[Location 
(drop-down)]],'List source'!D$2:E$60,2,FALSE)</f>
        <v>130</v>
      </c>
      <c r="C220" s="222" t="s">
        <v>814</v>
      </c>
      <c r="D220" s="30" t="str">
        <f t="shared" si="6"/>
        <v>PTO219-130-24</v>
      </c>
      <c r="E220" s="9" t="s">
        <v>815</v>
      </c>
      <c r="F220" s="10" t="str" cm="1">
        <f t="array" aca="1" ref="F2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220" s="10">
        <v>2.04</v>
      </c>
      <c r="I220" s="21">
        <v>45406</v>
      </c>
      <c r="J220" s="12" t="s">
        <v>54</v>
      </c>
      <c r="K220" s="191">
        <v>45483</v>
      </c>
      <c r="L220" s="409"/>
      <c r="M220" s="356">
        <v>219</v>
      </c>
      <c r="N220" s="13" t="str">
        <f t="shared" ca="1" si="7"/>
        <v>CLOSED</v>
      </c>
    </row>
    <row r="221" spans="1:14" s="4" customFormat="1" ht="43.2" x14ac:dyDescent="0.3">
      <c r="A221" s="9" t="s">
        <v>21</v>
      </c>
      <c r="B221" s="13">
        <f>VLOOKUP(Table27[[#This Row],[Location 
(drop-down)]],'List source'!D$2:E$60,2,FALSE)</f>
        <v>131</v>
      </c>
      <c r="C221" s="222" t="s">
        <v>816</v>
      </c>
      <c r="D221" s="30" t="str">
        <f t="shared" si="6"/>
        <v>PTO220-131-24</v>
      </c>
      <c r="E221" s="9" t="s">
        <v>817</v>
      </c>
      <c r="F221" s="10" t="str" cm="1">
        <f t="array" aca="1" ref="F2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1" s="10" t="s">
        <v>818</v>
      </c>
      <c r="I221" s="21">
        <v>45406</v>
      </c>
      <c r="J221" s="12" t="s">
        <v>495</v>
      </c>
      <c r="K221" s="77">
        <v>45406</v>
      </c>
      <c r="L221" s="369" t="s">
        <v>673</v>
      </c>
      <c r="M221" s="356">
        <v>220</v>
      </c>
      <c r="N221" s="13" t="str">
        <f t="shared" ca="1" si="7"/>
        <v>CLOSED</v>
      </c>
    </row>
    <row r="222" spans="1:14" s="4" customFormat="1" ht="43.2" x14ac:dyDescent="0.3">
      <c r="A222" s="9" t="s">
        <v>70</v>
      </c>
      <c r="B222" s="13">
        <f>VLOOKUP(Table27[[#This Row],[Location 
(drop-down)]],'List source'!D$2:E$60,2,FALSE)</f>
        <v>146</v>
      </c>
      <c r="C222" s="222" t="s">
        <v>819</v>
      </c>
      <c r="D222" s="30" t="str">
        <f t="shared" si="6"/>
        <v>PTO221-146-24</v>
      </c>
      <c r="E222" s="9" t="s">
        <v>820</v>
      </c>
      <c r="F222" s="10" t="str" cm="1">
        <f t="array" aca="1" ref="F2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2" s="10">
        <v>2.13</v>
      </c>
      <c r="I222" s="21">
        <v>45406</v>
      </c>
      <c r="J222" s="12" t="s">
        <v>495</v>
      </c>
      <c r="K222" s="191">
        <v>45406</v>
      </c>
      <c r="L222" s="409" t="s">
        <v>673</v>
      </c>
      <c r="M222" s="356">
        <v>221</v>
      </c>
      <c r="N222" s="13" t="str">
        <f t="shared" ca="1" si="7"/>
        <v>CLOSED</v>
      </c>
    </row>
    <row r="223" spans="1:14" s="4" customFormat="1" ht="43.2" x14ac:dyDescent="0.3">
      <c r="A223" s="9" t="s">
        <v>65</v>
      </c>
      <c r="B223" s="13">
        <f>VLOOKUP(Table27[[#This Row],[Location 
(drop-down)]],'List source'!D$2:E$60,2,FALSE)</f>
        <v>155</v>
      </c>
      <c r="C223" s="222" t="s">
        <v>821</v>
      </c>
      <c r="D223" s="30" t="str">
        <f t="shared" si="6"/>
        <v>PTO222-155-24</v>
      </c>
      <c r="E223" s="9" t="s">
        <v>822</v>
      </c>
      <c r="F223" s="10" t="str" cm="1">
        <f t="array" aca="1" ref="F2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23" s="10">
        <v>2.2200000000000002</v>
      </c>
      <c r="I223" s="21">
        <v>45406</v>
      </c>
      <c r="J223" s="12" t="s">
        <v>495</v>
      </c>
      <c r="K223" s="191">
        <v>45406</v>
      </c>
      <c r="L223" s="409" t="s">
        <v>673</v>
      </c>
      <c r="M223" s="356">
        <v>222</v>
      </c>
      <c r="N223" s="13" t="str">
        <f t="shared" ca="1" si="7"/>
        <v>CLOSED</v>
      </c>
    </row>
    <row r="224" spans="1:14" s="4" customFormat="1" ht="18" x14ac:dyDescent="0.3">
      <c r="A224" s="9" t="s">
        <v>35</v>
      </c>
      <c r="B224" s="13">
        <f>VLOOKUP(Table27[[#This Row],[Location 
(drop-down)]],'List source'!D$2:E$60,2,FALSE)</f>
        <v>158</v>
      </c>
      <c r="C224" s="222" t="s">
        <v>823</v>
      </c>
      <c r="D224" s="30" t="str">
        <f t="shared" si="6"/>
        <v>PTO223-158-24</v>
      </c>
      <c r="E224" s="9" t="s">
        <v>824</v>
      </c>
      <c r="F224" s="10" t="str" cm="1">
        <f t="array" aca="1" ref="F2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24" s="10">
        <v>-149.63</v>
      </c>
      <c r="I224" s="21">
        <v>45406</v>
      </c>
      <c r="J224" s="12" t="s">
        <v>495</v>
      </c>
      <c r="K224" s="77">
        <v>45406</v>
      </c>
      <c r="L224" s="10" t="s">
        <v>510</v>
      </c>
      <c r="M224" s="356">
        <v>223</v>
      </c>
      <c r="N224" s="13" t="str">
        <f t="shared" ca="1" si="7"/>
        <v>CLOSED</v>
      </c>
    </row>
    <row r="225" spans="1:14" s="4" customFormat="1" ht="43.2" x14ac:dyDescent="0.3">
      <c r="A225" s="9" t="s">
        <v>35</v>
      </c>
      <c r="B225" s="13">
        <f>VLOOKUP(Table27[[#This Row],[Location 
(drop-down)]],'List source'!D$2:E$60,2,FALSE)</f>
        <v>158</v>
      </c>
      <c r="C225" s="222" t="s">
        <v>825</v>
      </c>
      <c r="D225" s="30" t="str">
        <f t="shared" si="6"/>
        <v>PTO224-158-24</v>
      </c>
      <c r="E225" s="9" t="s">
        <v>826</v>
      </c>
      <c r="F225" s="10" t="str" cm="1">
        <f t="array" aca="1" ref="F2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225" s="10">
        <v>2.09</v>
      </c>
      <c r="I225" s="21">
        <v>45406</v>
      </c>
      <c r="J225" s="12" t="s">
        <v>495</v>
      </c>
      <c r="K225" s="77">
        <v>45406</v>
      </c>
      <c r="L225" s="409" t="s">
        <v>673</v>
      </c>
      <c r="M225" s="356">
        <v>224</v>
      </c>
      <c r="N225" s="13" t="str">
        <f t="shared" ca="1" si="7"/>
        <v>CLOSED</v>
      </c>
    </row>
    <row r="226" spans="1:14" s="4" customFormat="1" ht="28.8" x14ac:dyDescent="0.3">
      <c r="A226" s="9" t="s">
        <v>35</v>
      </c>
      <c r="B226" s="13">
        <f>VLOOKUP(Table27[[#This Row],[Location 
(drop-down)]],'List source'!D$2:E$60,2,FALSE)</f>
        <v>158</v>
      </c>
      <c r="C226" s="222" t="s">
        <v>827</v>
      </c>
      <c r="D226" s="30" t="str">
        <f t="shared" si="6"/>
        <v>PTO225-158-24</v>
      </c>
      <c r="E226" s="9" t="s">
        <v>828</v>
      </c>
      <c r="F226" s="10" t="str" cm="1">
        <f t="array" aca="1" ref="F2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26" s="10" t="s">
        <v>829</v>
      </c>
      <c r="I226" s="21">
        <v>45406</v>
      </c>
      <c r="J226" s="12" t="s">
        <v>134</v>
      </c>
      <c r="K226" s="77">
        <v>45874</v>
      </c>
      <c r="L226" s="10"/>
      <c r="M226" s="427">
        <v>225</v>
      </c>
      <c r="N226" s="13" t="str">
        <f t="shared" ca="1" si="7"/>
        <v>CLOSED</v>
      </c>
    </row>
    <row r="227" spans="1:14" s="4" customFormat="1" ht="28.8" x14ac:dyDescent="0.3">
      <c r="A227" s="239" t="s">
        <v>235</v>
      </c>
      <c r="B227" s="240">
        <f>VLOOKUP(Table27[[#This Row],[Location 
(drop-down)]],'List source'!D$2:E$60,2,FALSE)</f>
        <v>160</v>
      </c>
      <c r="C227" s="295" t="s">
        <v>830</v>
      </c>
      <c r="D227" s="242" t="str">
        <f t="shared" si="6"/>
        <v>PTO226-160-24</v>
      </c>
      <c r="E227" s="239" t="s">
        <v>831</v>
      </c>
      <c r="F227" s="245" t="str" cm="1">
        <f t="array" aca="1" ref="F2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7"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 &amp; Toluene</v>
      </c>
      <c r="H227" s="296" t="s">
        <v>832</v>
      </c>
      <c r="I227" s="322">
        <v>45406</v>
      </c>
      <c r="J227" s="246" t="s">
        <v>182</v>
      </c>
      <c r="K227" s="247">
        <v>45791</v>
      </c>
      <c r="L227" s="369"/>
      <c r="M227" s="356">
        <v>226</v>
      </c>
      <c r="N227" s="13" t="str">
        <f t="shared" ca="1" si="7"/>
        <v>CLOSED</v>
      </c>
    </row>
    <row r="228" spans="1:14" s="4" customFormat="1" ht="18" x14ac:dyDescent="0.3">
      <c r="A228" s="239" t="s">
        <v>235</v>
      </c>
      <c r="B228" s="240">
        <f>VLOOKUP(Table27[[#This Row],[Location 
(drop-down)]],'List source'!D$2:E$60,2,FALSE)</f>
        <v>160</v>
      </c>
      <c r="C228" s="295" t="s">
        <v>833</v>
      </c>
      <c r="D228" s="242" t="str">
        <f t="shared" si="6"/>
        <v>PTO227-160-24</v>
      </c>
      <c r="E228" s="239" t="s">
        <v>834</v>
      </c>
      <c r="F228" s="245" t="str" cm="1">
        <f t="array" aca="1" ref="F2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8"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228" s="245">
        <v>21.39</v>
      </c>
      <c r="I228" s="322">
        <v>45406</v>
      </c>
      <c r="J228" s="246" t="s">
        <v>182</v>
      </c>
      <c r="K228" s="247">
        <v>45806</v>
      </c>
      <c r="L228" s="10"/>
      <c r="M228" s="427">
        <v>227</v>
      </c>
      <c r="N228" s="13" t="str">
        <f t="shared" ca="1" si="7"/>
        <v>CLOSED</v>
      </c>
    </row>
    <row r="229" spans="1:14" s="4" customFormat="1" ht="43.2" x14ac:dyDescent="0.3">
      <c r="A229" s="9" t="s">
        <v>235</v>
      </c>
      <c r="B229" s="13">
        <f>VLOOKUP(Table27[[#This Row],[Location 
(drop-down)]],'List source'!D$2:E$60,2,FALSE)</f>
        <v>160</v>
      </c>
      <c r="C229" s="222" t="s">
        <v>835</v>
      </c>
      <c r="D229" s="30" t="str">
        <f t="shared" si="6"/>
        <v>PTO228-160-24</v>
      </c>
      <c r="E229" s="9" t="s">
        <v>836</v>
      </c>
      <c r="F229" s="10" t="str" cm="1">
        <f t="array" aca="1" ref="F2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229" s="10">
        <v>0</v>
      </c>
      <c r="I229" s="21">
        <v>45406</v>
      </c>
      <c r="J229" s="12" t="s">
        <v>495</v>
      </c>
      <c r="K229" s="77">
        <v>45406</v>
      </c>
      <c r="L229" s="409" t="s">
        <v>673</v>
      </c>
      <c r="M229" s="356">
        <v>228</v>
      </c>
      <c r="N229" s="13" t="str">
        <f t="shared" ca="1" si="7"/>
        <v>CLOSED</v>
      </c>
    </row>
    <row r="230" spans="1:14" s="4" customFormat="1" ht="18" x14ac:dyDescent="0.3">
      <c r="A230" s="9" t="s">
        <v>209</v>
      </c>
      <c r="B230" s="13">
        <f>VLOOKUP(Table27[[#This Row],[Location 
(drop-down)]],'List source'!D$2:E$60,2,FALSE)</f>
        <v>165</v>
      </c>
      <c r="C230" s="222" t="s">
        <v>837</v>
      </c>
      <c r="D230" s="30" t="str">
        <f t="shared" si="6"/>
        <v>PTO229-165-24</v>
      </c>
      <c r="E230" s="9" t="s">
        <v>838</v>
      </c>
      <c r="F230" s="10" t="str" cm="1">
        <f t="array" aca="1" ref="F2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30" s="39" t="s">
        <v>749</v>
      </c>
      <c r="I230" s="21">
        <v>45406</v>
      </c>
      <c r="J230" s="12" t="s">
        <v>182</v>
      </c>
      <c r="K230" s="77">
        <v>45586</v>
      </c>
      <c r="L230" s="10"/>
      <c r="M230" s="427">
        <v>229</v>
      </c>
      <c r="N230" s="13" t="str">
        <f t="shared" ca="1" si="7"/>
        <v>CLOSED</v>
      </c>
    </row>
    <row r="231" spans="1:14" s="4" customFormat="1" ht="43.2" x14ac:dyDescent="0.3">
      <c r="A231" s="9" t="s">
        <v>57</v>
      </c>
      <c r="B231" s="13">
        <f>VLOOKUP(Table27[[#This Row],[Location 
(drop-down)]],'List source'!D$2:E$60,2,FALSE)</f>
        <v>170</v>
      </c>
      <c r="C231" s="222" t="s">
        <v>839</v>
      </c>
      <c r="D231" s="30" t="str">
        <f t="shared" si="6"/>
        <v>PTO230-170-24</v>
      </c>
      <c r="E231" s="9" t="s">
        <v>840</v>
      </c>
      <c r="F231" s="10" t="str" cm="1">
        <f t="array" aca="1" ref="F2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1" s="10" t="s">
        <v>841</v>
      </c>
      <c r="I231" s="21">
        <v>45406</v>
      </c>
      <c r="J231" s="12" t="s">
        <v>495</v>
      </c>
      <c r="K231" s="77">
        <v>45406</v>
      </c>
      <c r="L231" s="409" t="s">
        <v>673</v>
      </c>
      <c r="M231" s="356">
        <v>230</v>
      </c>
      <c r="N231" s="13" t="str">
        <f t="shared" ca="1" si="7"/>
        <v>CLOSED</v>
      </c>
    </row>
    <row r="232" spans="1:14" s="4" customFormat="1" ht="18" x14ac:dyDescent="0.3">
      <c r="A232" s="9" t="s">
        <v>57</v>
      </c>
      <c r="B232" s="13">
        <f>VLOOKUP(Table27[[#This Row],[Location 
(drop-down)]],'List source'!D$2:E$60,2,FALSE)</f>
        <v>170</v>
      </c>
      <c r="C232" s="222" t="s">
        <v>842</v>
      </c>
      <c r="D232" s="30" t="str">
        <f t="shared" si="6"/>
        <v>PTO231-170-24</v>
      </c>
      <c r="E232" s="9" t="s">
        <v>843</v>
      </c>
      <c r="F232" s="10" t="str" cm="1">
        <f t="array" aca="1" ref="F2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232" s="10">
        <v>3.32</v>
      </c>
      <c r="I232" s="21">
        <v>45406</v>
      </c>
      <c r="J232" s="10" t="s">
        <v>60</v>
      </c>
      <c r="K232" s="77">
        <v>45496</v>
      </c>
      <c r="L232" s="10"/>
      <c r="M232" s="427">
        <v>231</v>
      </c>
      <c r="N232" s="13" t="str">
        <f t="shared" ca="1" si="7"/>
        <v>CLOSED</v>
      </c>
    </row>
    <row r="233" spans="1:14" s="4" customFormat="1" ht="18" x14ac:dyDescent="0.3">
      <c r="A233" s="9" t="s">
        <v>57</v>
      </c>
      <c r="B233" s="13">
        <f>VLOOKUP(Table27[[#This Row],[Location 
(drop-down)]],'List source'!D$2:E$60,2,FALSE)</f>
        <v>170</v>
      </c>
      <c r="C233" s="222" t="s">
        <v>844</v>
      </c>
      <c r="D233" s="30" t="str">
        <f t="shared" si="6"/>
        <v>PTO232-170-24</v>
      </c>
      <c r="E233" s="9" t="s">
        <v>845</v>
      </c>
      <c r="F233" s="10" t="str" cm="1">
        <f t="array" aca="1" ref="F2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33" s="10">
        <v>-2.16</v>
      </c>
      <c r="I233" s="21">
        <v>45406</v>
      </c>
      <c r="J233" s="12" t="s">
        <v>60</v>
      </c>
      <c r="K233" s="77">
        <v>45496</v>
      </c>
      <c r="L233" s="10"/>
      <c r="M233" s="427">
        <v>232</v>
      </c>
      <c r="N233" s="13" t="str">
        <f t="shared" ca="1" si="7"/>
        <v>CLOSED</v>
      </c>
    </row>
    <row r="234" spans="1:14" s="4" customFormat="1" ht="18" x14ac:dyDescent="0.3">
      <c r="A234" s="9" t="s">
        <v>325</v>
      </c>
      <c r="B234" s="13">
        <f>VLOOKUP(Table27[[#This Row],[Location 
(drop-down)]],'List source'!D$2:E$60,2,FALSE)</f>
        <v>180</v>
      </c>
      <c r="C234" s="222" t="s">
        <v>846</v>
      </c>
      <c r="D234" s="30" t="str">
        <f t="shared" si="6"/>
        <v>PTO233-180-24</v>
      </c>
      <c r="E234" s="9" t="s">
        <v>847</v>
      </c>
      <c r="F234" s="10" t="str" cm="1">
        <f t="array" aca="1" ref="F2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4" s="10">
        <v>-6.32</v>
      </c>
      <c r="I234" s="21">
        <v>45406</v>
      </c>
      <c r="J234" s="12" t="s">
        <v>41</v>
      </c>
      <c r="K234" s="77">
        <v>45551</v>
      </c>
      <c r="L234" s="10"/>
      <c r="M234" s="427">
        <v>233</v>
      </c>
      <c r="N234" s="13" t="str">
        <f t="shared" ca="1" si="7"/>
        <v>CLOSED</v>
      </c>
    </row>
    <row r="235" spans="1:14" s="4" customFormat="1" ht="43.2" x14ac:dyDescent="0.3">
      <c r="A235" s="9" t="s">
        <v>261</v>
      </c>
      <c r="B235" s="13">
        <f>VLOOKUP(Table27[[#This Row],[Location 
(drop-down)]],'List source'!D$2:E$60,2,FALSE)</f>
        <v>210</v>
      </c>
      <c r="C235" s="222" t="s">
        <v>848</v>
      </c>
      <c r="D235" s="30" t="str">
        <f t="shared" si="6"/>
        <v>PTO234-210-24</v>
      </c>
      <c r="E235" s="9" t="s">
        <v>849</v>
      </c>
      <c r="F235" s="10" t="str" cm="1">
        <f t="array" aca="1" ref="F2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2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 Olefins</v>
      </c>
      <c r="H235" s="10">
        <v>-2.0099999999999998</v>
      </c>
      <c r="I235" s="21">
        <v>45406</v>
      </c>
      <c r="J235" s="10" t="s">
        <v>495</v>
      </c>
      <c r="K235" s="77">
        <v>45406</v>
      </c>
      <c r="L235" s="409" t="s">
        <v>673</v>
      </c>
      <c r="M235" s="356">
        <v>234</v>
      </c>
      <c r="N235" s="13" t="str">
        <f t="shared" ca="1" si="7"/>
        <v>CLOSED</v>
      </c>
    </row>
    <row r="236" spans="1:14" s="4" customFormat="1" ht="18" x14ac:dyDescent="0.3">
      <c r="A236" s="9" t="s">
        <v>261</v>
      </c>
      <c r="B236" s="13">
        <f>VLOOKUP(Table27[[#This Row],[Location 
(drop-down)]],'List source'!D$2:E$60,2,FALSE)</f>
        <v>210</v>
      </c>
      <c r="C236" s="222" t="s">
        <v>850</v>
      </c>
      <c r="D236" s="30" t="str">
        <f t="shared" si="6"/>
        <v>PTO235-210-24</v>
      </c>
      <c r="E236" s="9" t="s">
        <v>851</v>
      </c>
      <c r="F236" s="10" t="str" cm="1">
        <f t="array" aca="1" ref="F2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6" s="10">
        <v>2.33</v>
      </c>
      <c r="I236" s="21">
        <v>45407</v>
      </c>
      <c r="J236" s="12" t="s">
        <v>495</v>
      </c>
      <c r="K236" s="77">
        <v>45407</v>
      </c>
      <c r="L236" s="355" t="s">
        <v>673</v>
      </c>
      <c r="M236" s="427">
        <v>235</v>
      </c>
      <c r="N236" s="13" t="str">
        <f t="shared" ca="1" si="7"/>
        <v>CLOSED</v>
      </c>
    </row>
    <row r="237" spans="1:14" s="4" customFormat="1" ht="18" x14ac:dyDescent="0.3">
      <c r="A237" s="9" t="s">
        <v>261</v>
      </c>
      <c r="B237" s="13">
        <f>VLOOKUP(Table27[[#This Row],[Location 
(drop-down)]],'List source'!D$2:E$60,2,FALSE)</f>
        <v>210</v>
      </c>
      <c r="C237" s="222" t="s">
        <v>852</v>
      </c>
      <c r="D237" s="30" t="str">
        <f t="shared" si="6"/>
        <v>PTO236-210-24</v>
      </c>
      <c r="E237" s="9" t="s">
        <v>853</v>
      </c>
      <c r="F237" s="10" t="str" cm="1">
        <f t="array" aca="1" ref="F2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237" s="39" t="s">
        <v>745</v>
      </c>
      <c r="I237" s="21">
        <v>45407</v>
      </c>
      <c r="J237" s="12" t="s">
        <v>498</v>
      </c>
      <c r="K237" s="77">
        <v>45475</v>
      </c>
      <c r="L237" s="10"/>
      <c r="M237" s="427">
        <v>236</v>
      </c>
      <c r="N237" s="13" t="str">
        <f t="shared" ca="1" si="7"/>
        <v>CLOSED</v>
      </c>
    </row>
    <row r="238" spans="1:14" s="4" customFormat="1" ht="18" x14ac:dyDescent="0.3">
      <c r="A238" s="9" t="s">
        <v>86</v>
      </c>
      <c r="B238" s="13">
        <f>VLOOKUP(Table27[[#This Row],[Location 
(drop-down)]],'List source'!D$2:E$60,2,FALSE)</f>
        <v>150</v>
      </c>
      <c r="C238" s="222" t="s">
        <v>854</v>
      </c>
      <c r="D238" s="30" t="str">
        <f t="shared" si="6"/>
        <v>PTO237-150-24</v>
      </c>
      <c r="E238" s="9" t="s">
        <v>855</v>
      </c>
      <c r="F238" s="10" t="str" cm="1">
        <f t="array" aca="1" ref="F2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Vapor Pressure</v>
      </c>
      <c r="H238" s="39" t="s">
        <v>856</v>
      </c>
      <c r="I238" s="21">
        <v>45407</v>
      </c>
      <c r="J238" s="12" t="s">
        <v>182</v>
      </c>
      <c r="K238" s="77">
        <v>45566</v>
      </c>
      <c r="L238" s="10"/>
      <c r="M238" s="427">
        <v>237</v>
      </c>
      <c r="N238" s="13" t="str">
        <f t="shared" ca="1" si="7"/>
        <v>CLOSED</v>
      </c>
    </row>
    <row r="239" spans="1:14" s="4" customFormat="1" ht="43.2" x14ac:dyDescent="0.3">
      <c r="A239" s="9" t="s">
        <v>57</v>
      </c>
      <c r="B239" s="13">
        <f>VLOOKUP(Table27[[#This Row],[Location 
(drop-down)]],'List source'!D$2:E$60,2,FALSE)</f>
        <v>170</v>
      </c>
      <c r="C239" s="222" t="s">
        <v>857</v>
      </c>
      <c r="D239" s="30" t="str">
        <f t="shared" si="6"/>
        <v>PTO238-170-24</v>
      </c>
      <c r="E239" s="9" t="s">
        <v>858</v>
      </c>
      <c r="F239" s="10" t="str" cm="1">
        <f t="array" aca="1" ref="F2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39" s="10">
        <v>2.1800000000000002</v>
      </c>
      <c r="I239" s="21">
        <v>45407</v>
      </c>
      <c r="J239" s="12" t="s">
        <v>495</v>
      </c>
      <c r="K239" s="77">
        <v>45407</v>
      </c>
      <c r="L239" s="10" t="s">
        <v>496</v>
      </c>
      <c r="M239" s="427">
        <v>238</v>
      </c>
      <c r="N239" s="13" t="str">
        <f t="shared" ca="1" si="7"/>
        <v>CLOSED</v>
      </c>
    </row>
    <row r="240" spans="1:14" s="4" customFormat="1" ht="18" x14ac:dyDescent="0.3">
      <c r="A240" s="9" t="s">
        <v>288</v>
      </c>
      <c r="B240" s="13">
        <f>VLOOKUP(Table27[[#This Row],[Location 
(drop-down)]],'List source'!D$2:E$60,2,FALSE)</f>
        <v>197</v>
      </c>
      <c r="C240" s="222" t="s">
        <v>859</v>
      </c>
      <c r="D240" s="30" t="str">
        <f t="shared" si="6"/>
        <v>PTO239-197-24</v>
      </c>
      <c r="E240" s="9" t="s">
        <v>860</v>
      </c>
      <c r="F240" s="10" t="str" cm="1">
        <f t="array" aca="1" ref="F2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240" s="157" t="s">
        <v>861</v>
      </c>
      <c r="I240" s="21">
        <v>45407</v>
      </c>
      <c r="J240" s="12" t="s">
        <v>41</v>
      </c>
      <c r="K240" s="77">
        <v>45600</v>
      </c>
      <c r="L240" s="10"/>
      <c r="M240" s="427">
        <v>239</v>
      </c>
      <c r="N240" s="13" t="str">
        <f t="shared" ca="1" si="7"/>
        <v>CLOSED</v>
      </c>
    </row>
    <row r="241" spans="1:14" s="4" customFormat="1" ht="18" x14ac:dyDescent="0.3">
      <c r="A241" s="9" t="s">
        <v>126</v>
      </c>
      <c r="B241" s="13">
        <f>VLOOKUP(Table27[[#This Row],[Location 
(drop-down)]],'List source'!D$2:E$60,2,FALSE)</f>
        <v>125</v>
      </c>
      <c r="C241" s="222" t="s">
        <v>862</v>
      </c>
      <c r="D241" s="30" t="str">
        <f t="shared" si="6"/>
        <v>PTO240-125-24</v>
      </c>
      <c r="E241" s="9" t="s">
        <v>863</v>
      </c>
      <c r="F241" s="10" t="str" cm="1">
        <f t="array" aca="1" ref="F2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API Gravity</v>
      </c>
      <c r="H241" s="10">
        <v>7.75</v>
      </c>
      <c r="I241" s="21">
        <v>45407</v>
      </c>
      <c r="J241" s="12" t="s">
        <v>195</v>
      </c>
      <c r="K241" s="77">
        <v>45574</v>
      </c>
      <c r="L241" s="369"/>
      <c r="M241" s="356">
        <v>240</v>
      </c>
      <c r="N241" s="13" t="str">
        <f t="shared" ca="1" si="7"/>
        <v>CLOSED</v>
      </c>
    </row>
    <row r="242" spans="1:14" s="4" customFormat="1" ht="18" x14ac:dyDescent="0.3">
      <c r="A242" s="9" t="s">
        <v>126</v>
      </c>
      <c r="B242" s="13">
        <f>VLOOKUP(Table27[[#This Row],[Location 
(drop-down)]],'List source'!D$2:E$60,2,FALSE)</f>
        <v>125</v>
      </c>
      <c r="C242" s="222" t="s">
        <v>864</v>
      </c>
      <c r="D242" s="30" t="str">
        <f t="shared" si="6"/>
        <v>PTO241-125-24</v>
      </c>
      <c r="E242" s="9" t="s">
        <v>865</v>
      </c>
      <c r="F242" s="10" t="str" cm="1">
        <f t="array" aca="1" ref="F2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242" s="10">
        <v>5.01</v>
      </c>
      <c r="I242" s="21">
        <v>45407</v>
      </c>
      <c r="J242" s="12" t="s">
        <v>195</v>
      </c>
      <c r="K242" s="77">
        <v>45574</v>
      </c>
      <c r="L242" s="9"/>
      <c r="M242" s="427">
        <v>241</v>
      </c>
      <c r="N242" s="13" t="str">
        <f t="shared" ca="1" si="7"/>
        <v>CLOSED</v>
      </c>
    </row>
    <row r="243" spans="1:14" s="4" customFormat="1" ht="43.2" x14ac:dyDescent="0.3">
      <c r="A243" s="9" t="s">
        <v>44</v>
      </c>
      <c r="B243" s="13">
        <f>VLOOKUP(Table27[[#This Row],[Location 
(drop-down)]],'List source'!D$2:E$60,2,FALSE)</f>
        <v>192</v>
      </c>
      <c r="C243" s="222" t="s">
        <v>866</v>
      </c>
      <c r="D243" s="30" t="str">
        <f t="shared" si="6"/>
        <v>PTO242-192-24</v>
      </c>
      <c r="E243" s="9" t="s">
        <v>867</v>
      </c>
      <c r="F243" s="10" t="str" cm="1">
        <f t="array" aca="1" ref="F2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43" s="10" t="s">
        <v>868</v>
      </c>
      <c r="I243" s="21">
        <v>45407</v>
      </c>
      <c r="J243" s="12" t="s">
        <v>495</v>
      </c>
      <c r="K243" s="78">
        <v>45407</v>
      </c>
      <c r="L243" s="10" t="s">
        <v>496</v>
      </c>
      <c r="M243" s="427">
        <v>242</v>
      </c>
      <c r="N243" s="13" t="str">
        <f t="shared" ca="1" si="7"/>
        <v>CLOSED</v>
      </c>
    </row>
    <row r="244" spans="1:14" s="4" customFormat="1" ht="18" x14ac:dyDescent="0.3">
      <c r="A244" s="9" t="s">
        <v>261</v>
      </c>
      <c r="B244" s="13">
        <f>VLOOKUP(Table27[[#This Row],[Location 
(drop-down)]],'List source'!D$2:E$60,2,FALSE)</f>
        <v>210</v>
      </c>
      <c r="C244" s="222" t="s">
        <v>869</v>
      </c>
      <c r="D244" s="30" t="str">
        <f t="shared" si="6"/>
        <v>PTO243-210-24</v>
      </c>
      <c r="E244" s="9" t="s">
        <v>870</v>
      </c>
      <c r="F244" s="10" t="str" cm="1">
        <f t="array" aca="1" ref="F2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244" s="10">
        <v>4.67</v>
      </c>
      <c r="I244" s="21">
        <v>45407</v>
      </c>
      <c r="J244" s="12" t="s">
        <v>498</v>
      </c>
      <c r="K244" s="78">
        <v>45475</v>
      </c>
      <c r="L244" s="9"/>
      <c r="M244" s="427">
        <v>243</v>
      </c>
      <c r="N244" s="13" t="str">
        <f t="shared" ca="1" si="7"/>
        <v>CLOSED</v>
      </c>
    </row>
    <row r="245" spans="1:14" s="4" customFormat="1" ht="18" x14ac:dyDescent="0.3">
      <c r="A245" s="9" t="s">
        <v>564</v>
      </c>
      <c r="B245" s="13">
        <f>VLOOKUP(Table27[[#This Row],[Location 
(drop-down)]],'List source'!D$2:E$60,2,FALSE)</f>
        <v>215</v>
      </c>
      <c r="C245" s="222" t="s">
        <v>871</v>
      </c>
      <c r="D245" s="30" t="str">
        <f t="shared" si="6"/>
        <v>PTO244-215-24</v>
      </c>
      <c r="E245" s="9" t="s">
        <v>872</v>
      </c>
      <c r="F245" s="10" t="str" cm="1">
        <f t="array" aca="1" ref="F2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2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245" s="39" t="s">
        <v>873</v>
      </c>
      <c r="I245" s="21">
        <v>45407</v>
      </c>
      <c r="J245" s="14" t="s">
        <v>195</v>
      </c>
      <c r="K245" s="79">
        <v>45534</v>
      </c>
      <c r="L245" s="369"/>
      <c r="M245" s="356">
        <v>244</v>
      </c>
      <c r="N245" s="13" t="str">
        <f t="shared" ca="1" si="7"/>
        <v>CLOSED</v>
      </c>
    </row>
    <row r="246" spans="1:14" s="4" customFormat="1" ht="43.2" x14ac:dyDescent="0.3">
      <c r="A246" s="9" t="s">
        <v>235</v>
      </c>
      <c r="B246" s="13">
        <f>VLOOKUP(Table27[[#This Row],[Location 
(drop-down)]],'List source'!D$2:E$60,2,FALSE)</f>
        <v>160</v>
      </c>
      <c r="C246" s="222" t="s">
        <v>874</v>
      </c>
      <c r="D246" s="30" t="str">
        <f t="shared" si="6"/>
        <v>PTO245-160-24</v>
      </c>
      <c r="E246" s="9" t="s">
        <v>875</v>
      </c>
      <c r="F246" s="10" t="s">
        <v>876</v>
      </c>
      <c r="G2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46" s="10">
        <v>2.09</v>
      </c>
      <c r="I246" s="21">
        <v>45408</v>
      </c>
      <c r="J246" s="12" t="s">
        <v>495</v>
      </c>
      <c r="K246" s="77">
        <v>45408</v>
      </c>
      <c r="L246" s="10" t="s">
        <v>496</v>
      </c>
      <c r="M246" s="427">
        <v>245</v>
      </c>
      <c r="N246" s="13" t="str">
        <f t="shared" ca="1" si="7"/>
        <v>CLOSED</v>
      </c>
    </row>
    <row r="247" spans="1:14" s="4" customFormat="1" ht="43.2" x14ac:dyDescent="0.3">
      <c r="A247" s="9" t="s">
        <v>86</v>
      </c>
      <c r="B247" s="13">
        <f>VLOOKUP(Table27[[#This Row],[Location 
(drop-down)]],'List source'!D$2:E$60,2,FALSE)</f>
        <v>150</v>
      </c>
      <c r="C247" s="222" t="s">
        <v>877</v>
      </c>
      <c r="D247" s="30" t="str">
        <f t="shared" si="6"/>
        <v>PTO246-150-24</v>
      </c>
      <c r="E247" s="364" t="s">
        <v>878</v>
      </c>
      <c r="F247" s="10" t="s">
        <v>876</v>
      </c>
      <c r="G2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47" s="39" t="s">
        <v>879</v>
      </c>
      <c r="I247" s="21">
        <v>45408</v>
      </c>
      <c r="J247" s="12" t="s">
        <v>495</v>
      </c>
      <c r="K247" s="77">
        <v>45408</v>
      </c>
      <c r="L247" s="10" t="s">
        <v>496</v>
      </c>
      <c r="M247" s="427">
        <v>246</v>
      </c>
      <c r="N247" s="13" t="str">
        <f t="shared" ca="1" si="7"/>
        <v>CLOSED</v>
      </c>
    </row>
    <row r="248" spans="1:14" s="4" customFormat="1" ht="43.2" x14ac:dyDescent="0.3">
      <c r="A248" s="9" t="s">
        <v>35</v>
      </c>
      <c r="B248" s="13">
        <f>VLOOKUP(Table27[[#This Row],[Location 
(drop-down)]],'List source'!D$2:E$60,2,FALSE)</f>
        <v>158</v>
      </c>
      <c r="C248" s="222" t="s">
        <v>880</v>
      </c>
      <c r="D248" s="30" t="str">
        <f t="shared" si="6"/>
        <v>PTO247-158-24</v>
      </c>
      <c r="E248" s="9" t="s">
        <v>881</v>
      </c>
      <c r="F248" s="10" t="s">
        <v>876</v>
      </c>
      <c r="G248" s="9" t="s">
        <v>524</v>
      </c>
      <c r="H248" s="39" t="s">
        <v>882</v>
      </c>
      <c r="I248" s="12">
        <v>45408</v>
      </c>
      <c r="J248" s="12" t="s">
        <v>495</v>
      </c>
      <c r="K248" s="77">
        <v>45408</v>
      </c>
      <c r="L248" s="10" t="s">
        <v>496</v>
      </c>
      <c r="M248" s="427">
        <v>247</v>
      </c>
      <c r="N248" s="13" t="str">
        <f t="shared" ca="1" si="7"/>
        <v>CLOSED</v>
      </c>
    </row>
    <row r="249" spans="1:14" s="4" customFormat="1" ht="43.2" x14ac:dyDescent="0.3">
      <c r="A249" s="9" t="s">
        <v>161</v>
      </c>
      <c r="B249" s="13">
        <f>VLOOKUP(Table27[[#This Row],[Location 
(drop-down)]],'List source'!D$2:E$60,2,FALSE)</f>
        <v>142</v>
      </c>
      <c r="C249" s="222" t="s">
        <v>883</v>
      </c>
      <c r="D249" s="30" t="str">
        <f t="shared" si="6"/>
        <v>PTO248-142-24</v>
      </c>
      <c r="E249" s="9" t="s">
        <v>884</v>
      </c>
      <c r="F249" s="10" t="s">
        <v>885</v>
      </c>
      <c r="G2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49" s="39" t="s">
        <v>886</v>
      </c>
      <c r="I249" s="12">
        <v>45408</v>
      </c>
      <c r="J249" s="12" t="s">
        <v>495</v>
      </c>
      <c r="K249" s="77">
        <v>45408</v>
      </c>
      <c r="L249" s="10" t="s">
        <v>496</v>
      </c>
      <c r="M249" s="427">
        <v>248</v>
      </c>
      <c r="N249" s="13" t="str">
        <f t="shared" ca="1" si="7"/>
        <v>CLOSED</v>
      </c>
    </row>
    <row r="250" spans="1:14" s="4" customFormat="1" ht="43.2" x14ac:dyDescent="0.3">
      <c r="A250" s="9" t="s">
        <v>145</v>
      </c>
      <c r="B250" s="13">
        <f>VLOOKUP(Table27[[#This Row],[Location 
(drop-down)]],'List source'!D$2:E$60,2,FALSE)</f>
        <v>145</v>
      </c>
      <c r="C250" s="222" t="s">
        <v>887</v>
      </c>
      <c r="D250" s="30" t="str">
        <f t="shared" si="6"/>
        <v>PTO249-145-24</v>
      </c>
      <c r="E250" s="9" t="s">
        <v>888</v>
      </c>
      <c r="F250" s="10" t="s">
        <v>885</v>
      </c>
      <c r="G250" s="9" t="s">
        <v>889</v>
      </c>
      <c r="H250" s="10">
        <v>2.34</v>
      </c>
      <c r="I250" s="12">
        <v>45408</v>
      </c>
      <c r="J250" s="12" t="s">
        <v>495</v>
      </c>
      <c r="K250" s="77">
        <v>45408</v>
      </c>
      <c r="L250" s="10" t="s">
        <v>496</v>
      </c>
      <c r="M250" s="427">
        <v>249</v>
      </c>
      <c r="N250" s="13" t="str">
        <f t="shared" ca="1" si="7"/>
        <v>CLOSED</v>
      </c>
    </row>
    <row r="251" spans="1:14" s="4" customFormat="1" ht="43.2" x14ac:dyDescent="0.3">
      <c r="A251" s="9" t="s">
        <v>145</v>
      </c>
      <c r="B251" s="13">
        <f>VLOOKUP(Table27[[#This Row],[Location 
(drop-down)]],'List source'!D$2:E$60,2,FALSE)</f>
        <v>145</v>
      </c>
      <c r="C251" s="222" t="s">
        <v>890</v>
      </c>
      <c r="D251" s="30" t="str">
        <f t="shared" si="6"/>
        <v>PTO250-145-24</v>
      </c>
      <c r="E251" s="9" t="s">
        <v>891</v>
      </c>
      <c r="F251" s="10" t="s">
        <v>885</v>
      </c>
      <c r="G251" s="9" t="s">
        <v>524</v>
      </c>
      <c r="H251" s="39" t="s">
        <v>892</v>
      </c>
      <c r="I251" s="12">
        <v>45408</v>
      </c>
      <c r="J251" s="12" t="s">
        <v>495</v>
      </c>
      <c r="K251" s="77">
        <v>45408</v>
      </c>
      <c r="L251" s="10" t="s">
        <v>496</v>
      </c>
      <c r="M251" s="427">
        <v>250</v>
      </c>
      <c r="N251" s="13" t="str">
        <f t="shared" ca="1" si="7"/>
        <v>CLOSED</v>
      </c>
    </row>
    <row r="252" spans="1:14" s="4" customFormat="1" ht="43.2" x14ac:dyDescent="0.3">
      <c r="A252" s="9" t="s">
        <v>147</v>
      </c>
      <c r="B252" s="13">
        <f>VLOOKUP(Table27[[#This Row],[Location 
(drop-down)]],'List source'!D$2:E$61,2,FALSE)</f>
        <v>185</v>
      </c>
      <c r="C252" s="222" t="s">
        <v>893</v>
      </c>
      <c r="D252" s="30" t="str">
        <f t="shared" si="6"/>
        <v>PTO251-185-24</v>
      </c>
      <c r="E252" s="9" t="s">
        <v>894</v>
      </c>
      <c r="F252" s="10" t="s">
        <v>885</v>
      </c>
      <c r="G2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52" s="39" t="s">
        <v>895</v>
      </c>
      <c r="I252" s="12">
        <v>45408</v>
      </c>
      <c r="J252" s="12" t="s">
        <v>495</v>
      </c>
      <c r="K252" s="77">
        <v>45408</v>
      </c>
      <c r="L252" s="10" t="s">
        <v>496</v>
      </c>
      <c r="M252" s="427">
        <v>251</v>
      </c>
      <c r="N252" s="13" t="str">
        <f t="shared" ca="1" si="7"/>
        <v>CLOSED</v>
      </c>
    </row>
    <row r="253" spans="1:14" s="4" customFormat="1" ht="28.8" x14ac:dyDescent="0.3">
      <c r="A253" s="9" t="s">
        <v>138</v>
      </c>
      <c r="B253" s="13">
        <f>VLOOKUP(Table27[[#This Row],[Location 
(drop-down)]],'List source'!D$2:E$60,2,FALSE)</f>
        <v>110</v>
      </c>
      <c r="C253" s="222" t="s">
        <v>896</v>
      </c>
      <c r="D253" s="30" t="str">
        <f t="shared" si="6"/>
        <v>PTO252-110-24</v>
      </c>
      <c r="E253" s="9" t="s">
        <v>897</v>
      </c>
      <c r="F253" s="10" t="s">
        <v>898</v>
      </c>
      <c r="G2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 - 40% - 95%</v>
      </c>
      <c r="H253" s="10" t="s">
        <v>529</v>
      </c>
      <c r="I253" s="12">
        <v>45411</v>
      </c>
      <c r="J253" s="12" t="s">
        <v>498</v>
      </c>
      <c r="K253" s="77">
        <v>45944</v>
      </c>
      <c r="L253" s="369"/>
      <c r="M253" s="356">
        <v>252</v>
      </c>
      <c r="N253" s="13" t="str">
        <f t="shared" ca="1" si="7"/>
        <v>CLOSED</v>
      </c>
    </row>
    <row r="254" spans="1:14" s="4" customFormat="1" ht="18" x14ac:dyDescent="0.3">
      <c r="A254" s="9" t="s">
        <v>138</v>
      </c>
      <c r="B254" s="13">
        <f>VLOOKUP(Table27[[#This Row],[Location 
(drop-down)]],'List source'!D$2:E$60,2,FALSE)</f>
        <v>110</v>
      </c>
      <c r="C254" s="222" t="s">
        <v>899</v>
      </c>
      <c r="D254" s="30" t="str">
        <f t="shared" si="6"/>
        <v>PTO253-110-24</v>
      </c>
      <c r="E254" s="91" t="s">
        <v>900</v>
      </c>
      <c r="F254" s="151" t="s">
        <v>898</v>
      </c>
      <c r="G254" s="9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Olefins</v>
      </c>
      <c r="H254" s="151">
        <v>2.0099999999999998</v>
      </c>
      <c r="I254" s="12">
        <v>45411</v>
      </c>
      <c r="J254" s="12" t="s">
        <v>498</v>
      </c>
      <c r="K254" s="77">
        <v>45944</v>
      </c>
      <c r="L254" s="10"/>
      <c r="M254" s="427">
        <v>253</v>
      </c>
      <c r="N254" s="13" t="str">
        <f t="shared" ca="1" si="7"/>
        <v>CLOSED</v>
      </c>
    </row>
    <row r="255" spans="1:14" s="4" customFormat="1" ht="43.2" x14ac:dyDescent="0.3">
      <c r="A255" s="9" t="s">
        <v>29</v>
      </c>
      <c r="B255" s="13">
        <f>VLOOKUP(Table27[[#This Row],[Location 
(drop-down)]],'List source'!D$2:E$60,2,FALSE)</f>
        <v>141</v>
      </c>
      <c r="C255" s="222" t="s">
        <v>901</v>
      </c>
      <c r="D255" s="30" t="str">
        <f t="shared" si="6"/>
        <v>PTO254-141-24</v>
      </c>
      <c r="E255" s="91" t="s">
        <v>902</v>
      </c>
      <c r="F255" s="151" t="s">
        <v>898</v>
      </c>
      <c r="G255" s="105" t="s">
        <v>903</v>
      </c>
      <c r="H255" s="163" t="s">
        <v>904</v>
      </c>
      <c r="I255" s="12">
        <v>45411</v>
      </c>
      <c r="J255" s="12" t="s">
        <v>495</v>
      </c>
      <c r="K255" s="77">
        <v>45411</v>
      </c>
      <c r="L255" s="10" t="s">
        <v>496</v>
      </c>
      <c r="M255" s="427">
        <v>254</v>
      </c>
      <c r="N255" s="13" t="str">
        <f t="shared" ca="1" si="7"/>
        <v>CLOSED</v>
      </c>
    </row>
    <row r="256" spans="1:14" s="4" customFormat="1" ht="18" x14ac:dyDescent="0.3">
      <c r="A256" s="9" t="s">
        <v>57</v>
      </c>
      <c r="B256" s="13">
        <f>VLOOKUP(Table27[[#This Row],[Location 
(drop-down)]],'List source'!D$2:E$60,2,FALSE)</f>
        <v>170</v>
      </c>
      <c r="C256" s="222" t="s">
        <v>905</v>
      </c>
      <c r="D256" s="30" t="str">
        <f t="shared" si="6"/>
        <v>PTO255-170-24</v>
      </c>
      <c r="E256" s="105" t="s">
        <v>906</v>
      </c>
      <c r="F256" s="208" t="s">
        <v>898</v>
      </c>
      <c r="G256" s="10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56" s="163" t="s">
        <v>907</v>
      </c>
      <c r="I256" s="12">
        <v>45411</v>
      </c>
      <c r="J256" s="12" t="s">
        <v>60</v>
      </c>
      <c r="K256" s="77">
        <v>45496</v>
      </c>
      <c r="L256" s="10"/>
      <c r="M256" s="427">
        <v>255</v>
      </c>
      <c r="N256" s="13" t="str">
        <f t="shared" ca="1" si="7"/>
        <v>CLOSED</v>
      </c>
    </row>
    <row r="257" spans="1:14" s="4" customFormat="1" ht="18" x14ac:dyDescent="0.3">
      <c r="A257" s="9" t="s">
        <v>57</v>
      </c>
      <c r="B257" s="13">
        <f>VLOOKUP(Table27[[#This Row],[Location 
(drop-down)]],'List source'!D$2:E$60,2,FALSE)</f>
        <v>170</v>
      </c>
      <c r="C257" s="222" t="s">
        <v>908</v>
      </c>
      <c r="D257" s="30" t="str">
        <f t="shared" si="6"/>
        <v>PTO256-170-24</v>
      </c>
      <c r="E257" s="9" t="s">
        <v>909</v>
      </c>
      <c r="F257" s="10" t="s">
        <v>898</v>
      </c>
      <c r="G2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257" s="39" t="s">
        <v>910</v>
      </c>
      <c r="I257" s="12">
        <v>45411</v>
      </c>
      <c r="J257" s="12" t="s">
        <v>495</v>
      </c>
      <c r="K257" s="77">
        <v>45421</v>
      </c>
      <c r="L257" s="10" t="s">
        <v>510</v>
      </c>
      <c r="M257" s="427">
        <v>256</v>
      </c>
      <c r="N257" s="13" t="str">
        <f t="shared" ca="1" si="7"/>
        <v>CLOSED</v>
      </c>
    </row>
    <row r="258" spans="1:14" s="4" customFormat="1" ht="18" x14ac:dyDescent="0.3">
      <c r="A258" s="9" t="s">
        <v>57</v>
      </c>
      <c r="B258" s="13">
        <f>VLOOKUP(Table27[[#This Row],[Location 
(drop-down)]],'List source'!D$2:E$60,2,FALSE)</f>
        <v>170</v>
      </c>
      <c r="C258" s="222" t="s">
        <v>911</v>
      </c>
      <c r="D258" s="30" t="str">
        <f t="shared" ref="D258:D321" si="8">"PTO" &amp; C258 &amp; "-" &amp; B258 &amp; "-" &amp; "24"</f>
        <v>PTO257-170-24</v>
      </c>
      <c r="E258" s="9" t="s">
        <v>912</v>
      </c>
      <c r="F258" s="10" t="s">
        <v>898</v>
      </c>
      <c r="G2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Total Aromatics</v>
      </c>
      <c r="H258" s="10">
        <v>2.04</v>
      </c>
      <c r="I258" s="12">
        <v>45411</v>
      </c>
      <c r="J258" s="12" t="s">
        <v>501</v>
      </c>
      <c r="K258" s="77">
        <v>45450</v>
      </c>
      <c r="L258" s="10"/>
      <c r="M258" s="427">
        <v>257</v>
      </c>
      <c r="N258" s="13" t="str">
        <f t="shared" ref="N258:N321" ca="1" si="9">IF(ISBLANK(K258), TODAY()-(I258), "CLOSED")</f>
        <v>CLOSED</v>
      </c>
    </row>
    <row r="259" spans="1:14" s="4" customFormat="1" ht="28.8" x14ac:dyDescent="0.3">
      <c r="A259" s="9" t="s">
        <v>388</v>
      </c>
      <c r="B259" s="13">
        <f>VLOOKUP(Table27[[#This Row],[Location 
(drop-down)]],'List source'!D$2:E$60,2,FALSE)</f>
        <v>191</v>
      </c>
      <c r="C259" s="222" t="s">
        <v>913</v>
      </c>
      <c r="D259" s="30" t="str">
        <f t="shared" si="8"/>
        <v>PTO258-191-24</v>
      </c>
      <c r="E259" s="364" t="s">
        <v>914</v>
      </c>
      <c r="F259" s="380" t="s">
        <v>898</v>
      </c>
      <c r="G2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 - 5% - 95%</v>
      </c>
      <c r="H259" s="380" t="s">
        <v>529</v>
      </c>
      <c r="I259" s="110">
        <v>45411</v>
      </c>
      <c r="J259" s="12" t="s">
        <v>495</v>
      </c>
      <c r="K259" s="77">
        <v>45411</v>
      </c>
      <c r="L259" s="369" t="s">
        <v>915</v>
      </c>
      <c r="M259" s="356">
        <v>258</v>
      </c>
      <c r="N259" s="13" t="str">
        <f t="shared" ca="1" si="9"/>
        <v>CLOSED</v>
      </c>
    </row>
    <row r="260" spans="1:14" s="4" customFormat="1" ht="18.600000000000001" customHeight="1" x14ac:dyDescent="0.3">
      <c r="A260" s="9" t="s">
        <v>153</v>
      </c>
      <c r="B260" s="13">
        <f>VLOOKUP(Table27[[#This Row],[Location 
(drop-down)]],'List source'!D$2:E$60,2,FALSE)</f>
        <v>126</v>
      </c>
      <c r="C260" s="222" t="s">
        <v>916</v>
      </c>
      <c r="D260" s="30" t="str">
        <f t="shared" si="8"/>
        <v>PTO259-126-24</v>
      </c>
      <c r="E260" s="9" t="s">
        <v>917</v>
      </c>
      <c r="F260" s="10" t="s">
        <v>918</v>
      </c>
      <c r="G2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v>
      </c>
      <c r="H260" s="10">
        <v>11.8</v>
      </c>
      <c r="I260" s="12">
        <v>45411</v>
      </c>
      <c r="J260" s="12" t="s">
        <v>498</v>
      </c>
      <c r="K260" s="77">
        <v>45628</v>
      </c>
      <c r="L260" s="10"/>
      <c r="M260" s="427">
        <v>259</v>
      </c>
      <c r="N260" s="13" t="str">
        <f t="shared" ca="1" si="9"/>
        <v>CLOSED</v>
      </c>
    </row>
    <row r="261" spans="1:14" s="4" customFormat="1" ht="43.2" x14ac:dyDescent="0.3">
      <c r="A261" s="9" t="s">
        <v>157</v>
      </c>
      <c r="B261" s="13">
        <f>VLOOKUP(Table27[[#This Row],[Location 
(drop-down)]],'List source'!D$2:E$60,2,FALSE)</f>
        <v>136</v>
      </c>
      <c r="C261" s="222" t="s">
        <v>919</v>
      </c>
      <c r="D261" s="30" t="str">
        <f t="shared" si="8"/>
        <v>PTO260-136-24</v>
      </c>
      <c r="E261" s="210" t="s">
        <v>920</v>
      </c>
      <c r="F261" s="212" t="s">
        <v>898</v>
      </c>
      <c r="G261" s="386" t="s">
        <v>903</v>
      </c>
      <c r="H261" s="399">
        <v>2.33</v>
      </c>
      <c r="I261" s="12">
        <v>45411</v>
      </c>
      <c r="J261" s="12" t="s">
        <v>495</v>
      </c>
      <c r="K261" s="77">
        <v>45411</v>
      </c>
      <c r="L261" s="10" t="s">
        <v>496</v>
      </c>
      <c r="M261" s="427">
        <v>260</v>
      </c>
      <c r="N261" s="13" t="str">
        <f t="shared" ca="1" si="9"/>
        <v>CLOSED</v>
      </c>
    </row>
    <row r="262" spans="1:14" s="4" customFormat="1" ht="28.8" x14ac:dyDescent="0.3">
      <c r="A262" s="9" t="s">
        <v>57</v>
      </c>
      <c r="B262" s="13">
        <f>VLOOKUP(Table27[[#This Row],[Location 
(drop-down)]],'List source'!D$2:E$60,2,FALSE)</f>
        <v>170</v>
      </c>
      <c r="C262" s="222" t="s">
        <v>921</v>
      </c>
      <c r="D262" s="30" t="str">
        <f t="shared" si="8"/>
        <v>PTO261-170-24</v>
      </c>
      <c r="E262" s="102" t="s">
        <v>922</v>
      </c>
      <c r="F262" s="107" t="s">
        <v>898</v>
      </c>
      <c r="G262"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 &amp; R-M Sensitivity</v>
      </c>
      <c r="H262" s="107" t="s">
        <v>923</v>
      </c>
      <c r="I262" s="12">
        <v>45411</v>
      </c>
      <c r="J262" s="12" t="s">
        <v>501</v>
      </c>
      <c r="K262" s="77">
        <v>45468</v>
      </c>
      <c r="L262" s="10"/>
      <c r="M262" s="427">
        <v>261</v>
      </c>
      <c r="N262" s="13" t="str">
        <f t="shared" ca="1" si="9"/>
        <v>CLOSED</v>
      </c>
    </row>
    <row r="263" spans="1:14" s="4" customFormat="1" ht="43.2" x14ac:dyDescent="0.3">
      <c r="A263" s="9" t="s">
        <v>57</v>
      </c>
      <c r="B263" s="13">
        <f>VLOOKUP(Table27[[#This Row],[Location 
(drop-down)]],'List source'!D$2:E$60,2,FALSE)</f>
        <v>170</v>
      </c>
      <c r="C263" s="222" t="s">
        <v>924</v>
      </c>
      <c r="D263" s="30" t="str">
        <f t="shared" si="8"/>
        <v>PTO262-170-24</v>
      </c>
      <c r="E263" s="102" t="s">
        <v>925</v>
      </c>
      <c r="F263" s="107" t="s">
        <v>898</v>
      </c>
      <c r="G263" s="102" t="s">
        <v>903</v>
      </c>
      <c r="H263" s="182" t="s">
        <v>926</v>
      </c>
      <c r="I263" s="12">
        <v>45411</v>
      </c>
      <c r="J263" s="12" t="s">
        <v>495</v>
      </c>
      <c r="K263" s="77">
        <v>45411</v>
      </c>
      <c r="L263" s="10" t="s">
        <v>496</v>
      </c>
      <c r="M263" s="427">
        <v>262</v>
      </c>
      <c r="N263" s="13" t="str">
        <f t="shared" ca="1" si="9"/>
        <v>CLOSED</v>
      </c>
    </row>
    <row r="264" spans="1:14" s="4" customFormat="1" ht="18" x14ac:dyDescent="0.3">
      <c r="A264" s="9" t="s">
        <v>57</v>
      </c>
      <c r="B264" s="13">
        <f>VLOOKUP(Table27[[#This Row],[Location 
(drop-down)]],'List source'!D$2:E$60,2,FALSE)</f>
        <v>170</v>
      </c>
      <c r="C264" s="222" t="s">
        <v>927</v>
      </c>
      <c r="D264" s="30" t="str">
        <f t="shared" si="8"/>
        <v>PTO263-170-24</v>
      </c>
      <c r="E264" s="102" t="s">
        <v>928</v>
      </c>
      <c r="F264" s="107" t="s">
        <v>898</v>
      </c>
      <c r="G264"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264" s="107">
        <v>2.46</v>
      </c>
      <c r="I264" s="12">
        <v>45411</v>
      </c>
      <c r="J264" s="12" t="s">
        <v>501</v>
      </c>
      <c r="K264" s="77">
        <v>45450</v>
      </c>
      <c r="L264" s="10"/>
      <c r="M264" s="427">
        <v>263</v>
      </c>
      <c r="N264" s="13" t="str">
        <f t="shared" ca="1" si="9"/>
        <v>CLOSED</v>
      </c>
    </row>
    <row r="265" spans="1:14" s="4" customFormat="1" ht="18" x14ac:dyDescent="0.3">
      <c r="A265" s="9" t="s">
        <v>57</v>
      </c>
      <c r="B265" s="13">
        <f>VLOOKUP(Table27[[#This Row],[Location 
(drop-down)]],'List source'!D$2:E$60,2,FALSE)</f>
        <v>170</v>
      </c>
      <c r="C265" s="222" t="s">
        <v>929</v>
      </c>
      <c r="D265" s="30" t="str">
        <f t="shared" si="8"/>
        <v>PTO264-170-24</v>
      </c>
      <c r="E265" s="102" t="s">
        <v>930</v>
      </c>
      <c r="F265" s="107" t="s">
        <v>898</v>
      </c>
      <c r="G265"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265" s="107">
        <v>5.0599999999999996</v>
      </c>
      <c r="I265" s="12">
        <v>45411</v>
      </c>
      <c r="J265" s="12" t="s">
        <v>495</v>
      </c>
      <c r="K265" s="77">
        <v>45412</v>
      </c>
      <c r="L265" s="10" t="s">
        <v>510</v>
      </c>
      <c r="M265" s="427">
        <v>264</v>
      </c>
      <c r="N265" s="13" t="str">
        <f t="shared" ca="1" si="9"/>
        <v>CLOSED</v>
      </c>
    </row>
    <row r="266" spans="1:14" s="4" customFormat="1" ht="43.2" x14ac:dyDescent="0.3">
      <c r="A266" s="9" t="s">
        <v>57</v>
      </c>
      <c r="B266" s="13">
        <f>VLOOKUP(Table27[[#This Row],[Location 
(drop-down)]],'List source'!D$2:E$60,2,FALSE)</f>
        <v>170</v>
      </c>
      <c r="C266" s="222" t="s">
        <v>931</v>
      </c>
      <c r="D266" s="30" t="str">
        <f t="shared" si="8"/>
        <v>PTO265-170-24</v>
      </c>
      <c r="E266" s="102" t="s">
        <v>932</v>
      </c>
      <c r="F266" s="107" t="s">
        <v>898</v>
      </c>
      <c r="G266"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HC Type</v>
      </c>
      <c r="H266" s="182" t="s">
        <v>705</v>
      </c>
      <c r="I266" s="12">
        <v>45411</v>
      </c>
      <c r="J266" s="12" t="s">
        <v>495</v>
      </c>
      <c r="K266" s="77">
        <v>45411</v>
      </c>
      <c r="L266" s="10" t="s">
        <v>496</v>
      </c>
      <c r="M266" s="427">
        <v>265</v>
      </c>
      <c r="N266" s="13" t="str">
        <f t="shared" ca="1" si="9"/>
        <v>CLOSED</v>
      </c>
    </row>
    <row r="267" spans="1:14" s="4" customFormat="1" ht="18" x14ac:dyDescent="0.3">
      <c r="A267" s="9" t="s">
        <v>388</v>
      </c>
      <c r="B267" s="13">
        <f>VLOOKUP(Table27[[#This Row],[Location 
(drop-down)]],'List source'!D$2:E$60,2,FALSE)</f>
        <v>191</v>
      </c>
      <c r="C267" s="222" t="s">
        <v>933</v>
      </c>
      <c r="D267" s="30" t="str">
        <f t="shared" si="8"/>
        <v>PTO266-191-24</v>
      </c>
      <c r="E267" s="102" t="s">
        <v>934</v>
      </c>
      <c r="F267" s="107" t="s">
        <v>898</v>
      </c>
      <c r="G267"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Temp</v>
      </c>
      <c r="H267" s="107">
        <v>-2.06</v>
      </c>
      <c r="I267" s="12">
        <v>45411</v>
      </c>
      <c r="J267" s="12" t="s">
        <v>60</v>
      </c>
      <c r="K267" s="77">
        <v>45610</v>
      </c>
      <c r="L267" s="369"/>
      <c r="M267" s="356">
        <v>266</v>
      </c>
      <c r="N267" s="13" t="str">
        <f t="shared" ca="1" si="9"/>
        <v>CLOSED</v>
      </c>
    </row>
    <row r="268" spans="1:14" s="4" customFormat="1" ht="43.2" x14ac:dyDescent="0.3">
      <c r="A268" s="9" t="s">
        <v>70</v>
      </c>
      <c r="B268" s="13">
        <f>VLOOKUP(Table27[[#This Row],[Location 
(drop-down)]],'List source'!D$2:E$60,2,FALSE)</f>
        <v>146</v>
      </c>
      <c r="C268" s="222" t="s">
        <v>935</v>
      </c>
      <c r="D268" s="30" t="str">
        <f t="shared" si="8"/>
        <v>PTO267-146-24</v>
      </c>
      <c r="E268" s="102" t="s">
        <v>920</v>
      </c>
      <c r="F268" s="107" t="s">
        <v>898</v>
      </c>
      <c r="G268" s="365" t="s">
        <v>903</v>
      </c>
      <c r="H268" s="182" t="s">
        <v>936</v>
      </c>
      <c r="I268" s="12">
        <v>45411</v>
      </c>
      <c r="J268" s="12" t="s">
        <v>495</v>
      </c>
      <c r="K268" s="77">
        <v>45411</v>
      </c>
      <c r="L268" s="10" t="s">
        <v>496</v>
      </c>
      <c r="M268" s="427">
        <v>267</v>
      </c>
      <c r="N268" s="13" t="str">
        <f t="shared" ca="1" si="9"/>
        <v>CLOSED</v>
      </c>
    </row>
    <row r="269" spans="1:14" s="4" customFormat="1" ht="28.8" x14ac:dyDescent="0.3">
      <c r="A269" s="9" t="s">
        <v>107</v>
      </c>
      <c r="B269" s="13">
        <f>VLOOKUP(Table27[[#This Row],[Location 
(drop-down)]],'List source'!D$2:E$60,2,FALSE)</f>
        <v>120</v>
      </c>
      <c r="C269" s="222" t="s">
        <v>937</v>
      </c>
      <c r="D269" s="30" t="str">
        <f t="shared" si="8"/>
        <v>PTO268-120-24</v>
      </c>
      <c r="E269" s="102" t="s">
        <v>938</v>
      </c>
      <c r="F269" s="107" t="str" cm="1">
        <f t="array" aca="1" ref="F2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69"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269" s="182" t="s">
        <v>690</v>
      </c>
      <c r="I269" s="12">
        <v>45412</v>
      </c>
      <c r="J269" s="12" t="s">
        <v>182</v>
      </c>
      <c r="K269" s="77">
        <v>45553</v>
      </c>
      <c r="L269" s="10"/>
      <c r="M269" s="427">
        <v>268</v>
      </c>
      <c r="N269" s="13" t="str">
        <f t="shared" ca="1" si="9"/>
        <v>CLOSED</v>
      </c>
    </row>
    <row r="270" spans="1:14" s="4" customFormat="1" ht="43.2" x14ac:dyDescent="0.3">
      <c r="A270" s="9" t="s">
        <v>126</v>
      </c>
      <c r="B270" s="13">
        <f>VLOOKUP(Table27[[#This Row],[Location 
(drop-down)]],'List source'!D$2:E$60,2,FALSE)</f>
        <v>125</v>
      </c>
      <c r="C270" s="222" t="s">
        <v>939</v>
      </c>
      <c r="D270" s="30" t="str">
        <f t="shared" si="8"/>
        <v>PTO269-125-24</v>
      </c>
      <c r="E270" s="102" t="s">
        <v>940</v>
      </c>
      <c r="F270" s="107" t="str" cm="1">
        <f t="array" aca="1" ref="F2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0"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0" s="107" t="s">
        <v>941</v>
      </c>
      <c r="I270" s="12">
        <v>45412</v>
      </c>
      <c r="J270" s="12" t="s">
        <v>495</v>
      </c>
      <c r="K270" s="77">
        <v>45412</v>
      </c>
      <c r="L270" s="10" t="s">
        <v>496</v>
      </c>
      <c r="M270" s="427">
        <v>269</v>
      </c>
      <c r="N270" s="13" t="str">
        <f t="shared" ca="1" si="9"/>
        <v>CLOSED</v>
      </c>
    </row>
    <row r="271" spans="1:14" s="4" customFormat="1" ht="28.8" x14ac:dyDescent="0.3">
      <c r="A271" s="9" t="s">
        <v>126</v>
      </c>
      <c r="B271" s="13">
        <f>VLOOKUP(Table27[[#This Row],[Location 
(drop-down)]],'List source'!D$2:E$60,2,FALSE)</f>
        <v>125</v>
      </c>
      <c r="C271" s="222" t="s">
        <v>942</v>
      </c>
      <c r="D271" s="30" t="str">
        <f t="shared" si="8"/>
        <v>PTO270-125-24</v>
      </c>
      <c r="E271" s="102" t="s">
        <v>943</v>
      </c>
      <c r="F271" s="107" t="str" cm="1">
        <f t="array" aca="1" ref="F2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1"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71" s="182" t="s">
        <v>944</v>
      </c>
      <c r="I271" s="12">
        <v>45412</v>
      </c>
      <c r="J271" s="12" t="s">
        <v>195</v>
      </c>
      <c r="K271" s="77">
        <v>45576</v>
      </c>
      <c r="L271" s="369"/>
      <c r="M271" s="356">
        <v>270</v>
      </c>
      <c r="N271" s="13" t="str">
        <f t="shared" ca="1" si="9"/>
        <v>CLOSED</v>
      </c>
    </row>
    <row r="272" spans="1:14" s="4" customFormat="1" ht="43.2" x14ac:dyDescent="0.3">
      <c r="A272" s="9" t="s">
        <v>153</v>
      </c>
      <c r="B272" s="13">
        <f>VLOOKUP(Table27[[#This Row],[Location 
(drop-down)]],'List source'!D$2:E$60,2,FALSE)</f>
        <v>126</v>
      </c>
      <c r="C272" s="222" t="s">
        <v>945</v>
      </c>
      <c r="D272" s="30" t="str">
        <f t="shared" si="8"/>
        <v>PTO271-126-24</v>
      </c>
      <c r="E272" s="102" t="s">
        <v>946</v>
      </c>
      <c r="F272" s="107" t="str" cm="1">
        <f t="array" aca="1" ref="F2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2"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2" s="182" t="s">
        <v>806</v>
      </c>
      <c r="I272" s="12">
        <v>45412</v>
      </c>
      <c r="J272" s="12" t="s">
        <v>495</v>
      </c>
      <c r="K272" s="77">
        <v>45412</v>
      </c>
      <c r="L272" s="10" t="s">
        <v>496</v>
      </c>
      <c r="M272" s="427">
        <v>271</v>
      </c>
      <c r="N272" s="13" t="str">
        <f t="shared" ca="1" si="9"/>
        <v>CLOSED</v>
      </c>
    </row>
    <row r="273" spans="1:14" s="4" customFormat="1" ht="18" x14ac:dyDescent="0.3">
      <c r="A273" s="9" t="s">
        <v>39</v>
      </c>
      <c r="B273" s="13">
        <f>VLOOKUP(Table27[[#This Row],[Location 
(drop-down)]],'List source'!D$2:E$60,2,FALSE)</f>
        <v>127</v>
      </c>
      <c r="C273" s="222" t="s">
        <v>947</v>
      </c>
      <c r="D273" s="30" t="str">
        <f t="shared" si="8"/>
        <v>PTO272-127-24</v>
      </c>
      <c r="E273" s="102" t="s">
        <v>948</v>
      </c>
      <c r="F273" s="107" t="str" cm="1">
        <f t="array" aca="1" ref="F2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3"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3" s="107">
        <v>8.2799999999999994</v>
      </c>
      <c r="I273" s="12">
        <v>45412</v>
      </c>
      <c r="J273" s="12" t="s">
        <v>495</v>
      </c>
      <c r="K273" s="77">
        <v>45412</v>
      </c>
      <c r="L273" s="10" t="s">
        <v>510</v>
      </c>
      <c r="M273" s="427">
        <v>272</v>
      </c>
      <c r="N273" s="13" t="str">
        <f t="shared" ca="1" si="9"/>
        <v>CLOSED</v>
      </c>
    </row>
    <row r="274" spans="1:14" s="4" customFormat="1" ht="43.2" x14ac:dyDescent="0.3">
      <c r="A274" s="9" t="s">
        <v>186</v>
      </c>
      <c r="B274" s="13">
        <f>VLOOKUP(Table27[[#This Row],[Location 
(drop-down)]],'List source'!D$2:E$60,2,FALSE)</f>
        <v>130</v>
      </c>
      <c r="C274" s="222" t="s">
        <v>949</v>
      </c>
      <c r="D274" s="30" t="str">
        <f t="shared" si="8"/>
        <v>PTO273-130-24</v>
      </c>
      <c r="E274" s="90" t="s">
        <v>950</v>
      </c>
      <c r="F274" s="38" t="str" cm="1">
        <f t="array" aca="1" ref="F2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4"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274" s="107">
        <v>2.06</v>
      </c>
      <c r="I274" s="12">
        <v>45412</v>
      </c>
      <c r="J274" s="12" t="s">
        <v>495</v>
      </c>
      <c r="K274" s="77">
        <v>45412</v>
      </c>
      <c r="L274" s="10" t="s">
        <v>496</v>
      </c>
      <c r="M274" s="427">
        <v>273</v>
      </c>
      <c r="N274" s="13" t="str">
        <f t="shared" ca="1" si="9"/>
        <v>CLOSED</v>
      </c>
    </row>
    <row r="275" spans="1:14" s="4" customFormat="1" ht="18" x14ac:dyDescent="0.3">
      <c r="A275" s="9" t="s">
        <v>264</v>
      </c>
      <c r="B275" s="13">
        <f>VLOOKUP(Table27[[#This Row],[Location 
(drop-down)]],'List source'!D$2:E$60,2,FALSE)</f>
        <v>132</v>
      </c>
      <c r="C275" s="222" t="s">
        <v>951</v>
      </c>
      <c r="D275" s="30" t="str">
        <f t="shared" si="8"/>
        <v>PTO274-132-24</v>
      </c>
      <c r="E275" s="90" t="s">
        <v>952</v>
      </c>
      <c r="F275" s="38" t="str" cm="1">
        <f t="array" aca="1" ref="F2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5"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75" s="107">
        <v>3.67</v>
      </c>
      <c r="I275" s="12">
        <v>45412</v>
      </c>
      <c r="J275" s="12" t="s">
        <v>54</v>
      </c>
      <c r="K275" s="77">
        <v>45824</v>
      </c>
      <c r="L275" s="10"/>
      <c r="M275" s="427">
        <v>274</v>
      </c>
      <c r="N275" s="13" t="str">
        <f t="shared" ca="1" si="9"/>
        <v>CLOSED</v>
      </c>
    </row>
    <row r="276" spans="1:14" s="4" customFormat="1" ht="28.8" x14ac:dyDescent="0.3">
      <c r="A276" s="9" t="s">
        <v>264</v>
      </c>
      <c r="B276" s="13">
        <f>VLOOKUP(Table27[[#This Row],[Location 
(drop-down)]],'List source'!D$2:E$60,2,FALSE)</f>
        <v>132</v>
      </c>
      <c r="C276" s="222" t="s">
        <v>953</v>
      </c>
      <c r="D276" s="30" t="str">
        <f t="shared" si="8"/>
        <v>PTO275-132-24</v>
      </c>
      <c r="E276" s="9" t="s">
        <v>954</v>
      </c>
      <c r="F276" s="10" t="str" cm="1">
        <f t="array" aca="1" ref="F2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76" s="10" t="s">
        <v>529</v>
      </c>
      <c r="I276" s="12">
        <v>45412</v>
      </c>
      <c r="J276" s="12" t="s">
        <v>495</v>
      </c>
      <c r="K276" s="77">
        <v>45503</v>
      </c>
      <c r="L276" s="10" t="s">
        <v>510</v>
      </c>
      <c r="M276" s="427">
        <v>275</v>
      </c>
      <c r="N276" s="13" t="str">
        <f t="shared" ca="1" si="9"/>
        <v>CLOSED</v>
      </c>
    </row>
    <row r="277" spans="1:14" s="4" customFormat="1" ht="18" x14ac:dyDescent="0.3">
      <c r="A277" s="9" t="s">
        <v>264</v>
      </c>
      <c r="B277" s="13">
        <f>VLOOKUP(Table27[[#This Row],[Location 
(drop-down)]],'List source'!D$2:E$60,2,FALSE)</f>
        <v>132</v>
      </c>
      <c r="C277" s="222" t="s">
        <v>955</v>
      </c>
      <c r="D277" s="30" t="str">
        <f t="shared" si="8"/>
        <v>PTO276-132-24</v>
      </c>
      <c r="E277" s="370" t="s">
        <v>956</v>
      </c>
      <c r="F277" s="10" t="str" cm="1">
        <f t="array" aca="1" ref="F2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7" s="10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77" s="39" t="s">
        <v>957</v>
      </c>
      <c r="I277" s="12">
        <v>45412</v>
      </c>
      <c r="J277" s="12" t="s">
        <v>49</v>
      </c>
      <c r="K277" s="77">
        <v>45546</v>
      </c>
      <c r="L277" s="10"/>
      <c r="M277" s="427">
        <v>276</v>
      </c>
      <c r="N277" s="13" t="str">
        <f t="shared" ca="1" si="9"/>
        <v>CLOSED</v>
      </c>
    </row>
    <row r="278" spans="1:14" s="4" customFormat="1" ht="28.8" x14ac:dyDescent="0.3">
      <c r="A278" s="9" t="s">
        <v>264</v>
      </c>
      <c r="B278" s="13">
        <f>VLOOKUP(Table27[[#This Row],[Location 
(drop-down)]],'List source'!D$2:E$60,2,FALSE)</f>
        <v>132</v>
      </c>
      <c r="C278" s="222" t="s">
        <v>958</v>
      </c>
      <c r="D278" s="30" t="str">
        <f t="shared" si="8"/>
        <v>PTO277-132-24</v>
      </c>
      <c r="E278" s="9" t="s">
        <v>959</v>
      </c>
      <c r="F278" s="10" t="str" cm="1">
        <f t="array" aca="1" ref="F2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78" s="10">
        <v>71.349999999999994</v>
      </c>
      <c r="I278" s="12">
        <v>45412</v>
      </c>
      <c r="J278" s="12" t="s">
        <v>495</v>
      </c>
      <c r="K278" s="77">
        <v>45503</v>
      </c>
      <c r="L278" s="369" t="s">
        <v>510</v>
      </c>
      <c r="M278" s="356">
        <v>277</v>
      </c>
      <c r="N278" s="13" t="str">
        <f t="shared" ca="1" si="9"/>
        <v>CLOSED</v>
      </c>
    </row>
    <row r="279" spans="1:14" s="4" customFormat="1" ht="28.8" x14ac:dyDescent="0.3">
      <c r="A279" s="9" t="s">
        <v>264</v>
      </c>
      <c r="B279" s="13">
        <f>VLOOKUP(Table27[[#This Row],[Location 
(drop-down)]],'List source'!D$2:E$60,2,FALSE)</f>
        <v>132</v>
      </c>
      <c r="C279" s="222" t="s">
        <v>960</v>
      </c>
      <c r="D279" s="30" t="str">
        <f t="shared" si="8"/>
        <v>PTO278-132-24</v>
      </c>
      <c r="E279" s="9" t="s">
        <v>961</v>
      </c>
      <c r="F279" s="10" t="str" cm="1">
        <f t="array" aca="1" ref="F2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279" s="10">
        <v>112.34</v>
      </c>
      <c r="I279" s="12">
        <v>45412</v>
      </c>
      <c r="J279" s="12" t="s">
        <v>495</v>
      </c>
      <c r="K279" s="77">
        <v>45503</v>
      </c>
      <c r="L279" s="369" t="s">
        <v>510</v>
      </c>
      <c r="M279" s="356">
        <v>278</v>
      </c>
      <c r="N279" s="13" t="str">
        <f t="shared" ca="1" si="9"/>
        <v>CLOSED</v>
      </c>
    </row>
    <row r="280" spans="1:14" s="4" customFormat="1" ht="43.2" x14ac:dyDescent="0.3">
      <c r="A280" s="9" t="s">
        <v>597</v>
      </c>
      <c r="B280" s="13">
        <f>VLOOKUP(Table27[[#This Row],[Location 
(drop-down)]],'List source'!D$2:E$60,2,FALSE)</f>
        <v>139</v>
      </c>
      <c r="C280" s="222" t="s">
        <v>962</v>
      </c>
      <c r="D280" s="30" t="str">
        <f t="shared" si="8"/>
        <v>PTO279-139-24</v>
      </c>
      <c r="E280" s="9" t="s">
        <v>963</v>
      </c>
      <c r="F280" s="10" t="str" cm="1">
        <f t="array" aca="1" ref="F2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0" s="10">
        <v>2.2400000000000002</v>
      </c>
      <c r="I280" s="12">
        <v>45412</v>
      </c>
      <c r="J280" s="12" t="s">
        <v>495</v>
      </c>
      <c r="K280" s="77">
        <v>45412</v>
      </c>
      <c r="L280" s="10" t="s">
        <v>496</v>
      </c>
      <c r="M280" s="427">
        <v>279</v>
      </c>
      <c r="N280" s="13" t="str">
        <f t="shared" ca="1" si="9"/>
        <v>CLOSED</v>
      </c>
    </row>
    <row r="281" spans="1:14" s="4" customFormat="1" ht="18" x14ac:dyDescent="0.3">
      <c r="A281" s="9" t="s">
        <v>597</v>
      </c>
      <c r="B281" s="13">
        <f>VLOOKUP(Table27[[#This Row],[Location 
(drop-down)]],'List source'!D$2:E$60,2,FALSE)</f>
        <v>139</v>
      </c>
      <c r="C281" s="222" t="s">
        <v>964</v>
      </c>
      <c r="D281" s="30" t="str">
        <f t="shared" si="8"/>
        <v>PTO280-139-24</v>
      </c>
      <c r="E281" s="9" t="s">
        <v>965</v>
      </c>
      <c r="F281" s="10" t="str" cm="1">
        <f t="array" aca="1" ref="F2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281" s="39" t="s">
        <v>966</v>
      </c>
      <c r="I281" s="12">
        <v>45412</v>
      </c>
      <c r="J281" s="12" t="s">
        <v>495</v>
      </c>
      <c r="K281" s="77">
        <v>45419</v>
      </c>
      <c r="L281" s="369" t="s">
        <v>510</v>
      </c>
      <c r="M281" s="356">
        <v>280</v>
      </c>
      <c r="N281" s="13" t="str">
        <f t="shared" ca="1" si="9"/>
        <v>CLOSED</v>
      </c>
    </row>
    <row r="282" spans="1:14" s="4" customFormat="1" ht="28.8" x14ac:dyDescent="0.3">
      <c r="A282" s="9" t="s">
        <v>597</v>
      </c>
      <c r="B282" s="13">
        <f>VLOOKUP(Table27[[#This Row],[Location 
(drop-down)]],'List source'!D$2:E$60,2,FALSE)</f>
        <v>139</v>
      </c>
      <c r="C282" s="222" t="s">
        <v>967</v>
      </c>
      <c r="D282" s="30" t="str">
        <f t="shared" si="8"/>
        <v>PTO281-139-24</v>
      </c>
      <c r="E282" s="9" t="s">
        <v>968</v>
      </c>
      <c r="F282" s="10" t="str" cm="1">
        <f t="array" aca="1" ref="F2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282" s="39">
        <v>89.4</v>
      </c>
      <c r="I282" s="12">
        <v>45412</v>
      </c>
      <c r="J282" s="12" t="s">
        <v>495</v>
      </c>
      <c r="K282" s="77">
        <v>45419</v>
      </c>
      <c r="L282" s="10" t="s">
        <v>510</v>
      </c>
      <c r="M282" s="427">
        <v>281</v>
      </c>
      <c r="N282" s="13" t="str">
        <f t="shared" ca="1" si="9"/>
        <v>CLOSED</v>
      </c>
    </row>
    <row r="283" spans="1:14" s="4" customFormat="1" ht="18" x14ac:dyDescent="0.3">
      <c r="A283" s="9" t="s">
        <v>597</v>
      </c>
      <c r="B283" s="13">
        <f>VLOOKUP(Table27[[#This Row],[Location 
(drop-down)]],'List source'!D$2:E$60,2,FALSE)</f>
        <v>139</v>
      </c>
      <c r="C283" s="222" t="s">
        <v>969</v>
      </c>
      <c r="D283" s="30" t="str">
        <f t="shared" si="8"/>
        <v>PTO282-139-24</v>
      </c>
      <c r="E283" s="9" t="s">
        <v>970</v>
      </c>
      <c r="F283" s="10" t="str" cm="1">
        <f t="array" aca="1" ref="F2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(EPA)</v>
      </c>
      <c r="H283" s="39" t="s">
        <v>971</v>
      </c>
      <c r="I283" s="12">
        <v>45412</v>
      </c>
      <c r="J283" s="12" t="s">
        <v>60</v>
      </c>
      <c r="K283" s="77">
        <v>45532</v>
      </c>
      <c r="L283" s="10"/>
      <c r="M283" s="427">
        <v>282</v>
      </c>
      <c r="N283" s="13" t="str">
        <f t="shared" ca="1" si="9"/>
        <v>CLOSED</v>
      </c>
    </row>
    <row r="284" spans="1:14" s="4" customFormat="1" ht="18" x14ac:dyDescent="0.3">
      <c r="A284" s="9" t="s">
        <v>597</v>
      </c>
      <c r="B284" s="13">
        <f>VLOOKUP(Table27[[#This Row],[Location 
(drop-down)]],'List source'!D$2:E$60,2,FALSE)</f>
        <v>139</v>
      </c>
      <c r="C284" s="222" t="s">
        <v>972</v>
      </c>
      <c r="D284" s="30" t="str">
        <f t="shared" si="8"/>
        <v>PTO283-139-24</v>
      </c>
      <c r="E284" s="9" t="s">
        <v>973</v>
      </c>
      <c r="F284" s="10" t="str" cm="1">
        <f t="array" aca="1" ref="F2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84" s="10">
        <v>13.12</v>
      </c>
      <c r="I284" s="12">
        <v>45412</v>
      </c>
      <c r="J284" s="12" t="s">
        <v>60</v>
      </c>
      <c r="K284" s="77">
        <v>45532</v>
      </c>
      <c r="L284" s="369"/>
      <c r="M284" s="356">
        <v>283</v>
      </c>
      <c r="N284" s="13" t="str">
        <f t="shared" ca="1" si="9"/>
        <v>CLOSED</v>
      </c>
    </row>
    <row r="285" spans="1:14" s="4" customFormat="1" ht="28.8" x14ac:dyDescent="0.3">
      <c r="A285" s="9" t="s">
        <v>597</v>
      </c>
      <c r="B285" s="13">
        <f>VLOOKUP(Table27[[#This Row],[Location 
(drop-down)]],'List source'!D$2:E$60,2,FALSE)</f>
        <v>139</v>
      </c>
      <c r="C285" s="222" t="s">
        <v>974</v>
      </c>
      <c r="D285" s="30" t="str">
        <f t="shared" si="8"/>
        <v>PTO284-139-24</v>
      </c>
      <c r="E285" s="9" t="s">
        <v>975</v>
      </c>
      <c r="F285" s="10" t="str" cm="1">
        <f t="array" aca="1" ref="F2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285" s="39">
        <v>4.82</v>
      </c>
      <c r="I285" s="12">
        <v>45412</v>
      </c>
      <c r="J285" s="12" t="s">
        <v>60</v>
      </c>
      <c r="K285" s="77">
        <v>45532</v>
      </c>
      <c r="L285" s="10"/>
      <c r="M285" s="427">
        <v>284</v>
      </c>
      <c r="N285" s="13" t="str">
        <f t="shared" ca="1" si="9"/>
        <v>CLOSED</v>
      </c>
    </row>
    <row r="286" spans="1:14" s="4" customFormat="1" ht="43.2" x14ac:dyDescent="0.3">
      <c r="A286" s="9" t="s">
        <v>273</v>
      </c>
      <c r="B286" s="13">
        <f>VLOOKUP(Table27[[#This Row],[Location 
(drop-down)]],'List source'!D$2:E$60,2,FALSE)</f>
        <v>140</v>
      </c>
      <c r="C286" s="222" t="s">
        <v>976</v>
      </c>
      <c r="D286" s="30" t="str">
        <f t="shared" si="8"/>
        <v>PTO285-140-24</v>
      </c>
      <c r="E286" s="9" t="s">
        <v>977</v>
      </c>
      <c r="F286" s="10" t="str" cm="1">
        <f t="array" aca="1" ref="F2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286" s="10">
        <v>2.92</v>
      </c>
      <c r="I286" s="12">
        <v>45412</v>
      </c>
      <c r="J286" s="12" t="s">
        <v>495</v>
      </c>
      <c r="K286" s="77">
        <v>45412</v>
      </c>
      <c r="L286" s="10" t="s">
        <v>496</v>
      </c>
      <c r="M286" s="427">
        <v>285</v>
      </c>
      <c r="N286" s="13" t="str">
        <f t="shared" ca="1" si="9"/>
        <v>CLOSED</v>
      </c>
    </row>
    <row r="287" spans="1:14" s="4" customFormat="1" ht="43.2" x14ac:dyDescent="0.3">
      <c r="A287" s="9" t="s">
        <v>161</v>
      </c>
      <c r="B287" s="13">
        <f>VLOOKUP(Table27[[#This Row],[Location 
(drop-down)]],'List source'!D$2:E$60,2,FALSE)</f>
        <v>142</v>
      </c>
      <c r="C287" s="222" t="s">
        <v>978</v>
      </c>
      <c r="D287" s="30" t="str">
        <f t="shared" si="8"/>
        <v>PTO286-142-24</v>
      </c>
      <c r="E287" s="9" t="s">
        <v>979</v>
      </c>
      <c r="F287" s="10" t="str" cm="1">
        <f t="array" aca="1" ref="F2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87" s="10">
        <v>2.68</v>
      </c>
      <c r="I287" s="12">
        <v>45412</v>
      </c>
      <c r="J287" s="12" t="s">
        <v>495</v>
      </c>
      <c r="K287" s="77">
        <v>45412</v>
      </c>
      <c r="L287" s="10" t="s">
        <v>496</v>
      </c>
      <c r="M287" s="427">
        <v>286</v>
      </c>
      <c r="N287" s="13" t="str">
        <f t="shared" ca="1" si="9"/>
        <v>CLOSED</v>
      </c>
    </row>
    <row r="288" spans="1:14" s="4" customFormat="1" ht="28.8" x14ac:dyDescent="0.3">
      <c r="A288" s="9" t="s">
        <v>310</v>
      </c>
      <c r="B288" s="13">
        <f>VLOOKUP(Table27[[#This Row],[Location 
(drop-down)]],'List source'!D$2:E$60,2,FALSE)</f>
        <v>144</v>
      </c>
      <c r="C288" s="222" t="s">
        <v>980</v>
      </c>
      <c r="D288" s="30" t="str">
        <f t="shared" si="8"/>
        <v>PTO287-144-24</v>
      </c>
      <c r="E288" s="9" t="s">
        <v>981</v>
      </c>
      <c r="F288" s="10" t="str" cm="1">
        <f t="array" aca="1" ref="F2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88" s="10" t="s">
        <v>982</v>
      </c>
      <c r="I288" s="12">
        <v>45412</v>
      </c>
      <c r="J288" s="12" t="s">
        <v>498</v>
      </c>
      <c r="K288" s="77">
        <v>45441</v>
      </c>
      <c r="L288" s="10"/>
      <c r="M288" s="427">
        <v>287</v>
      </c>
      <c r="N288" s="13" t="str">
        <f t="shared" ca="1" si="9"/>
        <v>CLOSED</v>
      </c>
    </row>
    <row r="289" spans="1:14" s="4" customFormat="1" ht="18" x14ac:dyDescent="0.3">
      <c r="A289" s="9" t="s">
        <v>70</v>
      </c>
      <c r="B289" s="13">
        <f>VLOOKUP(Table27[[#This Row],[Location 
(drop-down)]],'List source'!D$2:E$60,2,FALSE)</f>
        <v>146</v>
      </c>
      <c r="C289" s="222" t="s">
        <v>983</v>
      </c>
      <c r="D289" s="30" t="str">
        <f t="shared" si="8"/>
        <v>PTO288-146-24</v>
      </c>
      <c r="E289" s="9" t="s">
        <v>984</v>
      </c>
      <c r="F289" s="10" t="str" cm="1">
        <f t="array" aca="1" ref="F2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89" s="39" t="s">
        <v>985</v>
      </c>
      <c r="I289" s="12">
        <v>45412</v>
      </c>
      <c r="J289" s="12" t="s">
        <v>495</v>
      </c>
      <c r="K289" s="77">
        <v>45412</v>
      </c>
      <c r="L289" s="10" t="s">
        <v>510</v>
      </c>
      <c r="M289" s="427">
        <v>288</v>
      </c>
      <c r="N289" s="13" t="str">
        <f t="shared" ca="1" si="9"/>
        <v>CLOSED</v>
      </c>
    </row>
    <row r="290" spans="1:14" s="4" customFormat="1" ht="18" x14ac:dyDescent="0.3">
      <c r="A290" s="9" t="s">
        <v>70</v>
      </c>
      <c r="B290" s="13">
        <f>VLOOKUP(Table27[[#This Row],[Location 
(drop-down)]],'List source'!D$2:E$60,2,FALSE)</f>
        <v>146</v>
      </c>
      <c r="C290" s="222" t="s">
        <v>986</v>
      </c>
      <c r="D290" s="30" t="str">
        <f t="shared" si="8"/>
        <v>PTO289-146-24</v>
      </c>
      <c r="E290" s="9" t="s">
        <v>987</v>
      </c>
      <c r="F290" s="10" t="str" cm="1">
        <f t="array" aca="1" ref="F2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0" s="39" t="s">
        <v>988</v>
      </c>
      <c r="I290" s="12">
        <v>45412</v>
      </c>
      <c r="J290" s="12" t="s">
        <v>495</v>
      </c>
      <c r="K290" s="77">
        <v>45412</v>
      </c>
      <c r="L290" s="10" t="s">
        <v>510</v>
      </c>
      <c r="M290" s="427">
        <v>289</v>
      </c>
      <c r="N290" s="13" t="str">
        <f t="shared" ca="1" si="9"/>
        <v>CLOSED</v>
      </c>
    </row>
    <row r="291" spans="1:14" ht="28.8" x14ac:dyDescent="0.3">
      <c r="A291" s="235" t="s">
        <v>86</v>
      </c>
      <c r="B291" s="236">
        <f>VLOOKUP(Table27[[#This Row],[Location 
(drop-down)]],'List source'!D$2:E$60,2,FALSE)</f>
        <v>150</v>
      </c>
      <c r="C291" s="262" t="s">
        <v>989</v>
      </c>
      <c r="D291" s="238" t="str">
        <f t="shared" si="8"/>
        <v>PTO290-150-24</v>
      </c>
      <c r="E291" s="235" t="s">
        <v>990</v>
      </c>
      <c r="F291" s="263" t="str" cm="1">
        <f t="array" aca="1" ref="F2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1"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91" s="263" t="s">
        <v>991</v>
      </c>
      <c r="I291" s="264">
        <v>45412</v>
      </c>
      <c r="J291" s="264" t="s">
        <v>182</v>
      </c>
      <c r="K291" s="250">
        <v>45672</v>
      </c>
      <c r="L291" s="10"/>
      <c r="M291" s="427">
        <v>290</v>
      </c>
      <c r="N291" s="13" t="str">
        <f t="shared" ca="1" si="9"/>
        <v>CLOSED</v>
      </c>
    </row>
    <row r="292" spans="1:14" ht="28.8" x14ac:dyDescent="0.3">
      <c r="A292" s="9" t="s">
        <v>235</v>
      </c>
      <c r="B292" s="13">
        <f>VLOOKUP(Table27[[#This Row],[Location 
(drop-down)]],'List source'!D$2:E$60,2,FALSE)</f>
        <v>160</v>
      </c>
      <c r="C292" s="222" t="s">
        <v>992</v>
      </c>
      <c r="D292" s="30" t="str">
        <f t="shared" si="8"/>
        <v>PTO291-160-24</v>
      </c>
      <c r="E292" s="9" t="s">
        <v>993</v>
      </c>
      <c r="F292" s="10" t="str" cm="1">
        <f t="array" aca="1" ref="F2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292" s="10" t="s">
        <v>994</v>
      </c>
      <c r="I292" s="12">
        <v>45412</v>
      </c>
      <c r="J292" s="12" t="s">
        <v>182</v>
      </c>
      <c r="K292" s="77">
        <v>45561</v>
      </c>
      <c r="L292" s="10"/>
      <c r="M292" s="427">
        <v>291</v>
      </c>
      <c r="N292" s="13" t="str">
        <f t="shared" ca="1" si="9"/>
        <v>CLOSED</v>
      </c>
    </row>
    <row r="293" spans="1:14" ht="28.8" x14ac:dyDescent="0.3">
      <c r="A293" s="9" t="s">
        <v>235</v>
      </c>
      <c r="B293" s="13">
        <f>VLOOKUP(Table27[[#This Row],[Location 
(drop-down)]],'List source'!D$2:E$60,2,FALSE)</f>
        <v>160</v>
      </c>
      <c r="C293" s="222" t="s">
        <v>995</v>
      </c>
      <c r="D293" s="30" t="str">
        <f t="shared" si="8"/>
        <v>PTO292-160-24</v>
      </c>
      <c r="E293" s="9" t="s">
        <v>996</v>
      </c>
      <c r="F293" s="10" t="str" cm="1">
        <f t="array" aca="1" ref="F2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&amp; (EPA)</v>
      </c>
      <c r="H293" s="39" t="s">
        <v>997</v>
      </c>
      <c r="I293" s="12">
        <v>45412</v>
      </c>
      <c r="J293" s="12" t="s">
        <v>182</v>
      </c>
      <c r="K293" s="77">
        <v>45562</v>
      </c>
      <c r="L293" s="10"/>
      <c r="M293" s="427">
        <v>292</v>
      </c>
      <c r="N293" s="13" t="str">
        <f t="shared" ca="1" si="9"/>
        <v>CLOSED</v>
      </c>
    </row>
    <row r="294" spans="1:14" ht="18" x14ac:dyDescent="0.3">
      <c r="A294" s="9" t="s">
        <v>235</v>
      </c>
      <c r="B294" s="13">
        <f>VLOOKUP(Table27[[#This Row],[Location 
(drop-down)]],'List source'!D$2:E$60,2,FALSE)</f>
        <v>160</v>
      </c>
      <c r="C294" s="222" t="s">
        <v>998</v>
      </c>
      <c r="D294" s="30" t="str">
        <f t="shared" si="8"/>
        <v>PTO293-160-24</v>
      </c>
      <c r="E294" s="9" t="s">
        <v>999</v>
      </c>
      <c r="F294" s="10" t="str" cm="1">
        <f t="array" aca="1" ref="F2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294" s="39" t="s">
        <v>1000</v>
      </c>
      <c r="I294" s="12">
        <v>45412</v>
      </c>
      <c r="J294" s="12" t="s">
        <v>182</v>
      </c>
      <c r="K294" s="77">
        <v>45562</v>
      </c>
      <c r="L294" s="10"/>
      <c r="M294" s="427">
        <v>293</v>
      </c>
      <c r="N294" s="13" t="str">
        <f t="shared" ca="1" si="9"/>
        <v>CLOSED</v>
      </c>
    </row>
    <row r="295" spans="1:14" ht="28.8" x14ac:dyDescent="0.3">
      <c r="A295" s="9" t="s">
        <v>209</v>
      </c>
      <c r="B295" s="13">
        <f>VLOOKUP(Table27[[#This Row],[Location 
(drop-down)]],'List source'!D$2:E$60,2,FALSE)</f>
        <v>165</v>
      </c>
      <c r="C295" s="222" t="s">
        <v>1001</v>
      </c>
      <c r="D295" s="30" t="str">
        <f t="shared" si="8"/>
        <v>PTO294-165-24</v>
      </c>
      <c r="E295" s="9" t="s">
        <v>1002</v>
      </c>
      <c r="F295" s="10" t="str" cm="1">
        <f t="array" aca="1" ref="F2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295" s="10">
        <v>2.25</v>
      </c>
      <c r="I295" s="12">
        <v>45412</v>
      </c>
      <c r="J295" s="12" t="s">
        <v>495</v>
      </c>
      <c r="K295" s="77">
        <v>45450</v>
      </c>
      <c r="L295" s="10" t="s">
        <v>740</v>
      </c>
      <c r="M295" s="427">
        <v>294</v>
      </c>
      <c r="N295" s="13" t="str">
        <f t="shared" ca="1" si="9"/>
        <v>CLOSED</v>
      </c>
    </row>
    <row r="296" spans="1:14" ht="43.2" x14ac:dyDescent="0.3">
      <c r="A296" s="9" t="s">
        <v>209</v>
      </c>
      <c r="B296" s="13">
        <f>VLOOKUP(Table27[[#This Row],[Location 
(drop-down)]],'List source'!D$2:E$60,2,FALSE)</f>
        <v>165</v>
      </c>
      <c r="C296" s="222" t="s">
        <v>1003</v>
      </c>
      <c r="D296" s="30" t="str">
        <f t="shared" si="8"/>
        <v>PTO295-165-24</v>
      </c>
      <c r="E296" s="9" t="s">
        <v>1004</v>
      </c>
      <c r="F296" s="10" t="str" cm="1">
        <f t="array" aca="1" ref="F2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296" s="10">
        <v>2.12</v>
      </c>
      <c r="I296" s="12">
        <v>45412</v>
      </c>
      <c r="J296" s="12" t="s">
        <v>495</v>
      </c>
      <c r="K296" s="77">
        <v>45412</v>
      </c>
      <c r="L296" s="10" t="s">
        <v>496</v>
      </c>
      <c r="M296" s="427">
        <v>295</v>
      </c>
      <c r="N296" s="13" t="str">
        <f t="shared" ca="1" si="9"/>
        <v>CLOSED</v>
      </c>
    </row>
    <row r="297" spans="1:14" ht="43.2" x14ac:dyDescent="0.3">
      <c r="A297" s="9" t="s">
        <v>57</v>
      </c>
      <c r="B297" s="13">
        <f>VLOOKUP(Table27[[#This Row],[Location 
(drop-down)]],'List source'!D$2:E$60,2,FALSE)</f>
        <v>170</v>
      </c>
      <c r="C297" s="222" t="s">
        <v>1005</v>
      </c>
      <c r="D297" s="30" t="str">
        <f t="shared" si="8"/>
        <v>PTO296-170-24</v>
      </c>
      <c r="E297" s="9" t="s">
        <v>1006</v>
      </c>
      <c r="F297" s="10" t="str" cm="1">
        <f t="array" aca="1" ref="F2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297" s="10">
        <v>2.79</v>
      </c>
      <c r="I297" s="12">
        <v>45412</v>
      </c>
      <c r="J297" s="12" t="s">
        <v>495</v>
      </c>
      <c r="K297" s="77">
        <v>45412</v>
      </c>
      <c r="L297" s="10" t="s">
        <v>496</v>
      </c>
      <c r="M297" s="427">
        <v>296</v>
      </c>
      <c r="N297" s="13" t="str">
        <f t="shared" ca="1" si="9"/>
        <v>CLOSED</v>
      </c>
    </row>
    <row r="298" spans="1:14" ht="28.8" x14ac:dyDescent="0.3">
      <c r="A298" s="9" t="s">
        <v>57</v>
      </c>
      <c r="B298" s="13">
        <f>VLOOKUP(Table27[[#This Row],[Location 
(drop-down)]],'List source'!D$2:E$60,2,FALSE)</f>
        <v>170</v>
      </c>
      <c r="C298" s="222" t="s">
        <v>1007</v>
      </c>
      <c r="D298" s="30" t="str">
        <f t="shared" si="8"/>
        <v>PTO297-170-24</v>
      </c>
      <c r="E298" s="9" t="s">
        <v>954</v>
      </c>
      <c r="F298" s="10" t="str" cm="1">
        <f t="array" aca="1" ref="F2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298" s="10" t="s">
        <v>529</v>
      </c>
      <c r="I298" s="12">
        <v>45412</v>
      </c>
      <c r="J298" s="12" t="s">
        <v>501</v>
      </c>
      <c r="K298" s="77">
        <v>45450</v>
      </c>
      <c r="L298" s="10"/>
      <c r="M298" s="427">
        <v>297</v>
      </c>
      <c r="N298" s="13" t="str">
        <f t="shared" ca="1" si="9"/>
        <v>CLOSED</v>
      </c>
    </row>
    <row r="299" spans="1:14" ht="43.2" x14ac:dyDescent="0.3">
      <c r="A299" s="9" t="s">
        <v>325</v>
      </c>
      <c r="B299" s="13">
        <f>VLOOKUP(Table27[[#This Row],[Location 
(drop-down)]],'List source'!D$2:E$60,2,FALSE)</f>
        <v>180</v>
      </c>
      <c r="C299" s="222" t="s">
        <v>1008</v>
      </c>
      <c r="D299" s="30" t="str">
        <f t="shared" si="8"/>
        <v>PTO298-180-24</v>
      </c>
      <c r="E299" s="9" t="s">
        <v>1009</v>
      </c>
      <c r="F299" s="10" t="str" cm="1">
        <f t="array" aca="1" ref="F2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2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299" s="10">
        <v>2.0699999999999998</v>
      </c>
      <c r="I299" s="12">
        <v>45412</v>
      </c>
      <c r="J299" s="12" t="s">
        <v>495</v>
      </c>
      <c r="K299" s="77">
        <v>45412</v>
      </c>
      <c r="L299" s="10" t="s">
        <v>496</v>
      </c>
      <c r="M299" s="427">
        <v>298</v>
      </c>
      <c r="N299" s="13" t="str">
        <f t="shared" ca="1" si="9"/>
        <v>CLOSED</v>
      </c>
    </row>
    <row r="300" spans="1:14" ht="43.2" x14ac:dyDescent="0.3">
      <c r="A300" s="9" t="s">
        <v>147</v>
      </c>
      <c r="B300" s="13">
        <f>VLOOKUP(Table27[[#This Row],[Location 
(drop-down)]],'List source'!D$2:E$61,2,FALSE)</f>
        <v>185</v>
      </c>
      <c r="C300" s="222" t="s">
        <v>1010</v>
      </c>
      <c r="D300" s="30" t="str">
        <f t="shared" si="8"/>
        <v>PTO299-185-24</v>
      </c>
      <c r="E300" s="9" t="s">
        <v>1011</v>
      </c>
      <c r="F300" s="10" t="str" cm="1">
        <f t="array" aca="1" ref="F3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00" s="10">
        <v>2.5299999999999998</v>
      </c>
      <c r="I300" s="12">
        <v>45412</v>
      </c>
      <c r="J300" s="12" t="s">
        <v>495</v>
      </c>
      <c r="K300" s="77">
        <v>45412</v>
      </c>
      <c r="L300" s="10" t="s">
        <v>496</v>
      </c>
      <c r="M300" s="427">
        <v>299</v>
      </c>
      <c r="N300" s="13" t="str">
        <f t="shared" ca="1" si="9"/>
        <v>CLOSED</v>
      </c>
    </row>
    <row r="301" spans="1:14" ht="43.2" x14ac:dyDescent="0.3">
      <c r="A301" s="9" t="s">
        <v>564</v>
      </c>
      <c r="B301" s="13">
        <f>VLOOKUP(Table27[[#This Row],[Location 
(drop-down)]],'List source'!D$2:E$60,2,FALSE)</f>
        <v>215</v>
      </c>
      <c r="C301" s="222" t="s">
        <v>1012</v>
      </c>
      <c r="D301" s="30" t="str">
        <f t="shared" si="8"/>
        <v>PTO300-215-24</v>
      </c>
      <c r="E301" s="9" t="s">
        <v>977</v>
      </c>
      <c r="F301" s="10" t="str" cm="1">
        <f t="array" aca="1" ref="F3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301" s="39" t="s">
        <v>1013</v>
      </c>
      <c r="I301" s="12">
        <v>45412</v>
      </c>
      <c r="J301" s="12" t="s">
        <v>495</v>
      </c>
      <c r="K301" s="77">
        <v>45412</v>
      </c>
      <c r="L301" s="10" t="s">
        <v>496</v>
      </c>
      <c r="M301" s="427">
        <v>300</v>
      </c>
      <c r="N301" s="13" t="str">
        <f t="shared" ca="1" si="9"/>
        <v>CLOSED</v>
      </c>
    </row>
    <row r="302" spans="1:14" ht="28.8" x14ac:dyDescent="0.3">
      <c r="A302" s="9" t="s">
        <v>564</v>
      </c>
      <c r="B302" s="13">
        <f>VLOOKUP(Table27[[#This Row],[Location 
(drop-down)]],'List source'!D$2:E$60,2,FALSE)</f>
        <v>215</v>
      </c>
      <c r="C302" s="222" t="s">
        <v>1014</v>
      </c>
      <c r="D302" s="30" t="str">
        <f t="shared" si="8"/>
        <v>PTO301-215-24</v>
      </c>
      <c r="E302" s="9" t="s">
        <v>1015</v>
      </c>
      <c r="F302" s="10" t="str" cm="1">
        <f t="array" aca="1" ref="F3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02" s="10">
        <v>2.0299999999999998</v>
      </c>
      <c r="I302" s="12">
        <v>45412</v>
      </c>
      <c r="J302" s="12" t="s">
        <v>195</v>
      </c>
      <c r="K302" s="77">
        <v>45530</v>
      </c>
      <c r="L302" s="10"/>
      <c r="M302" s="427">
        <v>301</v>
      </c>
      <c r="N302" s="13" t="str">
        <f t="shared" ca="1" si="9"/>
        <v>CLOSED</v>
      </c>
    </row>
    <row r="303" spans="1:14" ht="18" x14ac:dyDescent="0.3">
      <c r="A303" s="9" t="s">
        <v>138</v>
      </c>
      <c r="B303" s="13">
        <f>VLOOKUP(Table27[[#This Row],[Location 
(drop-down)]],'List source'!D$2:E$60,2,FALSE)</f>
        <v>110</v>
      </c>
      <c r="C303" s="222" t="s">
        <v>1016</v>
      </c>
      <c r="D303" s="30" t="str">
        <f t="shared" si="8"/>
        <v>PTO302-110-24</v>
      </c>
      <c r="E303" s="9" t="s">
        <v>1017</v>
      </c>
      <c r="F303" s="10" t="s">
        <v>898</v>
      </c>
      <c r="G3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303" s="10">
        <v>2.08</v>
      </c>
      <c r="I303" s="12">
        <v>45412</v>
      </c>
      <c r="J303" s="12" t="s">
        <v>495</v>
      </c>
      <c r="K303" s="77">
        <v>45413</v>
      </c>
      <c r="L303" s="10" t="s">
        <v>510</v>
      </c>
      <c r="M303" s="427">
        <v>302</v>
      </c>
      <c r="N303" s="13" t="str">
        <f t="shared" ca="1" si="9"/>
        <v>CLOSED</v>
      </c>
    </row>
    <row r="304" spans="1:14" ht="43.2" x14ac:dyDescent="0.3">
      <c r="A304" s="9" t="s">
        <v>138</v>
      </c>
      <c r="B304" s="13">
        <f>VLOOKUP(Table27[[#This Row],[Location 
(drop-down)]],'List source'!D$2:E$60,2,FALSE)</f>
        <v>110</v>
      </c>
      <c r="C304" s="222" t="s">
        <v>1018</v>
      </c>
      <c r="D304" s="30" t="str">
        <f t="shared" si="8"/>
        <v>PTO303-110-24</v>
      </c>
      <c r="E304" s="9" t="s">
        <v>1019</v>
      </c>
      <c r="F304" s="10" t="s">
        <v>898</v>
      </c>
      <c r="G304" s="9" t="s">
        <v>903</v>
      </c>
      <c r="H304" s="39" t="s">
        <v>585</v>
      </c>
      <c r="I304" s="12">
        <v>45412</v>
      </c>
      <c r="J304" s="12" t="s">
        <v>495</v>
      </c>
      <c r="K304" s="77">
        <v>45412</v>
      </c>
      <c r="L304" s="10" t="s">
        <v>496</v>
      </c>
      <c r="M304" s="427">
        <v>303</v>
      </c>
      <c r="N304" s="13" t="str">
        <f t="shared" ca="1" si="9"/>
        <v>CLOSED</v>
      </c>
    </row>
    <row r="305" spans="1:14" ht="18" x14ac:dyDescent="0.3">
      <c r="A305" s="9" t="s">
        <v>57</v>
      </c>
      <c r="B305" s="13">
        <f>VLOOKUP(Table27[[#This Row],[Location 
(drop-down)]],'List source'!D$2:E$60,2,FALSE)</f>
        <v>170</v>
      </c>
      <c r="C305" s="222" t="s">
        <v>1020</v>
      </c>
      <c r="D305" s="30" t="str">
        <f t="shared" si="8"/>
        <v>PTO304-170-24</v>
      </c>
      <c r="E305" s="9" t="s">
        <v>1021</v>
      </c>
      <c r="F305" s="10" t="s">
        <v>898</v>
      </c>
      <c r="G3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 - 40%</v>
      </c>
      <c r="H305" s="10">
        <v>3.07</v>
      </c>
      <c r="I305" s="12">
        <v>45412</v>
      </c>
      <c r="J305" s="12" t="s">
        <v>501</v>
      </c>
      <c r="K305" s="77">
        <v>45450</v>
      </c>
      <c r="L305" s="10"/>
      <c r="M305" s="427">
        <v>304</v>
      </c>
      <c r="N305" s="13" t="str">
        <f t="shared" ca="1" si="9"/>
        <v>CLOSED</v>
      </c>
    </row>
    <row r="306" spans="1:14" ht="18" x14ac:dyDescent="0.3">
      <c r="A306" s="9" t="s">
        <v>388</v>
      </c>
      <c r="B306" s="13">
        <f>VLOOKUP(Table27[[#This Row],[Location 
(drop-down)]],'List source'!D$2:E$60,2,FALSE)</f>
        <v>191</v>
      </c>
      <c r="C306" s="222" t="s">
        <v>1022</v>
      </c>
      <c r="D306" s="30" t="str">
        <f t="shared" si="8"/>
        <v>PTO305-191-24</v>
      </c>
      <c r="E306" s="9" t="s">
        <v>1017</v>
      </c>
      <c r="F306" s="10" t="s">
        <v>898</v>
      </c>
      <c r="G3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306" s="10">
        <v>2.08</v>
      </c>
      <c r="I306" s="12">
        <v>45412</v>
      </c>
      <c r="J306" s="12" t="s">
        <v>501</v>
      </c>
      <c r="K306" s="77">
        <v>45450</v>
      </c>
      <c r="L306" s="10"/>
      <c r="M306" s="427">
        <v>305</v>
      </c>
      <c r="N306" s="13" t="str">
        <f t="shared" ca="1" si="9"/>
        <v>CLOSED</v>
      </c>
    </row>
    <row r="307" spans="1:14" ht="43.2" x14ac:dyDescent="0.3">
      <c r="A307" s="9" t="s">
        <v>318</v>
      </c>
      <c r="B307" s="13">
        <f>VLOOKUP(Table27[[#This Row],[Location 
(drop-down)]],'List source'!D$2:E$60,2,FALSE)</f>
        <v>115</v>
      </c>
      <c r="C307" s="222" t="s">
        <v>1023</v>
      </c>
      <c r="D307" s="30" t="str">
        <f t="shared" si="8"/>
        <v>PTO306-115-24</v>
      </c>
      <c r="E307" s="9" t="s">
        <v>1024</v>
      </c>
      <c r="F307" s="10" t="s">
        <v>898</v>
      </c>
      <c r="G307" s="9" t="s">
        <v>903</v>
      </c>
      <c r="H307" s="39" t="s">
        <v>1025</v>
      </c>
      <c r="I307" s="12">
        <v>45412</v>
      </c>
      <c r="J307" s="12" t="s">
        <v>495</v>
      </c>
      <c r="K307" s="77">
        <v>45412</v>
      </c>
      <c r="L307" s="10" t="s">
        <v>496</v>
      </c>
      <c r="M307" s="427">
        <v>306</v>
      </c>
      <c r="N307" s="13" t="str">
        <f t="shared" ca="1" si="9"/>
        <v>CLOSED</v>
      </c>
    </row>
    <row r="308" spans="1:14" ht="43.2" x14ac:dyDescent="0.3">
      <c r="A308" s="9" t="s">
        <v>29</v>
      </c>
      <c r="B308" s="13">
        <f>VLOOKUP(Table27[[#This Row],[Location 
(drop-down)]],'List source'!D$2:E$60,2,FALSE)</f>
        <v>141</v>
      </c>
      <c r="C308" s="222" t="s">
        <v>1026</v>
      </c>
      <c r="D308" s="30" t="str">
        <f t="shared" si="8"/>
        <v>PTO307-141-24</v>
      </c>
      <c r="E308" s="9" t="s">
        <v>1027</v>
      </c>
      <c r="F308" s="10" t="s">
        <v>898</v>
      </c>
      <c r="G308" s="9" t="s">
        <v>903</v>
      </c>
      <c r="H308" s="10">
        <v>2.12</v>
      </c>
      <c r="I308" s="12">
        <v>45412</v>
      </c>
      <c r="J308" s="12" t="s">
        <v>495</v>
      </c>
      <c r="K308" s="77">
        <v>45412</v>
      </c>
      <c r="L308" s="10" t="s">
        <v>496</v>
      </c>
      <c r="M308" s="427">
        <v>307</v>
      </c>
      <c r="N308" s="13" t="str">
        <f t="shared" ca="1" si="9"/>
        <v>CLOSED</v>
      </c>
    </row>
    <row r="309" spans="1:14" ht="18" x14ac:dyDescent="0.3">
      <c r="A309" s="9" t="s">
        <v>157</v>
      </c>
      <c r="B309" s="13">
        <f>VLOOKUP(Table27[[#This Row],[Location 
(drop-down)]],'List source'!D$2:E$60,2,FALSE)</f>
        <v>136</v>
      </c>
      <c r="C309" s="222" t="s">
        <v>1028</v>
      </c>
      <c r="D309" s="30" t="str">
        <f t="shared" si="8"/>
        <v>PTO308-136-24</v>
      </c>
      <c r="E309" s="9" t="s">
        <v>1029</v>
      </c>
      <c r="F309" s="10" t="s">
        <v>898</v>
      </c>
      <c r="G3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309" s="39" t="s">
        <v>1030</v>
      </c>
      <c r="I309" s="12">
        <v>45412</v>
      </c>
      <c r="J309" s="12" t="s">
        <v>501</v>
      </c>
      <c r="K309" s="77">
        <v>45468</v>
      </c>
      <c r="L309" s="10"/>
      <c r="M309" s="427">
        <v>308</v>
      </c>
      <c r="N309" s="13" t="str">
        <f t="shared" ca="1" si="9"/>
        <v>CLOSED</v>
      </c>
    </row>
    <row r="310" spans="1:14" ht="43.2" x14ac:dyDescent="0.3">
      <c r="A310" s="9" t="s">
        <v>57</v>
      </c>
      <c r="B310" s="13">
        <f>VLOOKUP(Table27[[#This Row],[Location 
(drop-down)]],'List source'!D$2:E$60,2,FALSE)</f>
        <v>170</v>
      </c>
      <c r="C310" s="222" t="s">
        <v>1031</v>
      </c>
      <c r="D310" s="30" t="str">
        <f t="shared" si="8"/>
        <v>PTO309-170-24</v>
      </c>
      <c r="E310" s="9" t="s">
        <v>1032</v>
      </c>
      <c r="F310" s="10" t="s">
        <v>898</v>
      </c>
      <c r="G310" s="9" t="s">
        <v>1033</v>
      </c>
      <c r="H310" s="39" t="s">
        <v>1034</v>
      </c>
      <c r="I310" s="12">
        <v>45412</v>
      </c>
      <c r="J310" s="12" t="s">
        <v>495</v>
      </c>
      <c r="K310" s="77">
        <v>45412</v>
      </c>
      <c r="L310" s="10" t="s">
        <v>496</v>
      </c>
      <c r="M310" s="427">
        <v>309</v>
      </c>
      <c r="N310" s="13" t="str">
        <f t="shared" ca="1" si="9"/>
        <v>CLOSED</v>
      </c>
    </row>
    <row r="311" spans="1:14" ht="18" x14ac:dyDescent="0.3">
      <c r="A311" s="9" t="s">
        <v>57</v>
      </c>
      <c r="B311" s="13">
        <f>VLOOKUP(Table27[[#This Row],[Location 
(drop-down)]],'List source'!D$2:E$60,2,FALSE)</f>
        <v>170</v>
      </c>
      <c r="C311" s="222" t="s">
        <v>1035</v>
      </c>
      <c r="D311" s="30" t="str">
        <f t="shared" si="8"/>
        <v>PTO310-170-24</v>
      </c>
      <c r="E311" s="9" t="s">
        <v>1036</v>
      </c>
      <c r="F311" s="10" t="s">
        <v>898</v>
      </c>
      <c r="G311" s="9" t="s">
        <v>903</v>
      </c>
      <c r="H311" s="39" t="s">
        <v>1037</v>
      </c>
      <c r="I311" s="12">
        <v>45412</v>
      </c>
      <c r="J311" s="12" t="s">
        <v>501</v>
      </c>
      <c r="K311" s="77">
        <v>45450</v>
      </c>
      <c r="L311" s="10"/>
      <c r="M311" s="427">
        <v>310</v>
      </c>
      <c r="N311" s="13" t="str">
        <f t="shared" ca="1" si="9"/>
        <v>CLOSED</v>
      </c>
    </row>
    <row r="312" spans="1:14" ht="18" x14ac:dyDescent="0.3">
      <c r="A312" s="9" t="s">
        <v>57</v>
      </c>
      <c r="B312" s="13">
        <f>VLOOKUP(Table27[[#This Row],[Location 
(drop-down)]],'List source'!D$2:E$60,2,FALSE)</f>
        <v>170</v>
      </c>
      <c r="C312" s="222" t="s">
        <v>1038</v>
      </c>
      <c r="D312" s="30" t="str">
        <f t="shared" si="8"/>
        <v>PTO311-170-24</v>
      </c>
      <c r="E312" s="9" t="s">
        <v>1039</v>
      </c>
      <c r="F312" s="10" t="s">
        <v>898</v>
      </c>
      <c r="G3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v>
      </c>
      <c r="H312" s="10">
        <v>5.34</v>
      </c>
      <c r="I312" s="12">
        <v>45412</v>
      </c>
      <c r="J312" s="12" t="s">
        <v>60</v>
      </c>
      <c r="K312" s="77">
        <v>45628</v>
      </c>
      <c r="L312" s="10"/>
      <c r="M312" s="427">
        <v>311</v>
      </c>
      <c r="N312" s="13" t="str">
        <f t="shared" ca="1" si="9"/>
        <v>CLOSED</v>
      </c>
    </row>
    <row r="313" spans="1:14" ht="18" x14ac:dyDescent="0.3">
      <c r="A313" s="235" t="s">
        <v>107</v>
      </c>
      <c r="B313" s="236">
        <f>VLOOKUP(Table27[[#This Row],[Location 
(drop-down)]],'List source'!D$2:E$60,2,FALSE)</f>
        <v>120</v>
      </c>
      <c r="C313" s="262" t="s">
        <v>1040</v>
      </c>
      <c r="D313" s="238" t="str">
        <f t="shared" si="8"/>
        <v>PTO312-120-24</v>
      </c>
      <c r="E313" s="235" t="s">
        <v>1041</v>
      </c>
      <c r="F313" s="263" t="str" cm="1">
        <f t="array" aca="1" ref="F3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31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313" s="266" t="s">
        <v>1042</v>
      </c>
      <c r="I313" s="264">
        <v>45412</v>
      </c>
      <c r="J313" s="264" t="s">
        <v>182</v>
      </c>
      <c r="K313" s="250">
        <v>45636</v>
      </c>
      <c r="L313" s="263"/>
      <c r="M313" s="427">
        <v>312</v>
      </c>
      <c r="N313" s="13" t="str">
        <f t="shared" ca="1" si="9"/>
        <v>CLOSED</v>
      </c>
    </row>
    <row r="314" spans="1:14" ht="43.2" x14ac:dyDescent="0.3">
      <c r="A314" s="9" t="s">
        <v>107</v>
      </c>
      <c r="B314" s="13">
        <f>VLOOKUP(Table27[[#This Row],[Location 
(drop-down)]],'List source'!D$2:E$60,2,FALSE)</f>
        <v>120</v>
      </c>
      <c r="C314" s="222" t="s">
        <v>1043</v>
      </c>
      <c r="D314" s="30" t="str">
        <f t="shared" si="8"/>
        <v>PTO313-120-24</v>
      </c>
      <c r="E314" s="9" t="s">
        <v>1044</v>
      </c>
      <c r="F314" s="10" t="str" cm="1">
        <f t="array" aca="1" ref="F3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3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314" s="39" t="s">
        <v>1045</v>
      </c>
      <c r="I314" s="12">
        <v>45412</v>
      </c>
      <c r="J314" s="12" t="s">
        <v>495</v>
      </c>
      <c r="K314" s="77">
        <v>45412</v>
      </c>
      <c r="L314" s="10" t="s">
        <v>496</v>
      </c>
      <c r="M314" s="427">
        <v>313</v>
      </c>
      <c r="N314" s="13" t="str">
        <f t="shared" ca="1" si="9"/>
        <v>CLOSED</v>
      </c>
    </row>
    <row r="315" spans="1:14" ht="43.2" x14ac:dyDescent="0.3">
      <c r="A315" s="9" t="s">
        <v>325</v>
      </c>
      <c r="B315" s="13">
        <f>VLOOKUP(Table27[[#This Row],[Location 
(drop-down)]],'List source'!D$2:E$60,2,FALSE)</f>
        <v>180</v>
      </c>
      <c r="C315" s="222" t="s">
        <v>1046</v>
      </c>
      <c r="D315" s="30" t="str">
        <f t="shared" si="8"/>
        <v>PTO314-180-24</v>
      </c>
      <c r="E315" s="9" t="s">
        <v>1047</v>
      </c>
      <c r="F315" s="10" t="str" cm="1">
        <f t="array" aca="1" ref="F3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3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315" s="10">
        <v>2.5099999999999998</v>
      </c>
      <c r="I315" s="12">
        <v>45412</v>
      </c>
      <c r="J315" s="12" t="s">
        <v>495</v>
      </c>
      <c r="K315" s="77">
        <v>45412</v>
      </c>
      <c r="L315" s="10" t="s">
        <v>496</v>
      </c>
      <c r="M315" s="427">
        <v>314</v>
      </c>
      <c r="N315" s="13" t="str">
        <f t="shared" ca="1" si="9"/>
        <v>CLOSED</v>
      </c>
    </row>
    <row r="316" spans="1:14" ht="28.8" x14ac:dyDescent="0.3">
      <c r="A316" s="235" t="s">
        <v>107</v>
      </c>
      <c r="B316" s="236">
        <f>VLOOKUP(Table27[[#This Row],[Location 
(drop-down)]],'List source'!D$2:E$60,2,FALSE)</f>
        <v>120</v>
      </c>
      <c r="C316" s="262" t="s">
        <v>1048</v>
      </c>
      <c r="D316" s="238" t="str">
        <f t="shared" si="8"/>
        <v>PTO315-120-24</v>
      </c>
      <c r="E316" s="235" t="s">
        <v>1049</v>
      </c>
      <c r="F316" s="263" t="s">
        <v>1050</v>
      </c>
      <c r="G316"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16" s="263">
        <v>2.83</v>
      </c>
      <c r="I316" s="264">
        <v>45412</v>
      </c>
      <c r="J316" s="264" t="s">
        <v>182</v>
      </c>
      <c r="K316" s="250">
        <v>45638</v>
      </c>
      <c r="L316" s="263"/>
      <c r="M316" s="430">
        <v>315</v>
      </c>
      <c r="N316" s="13" t="str">
        <f t="shared" ca="1" si="9"/>
        <v>CLOSED</v>
      </c>
    </row>
    <row r="317" spans="1:14" ht="18" x14ac:dyDescent="0.3">
      <c r="A317" s="272" t="s">
        <v>107</v>
      </c>
      <c r="B317" s="273">
        <f>VLOOKUP(Table27[[#This Row],[Location 
(drop-down)]],'List source'!D$2:E$60,2,FALSE)</f>
        <v>120</v>
      </c>
      <c r="C317" s="274" t="s">
        <v>1051</v>
      </c>
      <c r="D317" s="275" t="str">
        <f t="shared" si="8"/>
        <v>PTO316-120-24</v>
      </c>
      <c r="E317" s="272" t="s">
        <v>1052</v>
      </c>
      <c r="F317" s="277" t="s">
        <v>1050</v>
      </c>
      <c r="G317"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D3343 - Hydrogen</v>
      </c>
      <c r="H317" s="283" t="s">
        <v>988</v>
      </c>
      <c r="I317" s="279">
        <v>45412</v>
      </c>
      <c r="J317" s="279" t="s">
        <v>182</v>
      </c>
      <c r="K317" s="280">
        <v>45638</v>
      </c>
      <c r="L317" s="10"/>
      <c r="M317" s="427">
        <v>316</v>
      </c>
      <c r="N317" s="13" t="str">
        <f t="shared" ca="1" si="9"/>
        <v>CLOSED</v>
      </c>
    </row>
    <row r="318" spans="1:14" ht="28.8" x14ac:dyDescent="0.3">
      <c r="A318" s="235" t="s">
        <v>107</v>
      </c>
      <c r="B318" s="236">
        <f>VLOOKUP(Table27[[#This Row],[Location 
(drop-down)]],'List source'!D$2:E$60,2,FALSE)</f>
        <v>120</v>
      </c>
      <c r="C318" s="262" t="s">
        <v>1053</v>
      </c>
      <c r="D318" s="238" t="str">
        <f t="shared" si="8"/>
        <v>PTO317-120-24</v>
      </c>
      <c r="E318" s="235" t="s">
        <v>1054</v>
      </c>
      <c r="F318" s="263" t="s">
        <v>1050</v>
      </c>
      <c r="G318"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D3338/D3338M - Net Heat of Combustion</v>
      </c>
      <c r="H318" s="266" t="s">
        <v>745</v>
      </c>
      <c r="I318" s="264">
        <v>45412</v>
      </c>
      <c r="J318" s="264" t="s">
        <v>182</v>
      </c>
      <c r="K318" s="250">
        <v>45638</v>
      </c>
      <c r="L318" s="10"/>
      <c r="M318" s="427">
        <v>317</v>
      </c>
      <c r="N318" s="13" t="str">
        <f t="shared" ca="1" si="9"/>
        <v>CLOSED</v>
      </c>
    </row>
    <row r="319" spans="1:14" ht="43.2" x14ac:dyDescent="0.3">
      <c r="A319" s="9" t="s">
        <v>107</v>
      </c>
      <c r="B319" s="13">
        <f>VLOOKUP(Table27[[#This Row],[Location 
(drop-down)]],'List source'!D$2:E$60,2,FALSE)</f>
        <v>120</v>
      </c>
      <c r="C319" s="222" t="s">
        <v>1055</v>
      </c>
      <c r="D319" s="30" t="str">
        <f t="shared" si="8"/>
        <v>PTO318-120-24</v>
      </c>
      <c r="E319" s="9" t="s">
        <v>1056</v>
      </c>
      <c r="F319" s="10" t="s">
        <v>1050</v>
      </c>
      <c r="G3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D1094 - Water Reaction</v>
      </c>
      <c r="H319" s="10">
        <v>2.85</v>
      </c>
      <c r="I319" s="12">
        <v>45412</v>
      </c>
      <c r="J319" s="12" t="s">
        <v>495</v>
      </c>
      <c r="K319" s="77">
        <v>45412</v>
      </c>
      <c r="L319" s="10" t="s">
        <v>496</v>
      </c>
      <c r="M319" s="427">
        <v>318</v>
      </c>
      <c r="N319" s="13" t="str">
        <f t="shared" ca="1" si="9"/>
        <v>CLOSED</v>
      </c>
    </row>
    <row r="320" spans="1:14" ht="28.8" x14ac:dyDescent="0.3">
      <c r="A320" s="9" t="s">
        <v>65</v>
      </c>
      <c r="B320" s="13">
        <f>VLOOKUP(Table27[[#This Row],[Location 
(drop-down)]],'List source'!D$2:E$60,2,FALSE)</f>
        <v>155</v>
      </c>
      <c r="C320" s="222" t="s">
        <v>1057</v>
      </c>
      <c r="D320" s="30" t="str">
        <f t="shared" si="8"/>
        <v>PTO319-155-24</v>
      </c>
      <c r="E320" s="90" t="s">
        <v>1058</v>
      </c>
      <c r="F320" s="38" t="s">
        <v>1050</v>
      </c>
      <c r="G320" s="90"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D5452 - Particulates</v>
      </c>
      <c r="H320" s="379">
        <v>4.2699999999999996</v>
      </c>
      <c r="I320" s="12">
        <v>45412</v>
      </c>
      <c r="J320" s="12" t="s">
        <v>134</v>
      </c>
      <c r="K320" s="77">
        <v>45554</v>
      </c>
      <c r="L320" s="10"/>
      <c r="M320" s="427">
        <v>319</v>
      </c>
      <c r="N320" s="13" t="str">
        <f t="shared" ca="1" si="9"/>
        <v>CLOSED</v>
      </c>
    </row>
    <row r="321" spans="1:14" ht="28.8" x14ac:dyDescent="0.3">
      <c r="A321" s="9" t="s">
        <v>65</v>
      </c>
      <c r="B321" s="13">
        <f>VLOOKUP(Table27[[#This Row],[Location 
(drop-down)]],'List source'!D$2:E$60,2,FALSE)</f>
        <v>155</v>
      </c>
      <c r="C321" s="222" t="s">
        <v>1059</v>
      </c>
      <c r="D321" s="30" t="str">
        <f t="shared" si="8"/>
        <v>PTO320-155-24</v>
      </c>
      <c r="E321" s="106" t="s">
        <v>1060</v>
      </c>
      <c r="F321" s="379" t="s">
        <v>1050</v>
      </c>
      <c r="G321" s="10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321" s="379">
        <v>6.01</v>
      </c>
      <c r="I321" s="12">
        <v>45412</v>
      </c>
      <c r="J321" s="12" t="s">
        <v>134</v>
      </c>
      <c r="K321" s="77">
        <v>45979</v>
      </c>
      <c r="L321" s="10"/>
      <c r="M321" s="427">
        <v>320</v>
      </c>
      <c r="N321" s="13" t="str">
        <f t="shared" ca="1" si="9"/>
        <v>CLOSED</v>
      </c>
    </row>
    <row r="322" spans="1:14" ht="28.8" x14ac:dyDescent="0.3">
      <c r="A322" s="9" t="s">
        <v>65</v>
      </c>
      <c r="B322" s="13">
        <f>VLOOKUP(Table27[[#This Row],[Location 
(drop-down)]],'List source'!D$2:E$60,2,FALSE)</f>
        <v>155</v>
      </c>
      <c r="C322" s="222" t="s">
        <v>1061</v>
      </c>
      <c r="D322" s="30" t="str">
        <f t="shared" ref="D322:D385" si="10">"PTO" &amp; C322 &amp; "-" &amp; B322 &amp; "-" &amp; "24"</f>
        <v>PTO321-155-24</v>
      </c>
      <c r="E322" s="9" t="s">
        <v>1062</v>
      </c>
      <c r="F322" s="10" t="s">
        <v>1050</v>
      </c>
      <c r="G3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322" s="39" t="s">
        <v>1063</v>
      </c>
      <c r="I322" s="12">
        <v>45412</v>
      </c>
      <c r="J322" s="12" t="s">
        <v>495</v>
      </c>
      <c r="K322" s="77">
        <v>45663</v>
      </c>
      <c r="L322" s="10" t="s">
        <v>510</v>
      </c>
      <c r="M322" s="427">
        <v>321</v>
      </c>
      <c r="N322" s="13" t="str">
        <f t="shared" ref="N322:N385" ca="1" si="11">IF(ISBLANK(K322), TODAY()-(I322), "CLOSED")</f>
        <v>CLOSED</v>
      </c>
    </row>
    <row r="323" spans="1:14" ht="18" x14ac:dyDescent="0.3">
      <c r="A323" s="9" t="s">
        <v>186</v>
      </c>
      <c r="B323" s="13">
        <f>VLOOKUP(Table27[[#This Row],[Location 
(drop-down)]],'List source'!D$2:E$60,2,FALSE)</f>
        <v>130</v>
      </c>
      <c r="C323" s="222" t="s">
        <v>1064</v>
      </c>
      <c r="D323" s="30" t="str">
        <f t="shared" si="10"/>
        <v>PTO322-130-24</v>
      </c>
      <c r="E323" s="9" t="s">
        <v>1065</v>
      </c>
      <c r="F323" s="10" t="s">
        <v>1066</v>
      </c>
      <c r="G3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323" s="10">
        <v>-2.46</v>
      </c>
      <c r="I323" s="12">
        <v>45413</v>
      </c>
      <c r="J323" s="12" t="s">
        <v>54</v>
      </c>
      <c r="K323" s="77">
        <v>45482</v>
      </c>
      <c r="L323" s="10"/>
      <c r="M323" s="427">
        <v>322</v>
      </c>
      <c r="N323" s="13" t="str">
        <f t="shared" ca="1" si="11"/>
        <v>CLOSED</v>
      </c>
    </row>
    <row r="324" spans="1:14" ht="43.2" x14ac:dyDescent="0.3">
      <c r="A324" s="9" t="s">
        <v>186</v>
      </c>
      <c r="B324" s="13">
        <f>VLOOKUP(Table27[[#This Row],[Location 
(drop-down)]],'List source'!D$2:E$60,2,FALSE)</f>
        <v>130</v>
      </c>
      <c r="C324" s="222" t="s">
        <v>1067</v>
      </c>
      <c r="D324" s="30" t="str">
        <f t="shared" si="10"/>
        <v>PTO323-130-24</v>
      </c>
      <c r="E324" s="9" t="s">
        <v>1068</v>
      </c>
      <c r="F324" s="10" t="s">
        <v>1066</v>
      </c>
      <c r="G324" s="9" t="s">
        <v>1069</v>
      </c>
      <c r="H324" s="39" t="s">
        <v>1070</v>
      </c>
      <c r="I324" s="12">
        <v>45413</v>
      </c>
      <c r="J324" s="12" t="s">
        <v>495</v>
      </c>
      <c r="K324" s="77">
        <v>45413</v>
      </c>
      <c r="L324" s="10" t="s">
        <v>496</v>
      </c>
      <c r="M324" s="427">
        <v>323</v>
      </c>
      <c r="N324" s="13" t="str">
        <f t="shared" ca="1" si="11"/>
        <v>CLOSED</v>
      </c>
    </row>
    <row r="325" spans="1:14" ht="18" x14ac:dyDescent="0.3">
      <c r="A325" s="235" t="s">
        <v>264</v>
      </c>
      <c r="B325" s="236">
        <f>VLOOKUP(Table27[[#This Row],[Location 
(drop-down)]],'List source'!D$2:E$60,2,FALSE)</f>
        <v>132</v>
      </c>
      <c r="C325" s="262" t="s">
        <v>1071</v>
      </c>
      <c r="D325" s="238" t="str">
        <f t="shared" si="10"/>
        <v>PTO324-132-24</v>
      </c>
      <c r="E325" s="9" t="s">
        <v>1072</v>
      </c>
      <c r="F325" s="10" t="s">
        <v>1066</v>
      </c>
      <c r="G3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325" s="10">
        <v>2.74</v>
      </c>
      <c r="I325" s="12">
        <v>45413</v>
      </c>
      <c r="J325" s="264" t="s">
        <v>54</v>
      </c>
      <c r="K325" s="250">
        <v>45677</v>
      </c>
      <c r="L325" s="10"/>
      <c r="M325" s="427">
        <v>324</v>
      </c>
      <c r="N325" s="13" t="str">
        <f t="shared" ca="1" si="11"/>
        <v>CLOSED</v>
      </c>
    </row>
    <row r="326" spans="1:14" ht="43.2" x14ac:dyDescent="0.3">
      <c r="A326" s="9" t="s">
        <v>264</v>
      </c>
      <c r="B326" s="13">
        <f>VLOOKUP(Table27[[#This Row],[Location 
(drop-down)]],'List source'!D$2:E$60,2,FALSE)</f>
        <v>132</v>
      </c>
      <c r="C326" s="222" t="s">
        <v>1073</v>
      </c>
      <c r="D326" s="30" t="str">
        <f t="shared" si="10"/>
        <v>PTO325-132-24</v>
      </c>
      <c r="E326" s="9" t="s">
        <v>1074</v>
      </c>
      <c r="F326" s="10" t="s">
        <v>1075</v>
      </c>
      <c r="G3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26" s="39" t="s">
        <v>1076</v>
      </c>
      <c r="I326" s="12">
        <v>45413</v>
      </c>
      <c r="J326" s="12" t="s">
        <v>495</v>
      </c>
      <c r="K326" s="77">
        <v>45413</v>
      </c>
      <c r="L326" s="10" t="s">
        <v>496</v>
      </c>
      <c r="M326" s="427">
        <v>325</v>
      </c>
      <c r="N326" s="13" t="str">
        <f t="shared" ca="1" si="11"/>
        <v>CLOSED</v>
      </c>
    </row>
    <row r="327" spans="1:14" ht="18" x14ac:dyDescent="0.3">
      <c r="A327" s="9" t="s">
        <v>264</v>
      </c>
      <c r="B327" s="13">
        <f>VLOOKUP(Table27[[#This Row],[Location 
(drop-down)]],'List source'!D$2:E$60,2,FALSE)</f>
        <v>132</v>
      </c>
      <c r="C327" s="222" t="s">
        <v>1077</v>
      </c>
      <c r="D327" s="30" t="str">
        <f t="shared" si="10"/>
        <v>PTO326-132-24</v>
      </c>
      <c r="E327" s="9" t="s">
        <v>1078</v>
      </c>
      <c r="F327" s="10" t="s">
        <v>1075</v>
      </c>
      <c r="G3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27" s="10">
        <v>-18.61</v>
      </c>
      <c r="I327" s="12">
        <v>45413</v>
      </c>
      <c r="J327" s="12" t="s">
        <v>54</v>
      </c>
      <c r="K327" s="77">
        <v>45713</v>
      </c>
      <c r="L327" s="10"/>
      <c r="M327" s="427">
        <v>326</v>
      </c>
      <c r="N327" s="13" t="str">
        <f t="shared" ca="1" si="11"/>
        <v>CLOSED</v>
      </c>
    </row>
    <row r="328" spans="1:14" ht="18" x14ac:dyDescent="0.3">
      <c r="A328" s="9" t="s">
        <v>186</v>
      </c>
      <c r="B328" s="13">
        <f>VLOOKUP(Table27[[#This Row],[Location 
(drop-down)]],'List source'!D$2:E$60,2,FALSE)</f>
        <v>130</v>
      </c>
      <c r="C328" s="222" t="s">
        <v>1079</v>
      </c>
      <c r="D328" s="30" t="str">
        <f t="shared" si="10"/>
        <v>PTO327-130-24</v>
      </c>
      <c r="E328" s="9" t="s">
        <v>1080</v>
      </c>
      <c r="F328" s="10" t="s">
        <v>1081</v>
      </c>
      <c r="G3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328" s="10">
        <v>21.89</v>
      </c>
      <c r="I328" s="12">
        <v>45413</v>
      </c>
      <c r="J328" s="12" t="s">
        <v>54</v>
      </c>
      <c r="K328" s="77">
        <v>45485</v>
      </c>
      <c r="L328" s="10"/>
      <c r="M328" s="427">
        <v>327</v>
      </c>
      <c r="N328" s="13" t="str">
        <f t="shared" ca="1" si="11"/>
        <v>CLOSED</v>
      </c>
    </row>
    <row r="329" spans="1:14" ht="43.2" x14ac:dyDescent="0.3">
      <c r="A329" s="9" t="s">
        <v>264</v>
      </c>
      <c r="B329" s="13">
        <f>VLOOKUP(Table27[[#This Row],[Location 
(drop-down)]],'List source'!D$2:E$60,2,FALSE)</f>
        <v>132</v>
      </c>
      <c r="C329" s="222" t="s">
        <v>1082</v>
      </c>
      <c r="D329" s="30" t="str">
        <f t="shared" si="10"/>
        <v>PTO328-132-24</v>
      </c>
      <c r="E329" s="9" t="s">
        <v>1083</v>
      </c>
      <c r="F329" s="10" t="s">
        <v>1081</v>
      </c>
      <c r="G3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29" s="39" t="s">
        <v>1084</v>
      </c>
      <c r="I329" s="12">
        <v>45413</v>
      </c>
      <c r="J329" s="12" t="s">
        <v>495</v>
      </c>
      <c r="K329" s="77">
        <v>45413</v>
      </c>
      <c r="L329" s="10" t="s">
        <v>496</v>
      </c>
      <c r="M329" s="427">
        <v>328</v>
      </c>
      <c r="N329" s="13" t="str">
        <f t="shared" ca="1" si="11"/>
        <v>CLOSED</v>
      </c>
    </row>
    <row r="330" spans="1:14" ht="18" x14ac:dyDescent="0.3">
      <c r="A330" s="235" t="s">
        <v>264</v>
      </c>
      <c r="B330" s="236">
        <f>VLOOKUP(Table27[[#This Row],[Location 
(drop-down)]],'List source'!D$2:E$60,2,FALSE)</f>
        <v>132</v>
      </c>
      <c r="C330" s="262" t="s">
        <v>1085</v>
      </c>
      <c r="D330" s="238" t="str">
        <f t="shared" si="10"/>
        <v>PTO329-132-24</v>
      </c>
      <c r="E330" s="9" t="s">
        <v>1086</v>
      </c>
      <c r="F330" s="10" t="s">
        <v>1081</v>
      </c>
      <c r="G3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D613 - Cetane Number</v>
      </c>
      <c r="H330" s="10">
        <v>-5.45</v>
      </c>
      <c r="I330" s="12">
        <v>45413</v>
      </c>
      <c r="J330" s="264" t="s">
        <v>54</v>
      </c>
      <c r="K330" s="250">
        <v>45772</v>
      </c>
      <c r="L330" s="10"/>
      <c r="M330" s="427">
        <v>329</v>
      </c>
      <c r="N330" s="13" t="str">
        <f t="shared" ca="1" si="11"/>
        <v>CLOSED</v>
      </c>
    </row>
    <row r="331" spans="1:14" ht="18" x14ac:dyDescent="0.3">
      <c r="A331" s="9" t="s">
        <v>186</v>
      </c>
      <c r="B331" s="13">
        <f>VLOOKUP(Table27[[#This Row],[Location 
(drop-down)]],'List source'!D$2:E$60,2,FALSE)</f>
        <v>130</v>
      </c>
      <c r="C331" s="222" t="s">
        <v>1087</v>
      </c>
      <c r="D331" s="30" t="str">
        <f t="shared" si="10"/>
        <v>PTO330-130-24</v>
      </c>
      <c r="E331" s="9" t="s">
        <v>1088</v>
      </c>
      <c r="F331" s="10" t="s">
        <v>1089</v>
      </c>
      <c r="G3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31" s="39" t="s">
        <v>1070</v>
      </c>
      <c r="I331" s="12">
        <v>45418</v>
      </c>
      <c r="J331" s="12" t="s">
        <v>54</v>
      </c>
      <c r="K331" s="77">
        <v>45504</v>
      </c>
      <c r="L331" s="10"/>
      <c r="M331" s="427">
        <v>330</v>
      </c>
      <c r="N331" s="13" t="str">
        <f t="shared" ca="1" si="11"/>
        <v>CLOSED</v>
      </c>
    </row>
    <row r="332" spans="1:14" ht="43.2" x14ac:dyDescent="0.3">
      <c r="A332" s="9" t="s">
        <v>264</v>
      </c>
      <c r="B332" s="13">
        <f>VLOOKUP(Table27[[#This Row],[Location 
(drop-down)]],'List source'!D$2:E$60,2,FALSE)</f>
        <v>132</v>
      </c>
      <c r="C332" s="222" t="s">
        <v>1090</v>
      </c>
      <c r="D332" s="30" t="str">
        <f t="shared" si="10"/>
        <v>PTO331-132-24</v>
      </c>
      <c r="E332" s="9" t="s">
        <v>1091</v>
      </c>
      <c r="F332" s="10" t="s">
        <v>1092</v>
      </c>
      <c r="G332" s="9" t="s">
        <v>1093</v>
      </c>
      <c r="H332" s="10">
        <v>2.0099999999999998</v>
      </c>
      <c r="I332" s="12">
        <v>45413</v>
      </c>
      <c r="J332" s="12" t="s">
        <v>495</v>
      </c>
      <c r="K332" s="77">
        <v>45413</v>
      </c>
      <c r="L332" s="10" t="s">
        <v>496</v>
      </c>
      <c r="M332" s="427">
        <v>331</v>
      </c>
      <c r="N332" s="13" t="str">
        <f t="shared" ca="1" si="11"/>
        <v>CLOSED</v>
      </c>
    </row>
    <row r="333" spans="1:14" ht="43.2" x14ac:dyDescent="0.3">
      <c r="A333" s="9" t="s">
        <v>186</v>
      </c>
      <c r="B333" s="13">
        <f>VLOOKUP(Table27[[#This Row],[Location 
(drop-down)]],'List source'!D$2:E$60,2,FALSE)</f>
        <v>130</v>
      </c>
      <c r="C333" s="222" t="s">
        <v>1094</v>
      </c>
      <c r="D333" s="30" t="str">
        <f t="shared" si="10"/>
        <v>PTO332-130-24</v>
      </c>
      <c r="E333" s="9" t="s">
        <v>1095</v>
      </c>
      <c r="F333" s="10" t="s">
        <v>1096</v>
      </c>
      <c r="G333" s="9" t="s">
        <v>1069</v>
      </c>
      <c r="H333" s="10">
        <v>2.02</v>
      </c>
      <c r="I333" s="12">
        <v>45413</v>
      </c>
      <c r="J333" s="12" t="s">
        <v>495</v>
      </c>
      <c r="K333" s="77">
        <v>45413</v>
      </c>
      <c r="L333" s="10" t="s">
        <v>496</v>
      </c>
      <c r="M333" s="427">
        <v>332</v>
      </c>
      <c r="N333" s="13" t="str">
        <f t="shared" ca="1" si="11"/>
        <v>CLOSED</v>
      </c>
    </row>
    <row r="334" spans="1:14" ht="43.2" x14ac:dyDescent="0.3">
      <c r="A334" s="9" t="s">
        <v>264</v>
      </c>
      <c r="B334" s="13">
        <f>VLOOKUP(Table27[[#This Row],[Location 
(drop-down)]],'List source'!D$2:E$60,2,FALSE)</f>
        <v>132</v>
      </c>
      <c r="C334" s="222" t="s">
        <v>1097</v>
      </c>
      <c r="D334" s="30" t="str">
        <f t="shared" si="10"/>
        <v>PTO333-132-24</v>
      </c>
      <c r="E334" s="9" t="s">
        <v>1098</v>
      </c>
      <c r="F334" s="10" t="s">
        <v>1096</v>
      </c>
      <c r="G3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34" s="10">
        <v>2.08</v>
      </c>
      <c r="I334" s="12">
        <v>45413</v>
      </c>
      <c r="J334" s="12" t="s">
        <v>495</v>
      </c>
      <c r="K334" s="77">
        <v>45413</v>
      </c>
      <c r="L334" s="10" t="s">
        <v>496</v>
      </c>
      <c r="M334" s="427">
        <v>333</v>
      </c>
      <c r="N334" s="13" t="str">
        <f t="shared" ca="1" si="11"/>
        <v>CLOSED</v>
      </c>
    </row>
    <row r="335" spans="1:14" ht="18" x14ac:dyDescent="0.3">
      <c r="A335" s="9" t="s">
        <v>186</v>
      </c>
      <c r="B335" s="13">
        <f>VLOOKUP(Table27[[#This Row],[Location 
(drop-down)]],'List source'!D$2:E$60,2,FALSE)</f>
        <v>130</v>
      </c>
      <c r="C335" s="222" t="s">
        <v>1099</v>
      </c>
      <c r="D335" s="30" t="str">
        <f t="shared" si="10"/>
        <v>PTO334-130-24</v>
      </c>
      <c r="E335" s="9" t="s">
        <v>1100</v>
      </c>
      <c r="F335" s="10" t="s">
        <v>1101</v>
      </c>
      <c r="G3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335" s="10">
        <v>-2.35</v>
      </c>
      <c r="I335" s="12">
        <v>45413</v>
      </c>
      <c r="J335" s="12" t="s">
        <v>182</v>
      </c>
      <c r="K335" s="77">
        <v>45533</v>
      </c>
      <c r="L335" s="10"/>
      <c r="M335" s="427">
        <v>334</v>
      </c>
      <c r="N335" s="13" t="str">
        <f t="shared" ca="1" si="11"/>
        <v>CLOSED</v>
      </c>
    </row>
    <row r="336" spans="1:14" ht="43.2" x14ac:dyDescent="0.3">
      <c r="A336" s="9" t="s">
        <v>264</v>
      </c>
      <c r="B336" s="13">
        <f>VLOOKUP(Table27[[#This Row],[Location 
(drop-down)]],'List source'!D$2:E$60,2,FALSE)</f>
        <v>132</v>
      </c>
      <c r="C336" s="222" t="s">
        <v>1102</v>
      </c>
      <c r="D336" s="30" t="str">
        <f t="shared" si="10"/>
        <v>PTO335-132-24</v>
      </c>
      <c r="E336" s="9" t="s">
        <v>1103</v>
      </c>
      <c r="F336" s="10" t="s">
        <v>1101</v>
      </c>
      <c r="G336" s="9" t="s">
        <v>1104</v>
      </c>
      <c r="H336" s="10">
        <v>2.1800000000000002</v>
      </c>
      <c r="I336" s="12">
        <v>45413</v>
      </c>
      <c r="J336" s="12" t="s">
        <v>495</v>
      </c>
      <c r="K336" s="77">
        <v>45413</v>
      </c>
      <c r="L336" s="10" t="s">
        <v>496</v>
      </c>
      <c r="M336" s="427">
        <v>335</v>
      </c>
      <c r="N336" s="13" t="str">
        <f t="shared" ca="1" si="11"/>
        <v>CLOSED</v>
      </c>
    </row>
    <row r="337" spans="1:14" ht="18" x14ac:dyDescent="0.3">
      <c r="A337" s="9" t="s">
        <v>186</v>
      </c>
      <c r="B337" s="13">
        <f>VLOOKUP(Table27[[#This Row],[Location 
(drop-down)]],'List source'!D$2:E$60,2,FALSE)</f>
        <v>130</v>
      </c>
      <c r="C337" s="222" t="s">
        <v>1105</v>
      </c>
      <c r="D337" s="30" t="str">
        <f t="shared" si="10"/>
        <v>PTO336-130-24</v>
      </c>
      <c r="E337" s="9" t="s">
        <v>1106</v>
      </c>
      <c r="F337" s="10" t="s">
        <v>1107</v>
      </c>
      <c r="G3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37" s="10">
        <v>-16.440000000000001</v>
      </c>
      <c r="I337" s="12">
        <v>45413</v>
      </c>
      <c r="J337" s="12" t="s">
        <v>495</v>
      </c>
      <c r="K337" s="77">
        <v>45414</v>
      </c>
      <c r="L337" s="10" t="s">
        <v>653</v>
      </c>
      <c r="M337" s="427">
        <v>336</v>
      </c>
      <c r="N337" s="13" t="str">
        <f t="shared" ca="1" si="11"/>
        <v>CLOSED</v>
      </c>
    </row>
    <row r="338" spans="1:14" ht="18" x14ac:dyDescent="0.3">
      <c r="A338" s="9" t="s">
        <v>186</v>
      </c>
      <c r="B338" s="13">
        <f>VLOOKUP(Table27[[#This Row],[Location 
(drop-down)]],'List source'!D$2:E$60,2,FALSE)</f>
        <v>130</v>
      </c>
      <c r="C338" s="222" t="s">
        <v>1108</v>
      </c>
      <c r="D338" s="30" t="str">
        <f t="shared" si="10"/>
        <v>PTO337-130-24</v>
      </c>
      <c r="E338" s="9" t="s">
        <v>1109</v>
      </c>
      <c r="F338" s="10" t="s">
        <v>1107</v>
      </c>
      <c r="G3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38" s="10">
        <v>8.36</v>
      </c>
      <c r="I338" s="12">
        <v>45413</v>
      </c>
      <c r="J338" s="12" t="s">
        <v>495</v>
      </c>
      <c r="K338" s="77">
        <v>45414</v>
      </c>
      <c r="L338" s="10" t="s">
        <v>510</v>
      </c>
      <c r="M338" s="427">
        <v>337</v>
      </c>
      <c r="N338" s="13" t="str">
        <f t="shared" ca="1" si="11"/>
        <v>CLOSED</v>
      </c>
    </row>
    <row r="339" spans="1:14" ht="43.2" x14ac:dyDescent="0.3">
      <c r="A339" s="9" t="s">
        <v>264</v>
      </c>
      <c r="B339" s="13">
        <f>VLOOKUP(Table27[[#This Row],[Location 
(drop-down)]],'List source'!D$2:E$60,2,FALSE)</f>
        <v>132</v>
      </c>
      <c r="C339" s="222" t="s">
        <v>1110</v>
      </c>
      <c r="D339" s="30" t="str">
        <f t="shared" si="10"/>
        <v>PTO338-132-24</v>
      </c>
      <c r="E339" s="9" t="s">
        <v>1111</v>
      </c>
      <c r="F339" s="10" t="s">
        <v>1107</v>
      </c>
      <c r="G339" s="9" t="s">
        <v>1069</v>
      </c>
      <c r="H339" s="10"/>
      <c r="I339" s="12">
        <v>45413</v>
      </c>
      <c r="J339" s="12" t="s">
        <v>495</v>
      </c>
      <c r="K339" s="77">
        <v>45413</v>
      </c>
      <c r="L339" s="10" t="s">
        <v>496</v>
      </c>
      <c r="M339" s="427">
        <v>338</v>
      </c>
      <c r="N339" s="13" t="str">
        <f t="shared" ca="1" si="11"/>
        <v>CLOSED</v>
      </c>
    </row>
    <row r="340" spans="1:14" ht="18" x14ac:dyDescent="0.3">
      <c r="A340" s="9" t="s">
        <v>264</v>
      </c>
      <c r="B340" s="13">
        <f>VLOOKUP(Table27[[#This Row],[Location 
(drop-down)]],'List source'!D$2:E$60,2,FALSE)</f>
        <v>132</v>
      </c>
      <c r="C340" s="222" t="s">
        <v>1112</v>
      </c>
      <c r="D340" s="30" t="str">
        <f t="shared" si="10"/>
        <v>PTO339-132-24</v>
      </c>
      <c r="E340" s="9" t="s">
        <v>1113</v>
      </c>
      <c r="F340" s="10" t="s">
        <v>1107</v>
      </c>
      <c r="G3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340" s="39" t="s">
        <v>1114</v>
      </c>
      <c r="I340" s="12">
        <v>45413</v>
      </c>
      <c r="J340" s="12" t="s">
        <v>54</v>
      </c>
      <c r="K340" s="77">
        <v>45754</v>
      </c>
      <c r="L340" s="10"/>
      <c r="M340" s="427">
        <v>339</v>
      </c>
      <c r="N340" s="13" t="str">
        <f t="shared" ca="1" si="11"/>
        <v>CLOSED</v>
      </c>
    </row>
    <row r="341" spans="1:14" ht="43.2" x14ac:dyDescent="0.3">
      <c r="A341" s="9" t="s">
        <v>264</v>
      </c>
      <c r="B341" s="13">
        <f>VLOOKUP(Table27[[#This Row],[Location 
(drop-down)]],'List source'!D$2:E$60,2,FALSE)</f>
        <v>132</v>
      </c>
      <c r="C341" s="222" t="s">
        <v>1115</v>
      </c>
      <c r="D341" s="30" t="str">
        <f t="shared" si="10"/>
        <v>PTO340-132-24</v>
      </c>
      <c r="E341" s="9" t="s">
        <v>1116</v>
      </c>
      <c r="F341" s="10" t="s">
        <v>1107</v>
      </c>
      <c r="G341" s="9" t="s">
        <v>1117</v>
      </c>
      <c r="H341" s="10"/>
      <c r="I341" s="12">
        <v>45413</v>
      </c>
      <c r="J341" s="12" t="s">
        <v>495</v>
      </c>
      <c r="K341" s="77">
        <v>45413</v>
      </c>
      <c r="L341" s="10" t="s">
        <v>496</v>
      </c>
      <c r="M341" s="427">
        <v>340</v>
      </c>
      <c r="N341" s="13" t="str">
        <f t="shared" ca="1" si="11"/>
        <v>CLOSED</v>
      </c>
    </row>
    <row r="342" spans="1:14" ht="18" x14ac:dyDescent="0.3">
      <c r="A342" s="9" t="s">
        <v>186</v>
      </c>
      <c r="B342" s="13">
        <f>VLOOKUP(Table27[[#This Row],[Location 
(drop-down)]],'List source'!D$2:E$60,2,FALSE)</f>
        <v>130</v>
      </c>
      <c r="C342" s="222" t="s">
        <v>1118</v>
      </c>
      <c r="D342" s="30" t="str">
        <f t="shared" si="10"/>
        <v>PTO341-130-24</v>
      </c>
      <c r="E342" s="9" t="s">
        <v>1119</v>
      </c>
      <c r="F342" s="10" t="s">
        <v>1120</v>
      </c>
      <c r="G3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Gravity</v>
      </c>
      <c r="H342" s="39" t="s">
        <v>1121</v>
      </c>
      <c r="I342" s="12">
        <v>45413</v>
      </c>
      <c r="J342" s="12" t="s">
        <v>54</v>
      </c>
      <c r="K342" s="77">
        <v>45511</v>
      </c>
      <c r="L342" s="10"/>
      <c r="M342" s="427">
        <v>341</v>
      </c>
      <c r="N342" s="13" t="str">
        <f t="shared" ca="1" si="11"/>
        <v>CLOSED</v>
      </c>
    </row>
    <row r="343" spans="1:14" ht="18" x14ac:dyDescent="0.3">
      <c r="A343" s="9" t="s">
        <v>264</v>
      </c>
      <c r="B343" s="13">
        <f>VLOOKUP(Table27[[#This Row],[Location 
(drop-down)]],'List source'!D$2:E$60,2,FALSE)</f>
        <v>132</v>
      </c>
      <c r="C343" s="222" t="s">
        <v>1122</v>
      </c>
      <c r="D343" s="30" t="str">
        <f t="shared" si="10"/>
        <v>PTO342-132-24</v>
      </c>
      <c r="E343" s="9" t="s">
        <v>1123</v>
      </c>
      <c r="F343" s="10" t="s">
        <v>1124</v>
      </c>
      <c r="G3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Sulfur D7039</v>
      </c>
      <c r="H343" s="39" t="s">
        <v>1125</v>
      </c>
      <c r="I343" s="12">
        <v>45413</v>
      </c>
      <c r="J343" s="12" t="s">
        <v>54</v>
      </c>
      <c r="K343" s="77">
        <v>45838</v>
      </c>
      <c r="L343" s="10"/>
      <c r="M343" s="427">
        <v>342</v>
      </c>
      <c r="N343" s="13" t="str">
        <f t="shared" ca="1" si="11"/>
        <v>CLOSED</v>
      </c>
    </row>
    <row r="344" spans="1:14" ht="43.2" x14ac:dyDescent="0.3">
      <c r="A344" s="9" t="s">
        <v>207</v>
      </c>
      <c r="B344" s="13">
        <f>VLOOKUP(Table27[[#This Row],[Location 
(drop-down)]],'List source'!D$2:E$60,2,FALSE)</f>
        <v>189</v>
      </c>
      <c r="C344" s="222" t="s">
        <v>1126</v>
      </c>
      <c r="D344" s="30" t="str">
        <f t="shared" si="10"/>
        <v>PTO343-189-24</v>
      </c>
      <c r="E344" s="9" t="s">
        <v>1127</v>
      </c>
      <c r="F344" s="10" t="s">
        <v>1128</v>
      </c>
      <c r="G3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44" s="10">
        <v>2.08</v>
      </c>
      <c r="I344" s="12">
        <v>45415</v>
      </c>
      <c r="J344" s="12" t="s">
        <v>495</v>
      </c>
      <c r="K344" s="77">
        <v>45415</v>
      </c>
      <c r="L344" s="10" t="s">
        <v>496</v>
      </c>
      <c r="M344" s="427">
        <v>343</v>
      </c>
      <c r="N344" s="13" t="str">
        <f t="shared" ca="1" si="11"/>
        <v>CLOSED</v>
      </c>
    </row>
    <row r="345" spans="1:14" ht="18" x14ac:dyDescent="0.3">
      <c r="A345" s="9" t="s">
        <v>130</v>
      </c>
      <c r="B345" s="13">
        <f>VLOOKUP(Table27[[#This Row],[Location 
(drop-down)]],'List source'!D$2:E$60,2,FALSE)</f>
        <v>194</v>
      </c>
      <c r="C345" s="222" t="s">
        <v>1129</v>
      </c>
      <c r="D345" s="30" t="str">
        <f t="shared" si="10"/>
        <v>PTO344-194-24</v>
      </c>
      <c r="E345" s="9" t="s">
        <v>1130</v>
      </c>
      <c r="F345" s="10" t="s">
        <v>1128</v>
      </c>
      <c r="G3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45" s="39" t="s">
        <v>1131</v>
      </c>
      <c r="I345" s="12">
        <v>45415</v>
      </c>
      <c r="J345" s="12" t="s">
        <v>495</v>
      </c>
      <c r="K345" s="77">
        <v>45415</v>
      </c>
      <c r="L345" s="10" t="s">
        <v>510</v>
      </c>
      <c r="M345" s="427">
        <v>344</v>
      </c>
      <c r="N345" s="13" t="str">
        <f t="shared" ca="1" si="11"/>
        <v>CLOSED</v>
      </c>
    </row>
    <row r="346" spans="1:14" ht="43.2" x14ac:dyDescent="0.3">
      <c r="A346" s="9" t="s">
        <v>288</v>
      </c>
      <c r="B346" s="13">
        <f>VLOOKUP(Table27[[#This Row],[Location 
(drop-down)]],'List source'!D$2:E$60,2,FALSE)</f>
        <v>197</v>
      </c>
      <c r="C346" s="222" t="s">
        <v>1132</v>
      </c>
      <c r="D346" s="30" t="str">
        <f t="shared" si="10"/>
        <v>PTO345-197-24</v>
      </c>
      <c r="E346" s="9" t="s">
        <v>1133</v>
      </c>
      <c r="F346" s="10" t="s">
        <v>1128</v>
      </c>
      <c r="G3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46" s="10" t="s">
        <v>1134</v>
      </c>
      <c r="I346" s="12">
        <v>45415</v>
      </c>
      <c r="J346" s="12" t="s">
        <v>495</v>
      </c>
      <c r="K346" s="77">
        <v>45415</v>
      </c>
      <c r="L346" s="10" t="s">
        <v>496</v>
      </c>
      <c r="M346" s="427">
        <v>345</v>
      </c>
      <c r="N346" s="13" t="str">
        <f t="shared" ca="1" si="11"/>
        <v>CLOSED</v>
      </c>
    </row>
    <row r="347" spans="1:14" ht="43.2" x14ac:dyDescent="0.3">
      <c r="A347" s="9" t="s">
        <v>288</v>
      </c>
      <c r="B347" s="13">
        <f>VLOOKUP(Table27[[#This Row],[Location 
(drop-down)]],'List source'!D$2:E$60,2,FALSE)</f>
        <v>197</v>
      </c>
      <c r="C347" s="222" t="s">
        <v>1135</v>
      </c>
      <c r="D347" s="30" t="str">
        <f t="shared" si="10"/>
        <v>PTO346-197-24</v>
      </c>
      <c r="E347" s="9" t="s">
        <v>1136</v>
      </c>
      <c r="F347" s="10" t="s">
        <v>1128</v>
      </c>
      <c r="G3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No.14.3 - HC Type - Aromatics</v>
      </c>
      <c r="H347" s="39" t="s">
        <v>1137</v>
      </c>
      <c r="I347" s="12">
        <v>45415</v>
      </c>
      <c r="J347" s="12" t="s">
        <v>495</v>
      </c>
      <c r="K347" s="77">
        <v>45415</v>
      </c>
      <c r="L347" s="10" t="s">
        <v>496</v>
      </c>
      <c r="M347" s="427">
        <v>346</v>
      </c>
      <c r="N347" s="13" t="str">
        <f t="shared" ca="1" si="11"/>
        <v>CLOSED</v>
      </c>
    </row>
    <row r="348" spans="1:14" ht="18" x14ac:dyDescent="0.3">
      <c r="A348" s="9" t="s">
        <v>288</v>
      </c>
      <c r="B348" s="13">
        <f>VLOOKUP(Table27[[#This Row],[Location 
(drop-down)]],'List source'!D$2:E$60,2,FALSE)</f>
        <v>197</v>
      </c>
      <c r="C348" s="222" t="s">
        <v>1138</v>
      </c>
      <c r="D348" s="30" t="str">
        <f t="shared" si="10"/>
        <v>PTO347-197-24</v>
      </c>
      <c r="E348" s="9" t="s">
        <v>1139</v>
      </c>
      <c r="F348" s="10" t="s">
        <v>1128</v>
      </c>
      <c r="G3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48" s="39" t="s">
        <v>1140</v>
      </c>
      <c r="I348" s="12">
        <v>45415</v>
      </c>
      <c r="J348" s="12" t="s">
        <v>495</v>
      </c>
      <c r="K348" s="77">
        <v>45419</v>
      </c>
      <c r="L348" s="10" t="s">
        <v>510</v>
      </c>
      <c r="M348" s="427">
        <v>347</v>
      </c>
      <c r="N348" s="13" t="str">
        <f t="shared" ca="1" si="11"/>
        <v>CLOSED</v>
      </c>
    </row>
    <row r="349" spans="1:14" ht="43.2" x14ac:dyDescent="0.3">
      <c r="A349" s="9" t="s">
        <v>288</v>
      </c>
      <c r="B349" s="13">
        <f>VLOOKUP(Table27[[#This Row],[Location 
(drop-down)]],'List source'!D$2:E$60,2,FALSE)</f>
        <v>197</v>
      </c>
      <c r="C349" s="222" t="s">
        <v>1141</v>
      </c>
      <c r="D349" s="30" t="str">
        <f t="shared" si="10"/>
        <v>PTO348-197-24</v>
      </c>
      <c r="E349" s="9" t="s">
        <v>1142</v>
      </c>
      <c r="F349" s="10" t="s">
        <v>1128</v>
      </c>
      <c r="G349" s="9" t="s">
        <v>1143</v>
      </c>
      <c r="H349" s="39" t="s">
        <v>895</v>
      </c>
      <c r="I349" s="12">
        <v>45415</v>
      </c>
      <c r="J349" s="12" t="s">
        <v>495</v>
      </c>
      <c r="K349" s="77">
        <v>45415</v>
      </c>
      <c r="L349" s="10" t="s">
        <v>496</v>
      </c>
      <c r="M349" s="427">
        <v>348</v>
      </c>
      <c r="N349" s="13" t="str">
        <f t="shared" ca="1" si="11"/>
        <v>CLOSED</v>
      </c>
    </row>
    <row r="350" spans="1:14" ht="18" x14ac:dyDescent="0.3">
      <c r="A350" s="9" t="s">
        <v>166</v>
      </c>
      <c r="B350" s="13">
        <f>VLOOKUP(Table27[[#This Row],[Location 
(drop-down)]],'List source'!D$2:E$60,2,FALSE)</f>
        <v>198</v>
      </c>
      <c r="C350" s="222" t="s">
        <v>1144</v>
      </c>
      <c r="D350" s="30" t="str">
        <f t="shared" si="10"/>
        <v>PTO349-198-24</v>
      </c>
      <c r="E350" s="9" t="s">
        <v>1145</v>
      </c>
      <c r="F350" s="10" t="s">
        <v>1128</v>
      </c>
      <c r="G350" s="9" t="s">
        <v>1146</v>
      </c>
      <c r="H350" s="10">
        <v>2.35</v>
      </c>
      <c r="I350" s="12">
        <v>45415</v>
      </c>
      <c r="J350" s="12" t="s">
        <v>41</v>
      </c>
      <c r="K350" s="77">
        <v>45636</v>
      </c>
      <c r="L350" s="10"/>
      <c r="M350" s="427">
        <v>349</v>
      </c>
      <c r="N350" s="13" t="str">
        <f t="shared" ca="1" si="11"/>
        <v>CLOSED</v>
      </c>
    </row>
    <row r="351" spans="1:14" ht="43.2" x14ac:dyDescent="0.3">
      <c r="A351" s="9" t="s">
        <v>166</v>
      </c>
      <c r="B351" s="13">
        <f>VLOOKUP(Table27[[#This Row],[Location 
(drop-down)]],'List source'!D$2:E$60,2,FALSE)</f>
        <v>198</v>
      </c>
      <c r="C351" s="222" t="s">
        <v>1147</v>
      </c>
      <c r="D351" s="30" t="str">
        <f t="shared" si="10"/>
        <v>PTO350-198-24</v>
      </c>
      <c r="E351" s="192" t="s">
        <v>1148</v>
      </c>
      <c r="F351" s="89" t="s">
        <v>1128</v>
      </c>
      <c r="G351" s="192" t="s">
        <v>889</v>
      </c>
      <c r="H351" s="89">
        <v>2.17</v>
      </c>
      <c r="I351" s="12">
        <v>45415</v>
      </c>
      <c r="J351" s="12" t="s">
        <v>495</v>
      </c>
      <c r="K351" s="77">
        <v>45415</v>
      </c>
      <c r="L351" s="10" t="s">
        <v>496</v>
      </c>
      <c r="M351" s="427">
        <v>350</v>
      </c>
      <c r="N351" s="13" t="str">
        <f t="shared" ca="1" si="11"/>
        <v>CLOSED</v>
      </c>
    </row>
    <row r="352" spans="1:14" ht="43.2" x14ac:dyDescent="0.3">
      <c r="A352" s="9" t="s">
        <v>288</v>
      </c>
      <c r="B352" s="13">
        <f>VLOOKUP(Table27[[#This Row],[Location 
(drop-down)]],'List source'!D$2:E$60,2,FALSE)</f>
        <v>197</v>
      </c>
      <c r="C352" s="222" t="s">
        <v>1149</v>
      </c>
      <c r="D352" s="30" t="str">
        <f t="shared" si="10"/>
        <v>PTO351-197-24</v>
      </c>
      <c r="E352" s="192" t="s">
        <v>1150</v>
      </c>
      <c r="F352" s="89" t="s">
        <v>1151</v>
      </c>
      <c r="G352"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52" s="197" t="s">
        <v>892</v>
      </c>
      <c r="I352" s="12">
        <v>45415</v>
      </c>
      <c r="J352" s="12" t="s">
        <v>495</v>
      </c>
      <c r="K352" s="77">
        <v>45415</v>
      </c>
      <c r="L352" s="10" t="s">
        <v>496</v>
      </c>
      <c r="M352" s="427">
        <v>351</v>
      </c>
      <c r="N352" s="13" t="str">
        <f t="shared" ca="1" si="11"/>
        <v>CLOSED</v>
      </c>
    </row>
    <row r="353" spans="1:14" s="308" customFormat="1" ht="18" x14ac:dyDescent="0.3">
      <c r="A353" s="235" t="s">
        <v>288</v>
      </c>
      <c r="B353" s="236">
        <f>VLOOKUP(Table27[[#This Row],[Location 
(drop-down)]],'List source'!D$2:E$60,2,FALSE)</f>
        <v>197</v>
      </c>
      <c r="C353" s="262" t="s">
        <v>1152</v>
      </c>
      <c r="D353" s="238" t="str">
        <f t="shared" si="10"/>
        <v>PTO352-197-24</v>
      </c>
      <c r="E353" s="306" t="s">
        <v>1153</v>
      </c>
      <c r="F353" s="307" t="s">
        <v>1151</v>
      </c>
      <c r="G353" s="30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No.14.3 - Olefins</v>
      </c>
      <c r="H353" s="307">
        <v>9.31</v>
      </c>
      <c r="I353" s="264">
        <v>45415</v>
      </c>
      <c r="J353" s="264"/>
      <c r="K353" s="250">
        <v>45672</v>
      </c>
      <c r="L353" s="263"/>
      <c r="M353" s="430">
        <v>352</v>
      </c>
      <c r="N353" s="13" t="str">
        <f t="shared" ca="1" si="11"/>
        <v>CLOSED</v>
      </c>
    </row>
    <row r="354" spans="1:14" ht="18" x14ac:dyDescent="0.3">
      <c r="A354" s="9" t="s">
        <v>166</v>
      </c>
      <c r="B354" s="13">
        <f>VLOOKUP(Table27[[#This Row],[Location 
(drop-down)]],'List source'!D$2:E$60,2,FALSE)</f>
        <v>198</v>
      </c>
      <c r="C354" s="222" t="s">
        <v>1154</v>
      </c>
      <c r="D354" s="30" t="str">
        <f t="shared" si="10"/>
        <v>PTO353-198-24</v>
      </c>
      <c r="E354" s="192" t="s">
        <v>1155</v>
      </c>
      <c r="F354" s="89" t="s">
        <v>1151</v>
      </c>
      <c r="G354"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No.14.3 - Olefins</v>
      </c>
      <c r="H354" s="89">
        <v>2.5499999999999998</v>
      </c>
      <c r="I354" s="12">
        <v>45415</v>
      </c>
      <c r="J354" s="12" t="s">
        <v>495</v>
      </c>
      <c r="K354" s="77">
        <v>45420</v>
      </c>
      <c r="L354" s="10" t="s">
        <v>510</v>
      </c>
      <c r="M354" s="427">
        <v>353</v>
      </c>
      <c r="N354" s="13" t="str">
        <f t="shared" ca="1" si="11"/>
        <v>CLOSED</v>
      </c>
    </row>
    <row r="355" spans="1:14" ht="43.2" x14ac:dyDescent="0.3">
      <c r="A355" s="9" t="s">
        <v>166</v>
      </c>
      <c r="B355" s="13">
        <f>VLOOKUP(Table27[[#This Row],[Location 
(drop-down)]],'List source'!D$2:E$60,2,FALSE)</f>
        <v>198</v>
      </c>
      <c r="C355" s="222" t="s">
        <v>1156</v>
      </c>
      <c r="D355" s="30" t="str">
        <f t="shared" si="10"/>
        <v>PTO354-198-24</v>
      </c>
      <c r="E355" s="192" t="s">
        <v>1157</v>
      </c>
      <c r="F355" s="89" t="s">
        <v>1151</v>
      </c>
      <c r="G355" s="389" t="s">
        <v>1158</v>
      </c>
      <c r="H355" s="89">
        <v>2.36</v>
      </c>
      <c r="I355" s="12">
        <v>45415</v>
      </c>
      <c r="J355" s="12" t="s">
        <v>495</v>
      </c>
      <c r="K355" s="77">
        <v>45415</v>
      </c>
      <c r="L355" s="10" t="s">
        <v>496</v>
      </c>
      <c r="M355" s="427">
        <v>354</v>
      </c>
      <c r="N355" s="13" t="str">
        <f t="shared" ca="1" si="11"/>
        <v>CLOSED</v>
      </c>
    </row>
    <row r="356" spans="1:14" ht="18" x14ac:dyDescent="0.3">
      <c r="A356" s="9" t="s">
        <v>264</v>
      </c>
      <c r="B356" s="13">
        <f>VLOOKUP(Table27[[#This Row],[Location 
(drop-down)]],'List source'!D$2:E$60,2,FALSE)</f>
        <v>132</v>
      </c>
      <c r="C356" s="222" t="s">
        <v>1159</v>
      </c>
      <c r="D356" s="30" t="str">
        <f t="shared" si="10"/>
        <v>PTO355-132-24</v>
      </c>
      <c r="E356" s="9" t="s">
        <v>1160</v>
      </c>
      <c r="F356" s="10" t="s">
        <v>1096</v>
      </c>
      <c r="G3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356" s="39" t="s">
        <v>1161</v>
      </c>
      <c r="I356" s="12">
        <v>45417</v>
      </c>
      <c r="J356" s="12" t="s">
        <v>54</v>
      </c>
      <c r="K356" s="77">
        <v>45779</v>
      </c>
      <c r="L356" s="10"/>
      <c r="M356" s="427">
        <v>355</v>
      </c>
      <c r="N356" s="13" t="str">
        <f t="shared" ca="1" si="11"/>
        <v>CLOSED</v>
      </c>
    </row>
    <row r="357" spans="1:14" ht="18" x14ac:dyDescent="0.3">
      <c r="A357" s="9" t="s">
        <v>107</v>
      </c>
      <c r="B357" s="13">
        <f>VLOOKUP(Table27[[#This Row],[Location 
(drop-down)]],'List source'!D$2:E$60,2,FALSE)</f>
        <v>120</v>
      </c>
      <c r="C357" s="222" t="s">
        <v>1162</v>
      </c>
      <c r="D357" s="30" t="str">
        <f t="shared" si="10"/>
        <v>PTO356-120-24</v>
      </c>
      <c r="E357" s="9" t="s">
        <v>1163</v>
      </c>
      <c r="F357" s="10" t="str" cm="1">
        <f t="array" aca="1" ref="F3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357" s="10">
        <v>-2.2999999999999998</v>
      </c>
      <c r="I357" s="12">
        <v>45418</v>
      </c>
      <c r="J357" s="12" t="s">
        <v>495</v>
      </c>
      <c r="K357" s="77">
        <v>45418</v>
      </c>
      <c r="L357" s="10" t="s">
        <v>510</v>
      </c>
      <c r="M357" s="427">
        <v>356</v>
      </c>
      <c r="N357" s="13" t="str">
        <f t="shared" ca="1" si="11"/>
        <v>CLOSED</v>
      </c>
    </row>
    <row r="358" spans="1:14" ht="43.2" x14ac:dyDescent="0.3">
      <c r="A358" s="9" t="s">
        <v>153</v>
      </c>
      <c r="B358" s="13">
        <f>VLOOKUP(Table27[[#This Row],[Location 
(drop-down)]],'List source'!D$2:E$60,2,FALSE)</f>
        <v>126</v>
      </c>
      <c r="C358" s="222" t="s">
        <v>1164</v>
      </c>
      <c r="D358" s="30" t="str">
        <f t="shared" si="10"/>
        <v>PTO357-126-24</v>
      </c>
      <c r="E358" s="9" t="s">
        <v>1165</v>
      </c>
      <c r="F358" s="10" t="str" cm="1">
        <f t="array" aca="1" ref="F3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58" s="10">
        <v>2.41</v>
      </c>
      <c r="I358" s="12">
        <v>45418</v>
      </c>
      <c r="J358" s="12" t="s">
        <v>495</v>
      </c>
      <c r="K358" s="77">
        <v>45418</v>
      </c>
      <c r="L358" s="10" t="s">
        <v>496</v>
      </c>
      <c r="M358" s="427">
        <v>357</v>
      </c>
      <c r="N358" s="13" t="str">
        <f t="shared" ca="1" si="11"/>
        <v>CLOSED</v>
      </c>
    </row>
    <row r="359" spans="1:14" ht="28.8" x14ac:dyDescent="0.3">
      <c r="A359" s="9" t="s">
        <v>153</v>
      </c>
      <c r="B359" s="13">
        <f>VLOOKUP(Table27[[#This Row],[Location 
(drop-down)]],'List source'!D$2:E$60,2,FALSE)</f>
        <v>126</v>
      </c>
      <c r="C359" s="222" t="s">
        <v>1166</v>
      </c>
      <c r="D359" s="30" t="str">
        <f t="shared" si="10"/>
        <v>PTO358-126-24</v>
      </c>
      <c r="E359" s="9" t="s">
        <v>1167</v>
      </c>
      <c r="F359" s="10" t="str" cm="1">
        <f t="array" aca="1" ref="F3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359" s="10">
        <v>2.11</v>
      </c>
      <c r="I359" s="12">
        <v>45418</v>
      </c>
      <c r="J359" s="12" t="s">
        <v>498</v>
      </c>
      <c r="K359" s="77">
        <v>45635</v>
      </c>
      <c r="L359" s="10"/>
      <c r="M359" s="427">
        <v>358</v>
      </c>
      <c r="N359" s="13" t="str">
        <f t="shared" ca="1" si="11"/>
        <v>CLOSED</v>
      </c>
    </row>
    <row r="360" spans="1:14" ht="43.2" x14ac:dyDescent="0.3">
      <c r="A360" s="9" t="s">
        <v>186</v>
      </c>
      <c r="B360" s="13">
        <f>VLOOKUP(Table27[[#This Row],[Location 
(drop-down)]],'List source'!D$2:E$60,2,FALSE)</f>
        <v>130</v>
      </c>
      <c r="C360" s="222" t="s">
        <v>1168</v>
      </c>
      <c r="D360" s="30" t="str">
        <f t="shared" si="10"/>
        <v>PTO359-130-24</v>
      </c>
      <c r="E360" s="192" t="s">
        <v>1169</v>
      </c>
      <c r="F360" s="89" t="str" cm="1">
        <f t="array" aca="1" ref="F3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0"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360" s="89">
        <v>2.1800000000000002</v>
      </c>
      <c r="I360" s="12">
        <v>45418</v>
      </c>
      <c r="J360" s="12" t="s">
        <v>495</v>
      </c>
      <c r="K360" s="77">
        <v>45418</v>
      </c>
      <c r="L360" s="10" t="s">
        <v>496</v>
      </c>
      <c r="M360" s="427">
        <v>359</v>
      </c>
      <c r="N360" s="13" t="str">
        <f t="shared" ca="1" si="11"/>
        <v>CLOSED</v>
      </c>
    </row>
    <row r="361" spans="1:14" ht="18" x14ac:dyDescent="0.3">
      <c r="A361" s="9" t="s">
        <v>186</v>
      </c>
      <c r="B361" s="13">
        <f>VLOOKUP(Table27[[#This Row],[Location 
(drop-down)]],'List source'!D$2:E$60,2,FALSE)</f>
        <v>130</v>
      </c>
      <c r="C361" s="222" t="s">
        <v>1170</v>
      </c>
      <c r="D361" s="30" t="str">
        <f t="shared" si="10"/>
        <v>PTO360-130-24</v>
      </c>
      <c r="E361" s="192" t="s">
        <v>1171</v>
      </c>
      <c r="F361" s="89" t="str" cm="1">
        <f t="array" aca="1" ref="F3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1" s="19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61" s="89">
        <v>4.41</v>
      </c>
      <c r="I361" s="12">
        <v>45418</v>
      </c>
      <c r="J361" s="12" t="s">
        <v>495</v>
      </c>
      <c r="K361" s="77">
        <v>45420</v>
      </c>
      <c r="L361" s="10" t="s">
        <v>510</v>
      </c>
      <c r="M361" s="427">
        <v>360</v>
      </c>
      <c r="N361" s="13" t="str">
        <f t="shared" ca="1" si="11"/>
        <v>CLOSED</v>
      </c>
    </row>
    <row r="362" spans="1:14" ht="28.8" x14ac:dyDescent="0.3">
      <c r="A362" s="9" t="s">
        <v>186</v>
      </c>
      <c r="B362" s="13">
        <f>VLOOKUP(Table27[[#This Row],[Location 
(drop-down)]],'List source'!D$2:E$60,2,FALSE)</f>
        <v>130</v>
      </c>
      <c r="C362" s="222" t="s">
        <v>1172</v>
      </c>
      <c r="D362" s="30" t="str">
        <f t="shared" si="10"/>
        <v>PTO361-130-24</v>
      </c>
      <c r="E362" s="9" t="s">
        <v>1173</v>
      </c>
      <c r="F362" s="10" t="str" cm="1">
        <f t="array" aca="1" ref="F3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362" s="10" t="s">
        <v>1174</v>
      </c>
      <c r="I362" s="12">
        <v>45418</v>
      </c>
      <c r="J362" s="12" t="s">
        <v>495</v>
      </c>
      <c r="K362" s="77">
        <v>45418</v>
      </c>
      <c r="L362" s="10" t="s">
        <v>510</v>
      </c>
      <c r="M362" s="427">
        <v>361</v>
      </c>
      <c r="N362" s="13" t="str">
        <f t="shared" ca="1" si="11"/>
        <v>CLOSED</v>
      </c>
    </row>
    <row r="363" spans="1:14" ht="43.2" x14ac:dyDescent="0.3">
      <c r="A363" s="9" t="s">
        <v>21</v>
      </c>
      <c r="B363" s="13">
        <f>VLOOKUP(Table27[[#This Row],[Location 
(drop-down)]],'List source'!D$2:E$60,2,FALSE)</f>
        <v>131</v>
      </c>
      <c r="C363" s="222" t="s">
        <v>1175</v>
      </c>
      <c r="D363" s="30" t="str">
        <f t="shared" si="10"/>
        <v>PTO362-131-24</v>
      </c>
      <c r="E363" s="9" t="s">
        <v>1169</v>
      </c>
      <c r="F363" s="10" t="str" cm="1">
        <f t="array" aca="1" ref="F3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363" s="10">
        <v>2.1800000000000002</v>
      </c>
      <c r="I363" s="12">
        <v>45418</v>
      </c>
      <c r="J363" s="12" t="s">
        <v>495</v>
      </c>
      <c r="K363" s="77">
        <v>45418</v>
      </c>
      <c r="L363" s="10" t="s">
        <v>496</v>
      </c>
      <c r="M363" s="427">
        <v>362</v>
      </c>
      <c r="N363" s="13" t="str">
        <f t="shared" ca="1" si="11"/>
        <v>CLOSED</v>
      </c>
    </row>
    <row r="364" spans="1:14" ht="28.8" x14ac:dyDescent="0.3">
      <c r="A364" s="9" t="s">
        <v>264</v>
      </c>
      <c r="B364" s="13">
        <f>VLOOKUP(Table27[[#This Row],[Location 
(drop-down)]],'List source'!D$2:E$60,2,FALSE)</f>
        <v>132</v>
      </c>
      <c r="C364" s="222" t="s">
        <v>1176</v>
      </c>
      <c r="D364" s="30" t="str">
        <f t="shared" si="10"/>
        <v>PTO363-132-24</v>
      </c>
      <c r="E364" s="9" t="s">
        <v>1177</v>
      </c>
      <c r="F364" s="10" t="str" cm="1">
        <f t="array" aca="1" ref="F3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364" s="10" t="s">
        <v>1178</v>
      </c>
      <c r="I364" s="12">
        <v>45418</v>
      </c>
      <c r="J364" s="12" t="s">
        <v>54</v>
      </c>
      <c r="K364" s="77">
        <v>45767</v>
      </c>
      <c r="L364" s="10"/>
      <c r="M364" s="427">
        <v>363</v>
      </c>
      <c r="N364" s="13" t="str">
        <f t="shared" ca="1" si="11"/>
        <v>CLOSED</v>
      </c>
    </row>
    <row r="365" spans="1:14" ht="43.2" x14ac:dyDescent="0.3">
      <c r="A365" s="9" t="s">
        <v>264</v>
      </c>
      <c r="B365" s="13">
        <f>VLOOKUP(Table27[[#This Row],[Location 
(drop-down)]],'List source'!D$2:E$60,2,FALSE)</f>
        <v>132</v>
      </c>
      <c r="C365" s="222" t="s">
        <v>1179</v>
      </c>
      <c r="D365" s="30" t="str">
        <f t="shared" si="10"/>
        <v>PTO364-132-24</v>
      </c>
      <c r="E365" s="9" t="s">
        <v>1180</v>
      </c>
      <c r="F365" s="10" t="str" cm="1">
        <f t="array" aca="1" ref="F3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65" s="10">
        <v>2.5299999999999998</v>
      </c>
      <c r="I365" s="12">
        <v>45418</v>
      </c>
      <c r="J365" s="12" t="s">
        <v>495</v>
      </c>
      <c r="K365" s="77">
        <v>45418</v>
      </c>
      <c r="L365" s="10" t="s">
        <v>496</v>
      </c>
      <c r="M365" s="427">
        <v>364</v>
      </c>
      <c r="N365" s="13" t="str">
        <f t="shared" ca="1" si="11"/>
        <v>CLOSED</v>
      </c>
    </row>
    <row r="366" spans="1:14" ht="28.8" x14ac:dyDescent="0.3">
      <c r="A366" s="9" t="s">
        <v>264</v>
      </c>
      <c r="B366" s="13">
        <f>VLOOKUP(Table27[[#This Row],[Location 
(drop-down)]],'List source'!D$2:E$60,2,FALSE)</f>
        <v>132</v>
      </c>
      <c r="C366" s="222" t="s">
        <v>1181</v>
      </c>
      <c r="D366" s="30" t="str">
        <f t="shared" si="10"/>
        <v>PTO365-132-24</v>
      </c>
      <c r="E366" s="9" t="s">
        <v>1182</v>
      </c>
      <c r="F366" s="10" t="str" cm="1">
        <f t="array" aca="1" ref="F3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D1319-20a &amp; D1319-19 - HC Type</v>
      </c>
      <c r="H366" s="10" t="s">
        <v>529</v>
      </c>
      <c r="I366" s="12">
        <v>45418</v>
      </c>
      <c r="J366" s="12" t="s">
        <v>49</v>
      </c>
      <c r="K366" s="77">
        <v>45546</v>
      </c>
      <c r="L366" s="10"/>
      <c r="M366" s="427">
        <v>365</v>
      </c>
      <c r="N366" s="13" t="str">
        <f t="shared" ca="1" si="11"/>
        <v>CLOSED</v>
      </c>
    </row>
    <row r="367" spans="1:14" ht="28.8" x14ac:dyDescent="0.3">
      <c r="A367" s="189" t="s">
        <v>157</v>
      </c>
      <c r="B367" s="217">
        <f>VLOOKUP(Table27[[#This Row],[Location 
(drop-down)]],'List source'!D$2:E$60,2,FALSE)</f>
        <v>136</v>
      </c>
      <c r="C367" s="251" t="s">
        <v>1183</v>
      </c>
      <c r="D367" s="201" t="str">
        <f t="shared" si="10"/>
        <v>PTO366-136-24</v>
      </c>
      <c r="E367" s="9" t="s">
        <v>1184</v>
      </c>
      <c r="F367" s="10" t="str" cm="1">
        <f t="array" aca="1" ref="F3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367" s="10">
        <v>2.0499999999999998</v>
      </c>
      <c r="I367" s="12">
        <v>45533</v>
      </c>
      <c r="J367" s="234" t="s">
        <v>60</v>
      </c>
      <c r="K367" s="220">
        <v>45692</v>
      </c>
      <c r="L367" s="10"/>
      <c r="M367" s="427">
        <v>366</v>
      </c>
      <c r="N367" s="13" t="str">
        <f t="shared" ca="1" si="11"/>
        <v>CLOSED</v>
      </c>
    </row>
    <row r="368" spans="1:14" ht="28.8" x14ac:dyDescent="0.3">
      <c r="A368" s="9" t="s">
        <v>157</v>
      </c>
      <c r="B368" s="13">
        <f>VLOOKUP(Table27[[#This Row],[Location 
(drop-down)]],'List source'!D$2:E$60,2,FALSE)</f>
        <v>136</v>
      </c>
      <c r="C368" s="222" t="s">
        <v>1185</v>
      </c>
      <c r="D368" s="30" t="str">
        <f t="shared" si="10"/>
        <v>PTO367-136-24</v>
      </c>
      <c r="E368" s="9" t="s">
        <v>1186</v>
      </c>
      <c r="F368" s="10" t="str" cm="1">
        <f t="array" aca="1" ref="F3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368" s="39" t="s">
        <v>1187</v>
      </c>
      <c r="I368" s="12">
        <v>45418</v>
      </c>
      <c r="J368" s="12" t="s">
        <v>501</v>
      </c>
      <c r="K368" s="77">
        <v>45475</v>
      </c>
      <c r="L368" s="10"/>
      <c r="M368" s="427">
        <v>367</v>
      </c>
      <c r="N368" s="13" t="str">
        <f t="shared" ca="1" si="11"/>
        <v>CLOSED</v>
      </c>
    </row>
    <row r="369" spans="1:14" ht="43.2" x14ac:dyDescent="0.3">
      <c r="A369" s="9" t="s">
        <v>597</v>
      </c>
      <c r="B369" s="13">
        <f>VLOOKUP(Table27[[#This Row],[Location 
(drop-down)]],'List source'!D$2:E$60,2,FALSE)</f>
        <v>139</v>
      </c>
      <c r="C369" s="222" t="s">
        <v>1188</v>
      </c>
      <c r="D369" s="30" t="str">
        <f t="shared" si="10"/>
        <v>PTO368-139-24</v>
      </c>
      <c r="E369" s="9" t="s">
        <v>1189</v>
      </c>
      <c r="F369" s="10" t="str" cm="1">
        <f t="array" aca="1" ref="F3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369" s="10">
        <v>2.6</v>
      </c>
      <c r="I369" s="12">
        <v>45418</v>
      </c>
      <c r="J369" s="12" t="s">
        <v>495</v>
      </c>
      <c r="K369" s="77">
        <v>45418</v>
      </c>
      <c r="L369" s="10" t="s">
        <v>496</v>
      </c>
      <c r="M369" s="427">
        <v>368</v>
      </c>
      <c r="N369" s="13" t="str">
        <f t="shared" ca="1" si="11"/>
        <v>CLOSED</v>
      </c>
    </row>
    <row r="370" spans="1:14" ht="43.2" x14ac:dyDescent="0.3">
      <c r="A370" s="9" t="s">
        <v>597</v>
      </c>
      <c r="B370" s="13">
        <f>VLOOKUP(Table27[[#This Row],[Location 
(drop-down)]],'List source'!D$2:E$60,2,FALSE)</f>
        <v>139</v>
      </c>
      <c r="C370" s="222" t="s">
        <v>1190</v>
      </c>
      <c r="D370" s="30" t="str">
        <f t="shared" si="10"/>
        <v>PTO369-139-24</v>
      </c>
      <c r="E370" s="9" t="s">
        <v>1191</v>
      </c>
      <c r="F370" s="10" t="str" cm="1">
        <f t="array" aca="1" ref="F3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0" s="10">
        <v>2.12</v>
      </c>
      <c r="I370" s="12">
        <v>45418</v>
      </c>
      <c r="J370" s="12" t="s">
        <v>495</v>
      </c>
      <c r="K370" s="77">
        <v>45418</v>
      </c>
      <c r="L370" s="10" t="s">
        <v>496</v>
      </c>
      <c r="M370" s="427">
        <v>369</v>
      </c>
      <c r="N370" s="13" t="str">
        <f t="shared" ca="1" si="11"/>
        <v>CLOSED</v>
      </c>
    </row>
    <row r="371" spans="1:14" ht="18" x14ac:dyDescent="0.3">
      <c r="A371" s="9" t="s">
        <v>597</v>
      </c>
      <c r="B371" s="13">
        <f>VLOOKUP(Table27[[#This Row],[Location 
(drop-down)]],'List source'!D$2:E$60,2,FALSE)</f>
        <v>139</v>
      </c>
      <c r="C371" s="222" t="s">
        <v>1192</v>
      </c>
      <c r="D371" s="30" t="str">
        <f t="shared" si="10"/>
        <v>PTO370-139-24</v>
      </c>
      <c r="E371" s="9" t="s">
        <v>1193</v>
      </c>
      <c r="F371" s="10" t="str" cm="1">
        <f t="array" aca="1" ref="F3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71" s="10">
        <v>3.42</v>
      </c>
      <c r="I371" s="12">
        <v>45418</v>
      </c>
      <c r="J371" s="12" t="s">
        <v>60</v>
      </c>
      <c r="K371" s="77">
        <v>45532</v>
      </c>
      <c r="L371" s="10"/>
      <c r="M371" s="427">
        <v>370</v>
      </c>
      <c r="N371" s="13" t="str">
        <f t="shared" ca="1" si="11"/>
        <v>CLOSED</v>
      </c>
    </row>
    <row r="372" spans="1:14" ht="28.8" x14ac:dyDescent="0.3">
      <c r="A372" s="9" t="s">
        <v>597</v>
      </c>
      <c r="B372" s="13">
        <f>VLOOKUP(Table27[[#This Row],[Location 
(drop-down)]],'List source'!D$2:E$60,2,FALSE)</f>
        <v>139</v>
      </c>
      <c r="C372" s="222" t="s">
        <v>1194</v>
      </c>
      <c r="D372" s="30" t="str">
        <f t="shared" si="10"/>
        <v>PTO371-139-24</v>
      </c>
      <c r="E372" s="91" t="s">
        <v>1195</v>
      </c>
      <c r="F372" s="151" t="str" cm="1">
        <f t="array" aca="1" ref="F3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2" s="9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372" s="151">
        <v>74.17</v>
      </c>
      <c r="I372" s="12">
        <v>45418</v>
      </c>
      <c r="J372" s="12" t="s">
        <v>495</v>
      </c>
      <c r="K372" s="77">
        <v>45418</v>
      </c>
      <c r="L372" s="10" t="s">
        <v>510</v>
      </c>
      <c r="M372" s="427">
        <v>371</v>
      </c>
      <c r="N372" s="13" t="str">
        <f t="shared" ca="1" si="11"/>
        <v>CLOSED</v>
      </c>
    </row>
    <row r="373" spans="1:14" ht="43.2" x14ac:dyDescent="0.3">
      <c r="A373" s="9" t="s">
        <v>273</v>
      </c>
      <c r="B373" s="13">
        <f>VLOOKUP(Table27[[#This Row],[Location 
(drop-down)]],'List source'!D$2:E$60,2,FALSE)</f>
        <v>140</v>
      </c>
      <c r="C373" s="222" t="s">
        <v>1196</v>
      </c>
      <c r="D373" s="30" t="str">
        <f t="shared" si="10"/>
        <v>PTO372-140-24</v>
      </c>
      <c r="E373" s="9" t="s">
        <v>1197</v>
      </c>
      <c r="F373" s="10" t="str" cm="1">
        <f t="array" aca="1" ref="F3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3" s="10">
        <v>-2.27</v>
      </c>
      <c r="I373" s="12">
        <v>45418</v>
      </c>
      <c r="J373" s="12" t="s">
        <v>495</v>
      </c>
      <c r="K373" s="77">
        <v>45418</v>
      </c>
      <c r="L373" s="10" t="s">
        <v>496</v>
      </c>
      <c r="M373" s="427">
        <v>372</v>
      </c>
      <c r="N373" s="13" t="str">
        <f t="shared" ca="1" si="11"/>
        <v>CLOSED</v>
      </c>
    </row>
    <row r="374" spans="1:14" ht="18.600000000000001" customHeight="1" x14ac:dyDescent="0.3">
      <c r="A374" s="9" t="s">
        <v>29</v>
      </c>
      <c r="B374" s="13">
        <f>VLOOKUP(Table27[[#This Row],[Location 
(drop-down)]],'List source'!D$2:E$60,2,FALSE)</f>
        <v>141</v>
      </c>
      <c r="C374" s="222" t="s">
        <v>1198</v>
      </c>
      <c r="D374" s="30" t="str">
        <f t="shared" si="10"/>
        <v>PTO373-141-24</v>
      </c>
      <c r="E374" s="9" t="s">
        <v>1199</v>
      </c>
      <c r="F374" s="10" t="str" cm="1">
        <f t="array" aca="1" ref="F3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4" s="10">
        <v>3.79</v>
      </c>
      <c r="I374" s="12">
        <v>45418</v>
      </c>
      <c r="J374" s="12" t="s">
        <v>182</v>
      </c>
      <c r="K374" s="77">
        <v>45462</v>
      </c>
      <c r="L374" s="10"/>
      <c r="M374" s="427">
        <v>373</v>
      </c>
      <c r="N374" s="13" t="str">
        <f t="shared" ca="1" si="11"/>
        <v>CLOSED</v>
      </c>
    </row>
    <row r="375" spans="1:14" ht="43.2" x14ac:dyDescent="0.3">
      <c r="A375" s="9" t="s">
        <v>65</v>
      </c>
      <c r="B375" s="13">
        <f>VLOOKUP(Table27[[#This Row],[Location 
(drop-down)]],'List source'!D$2:E$60,2,FALSE)</f>
        <v>155</v>
      </c>
      <c r="C375" s="222" t="s">
        <v>1200</v>
      </c>
      <c r="D375" s="30" t="str">
        <f t="shared" si="10"/>
        <v>PTO374-155-24</v>
      </c>
      <c r="E375" s="9" t="s">
        <v>1201</v>
      </c>
      <c r="F375" s="10" t="str" cm="1">
        <f t="array" aca="1" ref="F3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5" s="10">
        <v>-2.0299999999999998</v>
      </c>
      <c r="I375" s="12">
        <v>45418</v>
      </c>
      <c r="J375" s="12" t="s">
        <v>495</v>
      </c>
      <c r="K375" s="77">
        <v>45418</v>
      </c>
      <c r="L375" s="10" t="s">
        <v>496</v>
      </c>
      <c r="M375" s="427">
        <v>374</v>
      </c>
      <c r="N375" s="13" t="str">
        <f t="shared" ca="1" si="11"/>
        <v>CLOSED</v>
      </c>
    </row>
    <row r="376" spans="1:14" ht="18" x14ac:dyDescent="0.3">
      <c r="A376" s="239" t="s">
        <v>235</v>
      </c>
      <c r="B376" s="240">
        <f>VLOOKUP(Table27[[#This Row],[Location 
(drop-down)]],'List source'!D$2:E$60,2,FALSE)</f>
        <v>160</v>
      </c>
      <c r="C376" s="295" t="s">
        <v>1202</v>
      </c>
      <c r="D376" s="242" t="str">
        <f t="shared" si="10"/>
        <v>PTO375-160-24</v>
      </c>
      <c r="E376" s="239" t="s">
        <v>1203</v>
      </c>
      <c r="F376" s="245" t="str" cm="1">
        <f t="array" aca="1" ref="F3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6"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76" s="296" t="s">
        <v>1204</v>
      </c>
      <c r="I376" s="246">
        <v>45418</v>
      </c>
      <c r="J376" s="246" t="s">
        <v>182</v>
      </c>
      <c r="K376" s="247">
        <v>45721</v>
      </c>
      <c r="L376" s="10"/>
      <c r="M376" s="427">
        <v>375</v>
      </c>
      <c r="N376" s="13" t="str">
        <f t="shared" ca="1" si="11"/>
        <v>CLOSED</v>
      </c>
    </row>
    <row r="377" spans="1:14" ht="43.2" x14ac:dyDescent="0.3">
      <c r="A377" s="9" t="s">
        <v>209</v>
      </c>
      <c r="B377" s="13">
        <f>VLOOKUP(Table27[[#This Row],[Location 
(drop-down)]],'List source'!D$2:E$60,2,FALSE)</f>
        <v>165</v>
      </c>
      <c r="C377" s="222" t="s">
        <v>1205</v>
      </c>
      <c r="D377" s="30" t="str">
        <f t="shared" si="10"/>
        <v>PTO376-165-24</v>
      </c>
      <c r="E377" s="9" t="s">
        <v>1206</v>
      </c>
      <c r="F377" s="10" t="str" cm="1">
        <f t="array" aca="1" ref="F3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377" s="10">
        <v>-2.56</v>
      </c>
      <c r="I377" s="12">
        <v>45418</v>
      </c>
      <c r="J377" s="12" t="s">
        <v>495</v>
      </c>
      <c r="K377" s="77">
        <v>45418</v>
      </c>
      <c r="L377" s="10" t="s">
        <v>496</v>
      </c>
      <c r="M377" s="427">
        <v>376</v>
      </c>
      <c r="N377" s="13" t="str">
        <f t="shared" ca="1" si="11"/>
        <v>CLOSED</v>
      </c>
    </row>
    <row r="378" spans="1:14" ht="18" x14ac:dyDescent="0.3">
      <c r="A378" s="9" t="s">
        <v>209</v>
      </c>
      <c r="B378" s="13">
        <f>VLOOKUP(Table27[[#This Row],[Location 
(drop-down)]],'List source'!D$2:E$60,2,FALSE)</f>
        <v>165</v>
      </c>
      <c r="C378" s="222" t="s">
        <v>1207</v>
      </c>
      <c r="D378" s="30" t="str">
        <f t="shared" si="10"/>
        <v>PTO377-165-24</v>
      </c>
      <c r="E378" s="9" t="s">
        <v>1208</v>
      </c>
      <c r="F378" s="10" t="str" cm="1">
        <f t="array" aca="1" ref="F3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378" s="39" t="s">
        <v>1209</v>
      </c>
      <c r="I378" s="12">
        <v>45418</v>
      </c>
      <c r="J378" s="12" t="s">
        <v>495</v>
      </c>
      <c r="K378" s="77">
        <v>45450</v>
      </c>
      <c r="L378" s="10" t="s">
        <v>1210</v>
      </c>
      <c r="M378" s="427">
        <v>377</v>
      </c>
      <c r="N378" s="13" t="str">
        <f t="shared" ca="1" si="11"/>
        <v>CLOSED</v>
      </c>
    </row>
    <row r="379" spans="1:14" ht="43.2" x14ac:dyDescent="0.3">
      <c r="A379" s="9" t="s">
        <v>57</v>
      </c>
      <c r="B379" s="13">
        <f>VLOOKUP(Table27[[#This Row],[Location 
(drop-down)]],'List source'!D$2:E$60,2,FALSE)</f>
        <v>170</v>
      </c>
      <c r="C379" s="222" t="s">
        <v>1211</v>
      </c>
      <c r="D379" s="30" t="str">
        <f t="shared" si="10"/>
        <v>PTO378-170-24</v>
      </c>
      <c r="E379" s="9" t="s">
        <v>1212</v>
      </c>
      <c r="F379" s="10" t="str" cm="1">
        <f t="array" aca="1" ref="F3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D3606-22 &amp; D3606-20e1 - Benzene</v>
      </c>
      <c r="H379" s="10" t="s">
        <v>1213</v>
      </c>
      <c r="I379" s="12">
        <v>45418</v>
      </c>
      <c r="J379" s="12" t="s">
        <v>495</v>
      </c>
      <c r="K379" s="77">
        <v>45418</v>
      </c>
      <c r="L379" s="10" t="s">
        <v>496</v>
      </c>
      <c r="M379" s="427">
        <v>378</v>
      </c>
      <c r="N379" s="13" t="str">
        <f t="shared" ca="1" si="11"/>
        <v>CLOSED</v>
      </c>
    </row>
    <row r="380" spans="1:14" ht="18" x14ac:dyDescent="0.3">
      <c r="A380" s="9" t="s">
        <v>57</v>
      </c>
      <c r="B380" s="13">
        <f>VLOOKUP(Table27[[#This Row],[Location 
(drop-down)]],'List source'!D$2:E$60,2,FALSE)</f>
        <v>170</v>
      </c>
      <c r="C380" s="222" t="s">
        <v>1214</v>
      </c>
      <c r="D380" s="30" t="str">
        <f t="shared" si="10"/>
        <v>PTO379-170-24</v>
      </c>
      <c r="E380" s="9" t="s">
        <v>1215</v>
      </c>
      <c r="F380" s="10" t="str" cm="1">
        <f t="array" aca="1" ref="F3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D5769-22 - Benzene</v>
      </c>
      <c r="H380" s="10">
        <v>6.46</v>
      </c>
      <c r="I380" s="12">
        <v>45418</v>
      </c>
      <c r="J380" s="12" t="s">
        <v>501</v>
      </c>
      <c r="K380" s="77">
        <v>45450</v>
      </c>
      <c r="L380" s="10"/>
      <c r="M380" s="427">
        <v>379</v>
      </c>
      <c r="N380" s="13" t="str">
        <f t="shared" ca="1" si="11"/>
        <v>CLOSED</v>
      </c>
    </row>
    <row r="381" spans="1:14" ht="28.8" x14ac:dyDescent="0.3">
      <c r="A381" s="9" t="s">
        <v>57</v>
      </c>
      <c r="B381" s="13">
        <f>VLOOKUP(Table27[[#This Row],[Location 
(drop-down)]],'List source'!D$2:E$60,2,FALSE)</f>
        <v>170</v>
      </c>
      <c r="C381" s="222" t="s">
        <v>1216</v>
      </c>
      <c r="D381" s="30" t="str">
        <f t="shared" si="10"/>
        <v>PTO380-170-24</v>
      </c>
      <c r="E381" s="9" t="s">
        <v>1217</v>
      </c>
      <c r="F381" s="10" t="str" cm="1">
        <f t="array" aca="1" ref="F3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D86-23 - Distillation</v>
      </c>
      <c r="H381" s="39" t="s">
        <v>1218</v>
      </c>
      <c r="I381" s="12">
        <v>45418</v>
      </c>
      <c r="J381" s="12" t="s">
        <v>501</v>
      </c>
      <c r="K381" s="77">
        <v>45450</v>
      </c>
      <c r="L381" s="10"/>
      <c r="M381" s="427">
        <v>380</v>
      </c>
      <c r="N381" s="13" t="str">
        <f t="shared" ca="1" si="11"/>
        <v>CLOSED</v>
      </c>
    </row>
    <row r="382" spans="1:14" ht="28.8" x14ac:dyDescent="0.3">
      <c r="A382" s="9" t="s">
        <v>57</v>
      </c>
      <c r="B382" s="13">
        <f>VLOOKUP(Table27[[#This Row],[Location 
(drop-down)]],'List source'!D$2:E$60,2,FALSE)</f>
        <v>170</v>
      </c>
      <c r="C382" s="222" t="s">
        <v>1219</v>
      </c>
      <c r="D382" s="30" t="str">
        <f t="shared" si="10"/>
        <v>PTO381-170-24</v>
      </c>
      <c r="E382" s="9" t="s">
        <v>1220</v>
      </c>
      <c r="F382" s="10" t="str" cm="1">
        <f t="array" aca="1" ref="F3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D1319-20a &amp; D1319-19</v>
      </c>
      <c r="H382" s="10" t="s">
        <v>1221</v>
      </c>
      <c r="I382" s="12">
        <v>45418</v>
      </c>
      <c r="J382" s="12" t="s">
        <v>60</v>
      </c>
      <c r="K382" s="77">
        <v>45506</v>
      </c>
      <c r="L382" s="10"/>
      <c r="M382" s="427">
        <v>381</v>
      </c>
      <c r="N382" s="13" t="str">
        <f t="shared" ca="1" si="11"/>
        <v>CLOSED</v>
      </c>
    </row>
    <row r="383" spans="1:14" ht="28.8" x14ac:dyDescent="0.3">
      <c r="A383" s="9" t="s">
        <v>57</v>
      </c>
      <c r="B383" s="13">
        <f>VLOOKUP(Table27[[#This Row],[Location 
(drop-down)]],'List source'!D$2:E$60,2,FALSE)</f>
        <v>170</v>
      </c>
      <c r="C383" s="222" t="s">
        <v>1222</v>
      </c>
      <c r="D383" s="30" t="str">
        <f t="shared" si="10"/>
        <v>PTO382-170-24</v>
      </c>
      <c r="E383" s="9" t="s">
        <v>1223</v>
      </c>
      <c r="F383" s="10" t="str" cm="1">
        <f t="array" aca="1" ref="F3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383" s="10">
        <v>101.41</v>
      </c>
      <c r="I383" s="12">
        <v>45418</v>
      </c>
      <c r="J383" s="12" t="s">
        <v>495</v>
      </c>
      <c r="K383" s="77">
        <v>45426</v>
      </c>
      <c r="L383" s="10" t="s">
        <v>510</v>
      </c>
      <c r="M383" s="427">
        <v>382</v>
      </c>
      <c r="N383" s="13" t="str">
        <f t="shared" ca="1" si="11"/>
        <v>CLOSED</v>
      </c>
    </row>
    <row r="384" spans="1:14" ht="18" x14ac:dyDescent="0.3">
      <c r="A384" s="9" t="s">
        <v>147</v>
      </c>
      <c r="B384" s="13">
        <f>VLOOKUP(Table27[[#This Row],[Location 
(drop-down)]],'List source'!D$2:E$61,2,FALSE)</f>
        <v>185</v>
      </c>
      <c r="C384" s="222" t="s">
        <v>1224</v>
      </c>
      <c r="D384" s="55" t="str">
        <f t="shared" si="10"/>
        <v>PTO383-185-24</v>
      </c>
      <c r="E384" s="9" t="s">
        <v>1225</v>
      </c>
      <c r="F384" s="10" t="str" cm="1">
        <f t="array" aca="1" ref="F3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Distillation</v>
      </c>
      <c r="H384" s="10">
        <v>5.85</v>
      </c>
      <c r="I384" s="12">
        <v>45418</v>
      </c>
      <c r="J384" s="12" t="s">
        <v>195</v>
      </c>
      <c r="K384" s="77">
        <v>45495</v>
      </c>
      <c r="L384" s="10"/>
      <c r="M384" s="427">
        <v>383</v>
      </c>
      <c r="N384" s="13" t="str">
        <f t="shared" ca="1" si="11"/>
        <v>CLOSED</v>
      </c>
    </row>
    <row r="385" spans="1:14" ht="43.2" x14ac:dyDescent="0.3">
      <c r="A385" s="9" t="s">
        <v>388</v>
      </c>
      <c r="B385" s="13">
        <f>VLOOKUP(Table27[[#This Row],[Location 
(drop-down)]],'List source'!D$2:E$60,2,FALSE)</f>
        <v>191</v>
      </c>
      <c r="C385" s="222" t="s">
        <v>1226</v>
      </c>
      <c r="D385" s="30" t="str">
        <f t="shared" si="10"/>
        <v>PTO384-191-24</v>
      </c>
      <c r="E385" s="9" t="s">
        <v>1227</v>
      </c>
      <c r="F385" s="10" t="str" cm="1">
        <f t="array" aca="1" ref="F3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385" s="10">
        <v>2.34</v>
      </c>
      <c r="I385" s="12">
        <v>45418</v>
      </c>
      <c r="J385" s="12" t="s">
        <v>495</v>
      </c>
      <c r="K385" s="77">
        <v>45418</v>
      </c>
      <c r="L385" s="10" t="s">
        <v>496</v>
      </c>
      <c r="M385" s="427">
        <v>384</v>
      </c>
      <c r="N385" s="13" t="str">
        <f t="shared" ca="1" si="11"/>
        <v>CLOSED</v>
      </c>
    </row>
    <row r="386" spans="1:14" ht="43.2" x14ac:dyDescent="0.3">
      <c r="A386" s="9" t="s">
        <v>44</v>
      </c>
      <c r="B386" s="13">
        <f>VLOOKUP(Table27[[#This Row],[Location 
(drop-down)]],'List source'!D$2:E$60,2,FALSE)</f>
        <v>192</v>
      </c>
      <c r="C386" s="222" t="s">
        <v>1228</v>
      </c>
      <c r="D386" s="30" t="str">
        <f t="shared" ref="D386:D449" si="12">"PTO" &amp; C386 &amp; "-" &amp; B386 &amp; "-" &amp; "24"</f>
        <v>PTO385-192-24</v>
      </c>
      <c r="E386" s="9" t="s">
        <v>1229</v>
      </c>
      <c r="F386" s="10" t="str" cm="1">
        <f t="array" aca="1" ref="F3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386" s="39" t="s">
        <v>1230</v>
      </c>
      <c r="I386" s="12">
        <v>45418</v>
      </c>
      <c r="J386" s="12" t="s">
        <v>495</v>
      </c>
      <c r="K386" s="77">
        <v>45418</v>
      </c>
      <c r="L386" s="10" t="s">
        <v>496</v>
      </c>
      <c r="M386" s="427">
        <v>385</v>
      </c>
      <c r="N386" s="13" t="str">
        <f t="shared" ref="N386:N449" ca="1" si="13">IF(ISBLANK(K386), TODAY()-(I386), "CLOSED")</f>
        <v>CLOSED</v>
      </c>
    </row>
    <row r="387" spans="1:14" ht="18" x14ac:dyDescent="0.3">
      <c r="A387" s="9" t="s">
        <v>261</v>
      </c>
      <c r="B387" s="13">
        <f>VLOOKUP(Table27[[#This Row],[Location 
(drop-down)]],'List source'!D$2:E$60,2,FALSE)</f>
        <v>210</v>
      </c>
      <c r="C387" s="222" t="s">
        <v>1231</v>
      </c>
      <c r="D387" s="30" t="str">
        <f t="shared" si="12"/>
        <v>PTO386-210-24</v>
      </c>
      <c r="E387" s="9" t="s">
        <v>1232</v>
      </c>
      <c r="F387" s="10" t="str" cm="1">
        <f t="array" aca="1" ref="F3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87" s="10">
        <v>3.61</v>
      </c>
      <c r="I387" s="12">
        <v>45418</v>
      </c>
      <c r="J387" s="12" t="s">
        <v>498</v>
      </c>
      <c r="K387" s="77">
        <v>45524</v>
      </c>
      <c r="L387" s="10"/>
      <c r="M387" s="427">
        <v>386</v>
      </c>
      <c r="N387" s="13" t="str">
        <f t="shared" ca="1" si="13"/>
        <v>CLOSED</v>
      </c>
    </row>
    <row r="388" spans="1:14" ht="43.2" x14ac:dyDescent="0.3">
      <c r="A388" s="9" t="s">
        <v>261</v>
      </c>
      <c r="B388" s="13">
        <f>VLOOKUP(Table27[[#This Row],[Location 
(drop-down)]],'List source'!D$2:E$60,2,FALSE)</f>
        <v>210</v>
      </c>
      <c r="C388" s="222" t="s">
        <v>1233</v>
      </c>
      <c r="D388" s="30" t="str">
        <f t="shared" si="12"/>
        <v>PTO387-210-24</v>
      </c>
      <c r="E388" s="9" t="s">
        <v>1227</v>
      </c>
      <c r="F388" s="10" t="str" cm="1">
        <f t="array" aca="1" ref="F3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388" s="39" t="s">
        <v>1045</v>
      </c>
      <c r="I388" s="12">
        <v>45418</v>
      </c>
      <c r="J388" s="12" t="s">
        <v>495</v>
      </c>
      <c r="K388" s="77">
        <v>45418</v>
      </c>
      <c r="L388" s="10" t="s">
        <v>496</v>
      </c>
      <c r="M388" s="427">
        <v>387</v>
      </c>
      <c r="N388" s="13" t="str">
        <f t="shared" ca="1" si="13"/>
        <v>CLOSED</v>
      </c>
    </row>
    <row r="389" spans="1:14" ht="43.2" x14ac:dyDescent="0.3">
      <c r="A389" s="9" t="s">
        <v>564</v>
      </c>
      <c r="B389" s="13">
        <f>VLOOKUP(Table27[[#This Row],[Location 
(drop-down)]],'List source'!D$2:E$60,2,FALSE)</f>
        <v>215</v>
      </c>
      <c r="C389" s="222" t="s">
        <v>1234</v>
      </c>
      <c r="D389" s="30" t="str">
        <f t="shared" si="12"/>
        <v>PTO388-215-24</v>
      </c>
      <c r="E389" s="9" t="s">
        <v>1235</v>
      </c>
      <c r="F389" s="10" t="str" cm="1">
        <f t="array" aca="1" ref="F3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3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389" s="39" t="s">
        <v>1236</v>
      </c>
      <c r="I389" s="12">
        <v>45418</v>
      </c>
      <c r="J389" s="12" t="s">
        <v>495</v>
      </c>
      <c r="K389" s="77">
        <v>45418</v>
      </c>
      <c r="L389" s="10" t="s">
        <v>496</v>
      </c>
      <c r="M389" s="427">
        <v>388</v>
      </c>
      <c r="N389" s="13" t="str">
        <f t="shared" ca="1" si="13"/>
        <v>CLOSED</v>
      </c>
    </row>
    <row r="390" spans="1:14" ht="18" x14ac:dyDescent="0.3">
      <c r="A390" s="9" t="s">
        <v>138</v>
      </c>
      <c r="B390" s="13">
        <f>VLOOKUP(Table27[[#This Row],[Location 
(drop-down)]],'List source'!D$2:E$60,2,FALSE)</f>
        <v>110</v>
      </c>
      <c r="C390" s="222" t="s">
        <v>1237</v>
      </c>
      <c r="D390" s="30" t="str">
        <f t="shared" si="12"/>
        <v>PTO389-110-24</v>
      </c>
      <c r="E390" s="9" t="s">
        <v>1238</v>
      </c>
      <c r="F390" s="10" t="s">
        <v>1239</v>
      </c>
      <c r="G3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390" s="10">
        <v>46.57</v>
      </c>
      <c r="I390" s="12">
        <v>45418</v>
      </c>
      <c r="J390" s="12" t="s">
        <v>495</v>
      </c>
      <c r="K390" s="77">
        <v>45421</v>
      </c>
      <c r="L390" s="10" t="s">
        <v>510</v>
      </c>
      <c r="M390" s="427">
        <v>389</v>
      </c>
      <c r="N390" s="13" t="str">
        <f t="shared" ca="1" si="13"/>
        <v>CLOSED</v>
      </c>
    </row>
    <row r="391" spans="1:14" ht="18" x14ac:dyDescent="0.3">
      <c r="A391" s="9" t="s">
        <v>107</v>
      </c>
      <c r="B391" s="13">
        <f>VLOOKUP(Table27[[#This Row],[Location 
(drop-down)]],'List source'!D$2:E$60,2,FALSE)</f>
        <v>120</v>
      </c>
      <c r="C391" s="222" t="s">
        <v>1240</v>
      </c>
      <c r="D391" s="30" t="str">
        <f t="shared" si="12"/>
        <v>PTO390-120-24</v>
      </c>
      <c r="E391" s="9" t="s">
        <v>1241</v>
      </c>
      <c r="F391" s="10" t="s">
        <v>1239</v>
      </c>
      <c r="G3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91" s="39" t="s">
        <v>1242</v>
      </c>
      <c r="I391" s="12">
        <v>45418</v>
      </c>
      <c r="J391" s="12" t="s">
        <v>495</v>
      </c>
      <c r="K391" s="77">
        <v>45419</v>
      </c>
      <c r="L391" s="10" t="s">
        <v>510</v>
      </c>
      <c r="M391" s="427">
        <v>390</v>
      </c>
      <c r="N391" s="13" t="str">
        <f t="shared" ca="1" si="13"/>
        <v>CLOSED</v>
      </c>
    </row>
    <row r="392" spans="1:14" ht="18" x14ac:dyDescent="0.3">
      <c r="A392" s="239" t="s">
        <v>107</v>
      </c>
      <c r="B392" s="13">
        <f>VLOOKUP(Table27[[#This Row],[Location 
(drop-down)]],'List source'!D$2:E$60,2,FALSE)</f>
        <v>120</v>
      </c>
      <c r="C392" s="222" t="s">
        <v>1243</v>
      </c>
      <c r="D392" s="30" t="str">
        <f t="shared" si="12"/>
        <v>PTO391-120-24</v>
      </c>
      <c r="E392" s="239" t="s">
        <v>1244</v>
      </c>
      <c r="F392" s="245" t="s">
        <v>1239</v>
      </c>
      <c r="G392"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D95 - Water</v>
      </c>
      <c r="H392" s="296" t="s">
        <v>1245</v>
      </c>
      <c r="I392" s="246">
        <v>45418</v>
      </c>
      <c r="J392" s="12" t="s">
        <v>182</v>
      </c>
      <c r="K392" s="77">
        <v>45301</v>
      </c>
      <c r="L392" s="10"/>
      <c r="M392" s="427">
        <v>391</v>
      </c>
      <c r="N392" s="13" t="str">
        <f t="shared" ca="1" si="13"/>
        <v>CLOSED</v>
      </c>
    </row>
    <row r="393" spans="1:14" ht="18" x14ac:dyDescent="0.3">
      <c r="A393" s="9" t="s">
        <v>93</v>
      </c>
      <c r="B393" s="13">
        <f>VLOOKUP(Table27[[#This Row],[Location 
(drop-down)]],'List source'!D$2:E$60,2,FALSE)</f>
        <v>128</v>
      </c>
      <c r="C393" s="222" t="s">
        <v>1246</v>
      </c>
      <c r="D393" s="30" t="str">
        <f t="shared" si="12"/>
        <v>PTO392-128-24</v>
      </c>
      <c r="E393" s="9" t="s">
        <v>1247</v>
      </c>
      <c r="F393" s="10" t="s">
        <v>1239</v>
      </c>
      <c r="G3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393" s="10">
        <v>-36.409999999999997</v>
      </c>
      <c r="I393" s="12">
        <v>45418</v>
      </c>
      <c r="J393" s="12" t="s">
        <v>495</v>
      </c>
      <c r="K393" s="77">
        <v>45418</v>
      </c>
      <c r="L393" s="10" t="s">
        <v>510</v>
      </c>
      <c r="M393" s="427">
        <v>392</v>
      </c>
      <c r="N393" s="13" t="str">
        <f t="shared" ca="1" si="13"/>
        <v>CLOSED</v>
      </c>
    </row>
    <row r="394" spans="1:14" ht="28.8" x14ac:dyDescent="0.3">
      <c r="A394" s="9" t="s">
        <v>186</v>
      </c>
      <c r="B394" s="13">
        <f>VLOOKUP(Table27[[#This Row],[Location 
(drop-down)]],'List source'!D$2:E$60,2,FALSE)</f>
        <v>130</v>
      </c>
      <c r="C394" s="222" t="s">
        <v>1248</v>
      </c>
      <c r="D394" s="30" t="str">
        <f t="shared" si="12"/>
        <v>PTO393-130-24</v>
      </c>
      <c r="E394" s="9" t="s">
        <v>1249</v>
      </c>
      <c r="F394" s="10" t="s">
        <v>1239</v>
      </c>
      <c r="G3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94" s="10">
        <v>-24.01</v>
      </c>
      <c r="I394" s="12">
        <v>45418</v>
      </c>
      <c r="J394" s="12" t="s">
        <v>54</v>
      </c>
      <c r="K394" s="77">
        <v>45483</v>
      </c>
      <c r="L394" s="10"/>
      <c r="M394" s="427">
        <v>393</v>
      </c>
      <c r="N394" s="13" t="str">
        <f t="shared" ca="1" si="13"/>
        <v>CLOSED</v>
      </c>
    </row>
    <row r="395" spans="1:14" ht="28.8" x14ac:dyDescent="0.3">
      <c r="A395" s="9" t="s">
        <v>264</v>
      </c>
      <c r="B395" s="13">
        <f>VLOOKUP(Table27[[#This Row],[Location 
(drop-down)]],'List source'!D$2:E$60,2,FALSE)</f>
        <v>132</v>
      </c>
      <c r="C395" s="222" t="s">
        <v>1250</v>
      </c>
      <c r="D395" s="30" t="str">
        <f t="shared" si="12"/>
        <v>PTO394-132-24</v>
      </c>
      <c r="E395" s="9" t="s">
        <v>1249</v>
      </c>
      <c r="F395" s="10" t="s">
        <v>1239</v>
      </c>
      <c r="G3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95" s="10">
        <v>-24.01</v>
      </c>
      <c r="I395" s="12">
        <v>45418</v>
      </c>
      <c r="J395" s="12" t="s">
        <v>54</v>
      </c>
      <c r="K395" s="77">
        <v>45859</v>
      </c>
      <c r="L395" s="10"/>
      <c r="M395" s="427">
        <v>394</v>
      </c>
      <c r="N395" s="13" t="str">
        <f t="shared" ca="1" si="13"/>
        <v>CLOSED</v>
      </c>
    </row>
    <row r="396" spans="1:14" ht="18" x14ac:dyDescent="0.3">
      <c r="A396" s="9" t="s">
        <v>157</v>
      </c>
      <c r="B396" s="13">
        <f>VLOOKUP(Table27[[#This Row],[Location 
(drop-down)]],'List source'!D$2:E$60,2,FALSE)</f>
        <v>136</v>
      </c>
      <c r="C396" s="222" t="s">
        <v>1251</v>
      </c>
      <c r="D396" s="30" t="str">
        <f t="shared" si="12"/>
        <v>PTO395-136-24</v>
      </c>
      <c r="E396" s="9" t="s">
        <v>1252</v>
      </c>
      <c r="F396" s="10" t="s">
        <v>1239</v>
      </c>
      <c r="G3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396" s="10">
        <v>-2.27</v>
      </c>
      <c r="I396" s="12">
        <v>45418</v>
      </c>
      <c r="J396" s="12" t="s">
        <v>501</v>
      </c>
      <c r="K396" s="77">
        <v>45428</v>
      </c>
      <c r="L396" s="10"/>
      <c r="M396" s="427">
        <v>395</v>
      </c>
      <c r="N396" s="13" t="str">
        <f t="shared" ca="1" si="13"/>
        <v>CLOSED</v>
      </c>
    </row>
    <row r="397" spans="1:14" ht="18" x14ac:dyDescent="0.3">
      <c r="A397" s="9" t="s">
        <v>157</v>
      </c>
      <c r="B397" s="13">
        <f>VLOOKUP(Table27[[#This Row],[Location 
(drop-down)]],'List source'!D$2:E$60,2,FALSE)</f>
        <v>136</v>
      </c>
      <c r="C397" s="222" t="s">
        <v>1253</v>
      </c>
      <c r="D397" s="30" t="str">
        <f t="shared" si="12"/>
        <v>PTO396-136-24</v>
      </c>
      <c r="E397" s="9" t="s">
        <v>1254</v>
      </c>
      <c r="F397" s="10" t="s">
        <v>1239</v>
      </c>
      <c r="G3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D524 - Carbon Residue</v>
      </c>
      <c r="H397" s="10">
        <v>6.58</v>
      </c>
      <c r="I397" s="12">
        <v>45418</v>
      </c>
      <c r="J397" s="12" t="s">
        <v>501</v>
      </c>
      <c r="K397" s="77">
        <v>45428</v>
      </c>
      <c r="L397" s="10"/>
      <c r="M397" s="427">
        <v>396</v>
      </c>
      <c r="N397" s="13" t="str">
        <f t="shared" ca="1" si="13"/>
        <v>CLOSED</v>
      </c>
    </row>
    <row r="398" spans="1:14" ht="18" x14ac:dyDescent="0.3">
      <c r="A398" s="9" t="s">
        <v>310</v>
      </c>
      <c r="B398" s="13">
        <f>VLOOKUP(Table27[[#This Row],[Location 
(drop-down)]],'List source'!D$2:E$60,2,FALSE)</f>
        <v>144</v>
      </c>
      <c r="C398" s="222" t="s">
        <v>1255</v>
      </c>
      <c r="D398" s="30" t="str">
        <f t="shared" si="12"/>
        <v>PTO397-144-24</v>
      </c>
      <c r="E398" s="9" t="s">
        <v>1256</v>
      </c>
      <c r="F398" s="10" t="s">
        <v>1239</v>
      </c>
      <c r="G3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D95 - Water</v>
      </c>
      <c r="H398" s="10">
        <v>2.29</v>
      </c>
      <c r="I398" s="12">
        <v>45418</v>
      </c>
      <c r="J398" s="12" t="s">
        <v>495</v>
      </c>
      <c r="K398" s="77">
        <v>45419</v>
      </c>
      <c r="L398" s="10" t="s">
        <v>510</v>
      </c>
      <c r="M398" s="427">
        <v>397</v>
      </c>
      <c r="N398" s="13" t="str">
        <f t="shared" ca="1" si="13"/>
        <v>CLOSED</v>
      </c>
    </row>
    <row r="399" spans="1:14" ht="28.8" x14ac:dyDescent="0.3">
      <c r="A399" s="9" t="s">
        <v>86</v>
      </c>
      <c r="B399" s="13">
        <f>VLOOKUP(Table27[[#This Row],[Location 
(drop-down)]],'List source'!D$2:E$60,2,FALSE)</f>
        <v>150</v>
      </c>
      <c r="C399" s="222" t="s">
        <v>1257</v>
      </c>
      <c r="D399" s="30" t="str">
        <f t="shared" si="12"/>
        <v>PTO398-150-24</v>
      </c>
      <c r="E399" s="9" t="s">
        <v>1258</v>
      </c>
      <c r="F399" s="10" t="s">
        <v>1239</v>
      </c>
      <c r="G3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399" s="10">
        <v>-21.43</v>
      </c>
      <c r="I399" s="12">
        <v>45418</v>
      </c>
      <c r="J399" s="12" t="s">
        <v>182</v>
      </c>
      <c r="K399" s="77">
        <v>45566</v>
      </c>
      <c r="L399" s="10"/>
      <c r="M399" s="427">
        <v>398</v>
      </c>
      <c r="N399" s="13" t="str">
        <f t="shared" ca="1" si="13"/>
        <v>CLOSED</v>
      </c>
    </row>
    <row r="400" spans="1:14" ht="28.8" x14ac:dyDescent="0.3">
      <c r="A400" s="9" t="s">
        <v>86</v>
      </c>
      <c r="B400" s="13">
        <f>VLOOKUP(Table27[[#This Row],[Location 
(drop-down)]],'List source'!D$2:E$60,2,FALSE)</f>
        <v>150</v>
      </c>
      <c r="C400" s="222" t="s">
        <v>1259</v>
      </c>
      <c r="D400" s="30" t="str">
        <f t="shared" si="12"/>
        <v>PTO399-150-24</v>
      </c>
      <c r="E400" s="9" t="s">
        <v>1260</v>
      </c>
      <c r="F400" s="10" t="s">
        <v>1239</v>
      </c>
      <c r="G4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D4870 - Sediment</v>
      </c>
      <c r="H400" s="10" t="s">
        <v>1261</v>
      </c>
      <c r="I400" s="12">
        <v>45418</v>
      </c>
      <c r="J400" s="12" t="s">
        <v>182</v>
      </c>
      <c r="K400" s="77">
        <v>45904</v>
      </c>
      <c r="L400" s="10"/>
      <c r="M400" s="427">
        <v>399</v>
      </c>
      <c r="N400" s="13" t="str">
        <f t="shared" ca="1" si="13"/>
        <v>CLOSED</v>
      </c>
    </row>
    <row r="401" spans="1:14" ht="43.2" x14ac:dyDescent="0.3">
      <c r="A401" s="9" t="s">
        <v>86</v>
      </c>
      <c r="B401" s="13">
        <f>VLOOKUP(Table27[[#This Row],[Location 
(drop-down)]],'List source'!D$2:E$60,2,FALSE)</f>
        <v>150</v>
      </c>
      <c r="C401" s="222" t="s">
        <v>1262</v>
      </c>
      <c r="D401" s="30" t="str">
        <f t="shared" si="12"/>
        <v>PTO400-150-24</v>
      </c>
      <c r="E401" s="9" t="s">
        <v>1263</v>
      </c>
      <c r="F401" s="10" t="s">
        <v>1239</v>
      </c>
      <c r="G4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01" s="39" t="s">
        <v>1264</v>
      </c>
      <c r="I401" s="12">
        <v>45418</v>
      </c>
      <c r="J401" s="12" t="s">
        <v>495</v>
      </c>
      <c r="K401" s="77">
        <v>45418</v>
      </c>
      <c r="L401" s="10" t="s">
        <v>496</v>
      </c>
      <c r="M401" s="427">
        <v>400</v>
      </c>
      <c r="N401" s="13" t="str">
        <f t="shared" ca="1" si="13"/>
        <v>CLOSED</v>
      </c>
    </row>
    <row r="402" spans="1:14" ht="18" x14ac:dyDescent="0.3">
      <c r="A402" s="9" t="s">
        <v>65</v>
      </c>
      <c r="B402" s="13">
        <f>VLOOKUP(Table27[[#This Row],[Location 
(drop-down)]],'List source'!D$2:E$60,2,FALSE)</f>
        <v>155</v>
      </c>
      <c r="C402" s="222" t="s">
        <v>1265</v>
      </c>
      <c r="D402" s="30" t="str">
        <f t="shared" si="12"/>
        <v>PTO401-155-24</v>
      </c>
      <c r="E402" s="9" t="s">
        <v>1266</v>
      </c>
      <c r="F402" s="10" t="s">
        <v>1239</v>
      </c>
      <c r="G4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02" s="10">
        <v>-36.06</v>
      </c>
      <c r="I402" s="12">
        <v>45418</v>
      </c>
      <c r="J402" s="12" t="s">
        <v>134</v>
      </c>
      <c r="K402" s="77">
        <v>45616</v>
      </c>
      <c r="L402" s="10"/>
      <c r="M402" s="427">
        <v>401</v>
      </c>
      <c r="N402" s="13" t="str">
        <f t="shared" ca="1" si="13"/>
        <v>CLOSED</v>
      </c>
    </row>
    <row r="403" spans="1:14" ht="28.8" x14ac:dyDescent="0.3">
      <c r="A403" s="9" t="s">
        <v>65</v>
      </c>
      <c r="B403" s="13">
        <f>VLOOKUP(Table27[[#This Row],[Location 
(drop-down)]],'List source'!D$2:E$60,2,FALSE)</f>
        <v>155</v>
      </c>
      <c r="C403" s="222" t="s">
        <v>1267</v>
      </c>
      <c r="D403" s="30" t="str">
        <f t="shared" si="12"/>
        <v>PTO402-155-24</v>
      </c>
      <c r="E403" s="9" t="s">
        <v>1268</v>
      </c>
      <c r="F403" s="10" t="s">
        <v>1239</v>
      </c>
      <c r="G4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403" s="10">
        <v>-36.619999999999997</v>
      </c>
      <c r="I403" s="12">
        <v>45418</v>
      </c>
      <c r="J403" s="12" t="s">
        <v>134</v>
      </c>
      <c r="K403" s="77">
        <v>45616</v>
      </c>
      <c r="L403" s="10"/>
      <c r="M403" s="427">
        <v>402</v>
      </c>
      <c r="N403" s="13" t="str">
        <f t="shared" ca="1" si="13"/>
        <v>CLOSED</v>
      </c>
    </row>
    <row r="404" spans="1:14" ht="43.2" x14ac:dyDescent="0.3">
      <c r="A404" s="9" t="s">
        <v>35</v>
      </c>
      <c r="B404" s="13">
        <f>VLOOKUP(Table27[[#This Row],[Location 
(drop-down)]],'List source'!D$2:E$60,2,FALSE)</f>
        <v>158</v>
      </c>
      <c r="C404" s="222" t="s">
        <v>1269</v>
      </c>
      <c r="D404" s="30" t="str">
        <f t="shared" si="12"/>
        <v>PTO403-158-24</v>
      </c>
      <c r="E404" s="9" t="s">
        <v>1263</v>
      </c>
      <c r="F404" s="10" t="s">
        <v>1239</v>
      </c>
      <c r="G4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04" s="39" t="s">
        <v>1270</v>
      </c>
      <c r="I404" s="12">
        <v>45418</v>
      </c>
      <c r="J404" s="12" t="s">
        <v>495</v>
      </c>
      <c r="K404" s="77">
        <v>45418</v>
      </c>
      <c r="L404" s="10" t="s">
        <v>496</v>
      </c>
      <c r="M404" s="427">
        <v>403</v>
      </c>
      <c r="N404" s="13" t="str">
        <f t="shared" ca="1" si="13"/>
        <v>CLOSED</v>
      </c>
    </row>
    <row r="405" spans="1:14" ht="43.2" x14ac:dyDescent="0.3">
      <c r="A405" s="9" t="s">
        <v>209</v>
      </c>
      <c r="B405" s="13">
        <f>VLOOKUP(Table27[[#This Row],[Location 
(drop-down)]],'List source'!D$2:E$60,2,FALSE)</f>
        <v>165</v>
      </c>
      <c r="C405" s="222" t="s">
        <v>1271</v>
      </c>
      <c r="D405" s="30" t="str">
        <f t="shared" si="12"/>
        <v>PTO404-165-24</v>
      </c>
      <c r="E405" s="9" t="s">
        <v>1272</v>
      </c>
      <c r="F405" s="10" t="s">
        <v>1239</v>
      </c>
      <c r="G405" s="9" t="s">
        <v>1273</v>
      </c>
      <c r="H405" s="39" t="s">
        <v>1274</v>
      </c>
      <c r="I405" s="12">
        <v>45418</v>
      </c>
      <c r="J405" s="12" t="s">
        <v>495</v>
      </c>
      <c r="K405" s="77">
        <v>45418</v>
      </c>
      <c r="L405" s="10" t="s">
        <v>496</v>
      </c>
      <c r="M405" s="427">
        <v>404</v>
      </c>
      <c r="N405" s="13" t="str">
        <f t="shared" ca="1" si="13"/>
        <v>CLOSED</v>
      </c>
    </row>
    <row r="406" spans="1:14" ht="43.2" x14ac:dyDescent="0.3">
      <c r="A406" s="9" t="s">
        <v>57</v>
      </c>
      <c r="B406" s="13">
        <f>VLOOKUP(Table27[[#This Row],[Location 
(drop-down)]],'List source'!D$2:E$60,2,FALSE)</f>
        <v>170</v>
      </c>
      <c r="C406" s="222" t="s">
        <v>1275</v>
      </c>
      <c r="D406" s="30" t="str">
        <f t="shared" si="12"/>
        <v>PTO405-170-24</v>
      </c>
      <c r="E406" s="9" t="s">
        <v>1276</v>
      </c>
      <c r="F406" s="10" t="s">
        <v>1239</v>
      </c>
      <c r="G4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D5185 - Element</v>
      </c>
      <c r="H406" s="10">
        <v>2.2200000000000002</v>
      </c>
      <c r="I406" s="12">
        <v>45418</v>
      </c>
      <c r="J406" s="12" t="s">
        <v>495</v>
      </c>
      <c r="K406" s="77">
        <v>45418</v>
      </c>
      <c r="L406" s="10" t="s">
        <v>496</v>
      </c>
      <c r="M406" s="427">
        <v>405</v>
      </c>
      <c r="N406" s="13" t="str">
        <f t="shared" ca="1" si="13"/>
        <v>CLOSED</v>
      </c>
    </row>
    <row r="407" spans="1:14" ht="18" x14ac:dyDescent="0.3">
      <c r="A407" s="9" t="s">
        <v>147</v>
      </c>
      <c r="B407" s="13">
        <f>VLOOKUP(Table27[[#This Row],[Location 
(drop-down)]],'List source'!D$2:E$61,2,FALSE)</f>
        <v>185</v>
      </c>
      <c r="C407" s="222" t="s">
        <v>1277</v>
      </c>
      <c r="D407" s="30" t="str">
        <f t="shared" si="12"/>
        <v>PTO406-185-24</v>
      </c>
      <c r="E407" s="9" t="s">
        <v>1278</v>
      </c>
      <c r="F407" s="10" t="s">
        <v>1239</v>
      </c>
      <c r="G4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407" s="10">
        <v>-2.06</v>
      </c>
      <c r="I407" s="12">
        <v>45418</v>
      </c>
      <c r="J407" s="12" t="s">
        <v>195</v>
      </c>
      <c r="K407" s="77">
        <v>45483</v>
      </c>
      <c r="L407" s="10"/>
      <c r="M407" s="427">
        <v>406</v>
      </c>
      <c r="N407" s="13" t="str">
        <f t="shared" ca="1" si="13"/>
        <v>CLOSED</v>
      </c>
    </row>
    <row r="408" spans="1:14" ht="18" x14ac:dyDescent="0.3">
      <c r="A408" s="9" t="s">
        <v>147</v>
      </c>
      <c r="B408" s="13">
        <f>VLOOKUP(Table27[[#This Row],[Location 
(drop-down)]],'List source'!D$2:E$61,2,FALSE)</f>
        <v>185</v>
      </c>
      <c r="C408" s="222" t="s">
        <v>1279</v>
      </c>
      <c r="D408" s="30" t="str">
        <f t="shared" si="12"/>
        <v>PTO407-185-24</v>
      </c>
      <c r="E408" s="9" t="s">
        <v>1280</v>
      </c>
      <c r="F408" s="10" t="s">
        <v>1239</v>
      </c>
      <c r="G4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D5184 - Element</v>
      </c>
      <c r="H408" s="10">
        <v>2.8</v>
      </c>
      <c r="I408" s="12">
        <v>45418</v>
      </c>
      <c r="J408" s="12" t="s">
        <v>195</v>
      </c>
      <c r="K408" s="77">
        <v>45530</v>
      </c>
      <c r="L408" s="10"/>
      <c r="M408" s="427">
        <v>407</v>
      </c>
      <c r="N408" s="13" t="str">
        <f t="shared" ca="1" si="13"/>
        <v>CLOSED</v>
      </c>
    </row>
    <row r="409" spans="1:14" ht="18" x14ac:dyDescent="0.3">
      <c r="A409" s="9" t="s">
        <v>147</v>
      </c>
      <c r="B409" s="13">
        <f>VLOOKUP(Table27[[#This Row],[Location 
(drop-down)]],'List source'!D$2:E$61,2,FALSE)</f>
        <v>185</v>
      </c>
      <c r="C409" s="222" t="s">
        <v>1281</v>
      </c>
      <c r="D409" s="30" t="str">
        <f t="shared" si="12"/>
        <v>PTO408-185-24</v>
      </c>
      <c r="E409" s="9" t="s">
        <v>1282</v>
      </c>
      <c r="F409" s="10" t="s">
        <v>1239</v>
      </c>
      <c r="G4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09" s="10">
        <v>-4.6900000000000004</v>
      </c>
      <c r="I409" s="12">
        <v>45418</v>
      </c>
      <c r="J409" s="12" t="s">
        <v>195</v>
      </c>
      <c r="K409" s="77">
        <v>45483</v>
      </c>
      <c r="L409" s="10"/>
      <c r="M409" s="427">
        <v>408</v>
      </c>
      <c r="N409" s="13" t="str">
        <f t="shared" ca="1" si="13"/>
        <v>CLOSED</v>
      </c>
    </row>
    <row r="410" spans="1:14" ht="18" x14ac:dyDescent="0.3">
      <c r="A410" s="9" t="s">
        <v>75</v>
      </c>
      <c r="B410" s="13">
        <f>VLOOKUP(Table27[[#This Row],[Location 
(drop-down)]],'List source'!D$2:E$60,2,FALSE)</f>
        <v>190</v>
      </c>
      <c r="C410" s="222" t="s">
        <v>1283</v>
      </c>
      <c r="D410" s="30" t="str">
        <f t="shared" si="12"/>
        <v>PTO409-190-24</v>
      </c>
      <c r="E410" s="9" t="s">
        <v>1284</v>
      </c>
      <c r="F410" s="10" t="s">
        <v>1239</v>
      </c>
      <c r="G4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10" s="10">
        <v>4.33</v>
      </c>
      <c r="I410" s="12">
        <v>45418</v>
      </c>
      <c r="J410" s="12" t="s">
        <v>501</v>
      </c>
      <c r="K410" s="77">
        <v>45450</v>
      </c>
      <c r="L410" s="10"/>
      <c r="M410" s="427">
        <v>409</v>
      </c>
      <c r="N410" s="13" t="str">
        <f t="shared" ca="1" si="13"/>
        <v>CLOSED</v>
      </c>
    </row>
    <row r="411" spans="1:14" ht="43.2" x14ac:dyDescent="0.3">
      <c r="A411" s="9" t="s">
        <v>75</v>
      </c>
      <c r="B411" s="13">
        <f>VLOOKUP(Table27[[#This Row],[Location 
(drop-down)]],'List source'!D$2:E$60,2,FALSE)</f>
        <v>190</v>
      </c>
      <c r="C411" s="222" t="s">
        <v>1285</v>
      </c>
      <c r="D411" s="30" t="str">
        <f t="shared" si="12"/>
        <v>PTO410-190-24</v>
      </c>
      <c r="E411" s="9" t="s">
        <v>1286</v>
      </c>
      <c r="F411" s="10" t="s">
        <v>1239</v>
      </c>
      <c r="G4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411" s="39" t="s">
        <v>1287</v>
      </c>
      <c r="I411" s="12">
        <v>45418</v>
      </c>
      <c r="J411" s="12" t="s">
        <v>495</v>
      </c>
      <c r="K411" s="77">
        <v>45418</v>
      </c>
      <c r="L411" s="10" t="s">
        <v>496</v>
      </c>
      <c r="M411" s="427">
        <v>410</v>
      </c>
      <c r="N411" s="13" t="str">
        <f t="shared" ca="1" si="13"/>
        <v>CLOSED</v>
      </c>
    </row>
    <row r="412" spans="1:14" ht="43.2" x14ac:dyDescent="0.3">
      <c r="A412" s="9" t="s">
        <v>388</v>
      </c>
      <c r="B412" s="13">
        <f>VLOOKUP(Table27[[#This Row],[Location 
(drop-down)]],'List source'!D$2:E$60,2,FALSE)</f>
        <v>191</v>
      </c>
      <c r="C412" s="222" t="s">
        <v>1288</v>
      </c>
      <c r="D412" s="30" t="str">
        <f t="shared" si="12"/>
        <v>PTO411-191-24</v>
      </c>
      <c r="E412" s="9" t="s">
        <v>1289</v>
      </c>
      <c r="F412" s="10" t="s">
        <v>1239</v>
      </c>
      <c r="G4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D3279 - Insolubles</v>
      </c>
      <c r="H412" s="10">
        <v>2.31</v>
      </c>
      <c r="I412" s="12">
        <v>45418</v>
      </c>
      <c r="J412" s="12" t="s">
        <v>495</v>
      </c>
      <c r="K412" s="77">
        <v>45418</v>
      </c>
      <c r="L412" s="10" t="s">
        <v>496</v>
      </c>
      <c r="M412" s="427">
        <v>411</v>
      </c>
      <c r="N412" s="13" t="str">
        <f t="shared" ca="1" si="13"/>
        <v>CLOSED</v>
      </c>
    </row>
    <row r="413" spans="1:14" ht="28.8" x14ac:dyDescent="0.3">
      <c r="A413" s="9" t="s">
        <v>388</v>
      </c>
      <c r="B413" s="13">
        <f>VLOOKUP(Table27[[#This Row],[Location 
(drop-down)]],'List source'!D$2:E$60,2,FALSE)</f>
        <v>191</v>
      </c>
      <c r="C413" s="222" t="s">
        <v>1290</v>
      </c>
      <c r="D413" s="30" t="str">
        <f t="shared" si="12"/>
        <v>PTO412-191-24</v>
      </c>
      <c r="E413" s="9" t="s">
        <v>1291</v>
      </c>
      <c r="F413" s="10" t="s">
        <v>1239</v>
      </c>
      <c r="G4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413" s="10">
        <v>-2.6</v>
      </c>
      <c r="I413" s="12">
        <v>45418</v>
      </c>
      <c r="J413" s="12" t="s">
        <v>495</v>
      </c>
      <c r="K413" s="77">
        <v>45428</v>
      </c>
      <c r="L413" s="10" t="s">
        <v>510</v>
      </c>
      <c r="M413" s="427">
        <v>412</v>
      </c>
      <c r="N413" s="13" t="str">
        <f t="shared" ca="1" si="13"/>
        <v>CLOSED</v>
      </c>
    </row>
    <row r="414" spans="1:14" ht="28.8" x14ac:dyDescent="0.3">
      <c r="A414" s="9" t="s">
        <v>288</v>
      </c>
      <c r="B414" s="13">
        <f>VLOOKUP(Table27[[#This Row],[Location 
(drop-down)]],'List source'!D$2:E$60,2,FALSE)</f>
        <v>197</v>
      </c>
      <c r="C414" s="222" t="s">
        <v>1292</v>
      </c>
      <c r="D414" s="30" t="str">
        <f t="shared" si="12"/>
        <v>PTO413-197-24</v>
      </c>
      <c r="E414" s="9" t="s">
        <v>1293</v>
      </c>
      <c r="F414" s="10" t="s">
        <v>1239</v>
      </c>
      <c r="G4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14" s="10">
        <v>-9.15</v>
      </c>
      <c r="I414" s="12">
        <v>45418</v>
      </c>
      <c r="J414" s="12" t="s">
        <v>495</v>
      </c>
      <c r="K414" s="77">
        <v>45569</v>
      </c>
      <c r="L414" s="10" t="s">
        <v>510</v>
      </c>
      <c r="M414" s="427">
        <v>413</v>
      </c>
      <c r="N414" s="13" t="str">
        <f t="shared" ca="1" si="13"/>
        <v>CLOSED</v>
      </c>
    </row>
    <row r="415" spans="1:14" ht="18" x14ac:dyDescent="0.3">
      <c r="A415" s="9" t="s">
        <v>138</v>
      </c>
      <c r="B415" s="13">
        <f>VLOOKUP(Table27[[#This Row],[Location 
(drop-down)]],'List source'!D$2:E$60,2,FALSE)</f>
        <v>110</v>
      </c>
      <c r="C415" s="222" t="s">
        <v>1294</v>
      </c>
      <c r="D415" s="30" t="str">
        <f t="shared" si="12"/>
        <v>PTO414-110-24</v>
      </c>
      <c r="E415" s="9" t="s">
        <v>1295</v>
      </c>
      <c r="F415" s="10" t="str" cm="1">
        <f t="array" aca="1" ref="F4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415" s="10">
        <v>8.4499999999999993</v>
      </c>
      <c r="I415" s="12">
        <v>45420</v>
      </c>
      <c r="J415" s="12" t="s">
        <v>495</v>
      </c>
      <c r="K415" s="77">
        <v>45421</v>
      </c>
      <c r="L415" s="10" t="s">
        <v>510</v>
      </c>
      <c r="M415" s="427">
        <v>414</v>
      </c>
      <c r="N415" s="13" t="str">
        <f t="shared" ca="1" si="13"/>
        <v>CLOSED</v>
      </c>
    </row>
    <row r="416" spans="1:14" ht="18" x14ac:dyDescent="0.3">
      <c r="A416" s="9" t="s">
        <v>288</v>
      </c>
      <c r="B416" s="13">
        <f>VLOOKUP(Table27[[#This Row],[Location 
(drop-down)]],'List source'!D$2:E$60,2,FALSE)</f>
        <v>197</v>
      </c>
      <c r="C416" s="222" t="s">
        <v>1296</v>
      </c>
      <c r="D416" s="30" t="str">
        <f t="shared" si="12"/>
        <v>PTO415-197-24</v>
      </c>
      <c r="E416" s="9" t="s">
        <v>1297</v>
      </c>
      <c r="F416" s="10" t="s">
        <v>1239</v>
      </c>
      <c r="G4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D95 - Water</v>
      </c>
      <c r="H416" s="10">
        <v>2.58</v>
      </c>
      <c r="I416" s="12">
        <v>45418</v>
      </c>
      <c r="J416" s="12" t="s">
        <v>495</v>
      </c>
      <c r="K416" s="77">
        <v>45419</v>
      </c>
      <c r="L416" s="10" t="s">
        <v>510</v>
      </c>
      <c r="M416" s="427">
        <v>415</v>
      </c>
      <c r="N416" s="13" t="str">
        <f t="shared" ca="1" si="13"/>
        <v>CLOSED</v>
      </c>
    </row>
    <row r="417" spans="1:14" ht="43.2" x14ac:dyDescent="0.3">
      <c r="A417" s="9" t="s">
        <v>288</v>
      </c>
      <c r="B417" s="13">
        <f>VLOOKUP(Table27[[#This Row],[Location 
(drop-down)]],'List source'!D$2:E$60,2,FALSE)</f>
        <v>197</v>
      </c>
      <c r="C417" s="222" t="s">
        <v>1298</v>
      </c>
      <c r="D417" s="30" t="str">
        <f t="shared" si="12"/>
        <v>PTO416-197-24</v>
      </c>
      <c r="E417" s="9" t="s">
        <v>1289</v>
      </c>
      <c r="F417" s="10" t="s">
        <v>1239</v>
      </c>
      <c r="G4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D3279 - Insolubles</v>
      </c>
      <c r="H417" s="10">
        <v>2.78</v>
      </c>
      <c r="I417" s="12">
        <v>45418</v>
      </c>
      <c r="J417" s="12" t="s">
        <v>495</v>
      </c>
      <c r="K417" s="77">
        <v>45418</v>
      </c>
      <c r="L417" s="10" t="s">
        <v>496</v>
      </c>
      <c r="M417" s="427">
        <v>416</v>
      </c>
      <c r="N417" s="13" t="str">
        <f t="shared" ca="1" si="13"/>
        <v>CLOSED</v>
      </c>
    </row>
    <row r="418" spans="1:14" ht="28.8" x14ac:dyDescent="0.3">
      <c r="A418" s="9" t="s">
        <v>564</v>
      </c>
      <c r="B418" s="13">
        <f>VLOOKUP(Table27[[#This Row],[Location 
(drop-down)]],'List source'!D$2:E$60,2,FALSE)</f>
        <v>215</v>
      </c>
      <c r="C418" s="222" t="s">
        <v>1299</v>
      </c>
      <c r="D418" s="30" t="str">
        <f t="shared" si="12"/>
        <v>PTO417-215-24</v>
      </c>
      <c r="E418" s="9" t="s">
        <v>1300</v>
      </c>
      <c r="F418" s="10" t="s">
        <v>1239</v>
      </c>
      <c r="G4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418" s="10">
        <v>-2.2000000000000002</v>
      </c>
      <c r="I418" s="12">
        <v>45418</v>
      </c>
      <c r="J418" s="12"/>
      <c r="K418" s="77">
        <v>45594</v>
      </c>
      <c r="L418" s="10"/>
      <c r="M418" s="427">
        <v>417</v>
      </c>
      <c r="N418" s="13" t="str">
        <f t="shared" ca="1" si="13"/>
        <v>CLOSED</v>
      </c>
    </row>
    <row r="419" spans="1:14" ht="18" x14ac:dyDescent="0.3">
      <c r="A419" s="9" t="s">
        <v>564</v>
      </c>
      <c r="B419" s="13">
        <f>VLOOKUP(Table27[[#This Row],[Location 
(drop-down)]],'List source'!D$2:E$60,2,FALSE)</f>
        <v>215</v>
      </c>
      <c r="C419" s="222" t="s">
        <v>1301</v>
      </c>
      <c r="D419" s="30" t="str">
        <f t="shared" si="12"/>
        <v>PTO418-215-24</v>
      </c>
      <c r="E419" s="9" t="s">
        <v>1302</v>
      </c>
      <c r="F419" s="10" t="s">
        <v>1239</v>
      </c>
      <c r="G4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D95 - Water</v>
      </c>
      <c r="H419" s="10">
        <v>-2.0499999999999998</v>
      </c>
      <c r="I419" s="12">
        <v>45418</v>
      </c>
      <c r="J419" s="12" t="s">
        <v>195</v>
      </c>
      <c r="K419" s="77">
        <v>45588</v>
      </c>
      <c r="L419" s="10"/>
      <c r="M419" s="427">
        <v>418</v>
      </c>
      <c r="N419" s="13" t="str">
        <f t="shared" ca="1" si="13"/>
        <v>CLOSED</v>
      </c>
    </row>
    <row r="420" spans="1:14" ht="18" x14ac:dyDescent="0.3">
      <c r="A420" s="9" t="s">
        <v>264</v>
      </c>
      <c r="B420" s="13">
        <f>VLOOKUP(Table27[[#This Row],[Location 
(drop-down)]],'List source'!D$2:E$60,2,FALSE)</f>
        <v>132</v>
      </c>
      <c r="C420" s="222" t="s">
        <v>1303</v>
      </c>
      <c r="D420" s="30" t="str">
        <f t="shared" si="12"/>
        <v>PTO419-132-24</v>
      </c>
      <c r="E420" s="9" t="s">
        <v>1304</v>
      </c>
      <c r="F420" s="10" t="str" cm="1">
        <f t="array" aca="1" ref="F4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4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420" s="39" t="s">
        <v>1025</v>
      </c>
      <c r="I420" s="12">
        <v>45418</v>
      </c>
      <c r="J420" s="12" t="s">
        <v>49</v>
      </c>
      <c r="K420" s="77">
        <v>45546</v>
      </c>
      <c r="L420" s="10"/>
      <c r="M420" s="427">
        <v>419</v>
      </c>
      <c r="N420" s="13" t="str">
        <f t="shared" ca="1" si="13"/>
        <v>CLOSED</v>
      </c>
    </row>
    <row r="421" spans="1:14" ht="18" x14ac:dyDescent="0.3">
      <c r="A421" s="9" t="s">
        <v>126</v>
      </c>
      <c r="B421" s="13">
        <f>VLOOKUP(Table27[[#This Row],[Location 
(drop-down)]],'List source'!D$2:E$60,2,FALSE)</f>
        <v>125</v>
      </c>
      <c r="C421" s="222" t="s">
        <v>1305</v>
      </c>
      <c r="D421" s="30" t="str">
        <f t="shared" si="12"/>
        <v>PTO420-125-24</v>
      </c>
      <c r="E421" s="9" t="s">
        <v>1306</v>
      </c>
      <c r="F421" s="10" t="str" cm="1">
        <f t="array" aca="1" ref="F4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421" s="10">
        <v>9.58</v>
      </c>
      <c r="I421" s="12">
        <v>45420</v>
      </c>
      <c r="J421" s="12" t="s">
        <v>195</v>
      </c>
      <c r="K421" s="77">
        <v>45574</v>
      </c>
      <c r="L421" s="10"/>
      <c r="M421" s="427">
        <v>420</v>
      </c>
      <c r="N421" s="13" t="str">
        <f t="shared" ca="1" si="13"/>
        <v>CLOSED</v>
      </c>
    </row>
    <row r="422" spans="1:14" ht="18" x14ac:dyDescent="0.3">
      <c r="A422" s="9" t="s">
        <v>126</v>
      </c>
      <c r="B422" s="13">
        <f>VLOOKUP(Table27[[#This Row],[Location 
(drop-down)]],'List source'!D$2:E$60,2,FALSE)</f>
        <v>125</v>
      </c>
      <c r="C422" s="222" t="s">
        <v>1307</v>
      </c>
      <c r="D422" s="30" t="str">
        <f t="shared" si="12"/>
        <v>PTO421-125-24</v>
      </c>
      <c r="E422" s="9" t="s">
        <v>1308</v>
      </c>
      <c r="F422" s="10" t="str" cm="1">
        <f t="array" aca="1" ref="F4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422" s="10">
        <v>2.97</v>
      </c>
      <c r="I422" s="12">
        <v>45420</v>
      </c>
      <c r="J422" s="12" t="s">
        <v>195</v>
      </c>
      <c r="K422" s="77">
        <v>45576</v>
      </c>
      <c r="L422" s="10"/>
      <c r="M422" s="427">
        <v>421</v>
      </c>
      <c r="N422" s="13" t="str">
        <f t="shared" ca="1" si="13"/>
        <v>CLOSED</v>
      </c>
    </row>
    <row r="423" spans="1:14" ht="18" x14ac:dyDescent="0.3">
      <c r="A423" s="9" t="s">
        <v>153</v>
      </c>
      <c r="B423" s="13">
        <f>VLOOKUP(Table27[[#This Row],[Location 
(drop-down)]],'List source'!D$2:E$60,2,FALSE)</f>
        <v>126</v>
      </c>
      <c r="C423" s="222" t="s">
        <v>1309</v>
      </c>
      <c r="D423" s="30" t="str">
        <f t="shared" si="12"/>
        <v>PTO422-126-24</v>
      </c>
      <c r="E423" s="9" t="s">
        <v>1310</v>
      </c>
      <c r="F423" s="10" t="str" cm="1">
        <f t="array" aca="1" ref="F4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423" s="10">
        <v>4.3899999999999997</v>
      </c>
      <c r="I423" s="12">
        <v>45420</v>
      </c>
      <c r="J423" s="12" t="s">
        <v>195</v>
      </c>
      <c r="K423" s="77">
        <v>45840</v>
      </c>
      <c r="L423" s="10"/>
      <c r="M423" s="427">
        <v>422</v>
      </c>
      <c r="N423" s="13" t="str">
        <f t="shared" ca="1" si="13"/>
        <v>CLOSED</v>
      </c>
    </row>
    <row r="424" spans="1:14" ht="43.2" x14ac:dyDescent="0.3">
      <c r="A424" s="9" t="s">
        <v>39</v>
      </c>
      <c r="B424" s="13">
        <f>VLOOKUP(Table27[[#This Row],[Location 
(drop-down)]],'List source'!D$2:E$60,2,FALSE)</f>
        <v>127</v>
      </c>
      <c r="C424" s="222" t="s">
        <v>1311</v>
      </c>
      <c r="D424" s="30" t="str">
        <f t="shared" si="12"/>
        <v>PTO423-127-24</v>
      </c>
      <c r="E424" s="9" t="s">
        <v>1312</v>
      </c>
      <c r="F424" s="10" t="str" cm="1">
        <f t="array" aca="1" ref="F4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Chloride</v>
      </c>
      <c r="H424" s="10">
        <v>2.11</v>
      </c>
      <c r="I424" s="12">
        <v>45420</v>
      </c>
      <c r="J424" s="12" t="s">
        <v>495</v>
      </c>
      <c r="K424" s="77">
        <v>45420</v>
      </c>
      <c r="L424" s="10" t="s">
        <v>496</v>
      </c>
      <c r="M424" s="427">
        <v>423</v>
      </c>
      <c r="N424" s="13" t="str">
        <f t="shared" ca="1" si="13"/>
        <v>CLOSED</v>
      </c>
    </row>
    <row r="425" spans="1:14" ht="43.2" x14ac:dyDescent="0.3">
      <c r="A425" s="9" t="s">
        <v>39</v>
      </c>
      <c r="B425" s="13">
        <f>VLOOKUP(Table27[[#This Row],[Location 
(drop-down)]],'List source'!D$2:E$60,2,FALSE)</f>
        <v>127</v>
      </c>
      <c r="C425" s="222" t="s">
        <v>1313</v>
      </c>
      <c r="D425" s="30" t="str">
        <f t="shared" si="12"/>
        <v>PTO424-127-24</v>
      </c>
      <c r="E425" s="9" t="s">
        <v>1314</v>
      </c>
      <c r="F425" s="10" t="str" cm="1">
        <f t="array" aca="1" ref="F4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25" s="10">
        <v>2.3199999999999998</v>
      </c>
      <c r="I425" s="12">
        <v>45420</v>
      </c>
      <c r="J425" s="12" t="s">
        <v>495</v>
      </c>
      <c r="K425" s="77">
        <v>45420</v>
      </c>
      <c r="L425" s="10" t="s">
        <v>496</v>
      </c>
      <c r="M425" s="427">
        <v>424</v>
      </c>
      <c r="N425" s="13" t="str">
        <f t="shared" ca="1" si="13"/>
        <v>CLOSED</v>
      </c>
    </row>
    <row r="426" spans="1:14" ht="18" x14ac:dyDescent="0.3">
      <c r="A426" s="9" t="s">
        <v>186</v>
      </c>
      <c r="B426" s="13">
        <f>VLOOKUP(Table27[[#This Row],[Location 
(drop-down)]],'List source'!D$2:E$60,2,FALSE)</f>
        <v>130</v>
      </c>
      <c r="C426" s="222" t="s">
        <v>1315</v>
      </c>
      <c r="D426" s="30" t="str">
        <f t="shared" si="12"/>
        <v>PTO425-130-24</v>
      </c>
      <c r="E426" s="9" t="s">
        <v>1316</v>
      </c>
      <c r="F426" s="10" t="str" cm="1">
        <f t="array" aca="1" ref="F4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D1613 - Acidity</v>
      </c>
      <c r="H426" s="10">
        <v>3.11</v>
      </c>
      <c r="I426" s="12">
        <v>45420</v>
      </c>
      <c r="J426" s="12" t="s">
        <v>54</v>
      </c>
      <c r="K426" s="77">
        <v>45509</v>
      </c>
      <c r="L426" s="10"/>
      <c r="M426" s="427">
        <v>425</v>
      </c>
      <c r="N426" s="13" t="str">
        <f t="shared" ca="1" si="13"/>
        <v>CLOSED</v>
      </c>
    </row>
    <row r="427" spans="1:14" ht="18" x14ac:dyDescent="0.3">
      <c r="A427" s="9" t="s">
        <v>186</v>
      </c>
      <c r="B427" s="13">
        <f>VLOOKUP(Table27[[#This Row],[Location 
(drop-down)]],'List source'!D$2:E$60,2,FALSE)</f>
        <v>130</v>
      </c>
      <c r="C427" s="222" t="s">
        <v>1317</v>
      </c>
      <c r="D427" s="30" t="str">
        <f t="shared" si="12"/>
        <v>PTO426-130-24</v>
      </c>
      <c r="E427" s="9" t="s">
        <v>1318</v>
      </c>
      <c r="F427" s="10" t="str" cm="1">
        <f t="array" aca="1" ref="F4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427" s="10">
        <v>2.1</v>
      </c>
      <c r="I427" s="12">
        <v>45420</v>
      </c>
      <c r="J427" s="12" t="s">
        <v>54</v>
      </c>
      <c r="K427" s="77">
        <v>45506</v>
      </c>
      <c r="L427" s="10"/>
      <c r="M427" s="427">
        <v>426</v>
      </c>
      <c r="N427" s="13" t="str">
        <f t="shared" ca="1" si="13"/>
        <v>CLOSED</v>
      </c>
    </row>
    <row r="428" spans="1:14" ht="18" x14ac:dyDescent="0.3">
      <c r="A428" s="9" t="s">
        <v>186</v>
      </c>
      <c r="B428" s="13">
        <f>VLOOKUP(Table27[[#This Row],[Location 
(drop-down)]],'List source'!D$2:E$60,2,FALSE)</f>
        <v>130</v>
      </c>
      <c r="C428" s="222" t="s">
        <v>1319</v>
      </c>
      <c r="D428" s="30" t="str">
        <f t="shared" si="12"/>
        <v>PTO427-130-24</v>
      </c>
      <c r="E428" s="9" t="s">
        <v>1320</v>
      </c>
      <c r="F428" s="10" t="str" cm="1">
        <f t="array" aca="1" ref="F4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428" s="10">
        <v>6.95</v>
      </c>
      <c r="I428" s="12">
        <v>45420</v>
      </c>
      <c r="J428" s="12" t="s">
        <v>495</v>
      </c>
      <c r="K428" s="77">
        <v>45420</v>
      </c>
      <c r="L428" s="10" t="s">
        <v>510</v>
      </c>
      <c r="M428" s="427">
        <v>427</v>
      </c>
      <c r="N428" s="13" t="str">
        <f t="shared" ca="1" si="13"/>
        <v>CLOSED</v>
      </c>
    </row>
    <row r="429" spans="1:14" ht="18" x14ac:dyDescent="0.3">
      <c r="A429" s="9" t="s">
        <v>157</v>
      </c>
      <c r="B429" s="13">
        <f>VLOOKUP(Table27[[#This Row],[Location 
(drop-down)]],'List source'!D$2:E$60,2,FALSE)</f>
        <v>136</v>
      </c>
      <c r="C429" s="222" t="s">
        <v>1321</v>
      </c>
      <c r="D429" s="30" t="str">
        <f t="shared" si="12"/>
        <v>PTO428-136-24</v>
      </c>
      <c r="E429" s="9" t="s">
        <v>1322</v>
      </c>
      <c r="F429" s="10" t="str" cm="1">
        <f t="array" aca="1" ref="F4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429" s="10">
        <v>2.58</v>
      </c>
      <c r="I429" s="12">
        <v>45420</v>
      </c>
      <c r="J429" s="12" t="s">
        <v>501</v>
      </c>
      <c r="K429" s="77">
        <v>45475</v>
      </c>
      <c r="L429" s="10"/>
      <c r="M429" s="427">
        <v>428</v>
      </c>
      <c r="N429" s="13" t="str">
        <f t="shared" ca="1" si="13"/>
        <v>CLOSED</v>
      </c>
    </row>
    <row r="430" spans="1:14" ht="43.2" x14ac:dyDescent="0.3">
      <c r="A430" s="9" t="s">
        <v>310</v>
      </c>
      <c r="B430" s="13">
        <f>VLOOKUP(Table27[[#This Row],[Location 
(drop-down)]],'List source'!D$2:E$60,2,FALSE)</f>
        <v>144</v>
      </c>
      <c r="C430" s="222" t="s">
        <v>1323</v>
      </c>
      <c r="D430" s="30" t="str">
        <f t="shared" si="12"/>
        <v>PTO429-144-24</v>
      </c>
      <c r="E430" s="9" t="s">
        <v>1312</v>
      </c>
      <c r="F430" s="10" t="str" cm="1">
        <f t="array" aca="1" ref="F4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Chloride</v>
      </c>
      <c r="H430" s="10">
        <v>2.86</v>
      </c>
      <c r="I430" s="12">
        <v>45420</v>
      </c>
      <c r="J430" s="12" t="s">
        <v>495</v>
      </c>
      <c r="K430" s="77">
        <v>45420</v>
      </c>
      <c r="L430" s="10" t="s">
        <v>496</v>
      </c>
      <c r="M430" s="427">
        <v>429</v>
      </c>
      <c r="N430" s="13" t="str">
        <f t="shared" ca="1" si="13"/>
        <v>CLOSED</v>
      </c>
    </row>
    <row r="431" spans="1:14" ht="43.2" x14ac:dyDescent="0.3">
      <c r="A431" s="9" t="s">
        <v>147</v>
      </c>
      <c r="B431" s="13">
        <f>VLOOKUP(Table27[[#This Row],[Location 
(drop-down)]],'List source'!D$2:E$61,2,FALSE)</f>
        <v>185</v>
      </c>
      <c r="C431" s="222" t="s">
        <v>1324</v>
      </c>
      <c r="D431" s="30" t="str">
        <f t="shared" si="12"/>
        <v>PTO430-185-24</v>
      </c>
      <c r="E431" s="106" t="s">
        <v>1325</v>
      </c>
      <c r="F431" s="379" t="str" cm="1">
        <f t="array" aca="1" ref="F4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31" s="10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431" s="394" t="s">
        <v>879</v>
      </c>
      <c r="I431" s="12">
        <v>45420</v>
      </c>
      <c r="J431" s="12" t="s">
        <v>495</v>
      </c>
      <c r="K431" s="77">
        <v>45420</v>
      </c>
      <c r="L431" s="10" t="s">
        <v>496</v>
      </c>
      <c r="M431" s="427">
        <v>430</v>
      </c>
      <c r="N431" s="13" t="str">
        <f t="shared" ca="1" si="13"/>
        <v>CLOSED</v>
      </c>
    </row>
    <row r="432" spans="1:14" ht="18" x14ac:dyDescent="0.3">
      <c r="A432" s="9" t="s">
        <v>288</v>
      </c>
      <c r="B432" s="13">
        <f>VLOOKUP(Table27[[#This Row],[Location 
(drop-down)]],'List source'!D$2:E$60,2,FALSE)</f>
        <v>197</v>
      </c>
      <c r="C432" s="222" t="s">
        <v>1326</v>
      </c>
      <c r="D432" s="30" t="str">
        <f t="shared" si="12"/>
        <v>PTO431-197-24</v>
      </c>
      <c r="E432" s="9" t="s">
        <v>1327</v>
      </c>
      <c r="F432" s="10" t="str" cm="1">
        <f t="array" aca="1" ref="F4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4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432" s="10">
        <v>7.39</v>
      </c>
      <c r="I432" s="12">
        <v>45420</v>
      </c>
      <c r="J432" s="12" t="s">
        <v>495</v>
      </c>
      <c r="K432" s="77">
        <v>45420</v>
      </c>
      <c r="L432" s="10" t="s">
        <v>510</v>
      </c>
      <c r="M432" s="427">
        <v>431</v>
      </c>
      <c r="N432" s="13" t="str">
        <f t="shared" ca="1" si="13"/>
        <v>CLOSED</v>
      </c>
    </row>
    <row r="433" spans="1:14" ht="43.2" x14ac:dyDescent="0.3">
      <c r="A433" s="9" t="s">
        <v>130</v>
      </c>
      <c r="B433" s="13">
        <f>VLOOKUP(Table27[[#This Row],[Location 
(drop-down)]],'List source'!D$2:E$60,2,FALSE)</f>
        <v>194</v>
      </c>
      <c r="C433" s="222" t="s">
        <v>1328</v>
      </c>
      <c r="D433" s="30" t="str">
        <f t="shared" si="12"/>
        <v>PTO432-194-24</v>
      </c>
      <c r="E433" s="9" t="s">
        <v>1329</v>
      </c>
      <c r="F433" s="10" t="s">
        <v>1330</v>
      </c>
      <c r="G4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33" s="39" t="s">
        <v>585</v>
      </c>
      <c r="I433" s="12">
        <v>45422</v>
      </c>
      <c r="J433" s="12" t="s">
        <v>495</v>
      </c>
      <c r="K433" s="77">
        <v>45422</v>
      </c>
      <c r="L433" s="10" t="s">
        <v>496</v>
      </c>
      <c r="M433" s="427">
        <v>432</v>
      </c>
      <c r="N433" s="13" t="str">
        <f t="shared" ca="1" si="13"/>
        <v>CLOSED</v>
      </c>
    </row>
    <row r="434" spans="1:14" ht="43.2" x14ac:dyDescent="0.3">
      <c r="A434" s="9" t="s">
        <v>130</v>
      </c>
      <c r="B434" s="13">
        <f>VLOOKUP(Table27[[#This Row],[Location 
(drop-down)]],'List source'!D$2:E$60,2,FALSE)</f>
        <v>194</v>
      </c>
      <c r="C434" s="222" t="s">
        <v>1331</v>
      </c>
      <c r="D434" s="30" t="str">
        <f t="shared" si="12"/>
        <v>PTO433-194-24</v>
      </c>
      <c r="E434" s="9" t="s">
        <v>1332</v>
      </c>
      <c r="F434" s="10" t="s">
        <v>1330</v>
      </c>
      <c r="G4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34" s="10">
        <v>-2.36</v>
      </c>
      <c r="I434" s="12">
        <v>45422</v>
      </c>
      <c r="J434" s="12" t="s">
        <v>495</v>
      </c>
      <c r="K434" s="77">
        <v>45422</v>
      </c>
      <c r="L434" s="10" t="s">
        <v>496</v>
      </c>
      <c r="M434" s="427">
        <v>433</v>
      </c>
      <c r="N434" s="13" t="str">
        <f t="shared" ca="1" si="13"/>
        <v>CLOSED</v>
      </c>
    </row>
    <row r="435" spans="1:14" ht="43.2" x14ac:dyDescent="0.3">
      <c r="A435" s="9" t="s">
        <v>130</v>
      </c>
      <c r="B435" s="13">
        <f>VLOOKUP(Table27[[#This Row],[Location 
(drop-down)]],'List source'!D$2:E$60,2,FALSE)</f>
        <v>194</v>
      </c>
      <c r="C435" s="222" t="s">
        <v>1333</v>
      </c>
      <c r="D435" s="30" t="str">
        <f t="shared" si="12"/>
        <v>PTO434-194-24</v>
      </c>
      <c r="E435" s="9" t="s">
        <v>1334</v>
      </c>
      <c r="F435" s="10" t="s">
        <v>1330</v>
      </c>
      <c r="G4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Pressure Drop</v>
      </c>
      <c r="H435" s="10">
        <v>21.64</v>
      </c>
      <c r="I435" s="12">
        <v>45422</v>
      </c>
      <c r="J435" s="12" t="s">
        <v>495</v>
      </c>
      <c r="K435" s="77">
        <v>45422</v>
      </c>
      <c r="L435" s="10" t="s">
        <v>496</v>
      </c>
      <c r="M435" s="427">
        <v>434</v>
      </c>
      <c r="N435" s="13" t="str">
        <f t="shared" ca="1" si="13"/>
        <v>CLOSED</v>
      </c>
    </row>
    <row r="436" spans="1:14" ht="18" x14ac:dyDescent="0.3">
      <c r="A436" s="9" t="s">
        <v>288</v>
      </c>
      <c r="B436" s="13">
        <f>VLOOKUP(Table27[[#This Row],[Location 
(drop-down)]],'List source'!D$2:E$60,2,FALSE)</f>
        <v>197</v>
      </c>
      <c r="C436" s="222" t="s">
        <v>1335</v>
      </c>
      <c r="D436" s="30" t="str">
        <f t="shared" si="12"/>
        <v>PTO435-197-24</v>
      </c>
      <c r="E436" s="9" t="s">
        <v>1336</v>
      </c>
      <c r="F436" s="10" t="s">
        <v>1330</v>
      </c>
      <c r="G4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Sulfur</v>
      </c>
      <c r="H436" s="39" t="s">
        <v>1337</v>
      </c>
      <c r="I436" s="12">
        <v>45422</v>
      </c>
      <c r="J436" s="12" t="s">
        <v>41</v>
      </c>
      <c r="K436" s="77">
        <v>45594</v>
      </c>
      <c r="L436" s="10"/>
      <c r="M436" s="427">
        <v>435</v>
      </c>
      <c r="N436" s="13" t="str">
        <f t="shared" ca="1" si="13"/>
        <v>CLOSED</v>
      </c>
    </row>
    <row r="437" spans="1:14" ht="43.2" x14ac:dyDescent="0.3">
      <c r="A437" s="9" t="s">
        <v>207</v>
      </c>
      <c r="B437" s="13">
        <f>VLOOKUP(Table27[[#This Row],[Location 
(drop-down)]],'List source'!D$2:E$60,2,FALSE)</f>
        <v>189</v>
      </c>
      <c r="C437" s="222" t="s">
        <v>1338</v>
      </c>
      <c r="D437" s="30" t="str">
        <f t="shared" si="12"/>
        <v>PTO436-189-24</v>
      </c>
      <c r="E437" s="9" t="s">
        <v>1339</v>
      </c>
      <c r="F437" s="98" t="s">
        <v>1340</v>
      </c>
      <c r="G4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D7224 - Water Separation of Kerosine-type Aviation Turbine</v>
      </c>
      <c r="H437" s="10">
        <v>2.4</v>
      </c>
      <c r="I437" s="12">
        <v>45422</v>
      </c>
      <c r="J437" s="12" t="s">
        <v>495</v>
      </c>
      <c r="K437" s="77">
        <v>45422</v>
      </c>
      <c r="L437" s="10" t="s">
        <v>496</v>
      </c>
      <c r="M437" s="427">
        <v>436</v>
      </c>
      <c r="N437" s="13" t="str">
        <f t="shared" ca="1" si="13"/>
        <v>CLOSED</v>
      </c>
    </row>
    <row r="438" spans="1:14" ht="18" x14ac:dyDescent="0.3">
      <c r="A438" s="9" t="s">
        <v>207</v>
      </c>
      <c r="B438" s="13">
        <f>VLOOKUP(Table27[[#This Row],[Location 
(drop-down)]],'List source'!D$2:E$60,2,FALSE)</f>
        <v>189</v>
      </c>
      <c r="C438" s="222" t="s">
        <v>1341</v>
      </c>
      <c r="D438" s="30" t="str">
        <f t="shared" si="12"/>
        <v>PTO437-189-24</v>
      </c>
      <c r="E438" s="193" t="s">
        <v>1342</v>
      </c>
      <c r="F438" s="350" t="s">
        <v>1340</v>
      </c>
      <c r="G438"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438" s="10">
        <v>10.45</v>
      </c>
      <c r="I438" s="12">
        <v>45422</v>
      </c>
      <c r="J438" s="12" t="s">
        <v>23</v>
      </c>
      <c r="K438" s="77">
        <v>45657</v>
      </c>
      <c r="L438" s="29"/>
      <c r="M438" s="427">
        <v>437</v>
      </c>
      <c r="N438" s="13" t="str">
        <f t="shared" ca="1" si="13"/>
        <v>CLOSED</v>
      </c>
    </row>
    <row r="439" spans="1:14" ht="43.2" x14ac:dyDescent="0.3">
      <c r="A439" s="9" t="s">
        <v>130</v>
      </c>
      <c r="B439" s="13">
        <f>VLOOKUP(Table27[[#This Row],[Location 
(drop-down)]],'List source'!D$2:E$60,2,FALSE)</f>
        <v>194</v>
      </c>
      <c r="C439" s="222" t="s">
        <v>1343</v>
      </c>
      <c r="D439" s="30" t="str">
        <f t="shared" si="12"/>
        <v>PTO438-194-24</v>
      </c>
      <c r="E439" s="193" t="s">
        <v>1344</v>
      </c>
      <c r="F439" s="350" t="s">
        <v>1340</v>
      </c>
      <c r="G439"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39" s="39" t="s">
        <v>1345</v>
      </c>
      <c r="I439" s="12">
        <v>45422</v>
      </c>
      <c r="J439" s="12" t="s">
        <v>495</v>
      </c>
      <c r="K439" s="77">
        <v>45422</v>
      </c>
      <c r="L439" s="10" t="s">
        <v>496</v>
      </c>
      <c r="M439" s="427">
        <v>438</v>
      </c>
      <c r="N439" s="13" t="str">
        <f t="shared" ca="1" si="13"/>
        <v>CLOSED</v>
      </c>
    </row>
    <row r="440" spans="1:14" ht="43.2" x14ac:dyDescent="0.3">
      <c r="A440" s="9" t="s">
        <v>288</v>
      </c>
      <c r="B440" s="13">
        <f>VLOOKUP(Table27[[#This Row],[Location 
(drop-down)]],'List source'!D$2:E$60,2,FALSE)</f>
        <v>197</v>
      </c>
      <c r="C440" s="222" t="s">
        <v>1346</v>
      </c>
      <c r="D440" s="30" t="str">
        <f t="shared" si="12"/>
        <v>PTO439-197-24</v>
      </c>
      <c r="E440" s="193" t="s">
        <v>1347</v>
      </c>
      <c r="F440" s="350" t="s">
        <v>1340</v>
      </c>
      <c r="G440"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40" s="10" t="s">
        <v>1348</v>
      </c>
      <c r="I440" s="12">
        <v>45422</v>
      </c>
      <c r="J440" s="12" t="s">
        <v>495</v>
      </c>
      <c r="K440" s="77">
        <v>45422</v>
      </c>
      <c r="L440" s="10" t="s">
        <v>496</v>
      </c>
      <c r="M440" s="427">
        <v>439</v>
      </c>
      <c r="N440" s="13" t="str">
        <f t="shared" ca="1" si="13"/>
        <v>CLOSED</v>
      </c>
    </row>
    <row r="441" spans="1:14" ht="18" x14ac:dyDescent="0.3">
      <c r="A441" s="9" t="s">
        <v>288</v>
      </c>
      <c r="B441" s="13">
        <f>VLOOKUP(Table27[[#This Row],[Location 
(drop-down)]],'List source'!D$2:E$60,2,FALSE)</f>
        <v>197</v>
      </c>
      <c r="C441" s="222" t="s">
        <v>1349</v>
      </c>
      <c r="D441" s="30" t="str">
        <f t="shared" si="12"/>
        <v>PTO440-197-24</v>
      </c>
      <c r="E441" s="193" t="s">
        <v>1350</v>
      </c>
      <c r="F441" s="350" t="s">
        <v>1340</v>
      </c>
      <c r="G441"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Density</v>
      </c>
      <c r="H441" s="10">
        <v>4.8600000000000003</v>
      </c>
      <c r="I441" s="12">
        <v>45422</v>
      </c>
      <c r="J441" s="12" t="s">
        <v>41</v>
      </c>
      <c r="K441" s="77">
        <v>45593</v>
      </c>
      <c r="L441" s="10"/>
      <c r="M441" s="427">
        <v>440</v>
      </c>
      <c r="N441" s="13" t="str">
        <f t="shared" ca="1" si="13"/>
        <v>CLOSED</v>
      </c>
    </row>
    <row r="442" spans="1:14" ht="28.8" x14ac:dyDescent="0.3">
      <c r="A442" s="9" t="s">
        <v>288</v>
      </c>
      <c r="B442" s="13">
        <f>VLOOKUP(Table27[[#This Row],[Location 
(drop-down)]],'List source'!D$2:E$60,2,FALSE)</f>
        <v>197</v>
      </c>
      <c r="C442" s="222" t="s">
        <v>1351</v>
      </c>
      <c r="D442" s="30" t="str">
        <f t="shared" si="12"/>
        <v>PTO441-197-24</v>
      </c>
      <c r="E442" s="193" t="s">
        <v>1352</v>
      </c>
      <c r="F442" s="350" t="s">
        <v>1340</v>
      </c>
      <c r="G442"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 @ 20°C</v>
      </c>
      <c r="H442" s="10">
        <v>5.39</v>
      </c>
      <c r="I442" s="12">
        <v>45422</v>
      </c>
      <c r="J442" s="12" t="s">
        <v>41</v>
      </c>
      <c r="K442" s="77">
        <v>45603</v>
      </c>
      <c r="L442" s="10"/>
      <c r="M442" s="427">
        <v>441</v>
      </c>
      <c r="N442" s="13" t="str">
        <f t="shared" ca="1" si="13"/>
        <v>CLOSED</v>
      </c>
    </row>
    <row r="443" spans="1:14" ht="18" x14ac:dyDescent="0.3">
      <c r="A443" s="9" t="s">
        <v>288</v>
      </c>
      <c r="B443" s="13">
        <f>VLOOKUP(Table27[[#This Row],[Location 
(drop-down)]],'List source'!D$2:E$60,2,FALSE)</f>
        <v>197</v>
      </c>
      <c r="C443" s="222" t="s">
        <v>1353</v>
      </c>
      <c r="D443" s="30" t="str">
        <f t="shared" si="12"/>
        <v>PTO442-197-24</v>
      </c>
      <c r="E443" s="193" t="s">
        <v>1354</v>
      </c>
      <c r="F443" s="350" t="s">
        <v>1340</v>
      </c>
      <c r="G443"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443" s="10">
        <v>5.48</v>
      </c>
      <c r="I443" s="12">
        <v>45422</v>
      </c>
      <c r="J443" s="12" t="s">
        <v>41</v>
      </c>
      <c r="K443" s="77">
        <v>45593</v>
      </c>
      <c r="L443" s="10"/>
      <c r="M443" s="427">
        <v>442</v>
      </c>
      <c r="N443" s="13" t="str">
        <f t="shared" ca="1" si="13"/>
        <v>CLOSED</v>
      </c>
    </row>
    <row r="444" spans="1:14" ht="18" x14ac:dyDescent="0.3">
      <c r="A444" s="9" t="s">
        <v>288</v>
      </c>
      <c r="B444" s="13">
        <f>VLOOKUP(Table27[[#This Row],[Location 
(drop-down)]],'List source'!D$2:E$60,2,FALSE)</f>
        <v>197</v>
      </c>
      <c r="C444" s="222" t="s">
        <v>1355</v>
      </c>
      <c r="D444" s="30" t="str">
        <f t="shared" si="12"/>
        <v>PTO443-197-24</v>
      </c>
      <c r="E444" s="193" t="s">
        <v>1356</v>
      </c>
      <c r="F444" s="350" t="s">
        <v>1340</v>
      </c>
      <c r="G444" s="1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444" s="39" t="s">
        <v>1357</v>
      </c>
      <c r="I444" s="12">
        <v>45422</v>
      </c>
      <c r="J444" s="12" t="s">
        <v>41</v>
      </c>
      <c r="K444" s="77">
        <v>45593</v>
      </c>
      <c r="L444" s="10"/>
      <c r="M444" s="427">
        <v>443</v>
      </c>
      <c r="N444" s="13" t="str">
        <f t="shared" ca="1" si="13"/>
        <v>CLOSED</v>
      </c>
    </row>
    <row r="445" spans="1:14" ht="43.2" x14ac:dyDescent="0.3">
      <c r="A445" s="9" t="s">
        <v>239</v>
      </c>
      <c r="B445" s="13">
        <f>VLOOKUP(Table27[[#This Row],[Location 
(drop-down)]],'List source'!D$2:E$60,2,FALSE)</f>
        <v>116</v>
      </c>
      <c r="C445" s="222" t="s">
        <v>1358</v>
      </c>
      <c r="D445" s="30" t="str">
        <f t="shared" si="12"/>
        <v>PTO444-116-24</v>
      </c>
      <c r="E445" s="9" t="s">
        <v>1359</v>
      </c>
      <c r="F445" s="10" t="s">
        <v>918</v>
      </c>
      <c r="G4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45" s="10">
        <v>2.34</v>
      </c>
      <c r="I445" s="12">
        <v>45426</v>
      </c>
      <c r="J445" s="12" t="s">
        <v>495</v>
      </c>
      <c r="K445" s="77">
        <v>45426</v>
      </c>
      <c r="L445" s="10" t="s">
        <v>496</v>
      </c>
      <c r="M445" s="427">
        <v>444</v>
      </c>
      <c r="N445" s="13" t="str">
        <f t="shared" ca="1" si="13"/>
        <v>CLOSED</v>
      </c>
    </row>
    <row r="446" spans="1:14" ht="43.2" x14ac:dyDescent="0.3">
      <c r="A446" s="9" t="s">
        <v>239</v>
      </c>
      <c r="B446" s="13">
        <f>VLOOKUP(Table27[[#This Row],[Location 
(drop-down)]],'List source'!D$2:E$60,2,FALSE)</f>
        <v>116</v>
      </c>
      <c r="C446" s="222" t="s">
        <v>1360</v>
      </c>
      <c r="D446" s="30" t="str">
        <f t="shared" si="12"/>
        <v>PTO445-116-24</v>
      </c>
      <c r="E446" s="9" t="s">
        <v>1361</v>
      </c>
      <c r="F446" s="10" t="s">
        <v>918</v>
      </c>
      <c r="G4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46" s="10">
        <v>2.0699999999999998</v>
      </c>
      <c r="I446" s="12">
        <v>45426</v>
      </c>
      <c r="J446" s="12" t="s">
        <v>495</v>
      </c>
      <c r="K446" s="77">
        <v>45426</v>
      </c>
      <c r="L446" s="10" t="s">
        <v>496</v>
      </c>
      <c r="M446" s="427">
        <v>445</v>
      </c>
      <c r="N446" s="13" t="str">
        <f t="shared" ca="1" si="13"/>
        <v>CLOSED</v>
      </c>
    </row>
    <row r="447" spans="1:14" ht="28.8" x14ac:dyDescent="0.3">
      <c r="A447" s="189" t="s">
        <v>239</v>
      </c>
      <c r="B447" s="217">
        <f>VLOOKUP(Table27[[#This Row],[Location 
(drop-down)]],'List source'!D$2:E$60,2,FALSE)</f>
        <v>116</v>
      </c>
      <c r="C447" s="251" t="s">
        <v>1362</v>
      </c>
      <c r="D447" s="201" t="str">
        <f t="shared" si="12"/>
        <v>PTO446-116-24</v>
      </c>
      <c r="E447" s="9" t="s">
        <v>1363</v>
      </c>
      <c r="F447" s="10" t="s">
        <v>918</v>
      </c>
      <c r="G4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447" s="39" t="s">
        <v>1364</v>
      </c>
      <c r="I447" s="12">
        <v>45426</v>
      </c>
      <c r="J447" s="234" t="s">
        <v>60</v>
      </c>
      <c r="K447" s="220">
        <v>45785</v>
      </c>
      <c r="L447" s="10"/>
      <c r="M447" s="427">
        <v>446</v>
      </c>
      <c r="N447" s="13" t="str">
        <f t="shared" ca="1" si="13"/>
        <v>CLOSED</v>
      </c>
    </row>
    <row r="448" spans="1:14" ht="28.8" x14ac:dyDescent="0.3">
      <c r="A448" s="9" t="s">
        <v>107</v>
      </c>
      <c r="B448" s="13">
        <f>VLOOKUP(Table27[[#This Row],[Location 
(drop-down)]],'List source'!D$2:E$60,2,FALSE)</f>
        <v>120</v>
      </c>
      <c r="C448" s="222" t="s">
        <v>1365</v>
      </c>
      <c r="D448" s="30" t="str">
        <f t="shared" si="12"/>
        <v>PTO447-120-24</v>
      </c>
      <c r="E448" s="9" t="s">
        <v>1366</v>
      </c>
      <c r="F448" s="10" t="s">
        <v>918</v>
      </c>
      <c r="G4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448" s="39" t="s">
        <v>1367</v>
      </c>
      <c r="I448" s="12">
        <v>45426</v>
      </c>
      <c r="J448" s="12" t="s">
        <v>182</v>
      </c>
      <c r="K448" s="77">
        <v>45586</v>
      </c>
      <c r="L448" s="10"/>
      <c r="M448" s="427">
        <v>447</v>
      </c>
      <c r="N448" s="13" t="str">
        <f t="shared" ca="1" si="13"/>
        <v>CLOSED</v>
      </c>
    </row>
    <row r="449" spans="1:14" ht="18" x14ac:dyDescent="0.3">
      <c r="A449" s="9" t="s">
        <v>126</v>
      </c>
      <c r="B449" s="13">
        <f>VLOOKUP(Table27[[#This Row],[Location 
(drop-down)]],'List source'!D$2:E$60,2,FALSE)</f>
        <v>125</v>
      </c>
      <c r="C449" s="222" t="s">
        <v>1368</v>
      </c>
      <c r="D449" s="30" t="str">
        <f t="shared" si="12"/>
        <v>PTO448-125-24</v>
      </c>
      <c r="E449" s="9" t="s">
        <v>1369</v>
      </c>
      <c r="F449" s="10" t="s">
        <v>918</v>
      </c>
      <c r="G4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449" s="39" t="s">
        <v>569</v>
      </c>
      <c r="I449" s="12">
        <v>45426</v>
      </c>
      <c r="J449" s="12" t="s">
        <v>495</v>
      </c>
      <c r="K449" s="12">
        <v>45432</v>
      </c>
      <c r="L449" s="10" t="s">
        <v>510</v>
      </c>
      <c r="M449" s="427">
        <v>448</v>
      </c>
      <c r="N449" s="13" t="str">
        <f t="shared" ca="1" si="13"/>
        <v>CLOSED</v>
      </c>
    </row>
    <row r="450" spans="1:14" ht="43.2" x14ac:dyDescent="0.3">
      <c r="A450" s="9" t="s">
        <v>186</v>
      </c>
      <c r="B450" s="13">
        <f>VLOOKUP(Table27[[#This Row],[Location 
(drop-down)]],'List source'!D$2:E$60,2,FALSE)</f>
        <v>130</v>
      </c>
      <c r="C450" s="222" t="s">
        <v>1370</v>
      </c>
      <c r="D450" s="30" t="str">
        <f t="shared" ref="D450:D513" si="14">"PTO" &amp; C450 &amp; "-" &amp; B450 &amp; "-" &amp; "24"</f>
        <v>PTO449-130-24</v>
      </c>
      <c r="E450" s="9" t="s">
        <v>1371</v>
      </c>
      <c r="F450" s="10" t="s">
        <v>918</v>
      </c>
      <c r="G4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50" s="10" t="s">
        <v>1372</v>
      </c>
      <c r="I450" s="12">
        <v>45426</v>
      </c>
      <c r="J450" s="12" t="s">
        <v>495</v>
      </c>
      <c r="K450" s="77">
        <v>45426</v>
      </c>
      <c r="L450" s="10" t="s">
        <v>496</v>
      </c>
      <c r="M450" s="427">
        <v>449</v>
      </c>
      <c r="N450" s="13" t="str">
        <f t="shared" ref="N450:N513" ca="1" si="15">IF(ISBLANK(K450), TODAY()-(I450), "CLOSED")</f>
        <v>CLOSED</v>
      </c>
    </row>
    <row r="451" spans="1:14" ht="18" x14ac:dyDescent="0.3">
      <c r="A451" s="9" t="s">
        <v>186</v>
      </c>
      <c r="B451" s="13">
        <f>VLOOKUP(Table27[[#This Row],[Location 
(drop-down)]],'List source'!D$2:E$60,2,FALSE)</f>
        <v>130</v>
      </c>
      <c r="C451" s="222" t="s">
        <v>1373</v>
      </c>
      <c r="D451" s="30" t="str">
        <f t="shared" si="14"/>
        <v>PTO450-130-24</v>
      </c>
      <c r="E451" s="9" t="s">
        <v>1374</v>
      </c>
      <c r="F451" s="10" t="s">
        <v>918</v>
      </c>
      <c r="G4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451" s="10">
        <v>5.47</v>
      </c>
      <c r="I451" s="12">
        <v>45426</v>
      </c>
      <c r="J451" s="12" t="s">
        <v>182</v>
      </c>
      <c r="K451" s="77">
        <v>45533</v>
      </c>
      <c r="L451" s="10"/>
      <c r="M451" s="427">
        <v>450</v>
      </c>
      <c r="N451" s="13" t="str">
        <f t="shared" ca="1" si="15"/>
        <v>CLOSED</v>
      </c>
    </row>
    <row r="452" spans="1:14" ht="28.8" x14ac:dyDescent="0.3">
      <c r="A452" s="9" t="s">
        <v>21</v>
      </c>
      <c r="B452" s="13">
        <f>VLOOKUP(Table27[[#This Row],[Location 
(drop-down)]],'List source'!D$2:E$60,2,FALSE)</f>
        <v>131</v>
      </c>
      <c r="C452" s="222" t="s">
        <v>1375</v>
      </c>
      <c r="D452" s="30" t="str">
        <f t="shared" si="14"/>
        <v>PTO451-131-24</v>
      </c>
      <c r="E452" s="9" t="s">
        <v>1376</v>
      </c>
      <c r="F452" s="10" t="s">
        <v>918</v>
      </c>
      <c r="G4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452" s="39" t="s">
        <v>1377</v>
      </c>
      <c r="I452" s="12">
        <v>45426</v>
      </c>
      <c r="J452" s="12" t="s">
        <v>182</v>
      </c>
      <c r="K452" s="77">
        <v>45573</v>
      </c>
      <c r="L452" s="10"/>
      <c r="M452" s="427">
        <v>451</v>
      </c>
      <c r="N452" s="13" t="str">
        <f t="shared" ca="1" si="15"/>
        <v>CLOSED</v>
      </c>
    </row>
    <row r="453" spans="1:14" ht="18" x14ac:dyDescent="0.3">
      <c r="A453" s="272" t="s">
        <v>21</v>
      </c>
      <c r="B453" s="273">
        <f>VLOOKUP(Table27[[#This Row],[Location 
(drop-down)]],'List source'!D$2:E$60,2,FALSE)</f>
        <v>131</v>
      </c>
      <c r="C453" s="274" t="s">
        <v>1378</v>
      </c>
      <c r="D453" s="275" t="str">
        <f t="shared" si="14"/>
        <v>PTO452-131-24</v>
      </c>
      <c r="E453" s="276" t="s">
        <v>1379</v>
      </c>
      <c r="F453" s="277" t="s">
        <v>918</v>
      </c>
      <c r="G453" s="27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53" s="278">
        <v>2.2400000000000002</v>
      </c>
      <c r="I453" s="279">
        <v>45426</v>
      </c>
      <c r="J453" s="279" t="s">
        <v>182</v>
      </c>
      <c r="K453" s="280">
        <v>45576</v>
      </c>
      <c r="L453" s="10"/>
      <c r="M453" s="427">
        <v>452</v>
      </c>
      <c r="N453" s="13" t="str">
        <f t="shared" ca="1" si="15"/>
        <v>CLOSED</v>
      </c>
    </row>
    <row r="454" spans="1:14" ht="28.8" x14ac:dyDescent="0.3">
      <c r="A454" s="9" t="s">
        <v>157</v>
      </c>
      <c r="B454" s="13">
        <f>VLOOKUP(Table27[[#This Row],[Location 
(drop-down)]],'List source'!D$2:E$60,2,FALSE)</f>
        <v>136</v>
      </c>
      <c r="C454" s="222" t="s">
        <v>1380</v>
      </c>
      <c r="D454" s="30" t="str">
        <f t="shared" si="14"/>
        <v>PTO453-136-24</v>
      </c>
      <c r="E454" s="9" t="s">
        <v>1381</v>
      </c>
      <c r="F454" s="10" t="s">
        <v>918</v>
      </c>
      <c r="G4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454" s="39" t="s">
        <v>1382</v>
      </c>
      <c r="I454" s="12">
        <v>45426</v>
      </c>
      <c r="J454" s="12" t="s">
        <v>495</v>
      </c>
      <c r="K454" s="77">
        <v>45426</v>
      </c>
      <c r="L454" s="10" t="s">
        <v>915</v>
      </c>
      <c r="M454" s="427">
        <v>453</v>
      </c>
      <c r="N454" s="13" t="str">
        <f t="shared" ca="1" si="15"/>
        <v>CLOSED</v>
      </c>
    </row>
    <row r="455" spans="1:14" ht="18" x14ac:dyDescent="0.3">
      <c r="A455" s="9" t="s">
        <v>161</v>
      </c>
      <c r="B455" s="13">
        <f>VLOOKUP(Table27[[#This Row],[Location 
(drop-down)]],'List source'!D$2:E$60,2,FALSE)</f>
        <v>142</v>
      </c>
      <c r="C455" s="222" t="s">
        <v>1383</v>
      </c>
      <c r="D455" s="30" t="str">
        <f t="shared" si="14"/>
        <v>PTO454-142-24</v>
      </c>
      <c r="E455" s="9" t="s">
        <v>1384</v>
      </c>
      <c r="F455" s="10" t="s">
        <v>918</v>
      </c>
      <c r="G4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55" s="39" t="s">
        <v>1385</v>
      </c>
      <c r="I455" s="12">
        <v>45426</v>
      </c>
      <c r="J455" s="12" t="s">
        <v>495</v>
      </c>
      <c r="K455" s="77">
        <v>45427</v>
      </c>
      <c r="L455" s="10" t="s">
        <v>510</v>
      </c>
      <c r="M455" s="427">
        <v>454</v>
      </c>
      <c r="N455" s="13" t="str">
        <f t="shared" ca="1" si="15"/>
        <v>CLOSED</v>
      </c>
    </row>
    <row r="456" spans="1:14" ht="18" x14ac:dyDescent="0.3">
      <c r="A456" s="9" t="s">
        <v>310</v>
      </c>
      <c r="B456" s="13">
        <f>VLOOKUP(Table27[[#This Row],[Location 
(drop-down)]],'List source'!D$2:E$60,2,FALSE)</f>
        <v>144</v>
      </c>
      <c r="C456" s="222" t="s">
        <v>1386</v>
      </c>
      <c r="D456" s="30" t="str">
        <f t="shared" si="14"/>
        <v>PTO455-144-24</v>
      </c>
      <c r="E456" s="9" t="s">
        <v>1387</v>
      </c>
      <c r="F456" s="10" t="s">
        <v>918</v>
      </c>
      <c r="G4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456" s="39" t="s">
        <v>1388</v>
      </c>
      <c r="I456" s="12">
        <v>45426</v>
      </c>
      <c r="J456" s="12" t="s">
        <v>495</v>
      </c>
      <c r="K456" s="77">
        <v>45428</v>
      </c>
      <c r="L456" s="10" t="s">
        <v>510</v>
      </c>
      <c r="M456" s="427">
        <v>455</v>
      </c>
      <c r="N456" s="13" t="str">
        <f t="shared" ca="1" si="15"/>
        <v>CLOSED</v>
      </c>
    </row>
    <row r="457" spans="1:14" ht="43.2" x14ac:dyDescent="0.3">
      <c r="A457" s="9" t="s">
        <v>310</v>
      </c>
      <c r="B457" s="13">
        <f>VLOOKUP(Table27[[#This Row],[Location 
(drop-down)]],'List source'!D$2:E$60,2,FALSE)</f>
        <v>144</v>
      </c>
      <c r="C457" s="222" t="s">
        <v>1389</v>
      </c>
      <c r="D457" s="30" t="str">
        <f t="shared" si="14"/>
        <v>PTO456-144-24</v>
      </c>
      <c r="E457" s="9" t="s">
        <v>1390</v>
      </c>
      <c r="F457" s="10" t="s">
        <v>918</v>
      </c>
      <c r="G4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D1796 - Water and Sediment</v>
      </c>
      <c r="H457" s="10" t="s">
        <v>1391</v>
      </c>
      <c r="I457" s="12">
        <v>45426</v>
      </c>
      <c r="J457" s="12" t="s">
        <v>495</v>
      </c>
      <c r="K457" s="77">
        <v>45426</v>
      </c>
      <c r="L457" s="10" t="s">
        <v>496</v>
      </c>
      <c r="M457" s="427">
        <v>456</v>
      </c>
      <c r="N457" s="13" t="str">
        <f t="shared" ca="1" si="15"/>
        <v>CLOSED</v>
      </c>
    </row>
    <row r="458" spans="1:14" ht="43.2" x14ac:dyDescent="0.3">
      <c r="A458" s="9" t="s">
        <v>86</v>
      </c>
      <c r="B458" s="13">
        <f>VLOOKUP(Table27[[#This Row],[Location 
(drop-down)]],'List source'!D$2:E$60,2,FALSE)</f>
        <v>150</v>
      </c>
      <c r="C458" s="222" t="s">
        <v>1392</v>
      </c>
      <c r="D458" s="30" t="str">
        <f t="shared" si="14"/>
        <v>PTO457-150-24</v>
      </c>
      <c r="E458" s="9" t="s">
        <v>1371</v>
      </c>
      <c r="F458" s="10" t="s">
        <v>918</v>
      </c>
      <c r="G4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58" s="10" t="s">
        <v>1393</v>
      </c>
      <c r="I458" s="12">
        <v>45426</v>
      </c>
      <c r="J458" s="12" t="s">
        <v>495</v>
      </c>
      <c r="K458" s="77">
        <v>45426</v>
      </c>
      <c r="L458" s="10" t="s">
        <v>496</v>
      </c>
      <c r="M458" s="427">
        <v>457</v>
      </c>
      <c r="N458" s="13" t="str">
        <f t="shared" ca="1" si="15"/>
        <v>CLOSED</v>
      </c>
    </row>
    <row r="459" spans="1:14" ht="18" x14ac:dyDescent="0.3">
      <c r="A459" s="9" t="s">
        <v>65</v>
      </c>
      <c r="B459" s="13">
        <f>VLOOKUP(Table27[[#This Row],[Location 
(drop-down)]],'List source'!D$2:E$60,2,FALSE)</f>
        <v>155</v>
      </c>
      <c r="C459" s="222" t="s">
        <v>1394</v>
      </c>
      <c r="D459" s="30" t="str">
        <f t="shared" si="14"/>
        <v>PTO458-155-24</v>
      </c>
      <c r="E459" s="9" t="s">
        <v>1387</v>
      </c>
      <c r="F459" s="10" t="s">
        <v>918</v>
      </c>
      <c r="G4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459" s="39" t="s">
        <v>1388</v>
      </c>
      <c r="I459" s="12">
        <v>45426</v>
      </c>
      <c r="J459" s="12" t="s">
        <v>182</v>
      </c>
      <c r="K459" s="77">
        <v>45554</v>
      </c>
      <c r="L459" s="10"/>
      <c r="M459" s="427">
        <v>458</v>
      </c>
      <c r="N459" s="13" t="str">
        <f t="shared" ca="1" si="15"/>
        <v>CLOSED</v>
      </c>
    </row>
    <row r="460" spans="1:14" ht="18" x14ac:dyDescent="0.3">
      <c r="A460" s="9" t="s">
        <v>65</v>
      </c>
      <c r="B460" s="13">
        <f>VLOOKUP(Table27[[#This Row],[Location 
(drop-down)]],'List source'!D$2:E$60,2,FALSE)</f>
        <v>155</v>
      </c>
      <c r="C460" s="222" t="s">
        <v>1395</v>
      </c>
      <c r="D460" s="30" t="str">
        <f t="shared" si="14"/>
        <v>PTO459-155-24</v>
      </c>
      <c r="E460" s="9" t="s">
        <v>1396</v>
      </c>
      <c r="F460" s="10" t="s">
        <v>918</v>
      </c>
      <c r="G4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60" s="39" t="s">
        <v>1397</v>
      </c>
      <c r="I460" s="12">
        <v>45426</v>
      </c>
      <c r="J460" s="12" t="s">
        <v>134</v>
      </c>
      <c r="K460" s="77">
        <v>45554</v>
      </c>
      <c r="L460" s="10"/>
      <c r="M460" s="427">
        <v>459</v>
      </c>
      <c r="N460" s="13" t="str">
        <f t="shared" ca="1" si="15"/>
        <v>CLOSED</v>
      </c>
    </row>
    <row r="461" spans="1:14" ht="18" x14ac:dyDescent="0.3">
      <c r="A461" s="239" t="s">
        <v>235</v>
      </c>
      <c r="B461" s="240">
        <f>VLOOKUP(Table27[[#This Row],[Location 
(drop-down)]],'List source'!D$2:E$60,2,FALSE)</f>
        <v>160</v>
      </c>
      <c r="C461" s="295" t="s">
        <v>1398</v>
      </c>
      <c r="D461" s="242" t="str">
        <f t="shared" si="14"/>
        <v>PTO460-160-24</v>
      </c>
      <c r="E461" s="239" t="s">
        <v>1399</v>
      </c>
      <c r="F461" s="245" t="s">
        <v>918</v>
      </c>
      <c r="G461"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61" s="296" t="s">
        <v>1388</v>
      </c>
      <c r="I461" s="246">
        <v>45426</v>
      </c>
      <c r="J461" s="246" t="s">
        <v>182</v>
      </c>
      <c r="K461" s="247">
        <v>45768</v>
      </c>
      <c r="L461" s="10"/>
      <c r="M461" s="427">
        <v>460</v>
      </c>
      <c r="N461" s="13" t="str">
        <f t="shared" ca="1" si="15"/>
        <v>CLOSED</v>
      </c>
    </row>
    <row r="462" spans="1:14" ht="18" x14ac:dyDescent="0.3">
      <c r="A462" s="9" t="s">
        <v>235</v>
      </c>
      <c r="B462" s="13">
        <f>VLOOKUP(Table27[[#This Row],[Location 
(drop-down)]],'List source'!D$2:E$60,2,FALSE)</f>
        <v>160</v>
      </c>
      <c r="C462" s="222" t="s">
        <v>1400</v>
      </c>
      <c r="D462" s="30" t="str">
        <f t="shared" si="14"/>
        <v>PTO461-160-24</v>
      </c>
      <c r="E462" s="9" t="s">
        <v>1401</v>
      </c>
      <c r="F462" s="10" t="s">
        <v>918</v>
      </c>
      <c r="G4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462" s="10">
        <v>5.75</v>
      </c>
      <c r="I462" s="12">
        <v>45426</v>
      </c>
      <c r="J462" s="12" t="s">
        <v>182</v>
      </c>
      <c r="K462" s="77">
        <v>45713</v>
      </c>
      <c r="L462" s="10"/>
      <c r="M462" s="427">
        <v>461</v>
      </c>
      <c r="N462" s="13" t="str">
        <f t="shared" ca="1" si="15"/>
        <v>CLOSED</v>
      </c>
    </row>
    <row r="463" spans="1:14" ht="28.8" x14ac:dyDescent="0.3">
      <c r="A463" s="235" t="s">
        <v>235</v>
      </c>
      <c r="B463" s="236">
        <f>VLOOKUP(Table27[[#This Row],[Location 
(drop-down)]],'List source'!D$2:E$60,2,FALSE)</f>
        <v>160</v>
      </c>
      <c r="C463" s="262" t="s">
        <v>1402</v>
      </c>
      <c r="D463" s="238" t="str">
        <f t="shared" si="14"/>
        <v>PTO462-160-24</v>
      </c>
      <c r="E463" s="235" t="s">
        <v>1403</v>
      </c>
      <c r="F463" s="263" t="s">
        <v>918</v>
      </c>
      <c r="G46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463" s="266" t="s">
        <v>1404</v>
      </c>
      <c r="I463" s="264">
        <v>45426</v>
      </c>
      <c r="J463" s="264" t="s">
        <v>182</v>
      </c>
      <c r="K463" s="250">
        <v>45748</v>
      </c>
      <c r="L463" s="10"/>
      <c r="M463" s="427">
        <v>462</v>
      </c>
      <c r="N463" s="13" t="str">
        <f t="shared" ca="1" si="15"/>
        <v>CLOSED</v>
      </c>
    </row>
    <row r="464" spans="1:14" ht="28.8" x14ac:dyDescent="0.3">
      <c r="A464" s="9" t="s">
        <v>209</v>
      </c>
      <c r="B464" s="13">
        <f>VLOOKUP(Table27[[#This Row],[Location 
(drop-down)]],'List source'!D$2:E$60,2,FALSE)</f>
        <v>165</v>
      </c>
      <c r="C464" s="222" t="s">
        <v>1405</v>
      </c>
      <c r="D464" s="30" t="str">
        <f t="shared" si="14"/>
        <v>PTO463-165-24</v>
      </c>
      <c r="E464" s="9" t="s">
        <v>1406</v>
      </c>
      <c r="F464" s="10" t="s">
        <v>918</v>
      </c>
      <c r="G4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464" s="10">
        <v>9.8800000000000008</v>
      </c>
      <c r="I464" s="12">
        <v>45426</v>
      </c>
      <c r="J464" s="12" t="s">
        <v>495</v>
      </c>
      <c r="K464" s="77">
        <v>45426</v>
      </c>
      <c r="L464" s="10" t="s">
        <v>510</v>
      </c>
      <c r="M464" s="427">
        <v>463</v>
      </c>
      <c r="N464" s="13" t="str">
        <f t="shared" ca="1" si="15"/>
        <v>CLOSED</v>
      </c>
    </row>
    <row r="465" spans="1:14" ht="18" x14ac:dyDescent="0.3">
      <c r="A465" s="235" t="s">
        <v>209</v>
      </c>
      <c r="B465" s="236">
        <f>VLOOKUP(Table27[[#This Row],[Location 
(drop-down)]],'List source'!D$2:E$60,2,FALSE)</f>
        <v>165</v>
      </c>
      <c r="C465" s="262" t="s">
        <v>1407</v>
      </c>
      <c r="D465" s="238" t="str">
        <f t="shared" si="14"/>
        <v>PTO464-165-24</v>
      </c>
      <c r="E465" s="235" t="s">
        <v>1408</v>
      </c>
      <c r="F465" s="263" t="s">
        <v>918</v>
      </c>
      <c r="G465"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65" s="266" t="s">
        <v>1409</v>
      </c>
      <c r="I465" s="264">
        <v>45426</v>
      </c>
      <c r="J465" s="264" t="s">
        <v>182</v>
      </c>
      <c r="K465" s="250">
        <v>45711</v>
      </c>
      <c r="L465" s="10"/>
      <c r="M465" s="427">
        <v>464</v>
      </c>
      <c r="N465" s="13" t="str">
        <f t="shared" ca="1" si="15"/>
        <v>CLOSED</v>
      </c>
    </row>
    <row r="466" spans="1:14" ht="18" x14ac:dyDescent="0.3">
      <c r="A466" s="9" t="s">
        <v>209</v>
      </c>
      <c r="B466" s="13">
        <f>VLOOKUP(Table27[[#This Row],[Location 
(drop-down)]],'List source'!D$2:E$60,2,FALSE)</f>
        <v>165</v>
      </c>
      <c r="C466" s="222" t="s">
        <v>1410</v>
      </c>
      <c r="D466" s="30" t="str">
        <f t="shared" si="14"/>
        <v>PTO465-165-24</v>
      </c>
      <c r="E466" s="9" t="s">
        <v>1411</v>
      </c>
      <c r="F466" s="10" t="s">
        <v>918</v>
      </c>
      <c r="G4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66" s="39" t="s">
        <v>1412</v>
      </c>
      <c r="I466" s="12">
        <v>45426</v>
      </c>
      <c r="J466" s="12" t="s">
        <v>182</v>
      </c>
      <c r="K466" s="77">
        <v>45587</v>
      </c>
      <c r="L466" s="10"/>
      <c r="M466" s="427">
        <v>465</v>
      </c>
      <c r="N466" s="13" t="str">
        <f t="shared" ca="1" si="15"/>
        <v>CLOSED</v>
      </c>
    </row>
    <row r="467" spans="1:14" ht="28.8" x14ac:dyDescent="0.3">
      <c r="A467" s="9" t="s">
        <v>57</v>
      </c>
      <c r="B467" s="13">
        <f>VLOOKUP(Table27[[#This Row],[Location 
(drop-down)]],'List source'!D$2:E$60,2,FALSE)</f>
        <v>170</v>
      </c>
      <c r="C467" s="222" t="s">
        <v>1413</v>
      </c>
      <c r="D467" s="30" t="str">
        <f t="shared" si="14"/>
        <v>PTO466-170-24</v>
      </c>
      <c r="E467" s="9" t="s">
        <v>1414</v>
      </c>
      <c r="F467" s="10" t="s">
        <v>918</v>
      </c>
      <c r="G4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D6591 - HC Type</v>
      </c>
      <c r="H467" s="39" t="s">
        <v>1274</v>
      </c>
      <c r="I467" s="12">
        <v>45426</v>
      </c>
      <c r="J467" s="12" t="s">
        <v>60</v>
      </c>
      <c r="K467" s="77">
        <v>45628</v>
      </c>
      <c r="L467" s="10"/>
      <c r="M467" s="427">
        <v>466</v>
      </c>
      <c r="N467" s="13" t="str">
        <f t="shared" ca="1" si="15"/>
        <v>CLOSED</v>
      </c>
    </row>
    <row r="468" spans="1:14" ht="28.8" x14ac:dyDescent="0.3">
      <c r="A468" s="9" t="s">
        <v>57</v>
      </c>
      <c r="B468" s="13">
        <f>VLOOKUP(Table27[[#This Row],[Location 
(drop-down)]],'List source'!D$2:E$60,2,FALSE)</f>
        <v>170</v>
      </c>
      <c r="C468" s="222" t="s">
        <v>1415</v>
      </c>
      <c r="D468" s="30" t="str">
        <f t="shared" si="14"/>
        <v>PTO467-170-24</v>
      </c>
      <c r="E468" s="9" t="s">
        <v>1416</v>
      </c>
      <c r="F468" s="10" t="s">
        <v>918</v>
      </c>
      <c r="G4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468" s="39" t="s">
        <v>1417</v>
      </c>
      <c r="I468" s="12">
        <v>45426</v>
      </c>
      <c r="J468" s="12" t="s">
        <v>495</v>
      </c>
      <c r="K468" s="77">
        <v>45432</v>
      </c>
      <c r="L468" s="10" t="s">
        <v>510</v>
      </c>
      <c r="M468" s="427">
        <v>467</v>
      </c>
      <c r="N468" s="13" t="str">
        <f t="shared" ca="1" si="15"/>
        <v>CLOSED</v>
      </c>
    </row>
    <row r="469" spans="1:14" ht="18" x14ac:dyDescent="0.3">
      <c r="A469" s="9" t="s">
        <v>57</v>
      </c>
      <c r="B469" s="13">
        <f>VLOOKUP(Table27[[#This Row],[Location 
(drop-down)]],'List source'!D$2:E$60,2,FALSE)</f>
        <v>170</v>
      </c>
      <c r="C469" s="222" t="s">
        <v>1418</v>
      </c>
      <c r="D469" s="30" t="str">
        <f t="shared" si="14"/>
        <v>PTO468-170-24</v>
      </c>
      <c r="E469" s="9" t="s">
        <v>1419</v>
      </c>
      <c r="F469" s="10" t="s">
        <v>918</v>
      </c>
      <c r="G4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69" s="39" t="s">
        <v>1037</v>
      </c>
      <c r="I469" s="12">
        <v>45426</v>
      </c>
      <c r="J469" s="12" t="s">
        <v>60</v>
      </c>
      <c r="K469" s="77">
        <v>45510</v>
      </c>
      <c r="L469" s="10"/>
      <c r="M469" s="427">
        <v>468</v>
      </c>
      <c r="N469" s="13" t="str">
        <f t="shared" ca="1" si="15"/>
        <v>CLOSED</v>
      </c>
    </row>
    <row r="470" spans="1:14" ht="28.8" x14ac:dyDescent="0.3">
      <c r="A470" s="9" t="s">
        <v>75</v>
      </c>
      <c r="B470" s="13">
        <f>VLOOKUP(Table27[[#This Row],[Location 
(drop-down)]],'List source'!D$2:E$60,2,FALSE)</f>
        <v>190</v>
      </c>
      <c r="C470" s="222" t="s">
        <v>1420</v>
      </c>
      <c r="D470" s="30" t="str">
        <f t="shared" si="14"/>
        <v>PTO469-190-24</v>
      </c>
      <c r="E470" s="9" t="s">
        <v>1421</v>
      </c>
      <c r="F470" s="10" t="s">
        <v>918</v>
      </c>
      <c r="G4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70" s="10">
        <v>9.31</v>
      </c>
      <c r="I470" s="12">
        <v>45426</v>
      </c>
      <c r="J470" s="12" t="s">
        <v>495</v>
      </c>
      <c r="K470" s="77">
        <v>45426</v>
      </c>
      <c r="L470" s="10" t="s">
        <v>510</v>
      </c>
      <c r="M470" s="427">
        <v>469</v>
      </c>
      <c r="N470" s="13" t="str">
        <f t="shared" ca="1" si="15"/>
        <v>CLOSED</v>
      </c>
    </row>
    <row r="471" spans="1:14" ht="43.2" x14ac:dyDescent="0.3">
      <c r="A471" s="9" t="s">
        <v>75</v>
      </c>
      <c r="B471" s="13">
        <f>VLOOKUP(Table27[[#This Row],[Location 
(drop-down)]],'List source'!D$2:E$60,2,FALSE)</f>
        <v>190</v>
      </c>
      <c r="C471" s="222" t="s">
        <v>1422</v>
      </c>
      <c r="D471" s="30" t="str">
        <f t="shared" si="14"/>
        <v>PTO470-190-24</v>
      </c>
      <c r="E471" s="9" t="s">
        <v>1423</v>
      </c>
      <c r="F471" s="10" t="s">
        <v>918</v>
      </c>
      <c r="G4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471" s="10">
        <v>2.87</v>
      </c>
      <c r="I471" s="12">
        <v>45426</v>
      </c>
      <c r="J471" s="12" t="s">
        <v>495</v>
      </c>
      <c r="K471" s="77">
        <v>45426</v>
      </c>
      <c r="L471" s="10" t="s">
        <v>496</v>
      </c>
      <c r="M471" s="427">
        <v>470</v>
      </c>
      <c r="N471" s="13" t="str">
        <f t="shared" ca="1" si="15"/>
        <v>CLOSED</v>
      </c>
    </row>
    <row r="472" spans="1:14" ht="18" x14ac:dyDescent="0.3">
      <c r="A472" s="9" t="s">
        <v>75</v>
      </c>
      <c r="B472" s="13">
        <f>VLOOKUP(Table27[[#This Row],[Location 
(drop-down)]],'List source'!D$2:E$60,2,FALSE)</f>
        <v>190</v>
      </c>
      <c r="C472" s="222" t="s">
        <v>1424</v>
      </c>
      <c r="D472" s="30" t="str">
        <f t="shared" si="14"/>
        <v>PTO471-190-24</v>
      </c>
      <c r="E472" s="9" t="s">
        <v>1425</v>
      </c>
      <c r="F472" s="10" t="s">
        <v>918</v>
      </c>
      <c r="G4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472" s="10">
        <v>8.74</v>
      </c>
      <c r="I472" s="12">
        <v>45426</v>
      </c>
      <c r="J472" s="12" t="s">
        <v>501</v>
      </c>
      <c r="K472" s="77">
        <v>45450</v>
      </c>
      <c r="L472" s="10"/>
      <c r="M472" s="427">
        <v>471</v>
      </c>
      <c r="N472" s="13" t="str">
        <f t="shared" ca="1" si="15"/>
        <v>CLOSED</v>
      </c>
    </row>
    <row r="473" spans="1:14" ht="28.8" x14ac:dyDescent="0.3">
      <c r="A473" s="9" t="s">
        <v>288</v>
      </c>
      <c r="B473" s="13">
        <f>VLOOKUP(Table27[[#This Row],[Location 
(drop-down)]],'List source'!D$2:E$60,2,FALSE)</f>
        <v>197</v>
      </c>
      <c r="C473" s="222" t="s">
        <v>1426</v>
      </c>
      <c r="D473" s="30" t="str">
        <f t="shared" si="14"/>
        <v>PTO472-197-24</v>
      </c>
      <c r="E473" s="9" t="s">
        <v>1427</v>
      </c>
      <c r="F473" s="10" t="s">
        <v>918</v>
      </c>
      <c r="G4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D6371 - Cold Filter Plugging Point</v>
      </c>
      <c r="H473" s="39" t="s">
        <v>1428</v>
      </c>
      <c r="I473" s="12">
        <v>45426</v>
      </c>
      <c r="J473" s="12" t="s">
        <v>41</v>
      </c>
      <c r="K473" s="77">
        <v>45712</v>
      </c>
      <c r="L473" s="10"/>
      <c r="M473" s="427">
        <v>472</v>
      </c>
      <c r="N473" s="13" t="str">
        <f t="shared" ca="1" si="15"/>
        <v>CLOSED</v>
      </c>
    </row>
    <row r="474" spans="1:14" ht="18" x14ac:dyDescent="0.3">
      <c r="A474" s="9" t="s">
        <v>288</v>
      </c>
      <c r="B474" s="13">
        <f>VLOOKUP(Table27[[#This Row],[Location 
(drop-down)]],'List source'!D$2:E$60,2,FALSE)</f>
        <v>197</v>
      </c>
      <c r="C474" s="222" t="s">
        <v>1429</v>
      </c>
      <c r="D474" s="30" t="str">
        <f t="shared" si="14"/>
        <v>PTO473-197-24</v>
      </c>
      <c r="E474" s="9" t="s">
        <v>1430</v>
      </c>
      <c r="F474" s="10" t="s">
        <v>918</v>
      </c>
      <c r="G4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74" s="39" t="s">
        <v>749</v>
      </c>
      <c r="I474" s="12">
        <v>45426</v>
      </c>
      <c r="J474" s="12" t="s">
        <v>41</v>
      </c>
      <c r="K474" s="77">
        <v>45617</v>
      </c>
      <c r="L474" s="10"/>
      <c r="M474" s="427">
        <v>473</v>
      </c>
      <c r="N474" s="13" t="str">
        <f t="shared" ca="1" si="15"/>
        <v>CLOSED</v>
      </c>
    </row>
    <row r="475" spans="1:14" ht="18" x14ac:dyDescent="0.3">
      <c r="A475" s="9" t="s">
        <v>288</v>
      </c>
      <c r="B475" s="13">
        <f>VLOOKUP(Table27[[#This Row],[Location 
(drop-down)]],'List source'!D$2:E$60,2,FALSE)</f>
        <v>197</v>
      </c>
      <c r="C475" s="222" t="s">
        <v>1431</v>
      </c>
      <c r="D475" s="30" t="str">
        <f t="shared" si="14"/>
        <v>PTO474-197-24</v>
      </c>
      <c r="E475" s="9" t="s">
        <v>1432</v>
      </c>
      <c r="F475" s="10" t="s">
        <v>918</v>
      </c>
      <c r="G4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475" s="10">
        <v>189.79</v>
      </c>
      <c r="I475" s="12">
        <v>45426</v>
      </c>
      <c r="J475" s="12" t="s">
        <v>41</v>
      </c>
      <c r="K475" s="77">
        <v>45603</v>
      </c>
      <c r="L475" s="10"/>
      <c r="M475" s="427">
        <v>474</v>
      </c>
      <c r="N475" s="13" t="str">
        <f t="shared" ca="1" si="15"/>
        <v>CLOSED</v>
      </c>
    </row>
    <row r="476" spans="1:14" ht="18" x14ac:dyDescent="0.3">
      <c r="A476" s="9" t="s">
        <v>166</v>
      </c>
      <c r="B476" s="13">
        <f>VLOOKUP(Table27[[#This Row],[Location 
(drop-down)]],'List source'!D$2:E$60,2,FALSE)</f>
        <v>198</v>
      </c>
      <c r="C476" s="222" t="s">
        <v>1433</v>
      </c>
      <c r="D476" s="30" t="str">
        <f t="shared" si="14"/>
        <v>PTO475-198-24</v>
      </c>
      <c r="E476" s="9" t="s">
        <v>1434</v>
      </c>
      <c r="F476" s="10" t="s">
        <v>918</v>
      </c>
      <c r="G4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476" s="10">
        <v>4.7699999999999996</v>
      </c>
      <c r="I476" s="12">
        <v>45426</v>
      </c>
      <c r="J476" s="12" t="s">
        <v>41</v>
      </c>
      <c r="K476" s="77">
        <v>45636</v>
      </c>
      <c r="L476" s="10"/>
      <c r="M476" s="427">
        <v>475</v>
      </c>
      <c r="N476" s="13" t="str">
        <f t="shared" ca="1" si="15"/>
        <v>CLOSED</v>
      </c>
    </row>
    <row r="477" spans="1:14" ht="43.2" x14ac:dyDescent="0.3">
      <c r="A477" s="9" t="s">
        <v>564</v>
      </c>
      <c r="B477" s="13">
        <f>VLOOKUP(Table27[[#This Row],[Location 
(drop-down)]],'List source'!D$2:E$60,2,FALSE)</f>
        <v>215</v>
      </c>
      <c r="C477" s="222" t="s">
        <v>1435</v>
      </c>
      <c r="D477" s="30" t="str">
        <f t="shared" si="14"/>
        <v>PTO476-215-24</v>
      </c>
      <c r="E477" s="9" t="s">
        <v>1359</v>
      </c>
      <c r="F477" s="10" t="s">
        <v>918</v>
      </c>
      <c r="G4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77" s="10">
        <v>2.1</v>
      </c>
      <c r="I477" s="12">
        <v>45426</v>
      </c>
      <c r="J477" s="12" t="s">
        <v>495</v>
      </c>
      <c r="K477" s="77">
        <v>45426</v>
      </c>
      <c r="L477" s="10" t="s">
        <v>496</v>
      </c>
      <c r="M477" s="427">
        <v>476</v>
      </c>
      <c r="N477" s="13" t="str">
        <f t="shared" ca="1" si="15"/>
        <v>CLOSED</v>
      </c>
    </row>
    <row r="478" spans="1:14" ht="28.8" x14ac:dyDescent="0.3">
      <c r="A478" s="9" t="s">
        <v>564</v>
      </c>
      <c r="B478" s="13">
        <f>VLOOKUP(Table27[[#This Row],[Location 
(drop-down)]],'List source'!D$2:E$60,2,FALSE)</f>
        <v>215</v>
      </c>
      <c r="C478" s="222" t="s">
        <v>1436</v>
      </c>
      <c r="D478" s="30" t="str">
        <f t="shared" si="14"/>
        <v>PTO477-215-24</v>
      </c>
      <c r="E478" s="9" t="s">
        <v>1437</v>
      </c>
      <c r="F478" s="10" t="s">
        <v>918</v>
      </c>
      <c r="G4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78" s="39" t="s">
        <v>1438</v>
      </c>
      <c r="I478" s="12">
        <v>45426</v>
      </c>
      <c r="J478" s="12" t="s">
        <v>498</v>
      </c>
      <c r="K478" s="77">
        <v>45530</v>
      </c>
      <c r="L478" s="10"/>
      <c r="M478" s="427">
        <v>477</v>
      </c>
      <c r="N478" s="13" t="str">
        <f t="shared" ca="1" si="15"/>
        <v>CLOSED</v>
      </c>
    </row>
    <row r="479" spans="1:14" ht="28.8" x14ac:dyDescent="0.3">
      <c r="A479" s="9" t="s">
        <v>564</v>
      </c>
      <c r="B479" s="13">
        <f>VLOOKUP(Table27[[#This Row],[Location 
(drop-down)]],'List source'!D$2:E$60,2,FALSE)</f>
        <v>215</v>
      </c>
      <c r="C479" s="222" t="s">
        <v>1439</v>
      </c>
      <c r="D479" s="30" t="str">
        <f t="shared" si="14"/>
        <v>PTO478-215-24</v>
      </c>
      <c r="E479" s="9" t="s">
        <v>1440</v>
      </c>
      <c r="F479" s="10" t="s">
        <v>918</v>
      </c>
      <c r="G4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479" s="10">
        <v>594.52</v>
      </c>
      <c r="I479" s="12">
        <v>45426</v>
      </c>
      <c r="J479" s="12" t="s">
        <v>495</v>
      </c>
      <c r="K479" s="77">
        <v>45427</v>
      </c>
      <c r="L479" s="10" t="s">
        <v>510</v>
      </c>
      <c r="M479" s="427">
        <v>478</v>
      </c>
      <c r="N479" s="13" t="str">
        <f t="shared" ca="1" si="15"/>
        <v>CLOSED</v>
      </c>
    </row>
    <row r="480" spans="1:14" ht="18" x14ac:dyDescent="0.3">
      <c r="A480" s="9" t="s">
        <v>564</v>
      </c>
      <c r="B480" s="13">
        <f>VLOOKUP(Table27[[#This Row],[Location 
(drop-down)]],'List source'!D$2:E$60,2,FALSE)</f>
        <v>215</v>
      </c>
      <c r="C480" s="222" t="s">
        <v>1441</v>
      </c>
      <c r="D480" s="30" t="str">
        <f t="shared" si="14"/>
        <v>PTO479-215-24</v>
      </c>
      <c r="E480" s="9" t="s">
        <v>1369</v>
      </c>
      <c r="F480" s="10" t="s">
        <v>918</v>
      </c>
      <c r="G4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480" s="39" t="s">
        <v>569</v>
      </c>
      <c r="I480" s="12">
        <v>45426</v>
      </c>
      <c r="J480" s="12" t="s">
        <v>195</v>
      </c>
      <c r="K480" s="77">
        <v>45552</v>
      </c>
      <c r="L480" s="10"/>
      <c r="M480" s="427">
        <v>479</v>
      </c>
      <c r="N480" s="13" t="str">
        <f t="shared" ca="1" si="15"/>
        <v>CLOSED</v>
      </c>
    </row>
    <row r="481" spans="1:14" ht="18" x14ac:dyDescent="0.3">
      <c r="A481" s="9" t="s">
        <v>564</v>
      </c>
      <c r="B481" s="13">
        <f>VLOOKUP(Table27[[#This Row],[Location 
(drop-down)]],'List source'!D$2:E$60,2,FALSE)</f>
        <v>215</v>
      </c>
      <c r="C481" s="222" t="s">
        <v>1442</v>
      </c>
      <c r="D481" s="30" t="str">
        <f t="shared" si="14"/>
        <v>PTO480-215-24</v>
      </c>
      <c r="E481" s="9" t="s">
        <v>1443</v>
      </c>
      <c r="F481" s="10" t="s">
        <v>918</v>
      </c>
      <c r="G4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481" s="39" t="s">
        <v>1444</v>
      </c>
      <c r="I481" s="12">
        <v>45426</v>
      </c>
      <c r="J481" s="12" t="s">
        <v>498</v>
      </c>
      <c r="K481" s="77">
        <v>45574</v>
      </c>
      <c r="L481" s="10"/>
      <c r="M481" s="427">
        <v>480</v>
      </c>
      <c r="N481" s="13" t="str">
        <f t="shared" ca="1" si="15"/>
        <v>CLOSED</v>
      </c>
    </row>
    <row r="482" spans="1:14" ht="18" x14ac:dyDescent="0.3">
      <c r="A482" s="9" t="s">
        <v>564</v>
      </c>
      <c r="B482" s="13">
        <f>VLOOKUP(Table27[[#This Row],[Location 
(drop-down)]],'List source'!D$2:E$60,2,FALSE)</f>
        <v>215</v>
      </c>
      <c r="C482" s="222" t="s">
        <v>1445</v>
      </c>
      <c r="D482" s="30" t="str">
        <f t="shared" si="14"/>
        <v>PTO481-215-24</v>
      </c>
      <c r="E482" s="9" t="s">
        <v>1446</v>
      </c>
      <c r="F482" s="10" t="s">
        <v>918</v>
      </c>
      <c r="G4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482" s="39" t="s">
        <v>585</v>
      </c>
      <c r="I482" s="12">
        <v>45426</v>
      </c>
      <c r="J482" s="12" t="s">
        <v>498</v>
      </c>
      <c r="K482" s="77">
        <v>45540</v>
      </c>
      <c r="L482" s="10"/>
      <c r="M482" s="427">
        <v>481</v>
      </c>
      <c r="N482" s="13" t="str">
        <f t="shared" ca="1" si="15"/>
        <v>CLOSED</v>
      </c>
    </row>
    <row r="483" spans="1:14" ht="18" x14ac:dyDescent="0.3">
      <c r="A483" s="9" t="s">
        <v>564</v>
      </c>
      <c r="B483" s="13">
        <f>VLOOKUP(Table27[[#This Row],[Location 
(drop-down)]],'List source'!D$2:E$60,2,FALSE)</f>
        <v>215</v>
      </c>
      <c r="C483" s="222" t="s">
        <v>1447</v>
      </c>
      <c r="D483" s="30" t="str">
        <f t="shared" si="14"/>
        <v>PTO482-215-24</v>
      </c>
      <c r="E483" s="9" t="s">
        <v>1448</v>
      </c>
      <c r="F483" s="10" t="s">
        <v>918</v>
      </c>
      <c r="G4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83" s="10">
        <v>2.5</v>
      </c>
      <c r="I483" s="12">
        <v>45426</v>
      </c>
      <c r="J483" s="12" t="s">
        <v>498</v>
      </c>
      <c r="K483" s="77">
        <v>45540</v>
      </c>
      <c r="L483" s="10"/>
      <c r="M483" s="427">
        <v>482</v>
      </c>
      <c r="N483" s="13" t="str">
        <f t="shared" ca="1" si="15"/>
        <v>CLOSED</v>
      </c>
    </row>
    <row r="484" spans="1:14" ht="28.8" x14ac:dyDescent="0.3">
      <c r="A484" s="9" t="s">
        <v>564</v>
      </c>
      <c r="B484" s="13">
        <f>VLOOKUP(Table27[[#This Row],[Location 
(drop-down)]],'List source'!D$2:E$60,2,FALSE)</f>
        <v>215</v>
      </c>
      <c r="C484" s="222" t="s">
        <v>1449</v>
      </c>
      <c r="D484" s="30" t="str">
        <f t="shared" si="14"/>
        <v>PTO483-215-24</v>
      </c>
      <c r="E484" s="9" t="s">
        <v>1450</v>
      </c>
      <c r="F484" s="10" t="s">
        <v>918</v>
      </c>
      <c r="G4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484" s="10">
        <v>4.95</v>
      </c>
      <c r="I484" s="12">
        <v>45426</v>
      </c>
      <c r="J484" s="12" t="s">
        <v>498</v>
      </c>
      <c r="K484" s="77">
        <v>45610</v>
      </c>
      <c r="L484" s="10"/>
      <c r="M484" s="427">
        <v>483</v>
      </c>
      <c r="N484" s="13" t="str">
        <f t="shared" ca="1" si="15"/>
        <v>CLOSED</v>
      </c>
    </row>
    <row r="485" spans="1:14" ht="43.2" x14ac:dyDescent="0.3">
      <c r="A485" s="9" t="s">
        <v>186</v>
      </c>
      <c r="B485" s="13">
        <f>VLOOKUP(Table27[[#This Row],[Location 
(drop-down)]],'List source'!D$2:E$60,2,FALSE)</f>
        <v>130</v>
      </c>
      <c r="C485" s="222" t="s">
        <v>1451</v>
      </c>
      <c r="D485" s="30" t="str">
        <f t="shared" si="14"/>
        <v>PTO484-130-24</v>
      </c>
      <c r="E485" s="9" t="s">
        <v>1452</v>
      </c>
      <c r="F485" s="10" t="s">
        <v>1453</v>
      </c>
      <c r="G485" s="9" t="s">
        <v>1454</v>
      </c>
      <c r="H485" s="10">
        <v>2.25</v>
      </c>
      <c r="I485" s="12">
        <v>45427</v>
      </c>
      <c r="J485" s="12" t="s">
        <v>495</v>
      </c>
      <c r="K485" s="77">
        <v>45426</v>
      </c>
      <c r="L485" s="10" t="s">
        <v>496</v>
      </c>
      <c r="M485" s="427">
        <v>484</v>
      </c>
      <c r="N485" s="13" t="str">
        <f t="shared" ca="1" si="15"/>
        <v>CLOSED</v>
      </c>
    </row>
    <row r="486" spans="1:14" ht="43.2" x14ac:dyDescent="0.3">
      <c r="A486" s="9" t="s">
        <v>310</v>
      </c>
      <c r="B486" s="13">
        <f>VLOOKUP(Table27[[#This Row],[Location 
(drop-down)]],'List source'!D$2:E$60,2,FALSE)</f>
        <v>144</v>
      </c>
      <c r="C486" s="222" t="s">
        <v>1455</v>
      </c>
      <c r="D486" s="30" t="str">
        <f t="shared" si="14"/>
        <v>PTO485-144-24</v>
      </c>
      <c r="E486" s="9" t="s">
        <v>1456</v>
      </c>
      <c r="F486" s="10" t="s">
        <v>1457</v>
      </c>
      <c r="G486" s="9" t="s">
        <v>1458</v>
      </c>
      <c r="H486" s="39" t="s">
        <v>892</v>
      </c>
      <c r="I486" s="12">
        <v>45427</v>
      </c>
      <c r="J486" s="12" t="s">
        <v>495</v>
      </c>
      <c r="K486" s="77">
        <v>45427</v>
      </c>
      <c r="L486" s="10" t="s">
        <v>496</v>
      </c>
      <c r="M486" s="427">
        <v>485</v>
      </c>
      <c r="N486" s="13" t="str">
        <f t="shared" ca="1" si="15"/>
        <v>CLOSED</v>
      </c>
    </row>
    <row r="487" spans="1:14" ht="43.2" x14ac:dyDescent="0.3">
      <c r="A487" s="9" t="s">
        <v>147</v>
      </c>
      <c r="B487" s="13">
        <f>VLOOKUP(Table27[[#This Row],[Location 
(drop-down)]],'List source'!D$2:E$61,2,FALSE)</f>
        <v>185</v>
      </c>
      <c r="C487" s="222" t="s">
        <v>1459</v>
      </c>
      <c r="D487" s="30" t="str">
        <f t="shared" si="14"/>
        <v>PTO486-185-24</v>
      </c>
      <c r="E487" s="9" t="s">
        <v>1460</v>
      </c>
      <c r="F487" s="10" t="s">
        <v>1457</v>
      </c>
      <c r="G487" s="9" t="s">
        <v>1461</v>
      </c>
      <c r="H487" s="39" t="s">
        <v>585</v>
      </c>
      <c r="I487" s="12">
        <v>45427</v>
      </c>
      <c r="J487" s="12" t="s">
        <v>495</v>
      </c>
      <c r="K487" s="77">
        <v>45427</v>
      </c>
      <c r="L487" s="10" t="s">
        <v>496</v>
      </c>
      <c r="M487" s="427">
        <v>486</v>
      </c>
      <c r="N487" s="13" t="str">
        <f t="shared" ca="1" si="15"/>
        <v>CLOSED</v>
      </c>
    </row>
    <row r="488" spans="1:14" ht="43.2" x14ac:dyDescent="0.3">
      <c r="A488" s="9" t="s">
        <v>147</v>
      </c>
      <c r="B488" s="13">
        <f>VLOOKUP(Table27[[#This Row],[Location 
(drop-down)]],'List source'!D$2:E$61,2,FALSE)</f>
        <v>185</v>
      </c>
      <c r="C488" s="222" t="s">
        <v>1462</v>
      </c>
      <c r="D488" s="30" t="str">
        <f t="shared" si="14"/>
        <v>PTO487-185-24</v>
      </c>
      <c r="E488" s="9" t="s">
        <v>1463</v>
      </c>
      <c r="F488" s="10" t="s">
        <v>1457</v>
      </c>
      <c r="G4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488" s="10">
        <v>2.5</v>
      </c>
      <c r="I488" s="12">
        <v>45427</v>
      </c>
      <c r="J488" s="12" t="s">
        <v>495</v>
      </c>
      <c r="K488" s="77">
        <v>45427</v>
      </c>
      <c r="L488" s="10" t="s">
        <v>496</v>
      </c>
      <c r="M488" s="427">
        <v>487</v>
      </c>
      <c r="N488" s="13" t="str">
        <f t="shared" ca="1" si="15"/>
        <v>CLOSED</v>
      </c>
    </row>
    <row r="489" spans="1:14" ht="18" x14ac:dyDescent="0.3">
      <c r="A489" s="9" t="s">
        <v>138</v>
      </c>
      <c r="B489" s="13">
        <f>VLOOKUP(Table27[[#This Row],[Location 
(drop-down)]],'List source'!D$2:E$60,2,FALSE)</f>
        <v>110</v>
      </c>
      <c r="C489" s="222" t="s">
        <v>1464</v>
      </c>
      <c r="D489" s="30" t="str">
        <f t="shared" si="14"/>
        <v>PTO488-110-24</v>
      </c>
      <c r="E489" s="9" t="s">
        <v>1465</v>
      </c>
      <c r="F489" s="10" t="s">
        <v>1239</v>
      </c>
      <c r="G4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489" s="10">
        <v>30.75</v>
      </c>
      <c r="I489" s="12">
        <v>45427</v>
      </c>
      <c r="J489" s="12" t="s">
        <v>495</v>
      </c>
      <c r="K489" s="77">
        <v>45434</v>
      </c>
      <c r="L489" s="10" t="s">
        <v>510</v>
      </c>
      <c r="M489" s="427">
        <v>488</v>
      </c>
      <c r="N489" s="13" t="str">
        <f t="shared" ca="1" si="15"/>
        <v>CLOSED</v>
      </c>
    </row>
    <row r="490" spans="1:14" ht="18" x14ac:dyDescent="0.3">
      <c r="A490" s="9" t="s">
        <v>138</v>
      </c>
      <c r="B490" s="13">
        <f>VLOOKUP(Table27[[#This Row],[Location 
(drop-down)]],'List source'!D$2:E$60,2,FALSE)</f>
        <v>110</v>
      </c>
      <c r="C490" s="222" t="s">
        <v>1466</v>
      </c>
      <c r="D490" s="30" t="str">
        <f t="shared" si="14"/>
        <v>PTO489-110-24</v>
      </c>
      <c r="E490" s="9" t="s">
        <v>1467</v>
      </c>
      <c r="F490" s="10" t="s">
        <v>1239</v>
      </c>
      <c r="G4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D5184 - Element</v>
      </c>
      <c r="H490" s="10">
        <v>2.6</v>
      </c>
      <c r="I490" s="12">
        <v>45427</v>
      </c>
      <c r="J490" s="12" t="s">
        <v>495</v>
      </c>
      <c r="K490" s="77">
        <v>45434</v>
      </c>
      <c r="L490" s="10" t="s">
        <v>510</v>
      </c>
      <c r="M490" s="427">
        <v>489</v>
      </c>
      <c r="N490" s="13" t="str">
        <f t="shared" ca="1" si="15"/>
        <v>CLOSED</v>
      </c>
    </row>
    <row r="491" spans="1:14" ht="18" x14ac:dyDescent="0.3">
      <c r="A491" s="9" t="s">
        <v>138</v>
      </c>
      <c r="B491" s="13">
        <f>VLOOKUP(Table27[[#This Row],[Location 
(drop-down)]],'List source'!D$2:E$60,2,FALSE)</f>
        <v>110</v>
      </c>
      <c r="C491" s="222" t="s">
        <v>1468</v>
      </c>
      <c r="D491" s="30" t="str">
        <f t="shared" si="14"/>
        <v>PTO490-110-24</v>
      </c>
      <c r="E491" s="94" t="s">
        <v>1469</v>
      </c>
      <c r="F491" s="98" t="s">
        <v>1239</v>
      </c>
      <c r="G49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491" s="98">
        <v>2.21</v>
      </c>
      <c r="I491" s="12">
        <v>45427</v>
      </c>
      <c r="J491" s="12" t="s">
        <v>495</v>
      </c>
      <c r="K491" s="77">
        <v>45434</v>
      </c>
      <c r="L491" s="10" t="s">
        <v>510</v>
      </c>
      <c r="M491" s="427">
        <v>490</v>
      </c>
      <c r="N491" s="13" t="str">
        <f t="shared" ca="1" si="15"/>
        <v>CLOSED</v>
      </c>
    </row>
    <row r="492" spans="1:14" ht="18" x14ac:dyDescent="0.3">
      <c r="A492" s="9" t="s">
        <v>138</v>
      </c>
      <c r="B492" s="13">
        <f>VLOOKUP(Table27[[#This Row],[Location 
(drop-down)]],'List source'!D$2:E$60,2,FALSE)</f>
        <v>110</v>
      </c>
      <c r="C492" s="222" t="s">
        <v>1470</v>
      </c>
      <c r="D492" s="195" t="str">
        <f t="shared" si="14"/>
        <v>PTO491-110-24</v>
      </c>
      <c r="E492" s="374" t="s">
        <v>1471</v>
      </c>
      <c r="F492" s="381" t="s">
        <v>1239</v>
      </c>
      <c r="G492" s="37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92" s="381">
        <v>14.13</v>
      </c>
      <c r="I492" s="110">
        <v>45427</v>
      </c>
      <c r="J492" s="12" t="s">
        <v>498</v>
      </c>
      <c r="K492" s="77">
        <v>45905</v>
      </c>
      <c r="L492" s="10"/>
      <c r="M492" s="427">
        <v>491</v>
      </c>
      <c r="N492" s="13" t="str">
        <f t="shared" ca="1" si="15"/>
        <v>CLOSED</v>
      </c>
    </row>
    <row r="493" spans="1:14" ht="28.8" x14ac:dyDescent="0.3">
      <c r="A493" s="9" t="s">
        <v>151</v>
      </c>
      <c r="B493" s="13">
        <f>VLOOKUP(Table27[[#This Row],[Location 
(drop-down)]],'List source'!D$2:E$60,2,FALSE)</f>
        <v>124</v>
      </c>
      <c r="C493" s="222" t="s">
        <v>1472</v>
      </c>
      <c r="D493" s="30" t="str">
        <f t="shared" si="14"/>
        <v>PTO492-124-24</v>
      </c>
      <c r="E493" s="22" t="s">
        <v>1473</v>
      </c>
      <c r="F493" s="25" t="s">
        <v>1239</v>
      </c>
      <c r="G493"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D6560 - Asphaltenes (Heptane Insolubles)</v>
      </c>
      <c r="H493" s="25">
        <v>5.16</v>
      </c>
      <c r="I493" s="12">
        <v>45427</v>
      </c>
      <c r="J493" s="12" t="s">
        <v>495</v>
      </c>
      <c r="K493" s="77">
        <v>45435</v>
      </c>
      <c r="L493" s="10" t="s">
        <v>510</v>
      </c>
      <c r="M493" s="427">
        <v>492</v>
      </c>
      <c r="N493" s="13" t="str">
        <f t="shared" ca="1" si="15"/>
        <v>CLOSED</v>
      </c>
    </row>
    <row r="494" spans="1:14" ht="28.8" x14ac:dyDescent="0.3">
      <c r="A494" s="9" t="s">
        <v>126</v>
      </c>
      <c r="B494" s="13">
        <f>VLOOKUP(Table27[[#This Row],[Location 
(drop-down)]],'List source'!D$2:E$60,2,FALSE)</f>
        <v>125</v>
      </c>
      <c r="C494" s="222" t="s">
        <v>1474</v>
      </c>
      <c r="D494" s="30" t="str">
        <f t="shared" si="14"/>
        <v>PTO493-125-24</v>
      </c>
      <c r="E494" s="9" t="s">
        <v>1475</v>
      </c>
      <c r="F494" s="25" t="s">
        <v>1239</v>
      </c>
      <c r="G4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94" s="39" t="s">
        <v>1476</v>
      </c>
      <c r="I494" s="110">
        <v>45427</v>
      </c>
      <c r="J494" s="12" t="s">
        <v>195</v>
      </c>
      <c r="K494" s="77">
        <v>45838</v>
      </c>
      <c r="L494" s="10"/>
      <c r="M494" s="427">
        <v>493</v>
      </c>
      <c r="N494" s="13" t="str">
        <f t="shared" ca="1" si="15"/>
        <v>CLOSED</v>
      </c>
    </row>
    <row r="495" spans="1:14" ht="28.8" x14ac:dyDescent="0.3">
      <c r="A495" s="9" t="s">
        <v>126</v>
      </c>
      <c r="B495" s="13">
        <f>VLOOKUP(Table27[[#This Row],[Location 
(drop-down)]],'List source'!D$2:E$60,2,FALSE)</f>
        <v>125</v>
      </c>
      <c r="C495" s="222" t="s">
        <v>1477</v>
      </c>
      <c r="D495" s="30" t="str">
        <f t="shared" si="14"/>
        <v>PTO494-125-24</v>
      </c>
      <c r="E495" s="9" t="s">
        <v>1478</v>
      </c>
      <c r="F495" s="381" t="s">
        <v>1239</v>
      </c>
      <c r="G4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D240 - Heat of Combustion</v>
      </c>
      <c r="H495" s="10">
        <v>2.5299999999999998</v>
      </c>
      <c r="I495" s="12">
        <v>45427</v>
      </c>
      <c r="J495" s="12" t="s">
        <v>195</v>
      </c>
      <c r="K495" s="77">
        <v>45574</v>
      </c>
      <c r="L495" s="10"/>
      <c r="M495" s="427">
        <v>494</v>
      </c>
      <c r="N495" s="13" t="str">
        <f t="shared" ca="1" si="15"/>
        <v>CLOSED</v>
      </c>
    </row>
    <row r="496" spans="1:14" ht="43.2" x14ac:dyDescent="0.3">
      <c r="A496" s="9" t="s">
        <v>39</v>
      </c>
      <c r="B496" s="13">
        <f>VLOOKUP(Table27[[#This Row],[Location 
(drop-down)]],'List source'!D$2:E$60,2,FALSE)</f>
        <v>127</v>
      </c>
      <c r="C496" s="222" t="s">
        <v>1479</v>
      </c>
      <c r="D496" s="30" t="str">
        <f t="shared" si="14"/>
        <v>PTO495-127-24</v>
      </c>
      <c r="E496" s="9" t="s">
        <v>1480</v>
      </c>
      <c r="F496" s="25" t="s">
        <v>1239</v>
      </c>
      <c r="G4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96" s="39" t="s">
        <v>1481</v>
      </c>
      <c r="I496" s="110">
        <v>45427</v>
      </c>
      <c r="J496" s="12" t="s">
        <v>495</v>
      </c>
      <c r="K496" s="77">
        <v>45427</v>
      </c>
      <c r="L496" s="10" t="s">
        <v>496</v>
      </c>
      <c r="M496" s="427">
        <v>495</v>
      </c>
      <c r="N496" s="13" t="str">
        <f t="shared" ca="1" si="15"/>
        <v>CLOSED</v>
      </c>
    </row>
    <row r="497" spans="1:14" ht="28.8" x14ac:dyDescent="0.3">
      <c r="A497" s="9" t="s">
        <v>186</v>
      </c>
      <c r="B497" s="13">
        <f>VLOOKUP(Table27[[#This Row],[Location 
(drop-down)]],'List source'!D$2:E$60,2,FALSE)</f>
        <v>130</v>
      </c>
      <c r="C497" s="222" t="s">
        <v>1482</v>
      </c>
      <c r="D497" s="30" t="str">
        <f t="shared" si="14"/>
        <v>PTO496-130-24</v>
      </c>
      <c r="E497" s="9" t="s">
        <v>1483</v>
      </c>
      <c r="F497" s="25" t="s">
        <v>1239</v>
      </c>
      <c r="G4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497" s="39" t="s">
        <v>1484</v>
      </c>
      <c r="I497" s="110">
        <v>45427</v>
      </c>
      <c r="J497" s="12" t="s">
        <v>495</v>
      </c>
      <c r="K497" s="77">
        <v>45538</v>
      </c>
      <c r="L497" s="10"/>
      <c r="M497" s="427">
        <v>496</v>
      </c>
      <c r="N497" s="13" t="str">
        <f t="shared" ca="1" si="15"/>
        <v>CLOSED</v>
      </c>
    </row>
    <row r="498" spans="1:14" ht="18" x14ac:dyDescent="0.3">
      <c r="A498" s="9" t="s">
        <v>21</v>
      </c>
      <c r="B498" s="13">
        <f>VLOOKUP(Table27[[#This Row],[Location 
(drop-down)]],'List source'!D$2:E$60,2,FALSE)</f>
        <v>131</v>
      </c>
      <c r="C498" s="222" t="s">
        <v>1485</v>
      </c>
      <c r="D498" s="30" t="str">
        <f t="shared" si="14"/>
        <v>PTO497-131-24</v>
      </c>
      <c r="E498" s="9" t="s">
        <v>1486</v>
      </c>
      <c r="F498" s="25" t="s">
        <v>1239</v>
      </c>
      <c r="G4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498" s="10">
        <v>11.57</v>
      </c>
      <c r="I498" s="110">
        <v>45427</v>
      </c>
      <c r="J498" s="12" t="s">
        <v>495</v>
      </c>
      <c r="K498" s="77">
        <v>45575</v>
      </c>
      <c r="L498" s="10" t="s">
        <v>510</v>
      </c>
      <c r="M498" s="427">
        <v>497</v>
      </c>
      <c r="N498" s="13" t="str">
        <f t="shared" ca="1" si="15"/>
        <v>CLOSED</v>
      </c>
    </row>
    <row r="499" spans="1:14" ht="18" x14ac:dyDescent="0.3">
      <c r="A499" s="235" t="s">
        <v>21</v>
      </c>
      <c r="B499" s="236">
        <f>VLOOKUP(Table27[[#This Row],[Location 
(drop-down)]],'List source'!D$2:E$60,2,FALSE)</f>
        <v>131</v>
      </c>
      <c r="C499" s="262" t="s">
        <v>1487</v>
      </c>
      <c r="D499" s="238" t="str">
        <f t="shared" si="14"/>
        <v>PTO498-131-24</v>
      </c>
      <c r="E499" s="235" t="s">
        <v>1488</v>
      </c>
      <c r="F499" s="348" t="s">
        <v>1239</v>
      </c>
      <c r="G499"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499" s="266" t="s">
        <v>1489</v>
      </c>
      <c r="I499" s="353">
        <v>45427</v>
      </c>
      <c r="J499" s="264" t="s">
        <v>182</v>
      </c>
      <c r="K499" s="250">
        <v>45576</v>
      </c>
      <c r="L499" s="10"/>
      <c r="M499" s="427">
        <v>498</v>
      </c>
      <c r="N499" s="13" t="str">
        <f t="shared" ca="1" si="15"/>
        <v>CLOSED</v>
      </c>
    </row>
    <row r="500" spans="1:14" ht="18" x14ac:dyDescent="0.3">
      <c r="A500" s="9" t="s">
        <v>264</v>
      </c>
      <c r="B500" s="13">
        <f>VLOOKUP(Table27[[#This Row],[Location 
(drop-down)]],'List source'!D$2:E$60,2,FALSE)</f>
        <v>132</v>
      </c>
      <c r="C500" s="222" t="s">
        <v>1490</v>
      </c>
      <c r="D500" s="30" t="str">
        <f t="shared" si="14"/>
        <v>PTO499-132-24</v>
      </c>
      <c r="E500" s="9" t="s">
        <v>1491</v>
      </c>
      <c r="F500" s="25" t="s">
        <v>1239</v>
      </c>
      <c r="G5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00" s="39" t="s">
        <v>1397</v>
      </c>
      <c r="I500" s="110">
        <v>45427</v>
      </c>
      <c r="J500" s="12" t="s">
        <v>54</v>
      </c>
      <c r="K500" s="77">
        <v>45793</v>
      </c>
      <c r="L500" s="10"/>
      <c r="M500" s="427">
        <v>499</v>
      </c>
      <c r="N500" s="13" t="str">
        <f t="shared" ca="1" si="15"/>
        <v>CLOSED</v>
      </c>
    </row>
    <row r="501" spans="1:14" ht="43.2" x14ac:dyDescent="0.3">
      <c r="A501" s="9" t="s">
        <v>157</v>
      </c>
      <c r="B501" s="13">
        <f>VLOOKUP(Table27[[#This Row],[Location 
(drop-down)]],'List source'!D$2:E$60,2,FALSE)</f>
        <v>136</v>
      </c>
      <c r="C501" s="222" t="s">
        <v>1492</v>
      </c>
      <c r="D501" s="30" t="str">
        <f t="shared" si="14"/>
        <v>PTO500-136-24</v>
      </c>
      <c r="E501" s="22" t="s">
        <v>1493</v>
      </c>
      <c r="F501" s="25" t="s">
        <v>1239</v>
      </c>
      <c r="G501"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501" s="154" t="s">
        <v>1230</v>
      </c>
      <c r="I501" s="110">
        <v>45427</v>
      </c>
      <c r="J501" s="12" t="s">
        <v>495</v>
      </c>
      <c r="K501" s="77">
        <v>45427</v>
      </c>
      <c r="L501" s="10" t="s">
        <v>496</v>
      </c>
      <c r="M501" s="427">
        <v>500</v>
      </c>
      <c r="N501" s="13" t="str">
        <f t="shared" ca="1" si="15"/>
        <v>CLOSED</v>
      </c>
    </row>
    <row r="502" spans="1:14" ht="43.2" x14ac:dyDescent="0.3">
      <c r="A502" s="9" t="s">
        <v>268</v>
      </c>
      <c r="B502" s="13">
        <f>VLOOKUP(Table27[[#This Row],[Location 
(drop-down)]],'List source'!D$2:E$60,2,FALSE)</f>
        <v>137</v>
      </c>
      <c r="C502" s="222" t="s">
        <v>1494</v>
      </c>
      <c r="D502" s="30" t="str">
        <f t="shared" si="14"/>
        <v>PTO501-137-24</v>
      </c>
      <c r="E502" s="9" t="s">
        <v>1480</v>
      </c>
      <c r="F502" s="25" t="s">
        <v>1239</v>
      </c>
      <c r="G5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02" s="39" t="s">
        <v>1495</v>
      </c>
      <c r="I502" s="110">
        <v>45427</v>
      </c>
      <c r="J502" s="12" t="s">
        <v>495</v>
      </c>
      <c r="K502" s="77">
        <v>45427</v>
      </c>
      <c r="L502" s="10" t="s">
        <v>496</v>
      </c>
      <c r="M502" s="427">
        <v>501</v>
      </c>
      <c r="N502" s="13" t="str">
        <f t="shared" ca="1" si="15"/>
        <v>CLOSED</v>
      </c>
    </row>
    <row r="503" spans="1:14" ht="43.2" x14ac:dyDescent="0.3">
      <c r="A503" s="9" t="s">
        <v>597</v>
      </c>
      <c r="B503" s="13">
        <f>VLOOKUP(Table27[[#This Row],[Location 
(drop-down)]],'List source'!D$2:E$60,2,FALSE)</f>
        <v>139</v>
      </c>
      <c r="C503" s="222" t="s">
        <v>1496</v>
      </c>
      <c r="D503" s="30" t="str">
        <f t="shared" si="14"/>
        <v>PTO502-139-24</v>
      </c>
      <c r="E503" s="9" t="s">
        <v>1497</v>
      </c>
      <c r="F503" s="25" t="s">
        <v>1239</v>
      </c>
      <c r="G5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03" s="10">
        <v>-2.17</v>
      </c>
      <c r="I503" s="110">
        <v>45427</v>
      </c>
      <c r="J503" s="12" t="s">
        <v>495</v>
      </c>
      <c r="K503" s="77">
        <v>45427</v>
      </c>
      <c r="L503" s="10" t="s">
        <v>496</v>
      </c>
      <c r="M503" s="427">
        <v>502</v>
      </c>
      <c r="N503" s="13" t="str">
        <f t="shared" ca="1" si="15"/>
        <v>CLOSED</v>
      </c>
    </row>
    <row r="504" spans="1:14" ht="43.2" x14ac:dyDescent="0.3">
      <c r="A504" s="9" t="s">
        <v>597</v>
      </c>
      <c r="B504" s="13">
        <f>VLOOKUP(Table27[[#This Row],[Location 
(drop-down)]],'List source'!D$2:E$60,2,FALSE)</f>
        <v>139</v>
      </c>
      <c r="C504" s="222" t="s">
        <v>1498</v>
      </c>
      <c r="D504" s="30" t="str">
        <f t="shared" si="14"/>
        <v>PTO503-139-24</v>
      </c>
      <c r="E504" s="9" t="s">
        <v>1480</v>
      </c>
      <c r="F504" s="25" t="s">
        <v>1239</v>
      </c>
      <c r="G5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04" s="10">
        <v>2.73</v>
      </c>
      <c r="I504" s="110">
        <v>45427</v>
      </c>
      <c r="J504" s="12" t="s">
        <v>495</v>
      </c>
      <c r="K504" s="77">
        <v>45427</v>
      </c>
      <c r="L504" s="10" t="s">
        <v>496</v>
      </c>
      <c r="M504" s="427">
        <v>503</v>
      </c>
      <c r="N504" s="13" t="str">
        <f t="shared" ca="1" si="15"/>
        <v>CLOSED</v>
      </c>
    </row>
    <row r="505" spans="1:14" ht="43.2" x14ac:dyDescent="0.3">
      <c r="A505" s="9" t="s">
        <v>597</v>
      </c>
      <c r="B505" s="13">
        <f>VLOOKUP(Table27[[#This Row],[Location 
(drop-down)]],'List source'!D$2:E$60,2,FALSE)</f>
        <v>139</v>
      </c>
      <c r="C505" s="222" t="s">
        <v>1499</v>
      </c>
      <c r="D505" s="30" t="str">
        <f t="shared" si="14"/>
        <v>PTO504-139-24</v>
      </c>
      <c r="E505" s="9" t="s">
        <v>1500</v>
      </c>
      <c r="F505" s="25" t="s">
        <v>1239</v>
      </c>
      <c r="G5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505" s="10">
        <v>2.63</v>
      </c>
      <c r="I505" s="110">
        <v>45427</v>
      </c>
      <c r="J505" s="12" t="s">
        <v>495</v>
      </c>
      <c r="K505" s="77">
        <v>45427</v>
      </c>
      <c r="L505" s="10" t="s">
        <v>496</v>
      </c>
      <c r="M505" s="427">
        <v>504</v>
      </c>
      <c r="N505" s="13" t="str">
        <f t="shared" ca="1" si="15"/>
        <v>CLOSED</v>
      </c>
    </row>
    <row r="506" spans="1:14" ht="18" x14ac:dyDescent="0.3">
      <c r="A506" s="9" t="s">
        <v>310</v>
      </c>
      <c r="B506" s="13">
        <f>VLOOKUP(Table27[[#This Row],[Location 
(drop-down)]],'List source'!D$2:E$60,2,FALSE)</f>
        <v>144</v>
      </c>
      <c r="C506" s="222" t="s">
        <v>1501</v>
      </c>
      <c r="D506" s="30" t="str">
        <f t="shared" si="14"/>
        <v>PTO505-144-24</v>
      </c>
      <c r="E506" s="9" t="s">
        <v>1502</v>
      </c>
      <c r="F506" s="25" t="s">
        <v>1239</v>
      </c>
      <c r="G5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D482 - Ash</v>
      </c>
      <c r="H506" s="10">
        <v>3.33</v>
      </c>
      <c r="I506" s="110">
        <v>45427</v>
      </c>
      <c r="J506" s="12" t="s">
        <v>498</v>
      </c>
      <c r="K506" s="77">
        <v>45463</v>
      </c>
      <c r="L506" s="10"/>
      <c r="M506" s="427">
        <v>505</v>
      </c>
      <c r="N506" s="13" t="str">
        <f t="shared" ca="1" si="15"/>
        <v>CLOSED</v>
      </c>
    </row>
    <row r="507" spans="1:14" ht="43.2" x14ac:dyDescent="0.3">
      <c r="A507" s="9" t="s">
        <v>310</v>
      </c>
      <c r="B507" s="13">
        <f>VLOOKUP(Table27[[#This Row],[Location 
(drop-down)]],'List source'!D$2:E$60,2,FALSE)</f>
        <v>144</v>
      </c>
      <c r="C507" s="222" t="s">
        <v>1503</v>
      </c>
      <c r="D507" s="30" t="str">
        <f t="shared" si="14"/>
        <v>PTO506-144-24</v>
      </c>
      <c r="E507" s="9" t="s">
        <v>1480</v>
      </c>
      <c r="F507" s="25" t="s">
        <v>1239</v>
      </c>
      <c r="G5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07" s="10">
        <v>2.09</v>
      </c>
      <c r="I507" s="110">
        <v>45427</v>
      </c>
      <c r="J507" s="12" t="s">
        <v>495</v>
      </c>
      <c r="K507" s="77">
        <v>45427</v>
      </c>
      <c r="L507" s="10" t="s">
        <v>496</v>
      </c>
      <c r="M507" s="427">
        <v>506</v>
      </c>
      <c r="N507" s="13" t="str">
        <f t="shared" ca="1" si="15"/>
        <v>CLOSED</v>
      </c>
    </row>
    <row r="508" spans="1:14" ht="43.2" x14ac:dyDescent="0.3">
      <c r="A508" s="9" t="s">
        <v>70</v>
      </c>
      <c r="B508" s="13">
        <f>VLOOKUP(Table27[[#This Row],[Location 
(drop-down)]],'List source'!D$2:E$60,2,FALSE)</f>
        <v>146</v>
      </c>
      <c r="C508" s="222" t="s">
        <v>1504</v>
      </c>
      <c r="D508" s="30" t="str">
        <f t="shared" si="14"/>
        <v>PTO507-146-24</v>
      </c>
      <c r="E508" s="9" t="s">
        <v>1505</v>
      </c>
      <c r="F508" s="10" t="s">
        <v>1239</v>
      </c>
      <c r="G5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08" s="10">
        <v>2.02</v>
      </c>
      <c r="I508" s="110">
        <v>45427</v>
      </c>
      <c r="J508" s="12" t="s">
        <v>495</v>
      </c>
      <c r="K508" s="77">
        <v>45427</v>
      </c>
      <c r="L508" s="10" t="s">
        <v>496</v>
      </c>
      <c r="M508" s="427">
        <v>507</v>
      </c>
      <c r="N508" s="13" t="str">
        <f t="shared" ca="1" si="15"/>
        <v>CLOSED</v>
      </c>
    </row>
    <row r="509" spans="1:14" ht="43.2" x14ac:dyDescent="0.3">
      <c r="A509" s="9" t="s">
        <v>65</v>
      </c>
      <c r="B509" s="13">
        <f>VLOOKUP(Table27[[#This Row],[Location 
(drop-down)]],'List source'!D$2:E$60,2,FALSE)</f>
        <v>155</v>
      </c>
      <c r="C509" s="222" t="s">
        <v>1506</v>
      </c>
      <c r="D509" s="30" t="str">
        <f t="shared" si="14"/>
        <v>PTO508-155-24</v>
      </c>
      <c r="E509" s="9" t="s">
        <v>1505</v>
      </c>
      <c r="F509" s="25" t="s">
        <v>1239</v>
      </c>
      <c r="G5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09" s="39" t="s">
        <v>717</v>
      </c>
      <c r="I509" s="110">
        <v>45427</v>
      </c>
      <c r="J509" s="12" t="s">
        <v>495</v>
      </c>
      <c r="K509" s="77">
        <v>45427</v>
      </c>
      <c r="L509" s="10" t="s">
        <v>496</v>
      </c>
      <c r="M509" s="427">
        <v>508</v>
      </c>
      <c r="N509" s="13" t="str">
        <f t="shared" ca="1" si="15"/>
        <v>CLOSED</v>
      </c>
    </row>
    <row r="510" spans="1:14" ht="18" x14ac:dyDescent="0.3">
      <c r="A510" s="9" t="s">
        <v>65</v>
      </c>
      <c r="B510" s="13">
        <f>VLOOKUP(Table27[[#This Row],[Location 
(drop-down)]],'List source'!D$2:E$60,2,FALSE)</f>
        <v>155</v>
      </c>
      <c r="C510" s="222" t="s">
        <v>1507</v>
      </c>
      <c r="D510" s="30" t="str">
        <f t="shared" si="14"/>
        <v>PTO509-155-24</v>
      </c>
      <c r="E510" s="9" t="s">
        <v>1508</v>
      </c>
      <c r="F510" s="25" t="s">
        <v>1239</v>
      </c>
      <c r="G5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510" s="10">
        <v>11.5</v>
      </c>
      <c r="I510" s="110">
        <v>45427</v>
      </c>
      <c r="J510" s="12" t="s">
        <v>134</v>
      </c>
      <c r="K510" s="77">
        <v>45554</v>
      </c>
      <c r="L510" s="10"/>
      <c r="M510" s="427">
        <v>509</v>
      </c>
      <c r="N510" s="13" t="str">
        <f t="shared" ca="1" si="15"/>
        <v>CLOSED</v>
      </c>
    </row>
    <row r="511" spans="1:14" ht="28.8" x14ac:dyDescent="0.3">
      <c r="A511" s="9" t="s">
        <v>35</v>
      </c>
      <c r="B511" s="13">
        <f>VLOOKUP(Table27[[#This Row],[Location 
(drop-down)]],'List source'!D$2:E$60,2,FALSE)</f>
        <v>158</v>
      </c>
      <c r="C511" s="222" t="s">
        <v>1509</v>
      </c>
      <c r="D511" s="30" t="str">
        <f t="shared" si="14"/>
        <v>PTO510-158-24</v>
      </c>
      <c r="E511" s="9" t="s">
        <v>1483</v>
      </c>
      <c r="F511" s="10" t="s">
        <v>1239</v>
      </c>
      <c r="G5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11" s="39" t="s">
        <v>1484</v>
      </c>
      <c r="I511" s="110">
        <v>45427</v>
      </c>
      <c r="J511" s="12" t="s">
        <v>134</v>
      </c>
      <c r="K511" s="77">
        <v>45831</v>
      </c>
      <c r="L511" s="10"/>
      <c r="M511" s="427">
        <v>510</v>
      </c>
      <c r="N511" s="13" t="str">
        <f t="shared" ca="1" si="15"/>
        <v>CLOSED</v>
      </c>
    </row>
    <row r="512" spans="1:14" ht="18" x14ac:dyDescent="0.3">
      <c r="A512" s="9" t="s">
        <v>209</v>
      </c>
      <c r="B512" s="13">
        <f>VLOOKUP(Table27[[#This Row],[Location 
(drop-down)]],'List source'!D$2:E$60,2,FALSE)</f>
        <v>165</v>
      </c>
      <c r="C512" s="222" t="s">
        <v>1510</v>
      </c>
      <c r="D512" s="30" t="str">
        <f t="shared" si="14"/>
        <v>PTO511-165-24</v>
      </c>
      <c r="E512" s="9" t="s">
        <v>1511</v>
      </c>
      <c r="F512" s="25" t="s">
        <v>1239</v>
      </c>
      <c r="G5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512" s="10">
        <v>2.63</v>
      </c>
      <c r="I512" s="110">
        <v>45427</v>
      </c>
      <c r="J512" s="12" t="s">
        <v>134</v>
      </c>
      <c r="K512" s="77">
        <v>45538</v>
      </c>
      <c r="L512" s="10"/>
      <c r="M512" s="427">
        <v>511</v>
      </c>
      <c r="N512" s="13" t="str">
        <f t="shared" ca="1" si="15"/>
        <v>CLOSED</v>
      </c>
    </row>
    <row r="513" spans="1:14" ht="18" x14ac:dyDescent="0.3">
      <c r="A513" s="9" t="s">
        <v>209</v>
      </c>
      <c r="B513" s="13">
        <f>VLOOKUP(Table27[[#This Row],[Location 
(drop-down)]],'List source'!D$2:E$60,2,FALSE)</f>
        <v>165</v>
      </c>
      <c r="C513" s="222" t="s">
        <v>1512</v>
      </c>
      <c r="D513" s="30" t="str">
        <f t="shared" si="14"/>
        <v>PTO512-165-24</v>
      </c>
      <c r="E513" s="9" t="s">
        <v>1513</v>
      </c>
      <c r="F513" s="25" t="s">
        <v>1239</v>
      </c>
      <c r="G5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513" s="10">
        <v>2.41</v>
      </c>
      <c r="I513" s="110">
        <v>45427</v>
      </c>
      <c r="J513" s="12" t="s">
        <v>134</v>
      </c>
      <c r="K513" s="77">
        <v>45553</v>
      </c>
      <c r="L513" s="10"/>
      <c r="M513" s="427">
        <v>512</v>
      </c>
      <c r="N513" s="13" t="str">
        <f t="shared" ca="1" si="15"/>
        <v>CLOSED</v>
      </c>
    </row>
    <row r="514" spans="1:14" ht="43.2" x14ac:dyDescent="0.3">
      <c r="A514" s="9" t="s">
        <v>57</v>
      </c>
      <c r="B514" s="13">
        <f>VLOOKUP(Table27[[#This Row],[Location 
(drop-down)]],'List source'!D$2:E$60,2,FALSE)</f>
        <v>170</v>
      </c>
      <c r="C514" s="222" t="s">
        <v>1514</v>
      </c>
      <c r="D514" s="30" t="str">
        <f t="shared" ref="D514:D563" si="16">"PTO" &amp; C514 &amp; "-" &amp; B514 &amp; "-" &amp; "24"</f>
        <v>PTO513-170-24</v>
      </c>
      <c r="E514" s="9" t="s">
        <v>1497</v>
      </c>
      <c r="F514" s="10" t="s">
        <v>1239</v>
      </c>
      <c r="G5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14" s="10">
        <v>-2.17</v>
      </c>
      <c r="I514" s="110">
        <v>45427</v>
      </c>
      <c r="J514" s="12" t="s">
        <v>495</v>
      </c>
      <c r="K514" s="77">
        <v>45427</v>
      </c>
      <c r="L514" s="10" t="s">
        <v>496</v>
      </c>
      <c r="M514" s="427">
        <v>513</v>
      </c>
      <c r="N514" s="13" t="str">
        <f t="shared" ref="N514:N563" ca="1" si="17">IF(ISBLANK(K514), TODAY()-(I514), "CLOSED")</f>
        <v>CLOSED</v>
      </c>
    </row>
    <row r="515" spans="1:14" ht="43.2" x14ac:dyDescent="0.3">
      <c r="A515" s="9" t="s">
        <v>57</v>
      </c>
      <c r="B515" s="13">
        <f>VLOOKUP(Table27[[#This Row],[Location 
(drop-down)]],'List source'!D$2:E$60,2,FALSE)</f>
        <v>170</v>
      </c>
      <c r="C515" s="222" t="s">
        <v>1515</v>
      </c>
      <c r="D515" s="30" t="str">
        <f t="shared" si="16"/>
        <v>PTO514-170-24</v>
      </c>
      <c r="E515" s="9" t="s">
        <v>1480</v>
      </c>
      <c r="F515" s="25" t="s">
        <v>1239</v>
      </c>
      <c r="G5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15" s="10">
        <v>2.73</v>
      </c>
      <c r="I515" s="110">
        <v>45427</v>
      </c>
      <c r="J515" s="12" t="s">
        <v>495</v>
      </c>
      <c r="K515" s="77">
        <v>45427</v>
      </c>
      <c r="L515" s="10" t="s">
        <v>496</v>
      </c>
      <c r="M515" s="427">
        <v>514</v>
      </c>
      <c r="N515" s="13" t="str">
        <f t="shared" ca="1" si="17"/>
        <v>CLOSED</v>
      </c>
    </row>
    <row r="516" spans="1:14" ht="43.2" x14ac:dyDescent="0.3">
      <c r="A516" s="9" t="s">
        <v>57</v>
      </c>
      <c r="B516" s="13">
        <f>VLOOKUP(Table27[[#This Row],[Location 
(drop-down)]],'List source'!D$2:E$60,2,FALSE)</f>
        <v>170</v>
      </c>
      <c r="C516" s="222" t="s">
        <v>1516</v>
      </c>
      <c r="D516" s="30" t="str">
        <f t="shared" si="16"/>
        <v>PTO515-170-24</v>
      </c>
      <c r="E516" s="9" t="s">
        <v>1500</v>
      </c>
      <c r="F516" s="25" t="s">
        <v>1239</v>
      </c>
      <c r="G5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516" s="10">
        <v>2.63</v>
      </c>
      <c r="I516" s="110">
        <v>45427</v>
      </c>
      <c r="J516" s="12" t="s">
        <v>495</v>
      </c>
      <c r="K516" s="77">
        <v>45427</v>
      </c>
      <c r="L516" s="10" t="s">
        <v>496</v>
      </c>
      <c r="M516" s="427">
        <v>515</v>
      </c>
      <c r="N516" s="13" t="str">
        <f t="shared" ca="1" si="17"/>
        <v>CLOSED</v>
      </c>
    </row>
    <row r="517" spans="1:14" ht="18" x14ac:dyDescent="0.3">
      <c r="A517" s="9" t="s">
        <v>325</v>
      </c>
      <c r="B517" s="13">
        <f>VLOOKUP(Table27[[#This Row],[Location 
(drop-down)]],'List source'!D$2:E$60,2,FALSE)</f>
        <v>180</v>
      </c>
      <c r="C517" s="222" t="s">
        <v>1517</v>
      </c>
      <c r="D517" s="30" t="str">
        <f t="shared" si="16"/>
        <v>PTO516-180-24</v>
      </c>
      <c r="E517" s="9" t="s">
        <v>1518</v>
      </c>
      <c r="F517" s="25" t="s">
        <v>1239</v>
      </c>
      <c r="G5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517" s="39" t="s">
        <v>1519</v>
      </c>
      <c r="I517" s="110">
        <v>45427</v>
      </c>
      <c r="J517" s="12" t="s">
        <v>41</v>
      </c>
      <c r="K517" s="77">
        <v>45545</v>
      </c>
      <c r="L517" s="10"/>
      <c r="M517" s="427">
        <v>516</v>
      </c>
      <c r="N517" s="13" t="str">
        <f t="shared" ca="1" si="17"/>
        <v>CLOSED</v>
      </c>
    </row>
    <row r="518" spans="1:14" ht="18" x14ac:dyDescent="0.3">
      <c r="A518" s="9" t="s">
        <v>325</v>
      </c>
      <c r="B518" s="13">
        <f>VLOOKUP(Table27[[#This Row],[Location 
(drop-down)]],'List source'!D$2:E$60,2,FALSE)</f>
        <v>180</v>
      </c>
      <c r="C518" s="222" t="s">
        <v>1520</v>
      </c>
      <c r="D518" s="30" t="str">
        <f t="shared" si="16"/>
        <v>PTO517-180-24</v>
      </c>
      <c r="E518" s="9" t="s">
        <v>1521</v>
      </c>
      <c r="F518" s="25" t="s">
        <v>1239</v>
      </c>
      <c r="G5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18" s="39" t="s">
        <v>1522</v>
      </c>
      <c r="I518" s="110">
        <v>45427</v>
      </c>
      <c r="J518" s="12" t="s">
        <v>41</v>
      </c>
      <c r="K518" s="77">
        <v>45490</v>
      </c>
      <c r="L518" s="10"/>
      <c r="M518" s="427">
        <v>517</v>
      </c>
      <c r="N518" s="13" t="str">
        <f t="shared" ca="1" si="17"/>
        <v>CLOSED</v>
      </c>
    </row>
    <row r="519" spans="1:14" ht="43.2" x14ac:dyDescent="0.3">
      <c r="A519" s="9" t="s">
        <v>147</v>
      </c>
      <c r="B519" s="13">
        <f>VLOOKUP(Table27[[#This Row],[Location 
(drop-down)]],'List source'!D$2:E$61,2,FALSE)</f>
        <v>185</v>
      </c>
      <c r="C519" s="222" t="s">
        <v>1523</v>
      </c>
      <c r="D519" s="30" t="str">
        <f t="shared" si="16"/>
        <v>PTO518-185-24</v>
      </c>
      <c r="E519" s="9" t="s">
        <v>1524</v>
      </c>
      <c r="F519" s="10" t="s">
        <v>1239</v>
      </c>
      <c r="G5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D5184 - Element</v>
      </c>
      <c r="H519" s="10">
        <v>2.5</v>
      </c>
      <c r="I519" s="110">
        <v>45427</v>
      </c>
      <c r="J519" s="12" t="s">
        <v>495</v>
      </c>
      <c r="K519" s="77">
        <v>45427</v>
      </c>
      <c r="L519" s="10" t="s">
        <v>496</v>
      </c>
      <c r="M519" s="427">
        <v>518</v>
      </c>
      <c r="N519" s="13" t="str">
        <f t="shared" ca="1" si="17"/>
        <v>CLOSED</v>
      </c>
    </row>
    <row r="520" spans="1:14" ht="18" x14ac:dyDescent="0.3">
      <c r="A520" s="9" t="s">
        <v>75</v>
      </c>
      <c r="B520" s="13">
        <f>VLOOKUP(Table27[[#This Row],[Location 
(drop-down)]],'List source'!D$2:E$60,2,FALSE)</f>
        <v>190</v>
      </c>
      <c r="C520" s="222" t="s">
        <v>1525</v>
      </c>
      <c r="D520" s="30" t="str">
        <f t="shared" si="16"/>
        <v>PTO519-190-24</v>
      </c>
      <c r="E520" s="9" t="s">
        <v>1526</v>
      </c>
      <c r="F520" s="25" t="s">
        <v>1239</v>
      </c>
      <c r="G5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520" s="10">
        <v>2.65</v>
      </c>
      <c r="I520" s="110">
        <v>45427</v>
      </c>
      <c r="J520" s="12" t="s">
        <v>501</v>
      </c>
      <c r="K520" s="77">
        <v>45450</v>
      </c>
      <c r="L520" s="10"/>
      <c r="M520" s="427">
        <v>519</v>
      </c>
      <c r="N520" s="13" t="str">
        <f t="shared" ca="1" si="17"/>
        <v>CLOSED</v>
      </c>
    </row>
    <row r="521" spans="1:14" ht="18" x14ac:dyDescent="0.3">
      <c r="A521" s="9" t="s">
        <v>388</v>
      </c>
      <c r="B521" s="13">
        <f>VLOOKUP(Table27[[#This Row],[Location 
(drop-down)]],'List source'!D$2:E$60,2,FALSE)</f>
        <v>191</v>
      </c>
      <c r="C521" s="222" t="s">
        <v>1527</v>
      </c>
      <c r="D521" s="30" t="str">
        <f t="shared" si="16"/>
        <v>PTO520-191-24</v>
      </c>
      <c r="E521" s="9" t="s">
        <v>1513</v>
      </c>
      <c r="F521" s="25" t="s">
        <v>1239</v>
      </c>
      <c r="G5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521" s="10">
        <v>2.41</v>
      </c>
      <c r="I521" s="110">
        <v>45427</v>
      </c>
      <c r="J521" s="12" t="s">
        <v>501</v>
      </c>
      <c r="K521" s="77">
        <v>45590</v>
      </c>
      <c r="L521" s="10"/>
      <c r="M521" s="427">
        <v>520</v>
      </c>
      <c r="N521" s="13" t="str">
        <f t="shared" ca="1" si="17"/>
        <v>CLOSED</v>
      </c>
    </row>
    <row r="522" spans="1:14" ht="18" x14ac:dyDescent="0.3">
      <c r="A522" s="9" t="s">
        <v>44</v>
      </c>
      <c r="B522" s="13">
        <f>VLOOKUP(Table27[[#This Row],[Location 
(drop-down)]],'List source'!D$2:E$60,2,FALSE)</f>
        <v>192</v>
      </c>
      <c r="C522" s="222" t="s">
        <v>1528</v>
      </c>
      <c r="D522" s="30" t="str">
        <f t="shared" si="16"/>
        <v>PTO521-192-24</v>
      </c>
      <c r="E522" s="9" t="s">
        <v>1529</v>
      </c>
      <c r="F522" s="10" t="s">
        <v>1239</v>
      </c>
      <c r="G5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522" s="10">
        <v>2.5299999999999998</v>
      </c>
      <c r="I522" s="110">
        <v>45427</v>
      </c>
      <c r="J522" s="12" t="s">
        <v>498</v>
      </c>
      <c r="K522" s="77">
        <v>45539</v>
      </c>
      <c r="L522" s="10"/>
      <c r="M522" s="427">
        <v>521</v>
      </c>
      <c r="N522" s="13" t="str">
        <f t="shared" ca="1" si="17"/>
        <v>CLOSED</v>
      </c>
    </row>
    <row r="523" spans="1:14" ht="18" x14ac:dyDescent="0.3">
      <c r="A523" s="9" t="s">
        <v>288</v>
      </c>
      <c r="B523" s="13">
        <f>VLOOKUP(Table27[[#This Row],[Location 
(drop-down)]],'List source'!D$2:E$60,2,FALSE)</f>
        <v>197</v>
      </c>
      <c r="C523" s="222" t="s">
        <v>1530</v>
      </c>
      <c r="D523" s="30" t="str">
        <f t="shared" si="16"/>
        <v>PTO522-197-24</v>
      </c>
      <c r="E523" s="9" t="s">
        <v>1531</v>
      </c>
      <c r="F523" s="25" t="s">
        <v>1239</v>
      </c>
      <c r="G5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D5184 - Element</v>
      </c>
      <c r="H523" s="10">
        <v>2.2999999999999998</v>
      </c>
      <c r="I523" s="110">
        <v>45427</v>
      </c>
      <c r="J523" s="12" t="s">
        <v>41</v>
      </c>
      <c r="K523" s="77">
        <v>45643</v>
      </c>
      <c r="L523" s="10"/>
      <c r="M523" s="427">
        <v>522</v>
      </c>
      <c r="N523" s="13" t="str">
        <f t="shared" ca="1" si="17"/>
        <v>CLOSED</v>
      </c>
    </row>
    <row r="524" spans="1:14" ht="28.8" x14ac:dyDescent="0.3">
      <c r="A524" s="9" t="s">
        <v>288</v>
      </c>
      <c r="B524" s="13">
        <f>VLOOKUP(Table27[[#This Row],[Location 
(drop-down)]],'List source'!D$2:E$60,2,FALSE)</f>
        <v>197</v>
      </c>
      <c r="C524" s="222" t="s">
        <v>1532</v>
      </c>
      <c r="D524" s="30" t="str">
        <f t="shared" si="16"/>
        <v>PTO523-197-24</v>
      </c>
      <c r="E524" s="9" t="s">
        <v>1533</v>
      </c>
      <c r="F524" s="25" t="s">
        <v>1239</v>
      </c>
      <c r="G5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524" s="39" t="s">
        <v>1534</v>
      </c>
      <c r="I524" s="110">
        <v>45427</v>
      </c>
      <c r="J524" s="12" t="s">
        <v>23</v>
      </c>
      <c r="K524" s="77">
        <v>46003</v>
      </c>
      <c r="L524" s="10"/>
      <c r="M524" s="427">
        <v>523</v>
      </c>
      <c r="N524" s="13" t="str">
        <f t="shared" ca="1" si="17"/>
        <v>CLOSED</v>
      </c>
    </row>
    <row r="525" spans="1:14" ht="28.8" x14ac:dyDescent="0.3">
      <c r="A525" s="9" t="s">
        <v>288</v>
      </c>
      <c r="B525" s="13">
        <f>VLOOKUP(Table27[[#This Row],[Location 
(drop-down)]],'List source'!D$2:E$60,2,FALSE)</f>
        <v>197</v>
      </c>
      <c r="C525" s="222" t="s">
        <v>1535</v>
      </c>
      <c r="D525" s="30" t="str">
        <f t="shared" si="16"/>
        <v>PTO524-197-24</v>
      </c>
      <c r="E525" s="9" t="s">
        <v>1536</v>
      </c>
      <c r="F525" s="10" t="s">
        <v>1239</v>
      </c>
      <c r="G5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525" s="39" t="s">
        <v>1537</v>
      </c>
      <c r="I525" s="110">
        <v>45427</v>
      </c>
      <c r="J525" s="12" t="s">
        <v>41</v>
      </c>
      <c r="K525" s="77">
        <v>45644</v>
      </c>
      <c r="L525" s="10"/>
      <c r="M525" s="427">
        <v>524</v>
      </c>
      <c r="N525" s="13" t="str">
        <f t="shared" ca="1" si="17"/>
        <v>CLOSED</v>
      </c>
    </row>
    <row r="526" spans="1:14" ht="18" x14ac:dyDescent="0.3">
      <c r="A526" s="9" t="s">
        <v>261</v>
      </c>
      <c r="B526" s="13">
        <f>VLOOKUP(Table27[[#This Row],[Location 
(drop-down)]],'List source'!D$2:E$60,2,FALSE)</f>
        <v>210</v>
      </c>
      <c r="C526" s="222" t="s">
        <v>1538</v>
      </c>
      <c r="D526" s="30" t="str">
        <f t="shared" si="16"/>
        <v>PTO525-210-24</v>
      </c>
      <c r="E526" s="9" t="s">
        <v>1526</v>
      </c>
      <c r="F526" s="25" t="s">
        <v>1239</v>
      </c>
      <c r="G5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526" s="10">
        <v>2.65</v>
      </c>
      <c r="I526" s="110">
        <v>45427</v>
      </c>
      <c r="J526" s="12" t="s">
        <v>498</v>
      </c>
      <c r="K526" s="77">
        <v>45535</v>
      </c>
      <c r="L526" s="10"/>
      <c r="M526" s="427">
        <v>525</v>
      </c>
      <c r="N526" s="13" t="str">
        <f t="shared" ca="1" si="17"/>
        <v>CLOSED</v>
      </c>
    </row>
    <row r="527" spans="1:14" ht="43.2" x14ac:dyDescent="0.3">
      <c r="A527" s="9" t="s">
        <v>564</v>
      </c>
      <c r="B527" s="13">
        <f>VLOOKUP(Table27[[#This Row],[Location 
(drop-down)]],'List source'!D$2:E$60,2,FALSE)</f>
        <v>215</v>
      </c>
      <c r="C527" s="222" t="s">
        <v>1539</v>
      </c>
      <c r="D527" s="30" t="str">
        <f t="shared" si="16"/>
        <v>PTO526-215-24</v>
      </c>
      <c r="E527" s="9" t="s">
        <v>1540</v>
      </c>
      <c r="F527" s="25" t="s">
        <v>1239</v>
      </c>
      <c r="G5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527" s="10">
        <v>2.1800000000000002</v>
      </c>
      <c r="I527" s="110">
        <v>45427</v>
      </c>
      <c r="J527" s="12" t="s">
        <v>495</v>
      </c>
      <c r="K527" s="77">
        <v>45427</v>
      </c>
      <c r="L527" s="10" t="s">
        <v>496</v>
      </c>
      <c r="M527" s="427">
        <v>526</v>
      </c>
      <c r="N527" s="13" t="str">
        <f t="shared" ca="1" si="17"/>
        <v>CLOSED</v>
      </c>
    </row>
    <row r="528" spans="1:14" ht="18.600000000000001" customHeight="1" x14ac:dyDescent="0.3">
      <c r="A528" s="9" t="s">
        <v>564</v>
      </c>
      <c r="B528" s="13">
        <f>VLOOKUP(Table27[[#This Row],[Location 
(drop-down)]],'List source'!D$2:E$60,2,FALSE)</f>
        <v>215</v>
      </c>
      <c r="C528" s="222" t="s">
        <v>1541</v>
      </c>
      <c r="D528" s="30" t="str">
        <f t="shared" si="16"/>
        <v>PTO527-215-24</v>
      </c>
      <c r="E528" s="9" t="s">
        <v>1542</v>
      </c>
      <c r="F528" s="10" t="s">
        <v>1239</v>
      </c>
      <c r="G5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528" s="10">
        <v>2.14</v>
      </c>
      <c r="I528" s="110">
        <v>45427</v>
      </c>
      <c r="J528" s="12" t="s">
        <v>195</v>
      </c>
      <c r="K528" s="77">
        <v>45587</v>
      </c>
      <c r="L528" s="10"/>
      <c r="M528" s="427">
        <v>527</v>
      </c>
      <c r="N528" s="13" t="str">
        <f t="shared" ca="1" si="17"/>
        <v>CLOSED</v>
      </c>
    </row>
    <row r="529" spans="1:14" ht="28.8" x14ac:dyDescent="0.3">
      <c r="A529" s="9" t="s">
        <v>564</v>
      </c>
      <c r="B529" s="13">
        <f>VLOOKUP(Table27[[#This Row],[Location 
(drop-down)]],'List source'!D$2:E$60,2,FALSE)</f>
        <v>215</v>
      </c>
      <c r="C529" s="222" t="s">
        <v>1543</v>
      </c>
      <c r="D529" s="30" t="str">
        <f t="shared" si="16"/>
        <v>PTO528-215-24</v>
      </c>
      <c r="E529" s="9" t="s">
        <v>1544</v>
      </c>
      <c r="F529" s="10" t="s">
        <v>1239</v>
      </c>
      <c r="G5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529" s="39" t="s">
        <v>1545</v>
      </c>
      <c r="I529" s="110">
        <v>45427</v>
      </c>
      <c r="J529" s="12"/>
      <c r="K529" s="77">
        <v>45594</v>
      </c>
      <c r="L529" s="10"/>
      <c r="M529" s="427">
        <v>528</v>
      </c>
      <c r="N529" s="13" t="str">
        <f t="shared" ca="1" si="17"/>
        <v>CLOSED</v>
      </c>
    </row>
    <row r="530" spans="1:14" ht="18" x14ac:dyDescent="0.3">
      <c r="A530" s="9" t="s">
        <v>564</v>
      </c>
      <c r="B530" s="13">
        <f>VLOOKUP(Table27[[#This Row],[Location 
(drop-down)]],'List source'!D$2:E$60,2,FALSE)</f>
        <v>215</v>
      </c>
      <c r="C530" s="222" t="s">
        <v>1546</v>
      </c>
      <c r="D530" s="30" t="str">
        <f t="shared" si="16"/>
        <v>PTO529-215-24</v>
      </c>
      <c r="E530" s="9" t="s">
        <v>1547</v>
      </c>
      <c r="F530" s="10" t="s">
        <v>1239</v>
      </c>
      <c r="G5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530" s="10">
        <v>3</v>
      </c>
      <c r="I530" s="110">
        <v>45427</v>
      </c>
      <c r="J530" s="12" t="s">
        <v>498</v>
      </c>
      <c r="K530" s="77">
        <v>45540</v>
      </c>
      <c r="L530" s="10"/>
      <c r="M530" s="427">
        <v>529</v>
      </c>
      <c r="N530" s="13" t="str">
        <f t="shared" ca="1" si="17"/>
        <v>CLOSED</v>
      </c>
    </row>
    <row r="531" spans="1:14" ht="43.2" x14ac:dyDescent="0.3">
      <c r="A531" s="9" t="s">
        <v>107</v>
      </c>
      <c r="B531" s="13">
        <f>VLOOKUP(Table27[[#This Row],[Location 
(drop-down)]],'List source'!D$2:E$60,2,FALSE)</f>
        <v>120</v>
      </c>
      <c r="C531" s="222" t="s">
        <v>1548</v>
      </c>
      <c r="D531" s="30" t="str">
        <f t="shared" si="16"/>
        <v>PTO530-120-24</v>
      </c>
      <c r="E531" s="9" t="s">
        <v>1549</v>
      </c>
      <c r="F531" s="10" t="s">
        <v>876</v>
      </c>
      <c r="G5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1" s="39" t="s">
        <v>1550</v>
      </c>
      <c r="I531" s="110">
        <v>45428</v>
      </c>
      <c r="J531" s="12" t="s">
        <v>495</v>
      </c>
      <c r="K531" s="77">
        <v>45428</v>
      </c>
      <c r="L531" s="10" t="s">
        <v>496</v>
      </c>
      <c r="M531" s="427">
        <v>530</v>
      </c>
      <c r="N531" s="13" t="str">
        <f t="shared" ca="1" si="17"/>
        <v>CLOSED</v>
      </c>
    </row>
    <row r="532" spans="1:14" ht="18" x14ac:dyDescent="0.3">
      <c r="A532" s="9" t="s">
        <v>65</v>
      </c>
      <c r="B532" s="13">
        <f>VLOOKUP(Table27[[#This Row],[Location 
(drop-down)]],'List source'!D$2:E$60,2,FALSE)</f>
        <v>155</v>
      </c>
      <c r="C532" s="222" t="s">
        <v>1551</v>
      </c>
      <c r="D532" s="30" t="str">
        <f t="shared" si="16"/>
        <v>PTO531-155-24</v>
      </c>
      <c r="E532" s="9" t="s">
        <v>1552</v>
      </c>
      <c r="F532" s="10" t="s">
        <v>876</v>
      </c>
      <c r="G5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532" s="39" t="s">
        <v>1553</v>
      </c>
      <c r="I532" s="12">
        <v>45428</v>
      </c>
      <c r="J532" s="12" t="s">
        <v>182</v>
      </c>
      <c r="K532" s="77">
        <v>45898</v>
      </c>
      <c r="L532" s="10"/>
      <c r="M532" s="427">
        <v>531</v>
      </c>
      <c r="N532" s="13" t="str">
        <f t="shared" ca="1" si="17"/>
        <v>CLOSED</v>
      </c>
    </row>
    <row r="533" spans="1:14" ht="18" x14ac:dyDescent="0.3">
      <c r="A533" s="9" t="s">
        <v>35</v>
      </c>
      <c r="B533" s="13">
        <f>VLOOKUP(Table27[[#This Row],[Location 
(drop-down)]],'List source'!D$2:E$60,2,FALSE)</f>
        <v>158</v>
      </c>
      <c r="C533" s="222" t="s">
        <v>1554</v>
      </c>
      <c r="D533" s="30" t="str">
        <f t="shared" si="16"/>
        <v>PTO532-158-24</v>
      </c>
      <c r="E533" s="9" t="s">
        <v>1555</v>
      </c>
      <c r="F533" s="10" t="s">
        <v>876</v>
      </c>
      <c r="G5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533" s="10">
        <v>4.32</v>
      </c>
      <c r="I533" s="12">
        <v>45428</v>
      </c>
      <c r="J533" s="12" t="s">
        <v>182</v>
      </c>
      <c r="K533" s="77">
        <v>45818</v>
      </c>
      <c r="L533" s="10"/>
      <c r="M533" s="427">
        <v>532</v>
      </c>
      <c r="N533" s="13" t="str">
        <f t="shared" ca="1" si="17"/>
        <v>CLOSED</v>
      </c>
    </row>
    <row r="534" spans="1:14" ht="28.8" x14ac:dyDescent="0.3">
      <c r="A534" s="9" t="s">
        <v>318</v>
      </c>
      <c r="B534" s="13">
        <f>VLOOKUP(Table27[[#This Row],[Location 
(drop-down)]],'List source'!D$2:E$60,2,FALSE)</f>
        <v>115</v>
      </c>
      <c r="C534" s="222" t="s">
        <v>1556</v>
      </c>
      <c r="D534" s="30" t="str">
        <f t="shared" si="16"/>
        <v>PTO533-115-24</v>
      </c>
      <c r="E534" s="9" t="s">
        <v>1557</v>
      </c>
      <c r="F534" s="10" t="s">
        <v>876</v>
      </c>
      <c r="G5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4" s="10" t="s">
        <v>1558</v>
      </c>
      <c r="I534" s="12">
        <v>45428</v>
      </c>
      <c r="J534" s="12" t="s">
        <v>501</v>
      </c>
      <c r="K534" s="77">
        <v>45450</v>
      </c>
      <c r="L534" s="10"/>
      <c r="M534" s="427">
        <v>533</v>
      </c>
      <c r="N534" s="13" t="str">
        <f t="shared" ca="1" si="17"/>
        <v>CLOSED</v>
      </c>
    </row>
    <row r="535" spans="1:14" ht="18" x14ac:dyDescent="0.3">
      <c r="A535" s="9" t="s">
        <v>35</v>
      </c>
      <c r="B535" s="13">
        <f>VLOOKUP(Table27[[#This Row],[Location 
(drop-down)]],'List source'!D$2:E$60,2,FALSE)</f>
        <v>158</v>
      </c>
      <c r="C535" s="222" t="s">
        <v>1559</v>
      </c>
      <c r="D535" s="30" t="str">
        <f t="shared" si="16"/>
        <v>PTO534-158-24</v>
      </c>
      <c r="E535" s="9" t="s">
        <v>1560</v>
      </c>
      <c r="F535" s="10" t="s">
        <v>876</v>
      </c>
      <c r="G5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535" s="39" t="s">
        <v>1561</v>
      </c>
      <c r="I535" s="12">
        <v>45428</v>
      </c>
      <c r="J535" s="12" t="s">
        <v>182</v>
      </c>
      <c r="K535" s="77">
        <v>45818</v>
      </c>
      <c r="L535" s="10"/>
      <c r="M535" s="427">
        <v>534</v>
      </c>
      <c r="N535" s="13" t="str">
        <f t="shared" ca="1" si="17"/>
        <v>CLOSED</v>
      </c>
    </row>
    <row r="536" spans="1:14" ht="18" x14ac:dyDescent="0.3">
      <c r="A536" s="9" t="s">
        <v>35</v>
      </c>
      <c r="B536" s="13">
        <f>VLOOKUP(Table27[[#This Row],[Location 
(drop-down)]],'List source'!D$2:E$60,2,FALSE)</f>
        <v>158</v>
      </c>
      <c r="C536" s="222" t="s">
        <v>1562</v>
      </c>
      <c r="D536" s="30" t="str">
        <f t="shared" si="16"/>
        <v>PTO535-158-24</v>
      </c>
      <c r="E536" s="9" t="s">
        <v>1563</v>
      </c>
      <c r="F536" s="10" t="s">
        <v>876</v>
      </c>
      <c r="G5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536" s="39">
        <v>3</v>
      </c>
      <c r="I536" s="12">
        <v>45428</v>
      </c>
      <c r="J536" s="12" t="s">
        <v>182</v>
      </c>
      <c r="K536" s="77">
        <v>45818</v>
      </c>
      <c r="L536" s="10"/>
      <c r="M536" s="427">
        <v>535</v>
      </c>
      <c r="N536" s="13" t="str">
        <f t="shared" ca="1" si="17"/>
        <v>CLOSED</v>
      </c>
    </row>
    <row r="537" spans="1:14" ht="43.2" x14ac:dyDescent="0.3">
      <c r="A537" s="9" t="s">
        <v>235</v>
      </c>
      <c r="B537" s="13">
        <f>VLOOKUP(Table27[[#This Row],[Location 
(drop-down)]],'List source'!D$2:E$60,2,FALSE)</f>
        <v>160</v>
      </c>
      <c r="C537" s="222" t="s">
        <v>1564</v>
      </c>
      <c r="D537" s="30" t="str">
        <f t="shared" si="16"/>
        <v>PTO536-160-24</v>
      </c>
      <c r="E537" s="9" t="s">
        <v>1565</v>
      </c>
      <c r="F537" s="10" t="s">
        <v>876</v>
      </c>
      <c r="G5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7" s="39" t="s">
        <v>895</v>
      </c>
      <c r="I537" s="12">
        <v>45428</v>
      </c>
      <c r="J537" s="12" t="s">
        <v>495</v>
      </c>
      <c r="K537" s="77">
        <v>45428</v>
      </c>
      <c r="L537" s="10" t="s">
        <v>496</v>
      </c>
      <c r="M537" s="427">
        <v>536</v>
      </c>
      <c r="N537" s="13" t="str">
        <f t="shared" ca="1" si="17"/>
        <v>CLOSED</v>
      </c>
    </row>
    <row r="538" spans="1:14" ht="43.2" x14ac:dyDescent="0.3">
      <c r="A538" s="9" t="s">
        <v>57</v>
      </c>
      <c r="B538" s="13">
        <f>VLOOKUP(Table27[[#This Row],[Location 
(drop-down)]],'List source'!D$2:E$60,2,FALSE)</f>
        <v>170</v>
      </c>
      <c r="C538" s="222" t="s">
        <v>1566</v>
      </c>
      <c r="D538" s="30" t="str">
        <f t="shared" si="16"/>
        <v>PTO537-170-24</v>
      </c>
      <c r="E538" s="9" t="s">
        <v>1567</v>
      </c>
      <c r="F538" s="10" t="s">
        <v>876</v>
      </c>
      <c r="G538" s="9" t="s">
        <v>1568</v>
      </c>
      <c r="H538" s="39" t="s">
        <v>1519</v>
      </c>
      <c r="I538" s="12">
        <v>45428</v>
      </c>
      <c r="J538" s="12" t="s">
        <v>495</v>
      </c>
      <c r="K538" s="77">
        <v>45428</v>
      </c>
      <c r="L538" s="10" t="s">
        <v>496</v>
      </c>
      <c r="M538" s="427">
        <v>537</v>
      </c>
      <c r="N538" s="13" t="str">
        <f t="shared" ca="1" si="17"/>
        <v>CLOSED</v>
      </c>
    </row>
    <row r="539" spans="1:14" ht="43.2" x14ac:dyDescent="0.3">
      <c r="A539" s="9" t="s">
        <v>57</v>
      </c>
      <c r="B539" s="13">
        <f>VLOOKUP(Table27[[#This Row],[Location 
(drop-down)]],'List source'!D$2:E$60,2,FALSE)</f>
        <v>170</v>
      </c>
      <c r="C539" s="222" t="s">
        <v>1569</v>
      </c>
      <c r="D539" s="30" t="str">
        <f t="shared" si="16"/>
        <v>PTO538-170-24</v>
      </c>
      <c r="E539" s="9" t="s">
        <v>1570</v>
      </c>
      <c r="F539" s="10" t="s">
        <v>876</v>
      </c>
      <c r="G5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39" s="10">
        <v>2.46</v>
      </c>
      <c r="I539" s="12">
        <v>45428</v>
      </c>
      <c r="J539" s="12" t="s">
        <v>495</v>
      </c>
      <c r="K539" s="77">
        <v>45428</v>
      </c>
      <c r="L539" s="10" t="s">
        <v>496</v>
      </c>
      <c r="M539" s="427">
        <v>538</v>
      </c>
      <c r="N539" s="13" t="str">
        <f t="shared" ca="1" si="17"/>
        <v>CLOSED</v>
      </c>
    </row>
    <row r="540" spans="1:14" ht="43.2" x14ac:dyDescent="0.3">
      <c r="A540" s="9" t="s">
        <v>207</v>
      </c>
      <c r="B540" s="13">
        <f>VLOOKUP(Table27[[#This Row],[Location 
(drop-down)]],'List source'!D$2:E$60,2,FALSE)</f>
        <v>189</v>
      </c>
      <c r="C540" s="222" t="s">
        <v>1571</v>
      </c>
      <c r="D540" s="30" t="str">
        <f t="shared" si="16"/>
        <v>PTO539-189-24</v>
      </c>
      <c r="E540" s="9" t="s">
        <v>1572</v>
      </c>
      <c r="F540" s="10" t="s">
        <v>1573</v>
      </c>
      <c r="G5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0" s="10">
        <v>2.17</v>
      </c>
      <c r="I540" s="12">
        <v>45434</v>
      </c>
      <c r="J540" s="12" t="s">
        <v>495</v>
      </c>
      <c r="K540" s="77">
        <v>45434</v>
      </c>
      <c r="L540" s="10" t="s">
        <v>496</v>
      </c>
      <c r="M540" s="427">
        <v>539</v>
      </c>
      <c r="N540" s="13" t="str">
        <f t="shared" ca="1" si="17"/>
        <v>CLOSED</v>
      </c>
    </row>
    <row r="541" spans="1:14" ht="43.2" x14ac:dyDescent="0.3">
      <c r="A541" s="9" t="s">
        <v>288</v>
      </c>
      <c r="B541" s="13">
        <f>VLOOKUP(Table27[[#This Row],[Location 
(drop-down)]],'List source'!D$2:E$60,2,FALSE)</f>
        <v>197</v>
      </c>
      <c r="C541" s="222" t="s">
        <v>1574</v>
      </c>
      <c r="D541" s="30" t="str">
        <f t="shared" si="16"/>
        <v>PTO540-197-24</v>
      </c>
      <c r="E541" s="9" t="s">
        <v>1575</v>
      </c>
      <c r="F541" s="10" t="s">
        <v>1573</v>
      </c>
      <c r="G5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1" s="39" t="s">
        <v>1576</v>
      </c>
      <c r="I541" s="12">
        <v>45434</v>
      </c>
      <c r="J541" s="12" t="s">
        <v>495</v>
      </c>
      <c r="K541" s="77">
        <v>45434</v>
      </c>
      <c r="L541" s="10" t="s">
        <v>496</v>
      </c>
      <c r="M541" s="427">
        <v>540</v>
      </c>
      <c r="N541" s="13" t="str">
        <f t="shared" ca="1" si="17"/>
        <v>CLOSED</v>
      </c>
    </row>
    <row r="542" spans="1:14" ht="18" x14ac:dyDescent="0.3">
      <c r="A542" s="9" t="s">
        <v>288</v>
      </c>
      <c r="B542" s="13">
        <f>VLOOKUP(Table27[[#This Row],[Location 
(drop-down)]],'List source'!D$2:E$60,2,FALSE)</f>
        <v>197</v>
      </c>
      <c r="C542" s="222" t="s">
        <v>1577</v>
      </c>
      <c r="D542" s="30" t="str">
        <f t="shared" si="16"/>
        <v>PTO541-197-24</v>
      </c>
      <c r="E542" s="9" t="s">
        <v>1578</v>
      </c>
      <c r="F542" s="10" t="s">
        <v>1573</v>
      </c>
      <c r="G5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D611 - Aniline Point</v>
      </c>
      <c r="H542" s="10">
        <v>7.17</v>
      </c>
      <c r="I542" s="12">
        <v>45434</v>
      </c>
      <c r="J542" s="12" t="s">
        <v>41</v>
      </c>
      <c r="K542" s="77">
        <v>45601</v>
      </c>
      <c r="L542" s="10"/>
      <c r="M542" s="427">
        <v>541</v>
      </c>
      <c r="N542" s="13" t="str">
        <f t="shared" ca="1" si="17"/>
        <v>CLOSED</v>
      </c>
    </row>
    <row r="543" spans="1:14" ht="43.2" x14ac:dyDescent="0.3">
      <c r="A543" s="9" t="s">
        <v>126</v>
      </c>
      <c r="B543" s="13">
        <f>VLOOKUP(Table27[[#This Row],[Location 
(drop-down)]],'List source'!D$2:E$60,2,FALSE)</f>
        <v>125</v>
      </c>
      <c r="C543" s="222" t="s">
        <v>1579</v>
      </c>
      <c r="D543" s="30" t="str">
        <f t="shared" si="16"/>
        <v>PTO542-125-24</v>
      </c>
      <c r="E543" s="9" t="s">
        <v>1580</v>
      </c>
      <c r="F543" s="10" t="str" cm="1">
        <f t="array" aca="1" ref="F5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3" s="10">
        <v>2.67</v>
      </c>
      <c r="I543" s="12">
        <v>45435</v>
      </c>
      <c r="J543" s="12" t="s">
        <v>495</v>
      </c>
      <c r="K543" s="77">
        <v>45435</v>
      </c>
      <c r="L543" s="10" t="s">
        <v>496</v>
      </c>
      <c r="M543" s="427">
        <v>542</v>
      </c>
      <c r="N543" s="13" t="str">
        <f t="shared" ca="1" si="17"/>
        <v>CLOSED</v>
      </c>
    </row>
    <row r="544" spans="1:14" ht="43.2" x14ac:dyDescent="0.3">
      <c r="A544" s="9" t="s">
        <v>126</v>
      </c>
      <c r="B544" s="13">
        <f>VLOOKUP(Table27[[#This Row],[Location 
(drop-down)]],'List source'!D$2:E$60,2,FALSE)</f>
        <v>125</v>
      </c>
      <c r="C544" s="222" t="s">
        <v>1581</v>
      </c>
      <c r="D544" s="30" t="str">
        <f t="shared" si="16"/>
        <v>PTO543-125-24</v>
      </c>
      <c r="E544" s="9" t="s">
        <v>1582</v>
      </c>
      <c r="F544" s="10" t="str" cm="1">
        <f t="array" aca="1" ref="F5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44" s="10">
        <v>-2.14</v>
      </c>
      <c r="I544" s="12">
        <v>45435</v>
      </c>
      <c r="J544" s="12" t="s">
        <v>495</v>
      </c>
      <c r="K544" s="77">
        <v>45435</v>
      </c>
      <c r="L544" s="10" t="s">
        <v>496</v>
      </c>
      <c r="M544" s="427">
        <v>543</v>
      </c>
      <c r="N544" s="13" t="str">
        <f t="shared" ca="1" si="17"/>
        <v>CLOSED</v>
      </c>
    </row>
    <row r="545" spans="1:14" ht="28.8" x14ac:dyDescent="0.3">
      <c r="A545" s="9" t="s">
        <v>153</v>
      </c>
      <c r="B545" s="13">
        <f>VLOOKUP(Table27[[#This Row],[Location 
(drop-down)]],'List source'!D$2:E$60,2,FALSE)</f>
        <v>126</v>
      </c>
      <c r="C545" s="222" t="s">
        <v>1583</v>
      </c>
      <c r="D545" s="30" t="str">
        <f t="shared" si="16"/>
        <v>PTO544-126-24</v>
      </c>
      <c r="E545" s="9" t="s">
        <v>1584</v>
      </c>
      <c r="F545" s="10" t="str" cm="1">
        <f t="array" aca="1" ref="F5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 - 70% &amp; 90%</v>
      </c>
      <c r="H545" s="39" t="s">
        <v>1585</v>
      </c>
      <c r="I545" s="12">
        <v>45435</v>
      </c>
      <c r="J545" s="12" t="s">
        <v>498</v>
      </c>
      <c r="K545" s="77">
        <v>45846</v>
      </c>
      <c r="L545" s="10"/>
      <c r="M545" s="427">
        <v>544</v>
      </c>
      <c r="N545" s="13" t="str">
        <f t="shared" ca="1" si="17"/>
        <v>CLOSED</v>
      </c>
    </row>
    <row r="546" spans="1:14" ht="28.8" x14ac:dyDescent="0.3">
      <c r="A546" s="9" t="s">
        <v>153</v>
      </c>
      <c r="B546" s="13">
        <f>VLOOKUP(Table27[[#This Row],[Location 
(drop-down)]],'List source'!D$2:E$60,2,FALSE)</f>
        <v>126</v>
      </c>
      <c r="C546" s="222" t="s">
        <v>1586</v>
      </c>
      <c r="D546" s="30" t="str">
        <f t="shared" si="16"/>
        <v>PTO545-126-24</v>
      </c>
      <c r="E546" s="9" t="s">
        <v>1587</v>
      </c>
      <c r="F546" s="10" t="str" cm="1">
        <f t="array" aca="1" ref="F5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46" s="10" t="s">
        <v>1588</v>
      </c>
      <c r="I546" s="12">
        <v>45435</v>
      </c>
      <c r="J546" s="12" t="s">
        <v>195</v>
      </c>
      <c r="K546" s="77">
        <v>45931</v>
      </c>
      <c r="L546" s="10"/>
      <c r="M546" s="427">
        <v>545</v>
      </c>
      <c r="N546" s="13" t="str">
        <f t="shared" ca="1" si="17"/>
        <v>CLOSED</v>
      </c>
    </row>
    <row r="547" spans="1:14" ht="28.8" x14ac:dyDescent="0.3">
      <c r="A547" s="9" t="s">
        <v>153</v>
      </c>
      <c r="B547" s="13">
        <f>VLOOKUP(Table27[[#This Row],[Location 
(drop-down)]],'List source'!D$2:E$60,2,FALSE)</f>
        <v>126</v>
      </c>
      <c r="C547" s="222" t="s">
        <v>1589</v>
      </c>
      <c r="D547" s="30" t="str">
        <f t="shared" si="16"/>
        <v>PTO546-126-24</v>
      </c>
      <c r="E547" s="9" t="s">
        <v>1590</v>
      </c>
      <c r="F547" s="10" t="str" cm="1">
        <f t="array" aca="1" ref="F5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47" s="10">
        <v>2.27</v>
      </c>
      <c r="I547" s="12">
        <v>45435</v>
      </c>
      <c r="J547" s="12" t="s">
        <v>498</v>
      </c>
      <c r="K547" s="77">
        <v>45742</v>
      </c>
      <c r="L547" s="10"/>
      <c r="M547" s="427">
        <v>546</v>
      </c>
      <c r="N547" s="13" t="str">
        <f t="shared" ca="1" si="17"/>
        <v>CLOSED</v>
      </c>
    </row>
    <row r="548" spans="1:14" ht="43.2" x14ac:dyDescent="0.3">
      <c r="A548" s="9" t="s">
        <v>186</v>
      </c>
      <c r="B548" s="13">
        <f>VLOOKUP(Table27[[#This Row],[Location 
(drop-down)]],'List source'!D$2:E$60,2,FALSE)</f>
        <v>130</v>
      </c>
      <c r="C548" s="222" t="s">
        <v>1591</v>
      </c>
      <c r="D548" s="30" t="str">
        <f t="shared" si="16"/>
        <v>PTO547-130-24</v>
      </c>
      <c r="E548" s="9" t="s">
        <v>1592</v>
      </c>
      <c r="F548" s="10" t="str" cm="1">
        <f t="array" aca="1" ref="F5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48" s="10">
        <v>2.44</v>
      </c>
      <c r="I548" s="12">
        <v>45435</v>
      </c>
      <c r="J548" s="12" t="s">
        <v>495</v>
      </c>
      <c r="K548" s="77">
        <v>45435</v>
      </c>
      <c r="L548" s="10" t="s">
        <v>496</v>
      </c>
      <c r="M548" s="427">
        <v>547</v>
      </c>
      <c r="N548" s="13" t="str">
        <f t="shared" ca="1" si="17"/>
        <v>CLOSED</v>
      </c>
    </row>
    <row r="549" spans="1:14" ht="18" x14ac:dyDescent="0.3">
      <c r="A549" s="272" t="s">
        <v>21</v>
      </c>
      <c r="B549" s="273">
        <f>VLOOKUP(Table27[[#This Row],[Location 
(drop-down)]],'List source'!D$2:E$60,2,FALSE)</f>
        <v>131</v>
      </c>
      <c r="C549" s="274" t="s">
        <v>1593</v>
      </c>
      <c r="D549" s="275" t="str">
        <f t="shared" si="16"/>
        <v>PTO548-131-24</v>
      </c>
      <c r="E549" s="272" t="s">
        <v>1594</v>
      </c>
      <c r="F549" s="277" t="str" cm="1">
        <f t="array" aca="1" ref="F5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49"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49" s="277">
        <v>2.5</v>
      </c>
      <c r="I549" s="279">
        <v>45435</v>
      </c>
      <c r="J549" s="279" t="s">
        <v>182</v>
      </c>
      <c r="K549" s="280">
        <v>45576</v>
      </c>
      <c r="L549" s="10"/>
      <c r="M549" s="427">
        <v>548</v>
      </c>
      <c r="N549" s="13" t="str">
        <f t="shared" ca="1" si="17"/>
        <v>CLOSED</v>
      </c>
    </row>
    <row r="550" spans="1:14" ht="43.2" x14ac:dyDescent="0.3">
      <c r="A550" s="9" t="s">
        <v>157</v>
      </c>
      <c r="B550" s="13">
        <f>VLOOKUP(Table27[[#This Row],[Location 
(drop-down)]],'List source'!D$2:E$60,2,FALSE)</f>
        <v>136</v>
      </c>
      <c r="C550" s="222" t="s">
        <v>1595</v>
      </c>
      <c r="D550" s="30" t="str">
        <f t="shared" si="16"/>
        <v>PTO549-136-24</v>
      </c>
      <c r="E550" s="9" t="s">
        <v>1596</v>
      </c>
      <c r="F550" s="10" t="str" cm="1">
        <f t="array" aca="1" ref="F5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50" s="10" t="s">
        <v>1597</v>
      </c>
      <c r="I550" s="12">
        <v>45435</v>
      </c>
      <c r="J550" s="12" t="s">
        <v>495</v>
      </c>
      <c r="K550" s="77">
        <v>45435</v>
      </c>
      <c r="L550" s="10" t="s">
        <v>496</v>
      </c>
      <c r="M550" s="427">
        <v>549</v>
      </c>
      <c r="N550" s="13" t="str">
        <f t="shared" ca="1" si="17"/>
        <v>CLOSED</v>
      </c>
    </row>
    <row r="551" spans="1:14" ht="18" x14ac:dyDescent="0.3">
      <c r="A551" s="9" t="s">
        <v>157</v>
      </c>
      <c r="B551" s="13">
        <f>VLOOKUP(Table27[[#This Row],[Location 
(drop-down)]],'List source'!D$2:E$60,2,FALSE)</f>
        <v>136</v>
      </c>
      <c r="C551" s="222" t="s">
        <v>1598</v>
      </c>
      <c r="D551" s="30" t="str">
        <f t="shared" si="16"/>
        <v>PTO550-136-24</v>
      </c>
      <c r="E551" s="9" t="s">
        <v>1599</v>
      </c>
      <c r="F551" s="10" t="str" cm="1">
        <f t="array" aca="1" ref="F5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51" s="39" t="s">
        <v>1600</v>
      </c>
      <c r="I551" s="12">
        <v>45435</v>
      </c>
      <c r="J551" s="12" t="s">
        <v>60</v>
      </c>
      <c r="K551" s="77">
        <v>45595</v>
      </c>
      <c r="L551" s="10"/>
      <c r="M551" s="427">
        <v>550</v>
      </c>
      <c r="N551" s="13" t="str">
        <f t="shared" ca="1" si="17"/>
        <v>CLOSED</v>
      </c>
    </row>
    <row r="552" spans="1:14" ht="18" x14ac:dyDescent="0.3">
      <c r="A552" s="9" t="s">
        <v>597</v>
      </c>
      <c r="B552" s="13">
        <f>VLOOKUP(Table27[[#This Row],[Location 
(drop-down)]],'List source'!D$2:E$60,2,FALSE)</f>
        <v>139</v>
      </c>
      <c r="C552" s="222" t="s">
        <v>1601</v>
      </c>
      <c r="D552" s="30" t="str">
        <f t="shared" si="16"/>
        <v>PTO551-139-24</v>
      </c>
      <c r="E552" s="9" t="s">
        <v>1602</v>
      </c>
      <c r="F552" s="10" t="str" cm="1">
        <f t="array" aca="1" ref="F5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552" s="10">
        <v>6.86</v>
      </c>
      <c r="I552" s="12">
        <v>45435</v>
      </c>
      <c r="J552" s="12" t="s">
        <v>60</v>
      </c>
      <c r="K552" s="77">
        <v>45520</v>
      </c>
      <c r="L552" s="10"/>
      <c r="M552" s="427">
        <v>551</v>
      </c>
      <c r="N552" s="13" t="str">
        <f t="shared" ca="1" si="17"/>
        <v>CLOSED</v>
      </c>
    </row>
    <row r="553" spans="1:14" ht="43.2" x14ac:dyDescent="0.3">
      <c r="A553" s="9" t="s">
        <v>597</v>
      </c>
      <c r="B553" s="13">
        <f>VLOOKUP(Table27[[#This Row],[Location 
(drop-down)]],'List source'!D$2:E$60,2,FALSE)</f>
        <v>139</v>
      </c>
      <c r="C553" s="222" t="s">
        <v>1603</v>
      </c>
      <c r="D553" s="30" t="str">
        <f t="shared" si="16"/>
        <v>PTO552-139-24</v>
      </c>
      <c r="E553" s="9" t="s">
        <v>1604</v>
      </c>
      <c r="F553" s="10" t="str" cm="1">
        <f t="array" aca="1" ref="F5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553" s="39" t="s">
        <v>1605</v>
      </c>
      <c r="I553" s="12">
        <v>45435</v>
      </c>
      <c r="J553" s="12" t="s">
        <v>495</v>
      </c>
      <c r="K553" s="77">
        <v>45435</v>
      </c>
      <c r="L553" s="10" t="s">
        <v>496</v>
      </c>
      <c r="M553" s="427">
        <v>552</v>
      </c>
      <c r="N553" s="13" t="str">
        <f t="shared" ca="1" si="17"/>
        <v>CLOSED</v>
      </c>
    </row>
    <row r="554" spans="1:14" ht="28.8" x14ac:dyDescent="0.3">
      <c r="A554" s="9" t="s">
        <v>597</v>
      </c>
      <c r="B554" s="13">
        <f>VLOOKUP(Table27[[#This Row],[Location 
(drop-down)]],'List source'!D$2:E$60,2,FALSE)</f>
        <v>139</v>
      </c>
      <c r="C554" s="222" t="s">
        <v>1606</v>
      </c>
      <c r="D554" s="30" t="str">
        <f t="shared" si="16"/>
        <v>PTO553-139-24</v>
      </c>
      <c r="E554" s="9" t="s">
        <v>1607</v>
      </c>
      <c r="F554" s="10" t="str" cm="1">
        <f t="array" aca="1" ref="F5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54" s="39" t="s">
        <v>1608</v>
      </c>
      <c r="I554" s="12">
        <v>45435</v>
      </c>
      <c r="J554" s="12" t="s">
        <v>60</v>
      </c>
      <c r="K554" s="77">
        <v>45520</v>
      </c>
      <c r="L554" s="10"/>
      <c r="M554" s="427">
        <v>553</v>
      </c>
      <c r="N554" s="13" t="str">
        <f t="shared" ca="1" si="17"/>
        <v>CLOSED</v>
      </c>
    </row>
    <row r="555" spans="1:14" ht="18" x14ac:dyDescent="0.3">
      <c r="A555" s="9" t="s">
        <v>597</v>
      </c>
      <c r="B555" s="13">
        <f>VLOOKUP(Table27[[#This Row],[Location 
(drop-down)]],'List source'!D$2:E$60,2,FALSE)</f>
        <v>139</v>
      </c>
      <c r="C555" s="222" t="s">
        <v>1609</v>
      </c>
      <c r="D555" s="30" t="str">
        <f t="shared" si="16"/>
        <v>PTO554-139-24</v>
      </c>
      <c r="E555" s="9" t="s">
        <v>1610</v>
      </c>
      <c r="F555" s="10" t="str" cm="1">
        <f t="array" aca="1" ref="F5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(EPA)</v>
      </c>
      <c r="H555" s="10">
        <v>2.82</v>
      </c>
      <c r="I555" s="12">
        <v>45435</v>
      </c>
      <c r="J555" s="12" t="s">
        <v>60</v>
      </c>
      <c r="K555" s="77">
        <v>45520</v>
      </c>
      <c r="L555" s="10"/>
      <c r="M555" s="427">
        <v>554</v>
      </c>
      <c r="N555" s="13" t="str">
        <f t="shared" ca="1" si="17"/>
        <v>CLOSED</v>
      </c>
    </row>
    <row r="556" spans="1:14" ht="28.8" x14ac:dyDescent="0.3">
      <c r="A556" s="9" t="s">
        <v>597</v>
      </c>
      <c r="B556" s="13">
        <f>VLOOKUP(Table27[[#This Row],[Location 
(drop-down)]],'List source'!D$2:E$60,2,FALSE)</f>
        <v>139</v>
      </c>
      <c r="C556" s="222" t="s">
        <v>1611</v>
      </c>
      <c r="D556" s="30" t="str">
        <f t="shared" si="16"/>
        <v>PTO555-139-24</v>
      </c>
      <c r="E556" s="9" t="s">
        <v>1612</v>
      </c>
      <c r="F556" s="10" t="str" cm="1">
        <f t="array" aca="1" ref="F5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56" s="10">
        <v>-13.57</v>
      </c>
      <c r="I556" s="12">
        <v>45435</v>
      </c>
      <c r="J556" s="12" t="s">
        <v>495</v>
      </c>
      <c r="K556" s="77">
        <v>45505</v>
      </c>
      <c r="L556" s="10" t="s">
        <v>510</v>
      </c>
      <c r="M556" s="427">
        <v>555</v>
      </c>
      <c r="N556" s="13" t="str">
        <f t="shared" ca="1" si="17"/>
        <v>CLOSED</v>
      </c>
    </row>
    <row r="557" spans="1:14" ht="43.2" x14ac:dyDescent="0.3">
      <c r="A557" s="9" t="s">
        <v>273</v>
      </c>
      <c r="B557" s="13">
        <f>VLOOKUP(Table27[[#This Row],[Location 
(drop-down)]],'List source'!D$2:E$60,2,FALSE)</f>
        <v>140</v>
      </c>
      <c r="C557" s="222" t="s">
        <v>1613</v>
      </c>
      <c r="D557" s="30" t="str">
        <f t="shared" si="16"/>
        <v>PTO556-140-24</v>
      </c>
      <c r="E557" s="9" t="s">
        <v>1614</v>
      </c>
      <c r="F557" s="10" t="str" cm="1">
        <f t="array" aca="1" ref="F5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7" s="10">
        <v>2.0699999999999998</v>
      </c>
      <c r="I557" s="12">
        <v>45435</v>
      </c>
      <c r="J557" s="12" t="s">
        <v>495</v>
      </c>
      <c r="K557" s="77">
        <v>45435</v>
      </c>
      <c r="L557" s="10" t="s">
        <v>496</v>
      </c>
      <c r="M557" s="427">
        <v>556</v>
      </c>
      <c r="N557" s="13" t="str">
        <f t="shared" ca="1" si="17"/>
        <v>CLOSED</v>
      </c>
    </row>
    <row r="558" spans="1:14" ht="43.2" x14ac:dyDescent="0.3">
      <c r="A558" s="9" t="s">
        <v>161</v>
      </c>
      <c r="B558" s="13">
        <f>VLOOKUP(Table27[[#This Row],[Location 
(drop-down)]],'List source'!D$2:E$60,2,FALSE)</f>
        <v>142</v>
      </c>
      <c r="C558" s="222" t="s">
        <v>1615</v>
      </c>
      <c r="D558" s="30" t="str">
        <f t="shared" si="16"/>
        <v>PTO557-142-24</v>
      </c>
      <c r="E558" s="9" t="s">
        <v>1616</v>
      </c>
      <c r="F558" s="10" t="str" cm="1">
        <f t="array" aca="1" ref="F5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58" s="39" t="s">
        <v>1161</v>
      </c>
      <c r="I558" s="12">
        <v>45435</v>
      </c>
      <c r="J558" s="12" t="s">
        <v>495</v>
      </c>
      <c r="K558" s="77">
        <v>45435</v>
      </c>
      <c r="L558" s="10" t="s">
        <v>496</v>
      </c>
      <c r="M558" s="427">
        <v>557</v>
      </c>
      <c r="N558" s="13" t="str">
        <f t="shared" ca="1" si="17"/>
        <v>CLOSED</v>
      </c>
    </row>
    <row r="559" spans="1:14" ht="28.8" x14ac:dyDescent="0.3">
      <c r="A559" s="9" t="s">
        <v>310</v>
      </c>
      <c r="B559" s="13">
        <f>VLOOKUP(Table27[[#This Row],[Location 
(drop-down)]],'List source'!D$2:E$60,2,FALSE)</f>
        <v>144</v>
      </c>
      <c r="C559" s="222" t="s">
        <v>1617</v>
      </c>
      <c r="D559" s="30" t="str">
        <f t="shared" si="16"/>
        <v>PTO558-144-24</v>
      </c>
      <c r="E559" s="9" t="s">
        <v>1618</v>
      </c>
      <c r="F559" s="10" t="str" cm="1">
        <f t="array" aca="1" ref="F5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59" s="10" t="s">
        <v>1619</v>
      </c>
      <c r="I559" s="12">
        <v>45435</v>
      </c>
      <c r="J559" s="12" t="s">
        <v>498</v>
      </c>
      <c r="K559" s="77">
        <v>45617</v>
      </c>
      <c r="L559" s="10"/>
      <c r="M559" s="427">
        <v>558</v>
      </c>
      <c r="N559" s="13" t="str">
        <f t="shared" ca="1" si="17"/>
        <v>CLOSED</v>
      </c>
    </row>
    <row r="560" spans="1:14" ht="43.2" x14ac:dyDescent="0.3">
      <c r="A560" s="9" t="s">
        <v>70</v>
      </c>
      <c r="B560" s="13">
        <f>VLOOKUP(Table27[[#This Row],[Location 
(drop-down)]],'List source'!D$2:E$60,2,FALSE)</f>
        <v>146</v>
      </c>
      <c r="C560" s="222" t="s">
        <v>1620</v>
      </c>
      <c r="D560" s="30" t="str">
        <f t="shared" si="16"/>
        <v>PTO559-146-24</v>
      </c>
      <c r="E560" s="9" t="s">
        <v>1621</v>
      </c>
      <c r="F560" s="10" t="str" cm="1">
        <f t="array" aca="1" ref="F5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60" s="39" t="s">
        <v>1000</v>
      </c>
      <c r="I560" s="12">
        <v>45435</v>
      </c>
      <c r="J560" s="12" t="s">
        <v>495</v>
      </c>
      <c r="K560" s="77">
        <v>45435</v>
      </c>
      <c r="L560" s="10" t="s">
        <v>496</v>
      </c>
      <c r="M560" s="427">
        <v>559</v>
      </c>
      <c r="N560" s="13" t="str">
        <f t="shared" ca="1" si="17"/>
        <v>CLOSED</v>
      </c>
    </row>
    <row r="561" spans="1:14" ht="43.2" x14ac:dyDescent="0.3">
      <c r="A561" s="9" t="s">
        <v>86</v>
      </c>
      <c r="B561" s="13">
        <f>VLOOKUP(Table27[[#This Row],[Location 
(drop-down)]],'List source'!D$2:E$60,2,FALSE)</f>
        <v>150</v>
      </c>
      <c r="C561" s="222" t="s">
        <v>1622</v>
      </c>
      <c r="D561" s="30" t="str">
        <f t="shared" si="16"/>
        <v>PTO560-150-24</v>
      </c>
      <c r="E561" s="9" t="s">
        <v>1623</v>
      </c>
      <c r="F561" s="10" t="str" cm="1">
        <f t="array" aca="1" ref="F5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1" s="10">
        <v>2.25</v>
      </c>
      <c r="I561" s="12">
        <v>45435</v>
      </c>
      <c r="J561" s="12" t="s">
        <v>495</v>
      </c>
      <c r="K561" s="77">
        <v>45435</v>
      </c>
      <c r="L561" s="10" t="s">
        <v>496</v>
      </c>
      <c r="M561" s="427">
        <v>560</v>
      </c>
      <c r="N561" s="13" t="str">
        <f t="shared" ca="1" si="17"/>
        <v>CLOSED</v>
      </c>
    </row>
    <row r="562" spans="1:14" ht="28.8" x14ac:dyDescent="0.3">
      <c r="A562" s="239" t="s">
        <v>65</v>
      </c>
      <c r="B562" s="240">
        <f>VLOOKUP(Table27[[#This Row],[Location 
(drop-down)]],'List source'!D$2:E$60,2,FALSE)</f>
        <v>155</v>
      </c>
      <c r="C562" s="295" t="s">
        <v>1624</v>
      </c>
      <c r="D562" s="242" t="str">
        <f t="shared" si="16"/>
        <v>PTO561-155-24</v>
      </c>
      <c r="E562" s="94" t="s">
        <v>1625</v>
      </c>
      <c r="F562" s="98" t="str" cm="1">
        <f t="array" aca="1" ref="F5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D3606-20e1 &amp; -22 - Benzene</v>
      </c>
      <c r="H562" s="200" t="s">
        <v>1626</v>
      </c>
      <c r="I562" s="12">
        <v>45435</v>
      </c>
      <c r="J562" s="246" t="s">
        <v>182</v>
      </c>
      <c r="K562" s="247">
        <v>45667</v>
      </c>
      <c r="L562" s="10"/>
      <c r="M562" s="427">
        <v>561</v>
      </c>
      <c r="N562" s="13" t="str">
        <f t="shared" ca="1" si="17"/>
        <v>CLOSED</v>
      </c>
    </row>
    <row r="563" spans="1:14" ht="43.2" x14ac:dyDescent="0.3">
      <c r="A563" s="9" t="s">
        <v>65</v>
      </c>
      <c r="B563" s="13">
        <f>VLOOKUP(Table27[[#This Row],[Location 
(drop-down)]],'List source'!D$2:E$60,2,FALSE)</f>
        <v>155</v>
      </c>
      <c r="C563" s="222" t="s">
        <v>1627</v>
      </c>
      <c r="D563" s="195" t="str">
        <f t="shared" si="16"/>
        <v>PTO562-155-24</v>
      </c>
      <c r="E563" s="371" t="s">
        <v>1628</v>
      </c>
      <c r="F563" s="349" t="str" cm="1">
        <f t="array" aca="1" ref="F5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3" s="37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3" s="391" t="s">
        <v>1629</v>
      </c>
      <c r="I563" s="110">
        <v>45435</v>
      </c>
      <c r="J563" s="12" t="s">
        <v>495</v>
      </c>
      <c r="K563" s="77">
        <v>45435</v>
      </c>
      <c r="L563" s="10" t="s">
        <v>496</v>
      </c>
      <c r="M563" s="427">
        <v>562</v>
      </c>
      <c r="N563" s="13" t="str">
        <f t="shared" ca="1" si="17"/>
        <v>CLOSED</v>
      </c>
    </row>
    <row r="564" spans="1:14" x14ac:dyDescent="0.3">
      <c r="A564" s="9" t="s">
        <v>138</v>
      </c>
      <c r="B564" s="13">
        <f>VLOOKUP(Table27[[#This Row],[Location 
(drop-down)]],'List source'!D$2:E$61,2,FALSE)</f>
        <v>110</v>
      </c>
      <c r="C564" s="222" t="s">
        <v>1630</v>
      </c>
      <c r="D564" s="27" t="str">
        <f t="shared" ref="D564:D627" si="18">"PTO" &amp; C564 &amp; "-" &amp; B564 &amp; "-" &amp; "24"</f>
        <v>PTO1041-110-24</v>
      </c>
      <c r="E564" s="22" t="s">
        <v>1631</v>
      </c>
      <c r="F564" s="25" t="str" cm="1">
        <f t="array" aca="1" ref="F5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564"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564" s="154" t="s">
        <v>585</v>
      </c>
      <c r="I564" s="12">
        <v>45593</v>
      </c>
      <c r="J564" s="12" t="s">
        <v>498</v>
      </c>
      <c r="K564" s="77">
        <v>46031</v>
      </c>
      <c r="L564" s="10"/>
      <c r="M564" s="427">
        <v>1041</v>
      </c>
      <c r="N564" s="13" t="str">
        <f t="shared" ref="N564:N627" ca="1" si="19">IF(ISBLANK(K564), TODAY()-(I564), "CLOSED")</f>
        <v>CLOSED</v>
      </c>
    </row>
    <row r="565" spans="1:14" ht="28.8" x14ac:dyDescent="0.3">
      <c r="A565" s="9" t="s">
        <v>65</v>
      </c>
      <c r="B565" s="13">
        <f>VLOOKUP(Table27[[#This Row],[Location 
(drop-down)]],'List source'!D$2:E$60,2,FALSE)</f>
        <v>155</v>
      </c>
      <c r="C565" s="222" t="s">
        <v>1632</v>
      </c>
      <c r="D565" s="30" t="str">
        <f t="shared" si="18"/>
        <v>PTO564-155-24</v>
      </c>
      <c r="E565" s="9" t="s">
        <v>1633</v>
      </c>
      <c r="F565" s="10" t="str" cm="1">
        <f t="array" aca="1" ref="F5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D5191-20 &amp; -22 - Vapor Pressure</v>
      </c>
      <c r="H565" s="10" t="s">
        <v>1634</v>
      </c>
      <c r="I565" s="12">
        <v>45435</v>
      </c>
      <c r="J565" s="12" t="s">
        <v>495</v>
      </c>
      <c r="K565" s="77">
        <v>45435</v>
      </c>
      <c r="L565" s="10" t="s">
        <v>510</v>
      </c>
      <c r="M565" s="427">
        <v>564</v>
      </c>
      <c r="N565" s="13" t="str">
        <f t="shared" ca="1" si="19"/>
        <v>CLOSED</v>
      </c>
    </row>
    <row r="566" spans="1:14" ht="18" x14ac:dyDescent="0.3">
      <c r="A566" s="235" t="s">
        <v>235</v>
      </c>
      <c r="B566" s="236">
        <f>VLOOKUP(Table27[[#This Row],[Location 
(drop-down)]],'List source'!D$2:E$60,2,FALSE)</f>
        <v>160</v>
      </c>
      <c r="C566" s="262" t="s">
        <v>1635</v>
      </c>
      <c r="D566" s="238" t="str">
        <f t="shared" si="18"/>
        <v>PTO565-160-24</v>
      </c>
      <c r="E566" s="235" t="s">
        <v>1636</v>
      </c>
      <c r="F566" s="263" t="str" cm="1">
        <f t="array" aca="1" ref="F5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6"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566" s="263">
        <v>2.1</v>
      </c>
      <c r="I566" s="264">
        <v>45435</v>
      </c>
      <c r="J566" s="264" t="s">
        <v>182</v>
      </c>
      <c r="K566" s="250">
        <v>45750</v>
      </c>
      <c r="L566" s="10"/>
      <c r="M566" s="427">
        <v>565</v>
      </c>
      <c r="N566" s="13" t="str">
        <f t="shared" ca="1" si="19"/>
        <v>CLOSED</v>
      </c>
    </row>
    <row r="567" spans="1:14" ht="28.8" x14ac:dyDescent="0.3">
      <c r="A567" s="239" t="s">
        <v>235</v>
      </c>
      <c r="B567" s="240">
        <f>VLOOKUP(Table27[[#This Row],[Location 
(drop-down)]],'List source'!D$2:E$60,2,FALSE)</f>
        <v>160</v>
      </c>
      <c r="C567" s="295" t="s">
        <v>1637</v>
      </c>
      <c r="D567" s="242" t="str">
        <f t="shared" si="18"/>
        <v>PTO566-160-24</v>
      </c>
      <c r="E567" s="239" t="s">
        <v>1638</v>
      </c>
      <c r="F567" s="245" t="str" cm="1">
        <f t="array" aca="1" ref="F5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7"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D3606-20e1 &amp; -22 - Toluene</v>
      </c>
      <c r="H567" s="245" t="s">
        <v>1639</v>
      </c>
      <c r="I567" s="246">
        <v>45435</v>
      </c>
      <c r="J567" s="246" t="s">
        <v>182</v>
      </c>
      <c r="K567" s="247">
        <v>45750</v>
      </c>
      <c r="L567" s="10"/>
      <c r="M567" s="427">
        <v>566</v>
      </c>
      <c r="N567" s="13" t="str">
        <f t="shared" ca="1" si="19"/>
        <v>CLOSED</v>
      </c>
    </row>
    <row r="568" spans="1:14" ht="28.8" x14ac:dyDescent="0.3">
      <c r="A568" s="235" t="s">
        <v>235</v>
      </c>
      <c r="B568" s="236">
        <f>VLOOKUP(Table27[[#This Row],[Location 
(drop-down)]],'List source'!D$2:E$60,2,FALSE)</f>
        <v>160</v>
      </c>
      <c r="C568" s="262" t="s">
        <v>1640</v>
      </c>
      <c r="D568" s="238" t="str">
        <f t="shared" si="18"/>
        <v>PTO567-160-24</v>
      </c>
      <c r="E568" s="235" t="s">
        <v>1641</v>
      </c>
      <c r="F568" s="263" t="str" cm="1">
        <f t="array" aca="1" ref="F5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8"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568" s="266" t="s">
        <v>1642</v>
      </c>
      <c r="I568" s="264">
        <v>45435</v>
      </c>
      <c r="J568" s="264" t="s">
        <v>182</v>
      </c>
      <c r="K568" s="250">
        <v>45750</v>
      </c>
      <c r="L568" s="10"/>
      <c r="M568" s="427">
        <v>567</v>
      </c>
      <c r="N568" s="13" t="str">
        <f t="shared" ca="1" si="19"/>
        <v>CLOSED</v>
      </c>
    </row>
    <row r="569" spans="1:14" ht="43.2" x14ac:dyDescent="0.3">
      <c r="A569" s="9" t="s">
        <v>209</v>
      </c>
      <c r="B569" s="13">
        <f>VLOOKUP(Table27[[#This Row],[Location 
(drop-down)]],'List source'!D$2:E$60,2,FALSE)</f>
        <v>165</v>
      </c>
      <c r="C569" s="222" t="s">
        <v>1643</v>
      </c>
      <c r="D569" s="30" t="str">
        <f t="shared" si="18"/>
        <v>PTO568-165-24</v>
      </c>
      <c r="E569" s="9" t="s">
        <v>1623</v>
      </c>
      <c r="F569" s="10" t="str" cm="1">
        <f t="array" aca="1" ref="F5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69" s="10">
        <v>2.11</v>
      </c>
      <c r="I569" s="12">
        <v>45435</v>
      </c>
      <c r="J569" s="12" t="s">
        <v>495</v>
      </c>
      <c r="K569" s="77">
        <v>45435</v>
      </c>
      <c r="L569" s="10" t="s">
        <v>496</v>
      </c>
      <c r="M569" s="427">
        <v>568</v>
      </c>
      <c r="N569" s="13" t="str">
        <f t="shared" ca="1" si="19"/>
        <v>CLOSED</v>
      </c>
    </row>
    <row r="570" spans="1:14" ht="28.8" x14ac:dyDescent="0.3">
      <c r="A570" s="239" t="s">
        <v>209</v>
      </c>
      <c r="B570" s="240">
        <f>VLOOKUP(Table27[[#This Row],[Location 
(drop-down)]],'List source'!D$2:E$60,2,FALSE)</f>
        <v>165</v>
      </c>
      <c r="C570" s="295" t="s">
        <v>1644</v>
      </c>
      <c r="D570" s="242" t="str">
        <f t="shared" si="18"/>
        <v>PTO569-165-24</v>
      </c>
      <c r="E570" s="239" t="s">
        <v>1645</v>
      </c>
      <c r="F570" s="245" t="str" cm="1">
        <f t="array" aca="1" ref="F5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0"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570" s="245">
        <v>11.98</v>
      </c>
      <c r="I570" s="246">
        <v>45435</v>
      </c>
      <c r="J570" s="246" t="s">
        <v>182</v>
      </c>
      <c r="K570" s="247">
        <v>45757</v>
      </c>
      <c r="L570" s="10"/>
      <c r="M570" s="427">
        <v>569</v>
      </c>
      <c r="N570" s="13" t="str">
        <f t="shared" ca="1" si="19"/>
        <v>CLOSED</v>
      </c>
    </row>
    <row r="571" spans="1:14" ht="28.8" x14ac:dyDescent="0.3">
      <c r="A571" s="235" t="s">
        <v>209</v>
      </c>
      <c r="B571" s="236">
        <f>VLOOKUP(Table27[[#This Row],[Location 
(drop-down)]],'List source'!D$2:E$60,2,FALSE)</f>
        <v>165</v>
      </c>
      <c r="C571" s="262" t="s">
        <v>1646</v>
      </c>
      <c r="D571" s="238" t="str">
        <f t="shared" si="18"/>
        <v>PTO570-165-24</v>
      </c>
      <c r="E571" s="235" t="s">
        <v>1647</v>
      </c>
      <c r="F571" s="263" t="str" cm="1">
        <f t="array" aca="1" ref="F5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1"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571" s="266" t="s">
        <v>1648</v>
      </c>
      <c r="I571" s="264">
        <v>45435</v>
      </c>
      <c r="J571" s="264" t="s">
        <v>182</v>
      </c>
      <c r="K571" s="250">
        <v>45757</v>
      </c>
      <c r="L571" s="10"/>
      <c r="M571" s="427">
        <v>570</v>
      </c>
      <c r="N571" s="13" t="str">
        <f t="shared" ca="1" si="19"/>
        <v>CLOSED</v>
      </c>
    </row>
    <row r="572" spans="1:14" ht="28.8" x14ac:dyDescent="0.3">
      <c r="A572" s="9" t="s">
        <v>209</v>
      </c>
      <c r="B572" s="13">
        <f>VLOOKUP(Table27[[#This Row],[Location 
(drop-down)]],'List source'!D$2:E$60,2,FALSE)</f>
        <v>165</v>
      </c>
      <c r="C572" s="222" t="s">
        <v>1649</v>
      </c>
      <c r="D572" s="30" t="str">
        <f t="shared" si="18"/>
        <v>PTO571-165-24</v>
      </c>
      <c r="E572" s="9" t="s">
        <v>1650</v>
      </c>
      <c r="F572" s="10" t="str" cm="1">
        <f t="array" aca="1" ref="F5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D5191-20 &amp; -22 - Vapor Pressure</v>
      </c>
      <c r="H572" s="39" t="s">
        <v>1651</v>
      </c>
      <c r="I572" s="12">
        <v>45435</v>
      </c>
      <c r="J572" s="12" t="s">
        <v>495</v>
      </c>
      <c r="K572" s="77">
        <v>45547</v>
      </c>
      <c r="L572" s="10" t="s">
        <v>1652</v>
      </c>
      <c r="M572" s="427">
        <v>571</v>
      </c>
      <c r="N572" s="13" t="str">
        <f t="shared" ca="1" si="19"/>
        <v>CLOSED</v>
      </c>
    </row>
    <row r="573" spans="1:14" ht="43.2" x14ac:dyDescent="0.3">
      <c r="A573" s="9" t="s">
        <v>57</v>
      </c>
      <c r="B573" s="13">
        <f>VLOOKUP(Table27[[#This Row],[Location 
(drop-down)]],'List source'!D$2:E$60,2,FALSE)</f>
        <v>170</v>
      </c>
      <c r="C573" s="222" t="s">
        <v>1653</v>
      </c>
      <c r="D573" s="30" t="str">
        <f t="shared" si="18"/>
        <v>PTO572-170-24</v>
      </c>
      <c r="E573" s="9" t="s">
        <v>1654</v>
      </c>
      <c r="F573" s="10" t="str" cm="1">
        <f t="array" aca="1" ref="F5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 &amp; Toluene</v>
      </c>
      <c r="H573" s="10" t="s">
        <v>1655</v>
      </c>
      <c r="I573" s="12">
        <v>45435</v>
      </c>
      <c r="J573" s="12" t="s">
        <v>495</v>
      </c>
      <c r="K573" s="77">
        <v>45435</v>
      </c>
      <c r="L573" s="10" t="s">
        <v>496</v>
      </c>
      <c r="M573" s="427">
        <v>572</v>
      </c>
      <c r="N573" s="13" t="str">
        <f t="shared" ca="1" si="19"/>
        <v>CLOSED</v>
      </c>
    </row>
    <row r="574" spans="1:14" ht="28.8" x14ac:dyDescent="0.3">
      <c r="A574" s="9" t="s">
        <v>57</v>
      </c>
      <c r="B574" s="13">
        <f>VLOOKUP(Table27[[#This Row],[Location 
(drop-down)]],'List source'!D$2:E$60,2,FALSE)</f>
        <v>170</v>
      </c>
      <c r="C574" s="222" t="s">
        <v>1656</v>
      </c>
      <c r="D574" s="30" t="str">
        <f t="shared" si="18"/>
        <v>PTO573-170-24</v>
      </c>
      <c r="E574" s="9" t="s">
        <v>1657</v>
      </c>
      <c r="F574" s="10" t="str" cm="1">
        <f t="array" aca="1" ref="F5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574" s="10" t="s">
        <v>1658</v>
      </c>
      <c r="I574" s="12">
        <v>45435</v>
      </c>
      <c r="J574" s="12" t="s">
        <v>60</v>
      </c>
      <c r="K574" s="77">
        <v>45596</v>
      </c>
      <c r="L574" s="10"/>
      <c r="M574" s="427">
        <v>573</v>
      </c>
      <c r="N574" s="13" t="str">
        <f t="shared" ca="1" si="19"/>
        <v>CLOSED</v>
      </c>
    </row>
    <row r="575" spans="1:14" ht="43.2" x14ac:dyDescent="0.3">
      <c r="A575" s="9" t="s">
        <v>147</v>
      </c>
      <c r="B575" s="13">
        <f>VLOOKUP(Table27[[#This Row],[Location 
(drop-down)]],'List source'!D$2:E$61,2,FALSE)</f>
        <v>185</v>
      </c>
      <c r="C575" s="222" t="s">
        <v>1659</v>
      </c>
      <c r="D575" s="30" t="str">
        <f t="shared" si="18"/>
        <v>PTO574-185-24</v>
      </c>
      <c r="E575" s="9" t="s">
        <v>1660</v>
      </c>
      <c r="F575" s="10" t="str" cm="1">
        <f t="array" aca="1" ref="F5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5" s="39" t="s">
        <v>1661</v>
      </c>
      <c r="I575" s="12">
        <v>45435</v>
      </c>
      <c r="J575" s="12" t="s">
        <v>495</v>
      </c>
      <c r="K575" s="77">
        <v>45435</v>
      </c>
      <c r="L575" s="10" t="s">
        <v>496</v>
      </c>
      <c r="M575" s="427">
        <v>574</v>
      </c>
      <c r="N575" s="13" t="str">
        <f t="shared" ca="1" si="19"/>
        <v>CLOSED</v>
      </c>
    </row>
    <row r="576" spans="1:14" ht="28.8" x14ac:dyDescent="0.3">
      <c r="A576" s="9" t="s">
        <v>388</v>
      </c>
      <c r="B576" s="13">
        <f>VLOOKUP(Table27[[#This Row],[Location 
(drop-down)]],'List source'!D$2:E$60,2,FALSE)</f>
        <v>191</v>
      </c>
      <c r="C576" s="222" t="s">
        <v>1662</v>
      </c>
      <c r="D576" s="30" t="str">
        <f t="shared" si="18"/>
        <v>PTO575-191-24</v>
      </c>
      <c r="E576" s="9" t="s">
        <v>1663</v>
      </c>
      <c r="F576" s="10" t="str" cm="1">
        <f t="array" aca="1" ref="F5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6" s="39" t="s">
        <v>1664</v>
      </c>
      <c r="I576" s="12">
        <v>45435</v>
      </c>
      <c r="J576" s="12" t="s">
        <v>501</v>
      </c>
      <c r="K576" s="77">
        <v>45590</v>
      </c>
      <c r="L576" s="10"/>
      <c r="M576" s="427">
        <v>575</v>
      </c>
      <c r="N576" s="13" t="str">
        <f t="shared" ca="1" si="19"/>
        <v>CLOSED</v>
      </c>
    </row>
    <row r="577" spans="1:14" ht="18" x14ac:dyDescent="0.3">
      <c r="A577" s="9" t="s">
        <v>44</v>
      </c>
      <c r="B577" s="13">
        <f>VLOOKUP(Table27[[#This Row],[Location 
(drop-down)]],'List source'!D$2:E$60,2,FALSE)</f>
        <v>192</v>
      </c>
      <c r="C577" s="222" t="s">
        <v>1665</v>
      </c>
      <c r="D577" s="30" t="str">
        <f t="shared" si="18"/>
        <v>PTO576-192-24</v>
      </c>
      <c r="E577" s="9" t="s">
        <v>1666</v>
      </c>
      <c r="F577" s="10" t="str" cm="1">
        <f t="array" aca="1" ref="F5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7" s="10">
        <v>4.84</v>
      </c>
      <c r="I577" s="12">
        <v>45435</v>
      </c>
      <c r="J577" s="12" t="s">
        <v>495</v>
      </c>
      <c r="K577" s="77">
        <v>45435</v>
      </c>
      <c r="L577" s="10" t="s">
        <v>510</v>
      </c>
      <c r="M577" s="427">
        <v>576</v>
      </c>
      <c r="N577" s="13" t="str">
        <f t="shared" ca="1" si="19"/>
        <v>CLOSED</v>
      </c>
    </row>
    <row r="578" spans="1:14" ht="28.8" x14ac:dyDescent="0.3">
      <c r="A578" s="9" t="s">
        <v>107</v>
      </c>
      <c r="B578" s="13">
        <f>VLOOKUP(Table27[[#This Row],[Location 
(drop-down)]],'List source'!D$2:E$60,2,FALSE)</f>
        <v>120</v>
      </c>
      <c r="C578" s="222" t="s">
        <v>1667</v>
      </c>
      <c r="D578" s="30" t="str">
        <f t="shared" si="18"/>
        <v>PTO577-120-24</v>
      </c>
      <c r="E578" s="9" t="s">
        <v>1668</v>
      </c>
      <c r="F578" s="10" t="str" cm="1">
        <f t="array" aca="1" ref="F5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8" s="10" t="s">
        <v>529</v>
      </c>
      <c r="I578" s="12">
        <v>45435</v>
      </c>
      <c r="J578" s="12" t="s">
        <v>495</v>
      </c>
      <c r="K578" s="77">
        <v>45545</v>
      </c>
      <c r="L578" s="10" t="s">
        <v>621</v>
      </c>
      <c r="M578" s="427">
        <v>577</v>
      </c>
      <c r="N578" s="13" t="str">
        <f t="shared" ca="1" si="19"/>
        <v>CLOSED</v>
      </c>
    </row>
    <row r="579" spans="1:14" ht="43.2" x14ac:dyDescent="0.3">
      <c r="A579" s="9" t="s">
        <v>153</v>
      </c>
      <c r="B579" s="13">
        <f>VLOOKUP(Table27[[#This Row],[Location 
(drop-down)]],'List source'!D$2:E$60,2,FALSE)</f>
        <v>126</v>
      </c>
      <c r="C579" s="222" t="s">
        <v>1669</v>
      </c>
      <c r="D579" s="30" t="str">
        <f t="shared" si="18"/>
        <v>PTO578-126-24</v>
      </c>
      <c r="E579" s="9" t="s">
        <v>1670</v>
      </c>
      <c r="F579" s="10" t="str" cm="1">
        <f t="array" aca="1" ref="F5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79" s="10">
        <v>2.02</v>
      </c>
      <c r="I579" s="12">
        <v>45435</v>
      </c>
      <c r="J579" s="12" t="s">
        <v>495</v>
      </c>
      <c r="K579" s="77">
        <v>45435</v>
      </c>
      <c r="L579" s="10" t="s">
        <v>496</v>
      </c>
      <c r="M579" s="427">
        <v>578</v>
      </c>
      <c r="N579" s="13" t="str">
        <f t="shared" ca="1" si="19"/>
        <v>CLOSED</v>
      </c>
    </row>
    <row r="580" spans="1:14" ht="28.8" x14ac:dyDescent="0.3">
      <c r="A580" s="9" t="s">
        <v>153</v>
      </c>
      <c r="B580" s="13">
        <f>VLOOKUP(Table27[[#This Row],[Location 
(drop-down)]],'List source'!D$2:E$60,2,FALSE)</f>
        <v>126</v>
      </c>
      <c r="C580" s="222" t="s">
        <v>1671</v>
      </c>
      <c r="D580" s="30" t="str">
        <f t="shared" si="18"/>
        <v>PTO579-126-24</v>
      </c>
      <c r="E580" s="9" t="s">
        <v>1672</v>
      </c>
      <c r="F580" s="10" t="str" cm="1">
        <f t="array" aca="1" ref="F5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580" s="39" t="s">
        <v>1673</v>
      </c>
      <c r="I580" s="12">
        <v>45435</v>
      </c>
      <c r="J580" s="12" t="s">
        <v>498</v>
      </c>
      <c r="K580" s="77">
        <v>45807</v>
      </c>
      <c r="L580" s="10"/>
      <c r="M580" s="427">
        <v>579</v>
      </c>
      <c r="N580" s="13" t="str">
        <f t="shared" ca="1" si="19"/>
        <v>CLOSED</v>
      </c>
    </row>
    <row r="581" spans="1:14" ht="28.8" x14ac:dyDescent="0.3">
      <c r="A581" s="9" t="s">
        <v>39</v>
      </c>
      <c r="B581" s="95">
        <f>VLOOKUP(Table27[[#This Row],[Location 
(drop-down)]],'List source'!D$2:E$60,2,FALSE)</f>
        <v>127</v>
      </c>
      <c r="C581" s="222" t="s">
        <v>1674</v>
      </c>
      <c r="D581" s="30" t="str">
        <f t="shared" si="18"/>
        <v>PTO580-127-24</v>
      </c>
      <c r="E581" s="94" t="s">
        <v>1675</v>
      </c>
      <c r="F581" s="98" t="str" cm="1">
        <f t="array" aca="1" ref="F5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581" s="98">
        <v>6.79</v>
      </c>
      <c r="I581" s="12">
        <v>45435</v>
      </c>
      <c r="J581" s="12" t="s">
        <v>498</v>
      </c>
      <c r="K581" s="97">
        <v>45476</v>
      </c>
      <c r="L581" s="98"/>
      <c r="M581" s="429">
        <v>580</v>
      </c>
      <c r="N581" s="13" t="str">
        <f t="shared" ca="1" si="19"/>
        <v>CLOSED</v>
      </c>
    </row>
    <row r="582" spans="1:14" ht="43.2" x14ac:dyDescent="0.3">
      <c r="A582" s="9" t="s">
        <v>186</v>
      </c>
      <c r="B582" s="13">
        <f>VLOOKUP(Table27[[#This Row],[Location 
(drop-down)]],'List source'!D$2:E$60,2,FALSE)</f>
        <v>130</v>
      </c>
      <c r="C582" s="222" t="s">
        <v>1676</v>
      </c>
      <c r="D582" s="30" t="str">
        <f t="shared" si="18"/>
        <v>PTO581-130-24</v>
      </c>
      <c r="E582" s="9" t="s">
        <v>1677</v>
      </c>
      <c r="F582" s="10" t="str" cm="1">
        <f t="array" aca="1" ref="F5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582" s="10">
        <v>2.0499999999999998</v>
      </c>
      <c r="I582" s="12">
        <v>45435</v>
      </c>
      <c r="J582" s="12" t="s">
        <v>495</v>
      </c>
      <c r="K582" s="77">
        <v>45435</v>
      </c>
      <c r="L582" s="10" t="s">
        <v>496</v>
      </c>
      <c r="M582" s="427">
        <v>581</v>
      </c>
      <c r="N582" s="13" t="str">
        <f t="shared" ca="1" si="19"/>
        <v>CLOSED</v>
      </c>
    </row>
    <row r="583" spans="1:14" ht="18" x14ac:dyDescent="0.3">
      <c r="A583" s="9" t="s">
        <v>186</v>
      </c>
      <c r="B583" s="13">
        <f>VLOOKUP(Table27[[#This Row],[Location 
(drop-down)]],'List source'!D$2:E$60,2,FALSE)</f>
        <v>130</v>
      </c>
      <c r="C583" s="222" t="s">
        <v>1678</v>
      </c>
      <c r="D583" s="30" t="str">
        <f t="shared" si="18"/>
        <v>PTO582-130-24</v>
      </c>
      <c r="E583" s="9" t="s">
        <v>1679</v>
      </c>
      <c r="F583" s="10" t="str" cm="1">
        <f t="array" aca="1" ref="F5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583" s="10">
        <v>2.79</v>
      </c>
      <c r="I583" s="12">
        <v>45435</v>
      </c>
      <c r="J583" s="12" t="s">
        <v>182</v>
      </c>
      <c r="K583" s="77">
        <v>45518</v>
      </c>
      <c r="L583" s="10"/>
      <c r="M583" s="427">
        <v>582</v>
      </c>
      <c r="N583" s="13" t="str">
        <f t="shared" ca="1" si="19"/>
        <v>CLOSED</v>
      </c>
    </row>
    <row r="584" spans="1:14" ht="43.2" x14ac:dyDescent="0.3">
      <c r="A584" s="9" t="s">
        <v>186</v>
      </c>
      <c r="B584" s="13">
        <f>VLOOKUP(Table27[[#This Row],[Location 
(drop-down)]],'List source'!D$2:E$60,2,FALSE)</f>
        <v>130</v>
      </c>
      <c r="C584" s="222" t="s">
        <v>1680</v>
      </c>
      <c r="D584" s="30" t="str">
        <f t="shared" si="18"/>
        <v>PTO583-130-24</v>
      </c>
      <c r="E584" s="9" t="s">
        <v>1681</v>
      </c>
      <c r="F584" s="10" t="str" cm="1">
        <f t="array" aca="1" ref="F5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84" s="10">
        <v>2.4</v>
      </c>
      <c r="I584" s="12">
        <v>45435</v>
      </c>
      <c r="J584" s="12" t="s">
        <v>495</v>
      </c>
      <c r="K584" s="77">
        <v>45435</v>
      </c>
      <c r="L584" s="10" t="s">
        <v>496</v>
      </c>
      <c r="M584" s="427">
        <v>583</v>
      </c>
      <c r="N584" s="13" t="str">
        <f t="shared" ca="1" si="19"/>
        <v>CLOSED</v>
      </c>
    </row>
    <row r="585" spans="1:14" ht="18" x14ac:dyDescent="0.3">
      <c r="A585" s="272" t="s">
        <v>21</v>
      </c>
      <c r="B585" s="273">
        <f>VLOOKUP(Table27[[#This Row],[Location 
(drop-down)]],'List source'!D$2:E$60,2,FALSE)</f>
        <v>131</v>
      </c>
      <c r="C585" s="274" t="s">
        <v>1682</v>
      </c>
      <c r="D585" s="275" t="str">
        <f t="shared" si="18"/>
        <v>PTO584-131-24</v>
      </c>
      <c r="E585" s="272" t="s">
        <v>1683</v>
      </c>
      <c r="F585" s="277" t="str" cm="1">
        <f t="array" aca="1" ref="F5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5"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585" s="277">
        <v>3.12</v>
      </c>
      <c r="I585" s="279">
        <v>45435</v>
      </c>
      <c r="J585" s="279" t="s">
        <v>182</v>
      </c>
      <c r="K585" s="280">
        <v>45639</v>
      </c>
      <c r="L585" s="277"/>
      <c r="M585" s="427">
        <v>584</v>
      </c>
      <c r="N585" s="13" t="str">
        <f t="shared" ca="1" si="19"/>
        <v>CLOSED</v>
      </c>
    </row>
    <row r="586" spans="1:14" ht="43.2" x14ac:dyDescent="0.3">
      <c r="A586" s="9" t="s">
        <v>264</v>
      </c>
      <c r="B586" s="13">
        <f>VLOOKUP(Table27[[#This Row],[Location 
(drop-down)]],'List source'!D$2:E$60,2,FALSE)</f>
        <v>132</v>
      </c>
      <c r="C586" s="222" t="s">
        <v>1684</v>
      </c>
      <c r="D586" s="30" t="str">
        <f t="shared" si="18"/>
        <v>PTO585-132-24</v>
      </c>
      <c r="E586" s="9" t="s">
        <v>1677</v>
      </c>
      <c r="F586" s="10" t="str" cm="1">
        <f t="array" aca="1" ref="F5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586" s="10">
        <v>2.4</v>
      </c>
      <c r="I586" s="12">
        <v>45435</v>
      </c>
      <c r="J586" s="12" t="s">
        <v>495</v>
      </c>
      <c r="K586" s="77">
        <v>45435</v>
      </c>
      <c r="L586" s="10" t="s">
        <v>496</v>
      </c>
      <c r="M586" s="427">
        <v>585</v>
      </c>
      <c r="N586" s="13" t="str">
        <f t="shared" ca="1" si="19"/>
        <v>CLOSED</v>
      </c>
    </row>
    <row r="587" spans="1:14" ht="28.8" x14ac:dyDescent="0.3">
      <c r="A587" s="9" t="s">
        <v>264</v>
      </c>
      <c r="B587" s="13">
        <f>VLOOKUP(Table27[[#This Row],[Location 
(drop-down)]],'List source'!D$2:E$60,2,FALSE)</f>
        <v>132</v>
      </c>
      <c r="C587" s="222" t="s">
        <v>1685</v>
      </c>
      <c r="D587" s="30" t="str">
        <f t="shared" si="18"/>
        <v>PTO586-132-24</v>
      </c>
      <c r="E587" s="9" t="s">
        <v>1686</v>
      </c>
      <c r="F587" s="10" t="str" cm="1">
        <f t="array" aca="1" ref="F5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D1319-19 &amp; -20a- HC Type</v>
      </c>
      <c r="H587" s="39" t="s">
        <v>1687</v>
      </c>
      <c r="I587" s="12">
        <v>45435</v>
      </c>
      <c r="J587" s="12" t="s">
        <v>49</v>
      </c>
      <c r="K587" s="77">
        <v>45546</v>
      </c>
      <c r="L587" s="10"/>
      <c r="M587" s="427">
        <v>586</v>
      </c>
      <c r="N587" s="13" t="str">
        <f t="shared" ca="1" si="19"/>
        <v>CLOSED</v>
      </c>
    </row>
    <row r="588" spans="1:14" ht="18" x14ac:dyDescent="0.3">
      <c r="A588" s="9" t="s">
        <v>264</v>
      </c>
      <c r="B588" s="13">
        <f>VLOOKUP(Table27[[#This Row],[Location 
(drop-down)]],'List source'!D$2:E$60,2,FALSE)</f>
        <v>132</v>
      </c>
      <c r="C588" s="222" t="s">
        <v>1688</v>
      </c>
      <c r="D588" s="30" t="str">
        <f t="shared" si="18"/>
        <v>PTO587-132-24</v>
      </c>
      <c r="E588" s="9" t="s">
        <v>1689</v>
      </c>
      <c r="F588" s="10" t="str" cm="1">
        <f t="array" aca="1" ref="F5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588" s="10">
        <v>146.63999999999999</v>
      </c>
      <c r="I588" s="12">
        <v>45435</v>
      </c>
      <c r="J588" s="12" t="s">
        <v>495</v>
      </c>
      <c r="K588" s="77">
        <v>45639</v>
      </c>
      <c r="L588" s="10" t="s">
        <v>510</v>
      </c>
      <c r="M588" s="427">
        <v>587</v>
      </c>
      <c r="N588" s="13" t="str">
        <f t="shared" ca="1" si="19"/>
        <v>CLOSED</v>
      </c>
    </row>
    <row r="589" spans="1:14" ht="18" x14ac:dyDescent="0.3">
      <c r="A589" s="9" t="s">
        <v>597</v>
      </c>
      <c r="B589" s="13">
        <f>VLOOKUP(Table27[[#This Row],[Location 
(drop-down)]],'List source'!D$2:E$60,2,FALSE)</f>
        <v>139</v>
      </c>
      <c r="C589" s="222" t="s">
        <v>1690</v>
      </c>
      <c r="D589" s="30" t="str">
        <f t="shared" si="18"/>
        <v>PTO588-139-24</v>
      </c>
      <c r="E589" s="9" t="s">
        <v>1691</v>
      </c>
      <c r="F589" s="10" t="str" cm="1">
        <f t="array" aca="1" ref="F5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589" s="10">
        <v>17.12</v>
      </c>
      <c r="I589" s="12">
        <v>45435</v>
      </c>
      <c r="J589" s="12" t="s">
        <v>60</v>
      </c>
      <c r="K589" s="77">
        <v>45520</v>
      </c>
      <c r="L589" s="10"/>
      <c r="M589" s="427">
        <v>588</v>
      </c>
      <c r="N589" s="13" t="str">
        <f t="shared" ca="1" si="19"/>
        <v>CLOSED</v>
      </c>
    </row>
    <row r="590" spans="1:14" ht="43.2" x14ac:dyDescent="0.3">
      <c r="A590" s="9" t="s">
        <v>597</v>
      </c>
      <c r="B590" s="13">
        <f>VLOOKUP(Table27[[#This Row],[Location 
(drop-down)]],'List source'!D$2:E$60,2,FALSE)</f>
        <v>139</v>
      </c>
      <c r="C590" s="222" t="s">
        <v>1692</v>
      </c>
      <c r="D590" s="30" t="str">
        <f t="shared" si="18"/>
        <v>PTO589-139-24</v>
      </c>
      <c r="E590" s="94" t="s">
        <v>1693</v>
      </c>
      <c r="F590" s="98" t="str" cm="1">
        <f t="array" aca="1" ref="F5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90" s="98" t="s">
        <v>1694</v>
      </c>
      <c r="I590" s="12">
        <v>45435</v>
      </c>
      <c r="J590" s="12" t="s">
        <v>495</v>
      </c>
      <c r="K590" s="77">
        <v>45435</v>
      </c>
      <c r="L590" s="10" t="s">
        <v>496</v>
      </c>
      <c r="M590" s="427">
        <v>589</v>
      </c>
      <c r="N590" s="13" t="str">
        <f t="shared" ca="1" si="19"/>
        <v>CLOSED</v>
      </c>
    </row>
    <row r="591" spans="1:14" ht="28.8" x14ac:dyDescent="0.3">
      <c r="A591" s="9" t="s">
        <v>597</v>
      </c>
      <c r="B591" s="13">
        <f>VLOOKUP(Table27[[#This Row],[Location 
(drop-down)]],'List source'!D$2:E$60,2,FALSE)</f>
        <v>139</v>
      </c>
      <c r="C591" s="222" t="s">
        <v>1695</v>
      </c>
      <c r="D591" s="195" t="str">
        <f t="shared" si="18"/>
        <v>PTO590-139-24</v>
      </c>
      <c r="E591" s="377" t="s">
        <v>1696</v>
      </c>
      <c r="F591" s="384" t="str" cm="1">
        <f t="array" aca="1" ref="F5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1" s="377"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91" s="384">
        <v>80.83</v>
      </c>
      <c r="I591" s="110">
        <v>45435</v>
      </c>
      <c r="J591" s="12" t="s">
        <v>495</v>
      </c>
      <c r="K591" s="77">
        <v>45510</v>
      </c>
      <c r="L591" s="10" t="s">
        <v>510</v>
      </c>
      <c r="M591" s="427">
        <v>590</v>
      </c>
      <c r="N591" s="13" t="str">
        <f t="shared" ca="1" si="19"/>
        <v>CLOSED</v>
      </c>
    </row>
    <row r="592" spans="1:14" ht="18" x14ac:dyDescent="0.3">
      <c r="A592" s="9" t="s">
        <v>597</v>
      </c>
      <c r="B592" s="13">
        <f>VLOOKUP(Table27[[#This Row],[Location 
(drop-down)]],'List source'!D$2:E$60,2,FALSE)</f>
        <v>139</v>
      </c>
      <c r="C592" s="222" t="s">
        <v>1697</v>
      </c>
      <c r="D592" s="30" t="str">
        <f t="shared" si="18"/>
        <v>PTO591-139-24</v>
      </c>
      <c r="E592" s="22" t="s">
        <v>1698</v>
      </c>
      <c r="F592" s="25" t="str" cm="1">
        <f t="array" aca="1" ref="F5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2"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592" s="25">
        <v>5.32</v>
      </c>
      <c r="I592" s="12">
        <v>45435</v>
      </c>
      <c r="J592" s="12" t="s">
        <v>60</v>
      </c>
      <c r="K592" s="77">
        <v>45520</v>
      </c>
      <c r="L592" s="10"/>
      <c r="M592" s="427">
        <v>591</v>
      </c>
      <c r="N592" s="13" t="str">
        <f t="shared" ca="1" si="19"/>
        <v>CLOSED</v>
      </c>
    </row>
    <row r="593" spans="1:14" ht="28.8" x14ac:dyDescent="0.3">
      <c r="A593" s="9" t="s">
        <v>597</v>
      </c>
      <c r="B593" s="13">
        <f>VLOOKUP(Table27[[#This Row],[Location 
(drop-down)]],'List source'!D$2:E$60,2,FALSE)</f>
        <v>139</v>
      </c>
      <c r="C593" s="222" t="s">
        <v>1699</v>
      </c>
      <c r="D593" s="30" t="str">
        <f t="shared" si="18"/>
        <v>PTO592-139-24</v>
      </c>
      <c r="E593" s="9" t="s">
        <v>1700</v>
      </c>
      <c r="F593" s="10" t="str" cm="1">
        <f t="array" aca="1" ref="F5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593" s="39" t="s">
        <v>1701</v>
      </c>
      <c r="I593" s="12">
        <v>45435</v>
      </c>
      <c r="J593" s="12" t="s">
        <v>495</v>
      </c>
      <c r="K593" s="77">
        <v>45505</v>
      </c>
      <c r="L593" s="10" t="s">
        <v>510</v>
      </c>
      <c r="M593" s="427">
        <v>592</v>
      </c>
      <c r="N593" s="13" t="str">
        <f t="shared" ca="1" si="19"/>
        <v>CLOSED</v>
      </c>
    </row>
    <row r="594" spans="1:14" ht="43.2" x14ac:dyDescent="0.3">
      <c r="A594" s="9" t="s">
        <v>273</v>
      </c>
      <c r="B594" s="13">
        <f>VLOOKUP(Table27[[#This Row],[Location 
(drop-down)]],'List source'!D$2:E$60,2,FALSE)</f>
        <v>140</v>
      </c>
      <c r="C594" s="222" t="s">
        <v>1702</v>
      </c>
      <c r="D594" s="30" t="str">
        <f t="shared" si="18"/>
        <v>PTO593-140-24</v>
      </c>
      <c r="E594" s="9" t="s">
        <v>1703</v>
      </c>
      <c r="F594" s="10" t="str" cm="1">
        <f t="array" aca="1" ref="F5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94" s="39" t="s">
        <v>1704</v>
      </c>
      <c r="I594" s="12">
        <v>45435</v>
      </c>
      <c r="J594" s="12" t="s">
        <v>495</v>
      </c>
      <c r="K594" s="77">
        <v>45435</v>
      </c>
      <c r="L594" s="10" t="s">
        <v>496</v>
      </c>
      <c r="M594" s="427">
        <v>593</v>
      </c>
      <c r="N594" s="13" t="str">
        <f t="shared" ca="1" si="19"/>
        <v>CLOSED</v>
      </c>
    </row>
    <row r="595" spans="1:14" ht="18" x14ac:dyDescent="0.3">
      <c r="A595" s="9" t="s">
        <v>161</v>
      </c>
      <c r="B595" s="13">
        <f>VLOOKUP(Table27[[#This Row],[Location 
(drop-down)]],'List source'!D$2:E$60,2,FALSE)</f>
        <v>142</v>
      </c>
      <c r="C595" s="222" t="s">
        <v>1705</v>
      </c>
      <c r="D595" s="30" t="str">
        <f t="shared" si="18"/>
        <v>PTO594-142-24</v>
      </c>
      <c r="E595" s="9" t="s">
        <v>1706</v>
      </c>
      <c r="F595" s="10" t="str" cm="1">
        <f t="array" aca="1" ref="F5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595" s="10">
        <v>2.2599999999999998</v>
      </c>
      <c r="I595" s="12">
        <v>45435</v>
      </c>
      <c r="J595" s="12" t="s">
        <v>495</v>
      </c>
      <c r="K595" s="77">
        <v>45435</v>
      </c>
      <c r="L595" s="10" t="s">
        <v>510</v>
      </c>
      <c r="M595" s="427">
        <v>594</v>
      </c>
      <c r="N595" s="13" t="str">
        <f t="shared" ca="1" si="19"/>
        <v>CLOSED</v>
      </c>
    </row>
    <row r="596" spans="1:14" ht="43.2" x14ac:dyDescent="0.3">
      <c r="A596" s="9" t="s">
        <v>310</v>
      </c>
      <c r="B596" s="13">
        <f>VLOOKUP(Table27[[#This Row],[Location 
(drop-down)]],'List source'!D$2:E$60,2,FALSE)</f>
        <v>144</v>
      </c>
      <c r="C596" s="222" t="s">
        <v>1707</v>
      </c>
      <c r="D596" s="30" t="str">
        <f t="shared" si="18"/>
        <v>PTO595-144-24</v>
      </c>
      <c r="E596" s="9" t="s">
        <v>1708</v>
      </c>
      <c r="F596" s="10" t="str" cm="1">
        <f t="array" aca="1" ref="F5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96" s="39" t="s">
        <v>1709</v>
      </c>
      <c r="I596" s="12">
        <v>45435</v>
      </c>
      <c r="J596" s="12" t="s">
        <v>495</v>
      </c>
      <c r="K596" s="77">
        <v>45435</v>
      </c>
      <c r="L596" s="10" t="s">
        <v>496</v>
      </c>
      <c r="M596" s="427">
        <v>595</v>
      </c>
      <c r="N596" s="13" t="str">
        <f t="shared" ca="1" si="19"/>
        <v>CLOSED</v>
      </c>
    </row>
    <row r="597" spans="1:14" ht="28.8" x14ac:dyDescent="0.3">
      <c r="A597" s="9" t="s">
        <v>86</v>
      </c>
      <c r="B597" s="13">
        <f>VLOOKUP(Table27[[#This Row],[Location 
(drop-down)]],'List source'!D$2:E$60,2,FALSE)</f>
        <v>150</v>
      </c>
      <c r="C597" s="222" t="s">
        <v>1710</v>
      </c>
      <c r="D597" s="30" t="str">
        <f t="shared" si="18"/>
        <v>PTO596-150-24</v>
      </c>
      <c r="E597" s="9" t="s">
        <v>1711</v>
      </c>
      <c r="F597" s="10" t="str" cm="1">
        <f t="array" aca="1" ref="F5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597" s="10" t="s">
        <v>1712</v>
      </c>
      <c r="I597" s="12">
        <v>45435</v>
      </c>
      <c r="J597" s="12" t="s">
        <v>134</v>
      </c>
      <c r="K597" s="77">
        <v>45891</v>
      </c>
      <c r="L597" s="10"/>
      <c r="M597" s="427">
        <v>596</v>
      </c>
      <c r="N597" s="13" t="str">
        <f t="shared" ca="1" si="19"/>
        <v>CLOSED</v>
      </c>
    </row>
    <row r="598" spans="1:14" ht="18" x14ac:dyDescent="0.3">
      <c r="A598" s="9" t="s">
        <v>65</v>
      </c>
      <c r="B598" s="13">
        <f>VLOOKUP(Table27[[#This Row],[Location 
(drop-down)]],'List source'!D$2:E$60,2,FALSE)</f>
        <v>155</v>
      </c>
      <c r="C598" s="222" t="s">
        <v>1713</v>
      </c>
      <c r="D598" s="30" t="str">
        <f t="shared" si="18"/>
        <v>PTO597-155-24</v>
      </c>
      <c r="E598" s="9" t="s">
        <v>1714</v>
      </c>
      <c r="F598" s="10" t="str" cm="1">
        <f t="array" aca="1" ref="F5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598" s="39" t="s">
        <v>1715</v>
      </c>
      <c r="I598" s="12">
        <v>45435</v>
      </c>
      <c r="J598" s="12" t="s">
        <v>495</v>
      </c>
      <c r="K598" s="77">
        <v>45435</v>
      </c>
      <c r="L598" s="10" t="s">
        <v>510</v>
      </c>
      <c r="M598" s="427">
        <v>597</v>
      </c>
      <c r="N598" s="13" t="str">
        <f t="shared" ca="1" si="19"/>
        <v>CLOSED</v>
      </c>
    </row>
    <row r="599" spans="1:14" ht="43.2" x14ac:dyDescent="0.3">
      <c r="A599" s="9" t="s">
        <v>65</v>
      </c>
      <c r="B599" s="13">
        <f>VLOOKUP(Table27[[#This Row],[Location 
(drop-down)]],'List source'!D$2:E$60,2,FALSE)</f>
        <v>155</v>
      </c>
      <c r="C599" s="222" t="s">
        <v>1716</v>
      </c>
      <c r="D599" s="30" t="str">
        <f t="shared" si="18"/>
        <v>PTO598-155-24</v>
      </c>
      <c r="E599" s="9" t="s">
        <v>1681</v>
      </c>
      <c r="F599" s="10" t="str" cm="1">
        <f t="array" aca="1" ref="F5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5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599" s="10">
        <v>2.94</v>
      </c>
      <c r="I599" s="12">
        <v>45435</v>
      </c>
      <c r="J599" s="12" t="s">
        <v>495</v>
      </c>
      <c r="K599" s="77">
        <v>45435</v>
      </c>
      <c r="L599" s="10" t="s">
        <v>496</v>
      </c>
      <c r="M599" s="427">
        <v>598</v>
      </c>
      <c r="N599" s="13" t="str">
        <f t="shared" ca="1" si="19"/>
        <v>CLOSED</v>
      </c>
    </row>
    <row r="600" spans="1:14" ht="43.2" x14ac:dyDescent="0.3">
      <c r="A600" s="9" t="s">
        <v>235</v>
      </c>
      <c r="B600" s="13">
        <f>VLOOKUP(Table27[[#This Row],[Location 
(drop-down)]],'List source'!D$2:E$60,2,FALSE)</f>
        <v>160</v>
      </c>
      <c r="C600" s="222" t="s">
        <v>1717</v>
      </c>
      <c r="D600" s="30" t="str">
        <f t="shared" si="18"/>
        <v>PTO599-160-24</v>
      </c>
      <c r="E600" s="9" t="s">
        <v>1718</v>
      </c>
      <c r="F600" s="10" t="str" cm="1">
        <f t="array" aca="1" ref="F6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0" s="9" t="s">
        <v>1719</v>
      </c>
      <c r="H600" s="10">
        <v>-2.54</v>
      </c>
      <c r="I600" s="12">
        <v>45435</v>
      </c>
      <c r="J600" s="12" t="s">
        <v>495</v>
      </c>
      <c r="K600" s="77">
        <v>45435</v>
      </c>
      <c r="L600" s="10" t="s">
        <v>496</v>
      </c>
      <c r="M600" s="427">
        <v>599</v>
      </c>
      <c r="N600" s="13" t="str">
        <f t="shared" ca="1" si="19"/>
        <v>CLOSED</v>
      </c>
    </row>
    <row r="601" spans="1:14" ht="43.2" x14ac:dyDescent="0.3">
      <c r="A601" s="9" t="s">
        <v>209</v>
      </c>
      <c r="B601" s="13">
        <f>VLOOKUP(Table27[[#This Row],[Location 
(drop-down)]],'List source'!D$2:E$60,2,FALSE)</f>
        <v>165</v>
      </c>
      <c r="C601" s="222" t="s">
        <v>1720</v>
      </c>
      <c r="D601" s="30" t="str">
        <f t="shared" si="18"/>
        <v>PTO600-165-24</v>
      </c>
      <c r="E601" s="9" t="s">
        <v>1721</v>
      </c>
      <c r="F601" s="10" t="str" cm="1">
        <f t="array" aca="1" ref="F6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01" s="10">
        <v>2.78</v>
      </c>
      <c r="I601" s="12">
        <v>45435</v>
      </c>
      <c r="J601" s="12" t="s">
        <v>495</v>
      </c>
      <c r="K601" s="77">
        <v>45435</v>
      </c>
      <c r="L601" s="10" t="s">
        <v>496</v>
      </c>
      <c r="M601" s="427">
        <v>600</v>
      </c>
      <c r="N601" s="13" t="str">
        <f t="shared" ca="1" si="19"/>
        <v>CLOSED</v>
      </c>
    </row>
    <row r="602" spans="1:14" ht="18" x14ac:dyDescent="0.3">
      <c r="A602" s="239" t="s">
        <v>209</v>
      </c>
      <c r="B602" s="240">
        <f>VLOOKUP(Table27[[#This Row],[Location 
(drop-down)]],'List source'!D$2:E$60,2,FALSE)</f>
        <v>165</v>
      </c>
      <c r="C602" s="295" t="s">
        <v>1722</v>
      </c>
      <c r="D602" s="242" t="str">
        <f t="shared" si="18"/>
        <v>PTO601-165-24</v>
      </c>
      <c r="E602" s="239" t="s">
        <v>1723</v>
      </c>
      <c r="F602" s="245" t="str" cm="1">
        <f t="array" aca="1" ref="F6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2"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2" s="245">
        <v>3.08</v>
      </c>
      <c r="I602" s="246">
        <v>45435</v>
      </c>
      <c r="J602" s="246" t="s">
        <v>182</v>
      </c>
      <c r="K602" s="247">
        <v>45649</v>
      </c>
      <c r="L602" s="10"/>
      <c r="M602" s="427">
        <v>601</v>
      </c>
      <c r="N602" s="13" t="str">
        <f t="shared" ca="1" si="19"/>
        <v>CLOSED</v>
      </c>
    </row>
    <row r="603" spans="1:14" ht="18" x14ac:dyDescent="0.3">
      <c r="A603" s="9" t="s">
        <v>57</v>
      </c>
      <c r="B603" s="13">
        <f>VLOOKUP(Table27[[#This Row],[Location 
(drop-down)]],'List source'!D$2:E$60,2,FALSE)</f>
        <v>170</v>
      </c>
      <c r="C603" s="222" t="s">
        <v>1724</v>
      </c>
      <c r="D603" s="30" t="str">
        <f t="shared" si="18"/>
        <v>PTO602-170-24</v>
      </c>
      <c r="E603" s="9" t="s">
        <v>1725</v>
      </c>
      <c r="F603" s="10" t="str" cm="1">
        <f t="array" aca="1" ref="F6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603" s="39" t="s">
        <v>1726</v>
      </c>
      <c r="I603" s="12">
        <v>45435</v>
      </c>
      <c r="J603" s="12" t="s">
        <v>60</v>
      </c>
      <c r="K603" s="77">
        <v>45628</v>
      </c>
      <c r="L603" s="10"/>
      <c r="M603" s="427">
        <v>602</v>
      </c>
      <c r="N603" s="13" t="str">
        <f t="shared" ca="1" si="19"/>
        <v>CLOSED</v>
      </c>
    </row>
    <row r="604" spans="1:14" ht="43.2" x14ac:dyDescent="0.3">
      <c r="A604" s="9" t="s">
        <v>57</v>
      </c>
      <c r="B604" s="13">
        <f>VLOOKUP(Table27[[#This Row],[Location 
(drop-down)]],'List source'!D$2:E$60,2,FALSE)</f>
        <v>170</v>
      </c>
      <c r="C604" s="222" t="s">
        <v>1727</v>
      </c>
      <c r="D604" s="30" t="str">
        <f t="shared" si="18"/>
        <v>PTO603-170-24</v>
      </c>
      <c r="E604" s="9" t="s">
        <v>1728</v>
      </c>
      <c r="F604" s="10" t="str" cm="1">
        <f t="array" aca="1" ref="F6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4" s="10" t="s">
        <v>1729</v>
      </c>
      <c r="I604" s="12">
        <v>45435</v>
      </c>
      <c r="J604" s="12" t="s">
        <v>495</v>
      </c>
      <c r="K604" s="77">
        <v>45435</v>
      </c>
      <c r="L604" s="10" t="s">
        <v>496</v>
      </c>
      <c r="M604" s="427">
        <v>603</v>
      </c>
      <c r="N604" s="13" t="str">
        <f t="shared" ca="1" si="19"/>
        <v>CLOSED</v>
      </c>
    </row>
    <row r="605" spans="1:14" ht="43.2" x14ac:dyDescent="0.3">
      <c r="A605" s="9" t="s">
        <v>325</v>
      </c>
      <c r="B605" s="13">
        <f>VLOOKUP(Table27[[#This Row],[Location 
(drop-down)]],'List source'!D$2:E$60,2,FALSE)</f>
        <v>180</v>
      </c>
      <c r="C605" s="222" t="s">
        <v>1730</v>
      </c>
      <c r="D605" s="30" t="str">
        <f t="shared" si="18"/>
        <v>PTO604-180-24</v>
      </c>
      <c r="E605" s="9" t="s">
        <v>1731</v>
      </c>
      <c r="F605" s="10" t="str" cm="1">
        <f t="array" aca="1" ref="F6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5" s="10" t="s">
        <v>1732</v>
      </c>
      <c r="I605" s="12">
        <v>45435</v>
      </c>
      <c r="J605" s="12" t="s">
        <v>495</v>
      </c>
      <c r="K605" s="77">
        <v>45435</v>
      </c>
      <c r="L605" s="10" t="s">
        <v>496</v>
      </c>
      <c r="M605" s="427">
        <v>604</v>
      </c>
      <c r="N605" s="13" t="str">
        <f t="shared" ca="1" si="19"/>
        <v>CLOSED</v>
      </c>
    </row>
    <row r="606" spans="1:14" ht="43.2" x14ac:dyDescent="0.3">
      <c r="A606" s="9" t="s">
        <v>325</v>
      </c>
      <c r="B606" s="13">
        <f>VLOOKUP(Table27[[#This Row],[Location 
(drop-down)]],'List source'!D$2:E$60,2,FALSE)</f>
        <v>180</v>
      </c>
      <c r="C606" s="222" t="s">
        <v>1733</v>
      </c>
      <c r="D606" s="30" t="str">
        <f t="shared" si="18"/>
        <v>PTO605-180-24</v>
      </c>
      <c r="E606" s="9" t="s">
        <v>1681</v>
      </c>
      <c r="F606" s="10" t="str" cm="1">
        <f t="array" aca="1" ref="F6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606" s="10">
        <v>-2.04</v>
      </c>
      <c r="I606" s="12">
        <v>45435</v>
      </c>
      <c r="J606" s="12" t="s">
        <v>495</v>
      </c>
      <c r="K606" s="77">
        <v>45435</v>
      </c>
      <c r="L606" s="10" t="s">
        <v>496</v>
      </c>
      <c r="M606" s="427">
        <v>605</v>
      </c>
      <c r="N606" s="13" t="str">
        <f t="shared" ca="1" si="19"/>
        <v>CLOSED</v>
      </c>
    </row>
    <row r="607" spans="1:14" ht="43.2" x14ac:dyDescent="0.3">
      <c r="A607" s="9" t="s">
        <v>147</v>
      </c>
      <c r="B607" s="13">
        <f>VLOOKUP(Table27[[#This Row],[Location 
(drop-down)]],'List source'!D$2:E$61,2,FALSE)</f>
        <v>185</v>
      </c>
      <c r="C607" s="222" t="s">
        <v>1734</v>
      </c>
      <c r="D607" s="30" t="str">
        <f t="shared" si="18"/>
        <v>PTO606-185-24</v>
      </c>
      <c r="E607" s="9" t="s">
        <v>1735</v>
      </c>
      <c r="F607" s="10" t="str" cm="1">
        <f t="array" aca="1" ref="F6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7" s="39" t="s">
        <v>1736</v>
      </c>
      <c r="I607" s="12">
        <v>45435</v>
      </c>
      <c r="J607" s="12" t="s">
        <v>495</v>
      </c>
      <c r="K607" s="77">
        <v>45435</v>
      </c>
      <c r="L607" s="10" t="s">
        <v>496</v>
      </c>
      <c r="M607" s="427">
        <v>606</v>
      </c>
      <c r="N607" s="13" t="str">
        <f t="shared" ca="1" si="19"/>
        <v>CLOSED</v>
      </c>
    </row>
    <row r="608" spans="1:14" ht="28.8" x14ac:dyDescent="0.3">
      <c r="A608" s="9" t="s">
        <v>261</v>
      </c>
      <c r="B608" s="13">
        <f>VLOOKUP(Table27[[#This Row],[Location 
(drop-down)]],'List source'!D$2:E$60,2,FALSE)</f>
        <v>210</v>
      </c>
      <c r="C608" s="222" t="s">
        <v>1737</v>
      </c>
      <c r="D608" s="30" t="str">
        <f t="shared" si="18"/>
        <v>PTO607-210-24</v>
      </c>
      <c r="E608" s="9" t="s">
        <v>1738</v>
      </c>
      <c r="F608" s="10" t="str" cm="1">
        <f t="array" aca="1" ref="F6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08" s="10" t="s">
        <v>1739</v>
      </c>
      <c r="I608" s="12">
        <v>45435</v>
      </c>
      <c r="J608" s="12" t="s">
        <v>498</v>
      </c>
      <c r="K608" s="77">
        <v>45524</v>
      </c>
      <c r="L608" s="10"/>
      <c r="M608" s="427">
        <v>607</v>
      </c>
      <c r="N608" s="13" t="str">
        <f t="shared" ca="1" si="19"/>
        <v>CLOSED</v>
      </c>
    </row>
    <row r="609" spans="1:14" ht="28.8" x14ac:dyDescent="0.3">
      <c r="A609" s="189" t="s">
        <v>318</v>
      </c>
      <c r="B609" s="217">
        <f>VLOOKUP(Table27[[#This Row],[Location 
(drop-down)]],'List source'!D$2:E$60,2,FALSE)</f>
        <v>115</v>
      </c>
      <c r="C609" s="251" t="s">
        <v>1740</v>
      </c>
      <c r="D609" s="201" t="str">
        <f t="shared" si="18"/>
        <v>PTO608-115-24</v>
      </c>
      <c r="E609" s="9" t="s">
        <v>1741</v>
      </c>
      <c r="F609" s="10" t="str" cm="1">
        <f t="array" aca="1" ref="F6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09" s="39" t="s">
        <v>585</v>
      </c>
      <c r="I609" s="12">
        <v>45435</v>
      </c>
      <c r="J609" s="234" t="s">
        <v>60</v>
      </c>
      <c r="K609" s="220">
        <v>45687</v>
      </c>
      <c r="L609" s="10"/>
      <c r="M609" s="427">
        <v>608</v>
      </c>
      <c r="N609" s="13" t="str">
        <f t="shared" ca="1" si="19"/>
        <v>CLOSED</v>
      </c>
    </row>
    <row r="610" spans="1:14" ht="28.8" x14ac:dyDescent="0.3">
      <c r="A610" s="9" t="s">
        <v>107</v>
      </c>
      <c r="B610" s="13">
        <f>VLOOKUP(Table27[[#This Row],[Location 
(drop-down)]],'List source'!D$2:E$60,2,FALSE)</f>
        <v>120</v>
      </c>
      <c r="C610" s="222" t="s">
        <v>1742</v>
      </c>
      <c r="D610" s="30" t="str">
        <f t="shared" si="18"/>
        <v>PTO609-120-24</v>
      </c>
      <c r="E610" s="9" t="s">
        <v>1743</v>
      </c>
      <c r="F610" s="10" t="str" cm="1">
        <f t="array" aca="1" ref="F6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10" s="10" t="s">
        <v>529</v>
      </c>
      <c r="I610" s="12">
        <v>45435</v>
      </c>
      <c r="J610" s="12" t="s">
        <v>495</v>
      </c>
      <c r="K610" s="77">
        <v>45545</v>
      </c>
      <c r="L610" s="10" t="s">
        <v>621</v>
      </c>
      <c r="M610" s="427">
        <v>609</v>
      </c>
      <c r="N610" s="13" t="str">
        <f t="shared" ca="1" si="19"/>
        <v>CLOSED</v>
      </c>
    </row>
    <row r="611" spans="1:14" ht="18" x14ac:dyDescent="0.3">
      <c r="A611" s="81" t="s">
        <v>153</v>
      </c>
      <c r="B611" s="107">
        <f>VLOOKUP(Table27[[#This Row],[Location 
(drop-down)]],'List source'!D$2:E$60,2,FALSE)</f>
        <v>126</v>
      </c>
      <c r="C611" s="423" t="s">
        <v>1744</v>
      </c>
      <c r="D611" s="424" t="str">
        <f t="shared" si="18"/>
        <v>PTO610-126-24</v>
      </c>
      <c r="E611" s="9" t="s">
        <v>1745</v>
      </c>
      <c r="F611" s="10" t="str" cm="1">
        <f t="array" aca="1" ref="F6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11" s="10">
        <v>5.18</v>
      </c>
      <c r="I611" s="12">
        <v>45435</v>
      </c>
      <c r="J611" s="12" t="s">
        <v>498</v>
      </c>
      <c r="K611" s="77">
        <v>45694</v>
      </c>
      <c r="L611" s="10"/>
      <c r="M611" s="427">
        <v>610</v>
      </c>
      <c r="N611" s="13" t="str">
        <f t="shared" ca="1" si="19"/>
        <v>CLOSED</v>
      </c>
    </row>
    <row r="612" spans="1:14" ht="28.8" x14ac:dyDescent="0.3">
      <c r="A612" s="9" t="s">
        <v>153</v>
      </c>
      <c r="B612" s="13">
        <f>VLOOKUP(Table27[[#This Row],[Location 
(drop-down)]],'List source'!D$2:E$60,2,FALSE)</f>
        <v>126</v>
      </c>
      <c r="C612" s="222" t="s">
        <v>1746</v>
      </c>
      <c r="D612" s="30" t="str">
        <f t="shared" si="18"/>
        <v>PTO611-126-24</v>
      </c>
      <c r="E612" s="9" t="s">
        <v>1747</v>
      </c>
      <c r="F612" s="10" t="str" cm="1">
        <f t="array" aca="1" ref="F6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12" s="10">
        <v>35.04</v>
      </c>
      <c r="I612" s="12">
        <v>45435</v>
      </c>
      <c r="J612" s="12" t="s">
        <v>495</v>
      </c>
      <c r="K612" s="77">
        <v>45456</v>
      </c>
      <c r="L612" s="10" t="s">
        <v>510</v>
      </c>
      <c r="M612" s="427">
        <v>611</v>
      </c>
      <c r="N612" s="13" t="str">
        <f t="shared" ca="1" si="19"/>
        <v>CLOSED</v>
      </c>
    </row>
    <row r="613" spans="1:14" ht="28.8" x14ac:dyDescent="0.3">
      <c r="A613" s="9" t="s">
        <v>153</v>
      </c>
      <c r="B613" s="13">
        <f>VLOOKUP(Table27[[#This Row],[Location 
(drop-down)]],'List source'!D$2:E$60,2,FALSE)</f>
        <v>126</v>
      </c>
      <c r="C613" s="222" t="s">
        <v>1748</v>
      </c>
      <c r="D613" s="30" t="str">
        <f t="shared" si="18"/>
        <v>PTO612-126-24</v>
      </c>
      <c r="E613" s="9" t="s">
        <v>1741</v>
      </c>
      <c r="F613" s="10" t="str" cm="1">
        <f t="array" aca="1" ref="F6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13" s="39" t="s">
        <v>585</v>
      </c>
      <c r="I613" s="12">
        <v>45435</v>
      </c>
      <c r="J613" s="12" t="s">
        <v>498</v>
      </c>
      <c r="K613" s="77">
        <v>45807</v>
      </c>
      <c r="L613" s="10"/>
      <c r="M613" s="427">
        <v>612</v>
      </c>
      <c r="N613" s="13" t="str">
        <f t="shared" ca="1" si="19"/>
        <v>CLOSED</v>
      </c>
    </row>
    <row r="614" spans="1:14" ht="28.8" x14ac:dyDescent="0.3">
      <c r="A614" s="9" t="s">
        <v>186</v>
      </c>
      <c r="B614" s="13">
        <f>VLOOKUP(Table27[[#This Row],[Location 
(drop-down)]],'List source'!D$2:E$60,2,FALSE)</f>
        <v>130</v>
      </c>
      <c r="C614" s="222" t="s">
        <v>1749</v>
      </c>
      <c r="D614" s="30" t="str">
        <f t="shared" si="18"/>
        <v>PTO613-130-24</v>
      </c>
      <c r="E614" s="9" t="s">
        <v>1750</v>
      </c>
      <c r="F614" s="10" t="str" cm="1">
        <f t="array" aca="1" ref="F6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14" s="10" t="s">
        <v>529</v>
      </c>
      <c r="I614" s="12">
        <v>45435</v>
      </c>
      <c r="J614" s="12" t="s">
        <v>182</v>
      </c>
      <c r="K614" s="77">
        <v>45540</v>
      </c>
      <c r="L614" s="10"/>
      <c r="M614" s="427">
        <v>613</v>
      </c>
      <c r="N614" s="13" t="str">
        <f t="shared" ca="1" si="19"/>
        <v>CLOSED</v>
      </c>
    </row>
    <row r="615" spans="1:14" ht="18" x14ac:dyDescent="0.3">
      <c r="A615" s="9" t="s">
        <v>186</v>
      </c>
      <c r="B615" s="13">
        <f>VLOOKUP(Table27[[#This Row],[Location 
(drop-down)]],'List source'!D$2:E$60,2,FALSE)</f>
        <v>130</v>
      </c>
      <c r="C615" s="222" t="s">
        <v>1751</v>
      </c>
      <c r="D615" s="30" t="str">
        <f t="shared" si="18"/>
        <v>PTO614-130-24</v>
      </c>
      <c r="E615" s="9" t="s">
        <v>1752</v>
      </c>
      <c r="F615" s="10" t="str" cm="1">
        <f t="array" aca="1" ref="F6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615" s="10">
        <v>2.14</v>
      </c>
      <c r="I615" s="12">
        <v>45435</v>
      </c>
      <c r="J615" s="12" t="s">
        <v>182</v>
      </c>
      <c r="K615" s="77">
        <v>45518</v>
      </c>
      <c r="L615" s="10"/>
      <c r="M615" s="427">
        <v>614</v>
      </c>
      <c r="N615" s="13" t="str">
        <f t="shared" ca="1" si="19"/>
        <v>CLOSED</v>
      </c>
    </row>
    <row r="616" spans="1:14" ht="28.8" x14ac:dyDescent="0.3">
      <c r="A616" s="9" t="s">
        <v>597</v>
      </c>
      <c r="B616" s="13">
        <f>VLOOKUP(Table27[[#This Row],[Location 
(drop-down)]],'List source'!D$2:E$60,2,FALSE)</f>
        <v>139</v>
      </c>
      <c r="C616" s="222" t="s">
        <v>1753</v>
      </c>
      <c r="D616" s="30" t="str">
        <f t="shared" si="18"/>
        <v>PTO615-139-24</v>
      </c>
      <c r="E616" s="9" t="s">
        <v>1754</v>
      </c>
      <c r="F616" s="10" t="str" cm="1">
        <f t="array" aca="1" ref="F6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 &amp; Benzene</v>
      </c>
      <c r="H616" s="39" t="s">
        <v>1755</v>
      </c>
      <c r="I616" s="12">
        <v>45435</v>
      </c>
      <c r="J616" s="12" t="s">
        <v>60</v>
      </c>
      <c r="K616" s="77">
        <v>45520</v>
      </c>
      <c r="L616" s="10"/>
      <c r="M616" s="427">
        <v>615</v>
      </c>
      <c r="N616" s="13" t="str">
        <f t="shared" ca="1" si="19"/>
        <v>CLOSED</v>
      </c>
    </row>
    <row r="617" spans="1:14" ht="28.8" x14ac:dyDescent="0.3">
      <c r="A617" s="9" t="s">
        <v>597</v>
      </c>
      <c r="B617" s="13">
        <f>VLOOKUP(Table27[[#This Row],[Location 
(drop-down)]],'List source'!D$2:E$60,2,FALSE)</f>
        <v>139</v>
      </c>
      <c r="C617" s="222" t="s">
        <v>1756</v>
      </c>
      <c r="D617" s="30" t="str">
        <f t="shared" si="18"/>
        <v>PTO616-139-24</v>
      </c>
      <c r="E617" s="9" t="s">
        <v>1757</v>
      </c>
      <c r="F617" s="10" t="str" cm="1">
        <f t="array" aca="1" ref="F6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17" s="10" t="s">
        <v>529</v>
      </c>
      <c r="I617" s="12">
        <v>45435</v>
      </c>
      <c r="J617" s="12" t="s">
        <v>495</v>
      </c>
      <c r="K617" s="77">
        <v>45516</v>
      </c>
      <c r="L617" s="10" t="s">
        <v>915</v>
      </c>
      <c r="M617" s="427">
        <v>616</v>
      </c>
      <c r="N617" s="13" t="str">
        <f t="shared" ca="1" si="19"/>
        <v>CLOSED</v>
      </c>
    </row>
    <row r="618" spans="1:14" ht="28.8" x14ac:dyDescent="0.3">
      <c r="A618" s="9" t="s">
        <v>597</v>
      </c>
      <c r="B618" s="13">
        <f>VLOOKUP(Table27[[#This Row],[Location 
(drop-down)]],'List source'!D$2:E$60,2,FALSE)</f>
        <v>139</v>
      </c>
      <c r="C618" s="222" t="s">
        <v>1758</v>
      </c>
      <c r="D618" s="30" t="str">
        <f t="shared" si="18"/>
        <v>PTO617-139-24</v>
      </c>
      <c r="E618" s="9" t="s">
        <v>1759</v>
      </c>
      <c r="F618" s="10" t="str" cm="1">
        <f t="array" aca="1" ref="F6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618" s="10">
        <v>86.85</v>
      </c>
      <c r="I618" s="12">
        <v>45435</v>
      </c>
      <c r="J618" s="12" t="s">
        <v>495</v>
      </c>
      <c r="K618" s="77">
        <v>45516</v>
      </c>
      <c r="L618" s="10" t="s">
        <v>510</v>
      </c>
      <c r="M618" s="427">
        <v>617</v>
      </c>
      <c r="N618" s="13" t="str">
        <f t="shared" ca="1" si="19"/>
        <v>CLOSED</v>
      </c>
    </row>
    <row r="619" spans="1:14" ht="18" x14ac:dyDescent="0.3">
      <c r="A619" s="9" t="s">
        <v>597</v>
      </c>
      <c r="B619" s="13">
        <f>VLOOKUP(Table27[[#This Row],[Location 
(drop-down)]],'List source'!D$2:E$60,2,FALSE)</f>
        <v>139</v>
      </c>
      <c r="C619" s="222" t="s">
        <v>1760</v>
      </c>
      <c r="D619" s="30" t="str">
        <f t="shared" si="18"/>
        <v>PTO618-139-24</v>
      </c>
      <c r="E619" s="9" t="s">
        <v>1761</v>
      </c>
      <c r="F619" s="10" t="str" cm="1">
        <f t="array" aca="1" ref="F6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(EPA)</v>
      </c>
      <c r="H619" s="10">
        <v>5.07</v>
      </c>
      <c r="I619" s="12">
        <v>45435</v>
      </c>
      <c r="J619" s="12" t="s">
        <v>60</v>
      </c>
      <c r="K619" s="77">
        <v>45520</v>
      </c>
      <c r="L619" s="10"/>
      <c r="M619" s="427">
        <v>618</v>
      </c>
      <c r="N619" s="13" t="str">
        <f t="shared" ca="1" si="19"/>
        <v>CLOSED</v>
      </c>
    </row>
    <row r="620" spans="1:14" ht="28.8" x14ac:dyDescent="0.3">
      <c r="A620" s="9" t="s">
        <v>597</v>
      </c>
      <c r="B620" s="13">
        <f>VLOOKUP(Table27[[#This Row],[Location 
(drop-down)]],'List source'!D$2:E$60,2,FALSE)</f>
        <v>139</v>
      </c>
      <c r="C620" s="222" t="s">
        <v>1762</v>
      </c>
      <c r="D620" s="30" t="str">
        <f t="shared" si="18"/>
        <v>PTO619-139-24</v>
      </c>
      <c r="E620" s="9" t="s">
        <v>1763</v>
      </c>
      <c r="F620" s="10" t="str" cm="1">
        <f t="array" aca="1" ref="F6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20" s="10">
        <v>3.3</v>
      </c>
      <c r="I620" s="12">
        <v>45435</v>
      </c>
      <c r="J620" s="12" t="s">
        <v>60</v>
      </c>
      <c r="K620" s="77">
        <v>45532</v>
      </c>
      <c r="L620" s="10"/>
      <c r="M620" s="427">
        <v>619</v>
      </c>
      <c r="N620" s="13" t="str">
        <f t="shared" ca="1" si="19"/>
        <v>CLOSED</v>
      </c>
    </row>
    <row r="621" spans="1:14" ht="28.8" x14ac:dyDescent="0.3">
      <c r="A621" s="9" t="s">
        <v>597</v>
      </c>
      <c r="B621" s="13">
        <f>VLOOKUP(Table27[[#This Row],[Location 
(drop-down)]],'List source'!D$2:E$60,2,FALSE)</f>
        <v>139</v>
      </c>
      <c r="C621" s="222" t="s">
        <v>1764</v>
      </c>
      <c r="D621" s="30" t="str">
        <f t="shared" si="18"/>
        <v>PTO620-139-24</v>
      </c>
      <c r="E621" s="9" t="s">
        <v>1765</v>
      </c>
      <c r="F621" s="10" t="str" cm="1">
        <f t="array" aca="1" ref="F6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621" s="39" t="s">
        <v>1766</v>
      </c>
      <c r="I621" s="12">
        <v>45435</v>
      </c>
      <c r="J621" s="12" t="s">
        <v>495</v>
      </c>
      <c r="K621" s="77">
        <v>45516</v>
      </c>
      <c r="L621" s="10" t="s">
        <v>510</v>
      </c>
      <c r="M621" s="427">
        <v>620</v>
      </c>
      <c r="N621" s="13" t="str">
        <f t="shared" ca="1" si="19"/>
        <v>CLOSED</v>
      </c>
    </row>
    <row r="622" spans="1:14" ht="43.2" x14ac:dyDescent="0.3">
      <c r="A622" s="9" t="s">
        <v>273</v>
      </c>
      <c r="B622" s="13">
        <f>VLOOKUP(Table27[[#This Row],[Location 
(drop-down)]],'List source'!D$2:E$60,2,FALSE)</f>
        <v>140</v>
      </c>
      <c r="C622" s="222" t="s">
        <v>1767</v>
      </c>
      <c r="D622" s="30" t="str">
        <f t="shared" si="18"/>
        <v>PTO621-140-24</v>
      </c>
      <c r="E622" s="9" t="s">
        <v>1768</v>
      </c>
      <c r="F622" s="10" t="str" cm="1">
        <f t="array" aca="1" ref="F6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622" s="10">
        <v>-2.54</v>
      </c>
      <c r="I622" s="12">
        <v>45435</v>
      </c>
      <c r="J622" s="12" t="s">
        <v>495</v>
      </c>
      <c r="K622" s="77">
        <v>45435</v>
      </c>
      <c r="L622" s="10" t="s">
        <v>496</v>
      </c>
      <c r="M622" s="427">
        <v>621</v>
      </c>
      <c r="N622" s="13" t="str">
        <f t="shared" ca="1" si="19"/>
        <v>CLOSED</v>
      </c>
    </row>
    <row r="623" spans="1:14" ht="43.2" x14ac:dyDescent="0.3">
      <c r="A623" s="9" t="s">
        <v>273</v>
      </c>
      <c r="B623" s="13">
        <f>VLOOKUP(Table27[[#This Row],[Location 
(drop-down)]],'List source'!D$2:E$60,2,FALSE)</f>
        <v>140</v>
      </c>
      <c r="C623" s="222" t="s">
        <v>1769</v>
      </c>
      <c r="D623" s="30" t="str">
        <f t="shared" si="18"/>
        <v>PTO622-140-24</v>
      </c>
      <c r="E623" s="9" t="s">
        <v>1770</v>
      </c>
      <c r="F623" s="10" t="str" cm="1">
        <f t="array" aca="1" ref="F6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23" s="10">
        <v>-2.91</v>
      </c>
      <c r="I623" s="12">
        <v>45435</v>
      </c>
      <c r="J623" s="12" t="s">
        <v>495</v>
      </c>
      <c r="K623" s="77">
        <v>45435</v>
      </c>
      <c r="L623" s="10" t="s">
        <v>496</v>
      </c>
      <c r="M623" s="427">
        <v>622</v>
      </c>
      <c r="N623" s="13" t="str">
        <f t="shared" ca="1" si="19"/>
        <v>CLOSED</v>
      </c>
    </row>
    <row r="624" spans="1:14" ht="43.2" x14ac:dyDescent="0.3">
      <c r="A624" s="9" t="s">
        <v>310</v>
      </c>
      <c r="B624" s="13">
        <f>VLOOKUP(Table27[[#This Row],[Location 
(drop-down)]],'List source'!D$2:E$60,2,FALSE)</f>
        <v>144</v>
      </c>
      <c r="C624" s="222" t="s">
        <v>1771</v>
      </c>
      <c r="D624" s="30" t="str">
        <f t="shared" si="18"/>
        <v>PTO623-144-24</v>
      </c>
      <c r="E624" s="9" t="s">
        <v>1772</v>
      </c>
      <c r="F624" s="10" t="str" cm="1">
        <f t="array" aca="1" ref="F6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24" s="10">
        <v>2.19</v>
      </c>
      <c r="I624" s="12">
        <v>45435</v>
      </c>
      <c r="J624" s="12" t="s">
        <v>495</v>
      </c>
      <c r="K624" s="77">
        <v>45435</v>
      </c>
      <c r="L624" s="10" t="s">
        <v>496</v>
      </c>
      <c r="M624" s="427">
        <v>623</v>
      </c>
      <c r="N624" s="13" t="str">
        <f t="shared" ca="1" si="19"/>
        <v>CLOSED</v>
      </c>
    </row>
    <row r="625" spans="1:14" ht="28.8" x14ac:dyDescent="0.3">
      <c r="A625" s="235" t="s">
        <v>145</v>
      </c>
      <c r="B625" s="236">
        <f>VLOOKUP(Table27[[#This Row],[Location 
(drop-down)]],'List source'!D$2:E$60,2,FALSE)</f>
        <v>145</v>
      </c>
      <c r="C625" s="262" t="s">
        <v>1773</v>
      </c>
      <c r="D625" s="238" t="str">
        <f t="shared" si="18"/>
        <v>PTO624-145-24</v>
      </c>
      <c r="E625" s="235" t="s">
        <v>1774</v>
      </c>
      <c r="F625" s="263" t="str" cm="1">
        <f t="array" aca="1" ref="F6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5"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625" s="263">
        <v>2.0099999999999998</v>
      </c>
      <c r="I625" s="264">
        <v>45435</v>
      </c>
      <c r="J625" s="264" t="s">
        <v>182</v>
      </c>
      <c r="K625" s="250">
        <v>45639</v>
      </c>
      <c r="L625" s="10"/>
      <c r="M625" s="427">
        <v>624</v>
      </c>
      <c r="N625" s="13" t="str">
        <f t="shared" ca="1" si="19"/>
        <v>CLOSED</v>
      </c>
    </row>
    <row r="626" spans="1:14" ht="18" x14ac:dyDescent="0.3">
      <c r="A626" s="189" t="s">
        <v>70</v>
      </c>
      <c r="B626" s="217">
        <f>VLOOKUP(Table27[[#This Row],[Location 
(drop-down)]],'List source'!D$2:E$60,2,FALSE)</f>
        <v>146</v>
      </c>
      <c r="C626" s="251" t="s">
        <v>1775</v>
      </c>
      <c r="D626" s="201" t="str">
        <f t="shared" si="18"/>
        <v>PTO625-146-24</v>
      </c>
      <c r="E626" s="9" t="s">
        <v>1776</v>
      </c>
      <c r="F626" s="10" t="str" cm="1">
        <f t="array" aca="1" ref="F6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26" s="39" t="s">
        <v>686</v>
      </c>
      <c r="I626" s="12">
        <v>45435</v>
      </c>
      <c r="J626" s="234" t="s">
        <v>60</v>
      </c>
      <c r="K626" s="220">
        <v>45685</v>
      </c>
      <c r="L626" s="10"/>
      <c r="M626" s="427">
        <v>625</v>
      </c>
      <c r="N626" s="13" t="str">
        <f t="shared" ca="1" si="19"/>
        <v>CLOSED</v>
      </c>
    </row>
    <row r="627" spans="1:14" ht="43.2" x14ac:dyDescent="0.3">
      <c r="A627" s="189" t="s">
        <v>70</v>
      </c>
      <c r="B627" s="217">
        <f>VLOOKUP(Table27[[#This Row],[Location 
(drop-down)]],'List source'!D$2:E$60,2,FALSE)</f>
        <v>146</v>
      </c>
      <c r="C627" s="251" t="s">
        <v>1777</v>
      </c>
      <c r="D627" s="201" t="str">
        <f t="shared" si="18"/>
        <v>PTO626-146-24</v>
      </c>
      <c r="E627" s="9" t="s">
        <v>1778</v>
      </c>
      <c r="F627" s="10" t="str" cm="1">
        <f t="array" aca="1" ref="F6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27" s="10" t="s">
        <v>1779</v>
      </c>
      <c r="I627" s="12">
        <v>45435</v>
      </c>
      <c r="J627" s="234" t="s">
        <v>60</v>
      </c>
      <c r="K627" s="220">
        <v>45882</v>
      </c>
      <c r="L627" s="10"/>
      <c r="M627" s="427">
        <v>626</v>
      </c>
      <c r="N627" s="13" t="str">
        <f t="shared" ca="1" si="19"/>
        <v>CLOSED</v>
      </c>
    </row>
    <row r="628" spans="1:14" ht="43.2" x14ac:dyDescent="0.3">
      <c r="A628" s="9" t="s">
        <v>65</v>
      </c>
      <c r="B628" s="13">
        <f>VLOOKUP(Table27[[#This Row],[Location 
(drop-down)]],'List source'!D$2:E$60,2,FALSE)</f>
        <v>155</v>
      </c>
      <c r="C628" s="222" t="s">
        <v>1780</v>
      </c>
      <c r="D628" s="30" t="str">
        <f t="shared" ref="D628:D691" si="20">"PTO" &amp; C628 &amp; "-" &amp; B628 &amp; "-" &amp; "24"</f>
        <v>PTO627-155-24</v>
      </c>
      <c r="E628" s="9" t="s">
        <v>1781</v>
      </c>
      <c r="F628" s="10" t="str" cm="1">
        <f t="array" aca="1" ref="F6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28" s="10">
        <v>2.5</v>
      </c>
      <c r="I628" s="12">
        <v>45435</v>
      </c>
      <c r="J628" s="12" t="s">
        <v>495</v>
      </c>
      <c r="K628" s="77">
        <v>45435</v>
      </c>
      <c r="L628" s="10" t="s">
        <v>496</v>
      </c>
      <c r="M628" s="427">
        <v>627</v>
      </c>
      <c r="N628" s="13" t="str">
        <f t="shared" ref="N628:N691" ca="1" si="21">IF(ISBLANK(K628), TODAY()-(I628), "CLOSED")</f>
        <v>CLOSED</v>
      </c>
    </row>
    <row r="629" spans="1:14" ht="28.8" x14ac:dyDescent="0.3">
      <c r="A629" s="9" t="s">
        <v>65</v>
      </c>
      <c r="B629" s="13">
        <f>VLOOKUP(Table27[[#This Row],[Location 
(drop-down)]],'List source'!D$2:E$60,2,FALSE)</f>
        <v>155</v>
      </c>
      <c r="C629" s="222" t="s">
        <v>1782</v>
      </c>
      <c r="D629" s="30" t="str">
        <f t="shared" si="20"/>
        <v>PTO628-155-24</v>
      </c>
      <c r="E629" s="9" t="s">
        <v>1783</v>
      </c>
      <c r="F629" s="10" t="str" cm="1">
        <f t="array" aca="1" ref="F6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D5191-20 &amp; -22 - Vapor Pressure</v>
      </c>
      <c r="H629" s="39" t="s">
        <v>1784</v>
      </c>
      <c r="I629" s="12">
        <v>45435</v>
      </c>
      <c r="J629" s="12" t="s">
        <v>495</v>
      </c>
      <c r="K629" s="77">
        <v>45435</v>
      </c>
      <c r="L629" s="10" t="s">
        <v>510</v>
      </c>
      <c r="M629" s="427">
        <v>628</v>
      </c>
      <c r="N629" s="13" t="str">
        <f t="shared" ca="1" si="21"/>
        <v>CLOSED</v>
      </c>
    </row>
    <row r="630" spans="1:14" ht="28.8" x14ac:dyDescent="0.3">
      <c r="A630" s="9" t="s">
        <v>235</v>
      </c>
      <c r="B630" s="13">
        <f>VLOOKUP(Table27[[#This Row],[Location 
(drop-down)]],'List source'!D$2:E$60,2,FALSE)</f>
        <v>160</v>
      </c>
      <c r="C630" s="222" t="s">
        <v>1785</v>
      </c>
      <c r="D630" s="30" t="str">
        <f t="shared" si="20"/>
        <v>PTO629-160-24</v>
      </c>
      <c r="E630" s="9" t="s">
        <v>1786</v>
      </c>
      <c r="F630" s="10" t="str" cm="1">
        <f t="array" aca="1" ref="F6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&amp; (EPA)</v>
      </c>
      <c r="H630" s="10" t="s">
        <v>1787</v>
      </c>
      <c r="I630" s="12">
        <v>45435</v>
      </c>
      <c r="J630" s="12" t="s">
        <v>182</v>
      </c>
      <c r="K630" s="77">
        <v>45581</v>
      </c>
      <c r="L630" s="10"/>
      <c r="M630" s="427">
        <v>629</v>
      </c>
      <c r="N630" s="13" t="str">
        <f t="shared" ca="1" si="21"/>
        <v>CLOSED</v>
      </c>
    </row>
    <row r="631" spans="1:14" ht="18" x14ac:dyDescent="0.3">
      <c r="A631" s="9" t="s">
        <v>235</v>
      </c>
      <c r="B631" s="13">
        <f>VLOOKUP(Table27[[#This Row],[Location 
(drop-down)]],'List source'!D$2:E$60,2,FALSE)</f>
        <v>160</v>
      </c>
      <c r="C631" s="222" t="s">
        <v>1788</v>
      </c>
      <c r="D631" s="30" t="str">
        <f t="shared" si="20"/>
        <v>PTO630-160-24</v>
      </c>
      <c r="E631" s="9" t="s">
        <v>1789</v>
      </c>
      <c r="F631" s="10" t="str" cm="1">
        <f t="array" aca="1" ref="F6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631" s="39" t="s">
        <v>1287</v>
      </c>
      <c r="I631" s="12">
        <v>45435</v>
      </c>
      <c r="J631" s="12" t="s">
        <v>182</v>
      </c>
      <c r="K631" s="77">
        <v>45698</v>
      </c>
      <c r="L631" s="10"/>
      <c r="M631" s="427">
        <v>630</v>
      </c>
      <c r="N631" s="13" t="str">
        <f t="shared" ca="1" si="21"/>
        <v>CLOSED</v>
      </c>
    </row>
    <row r="632" spans="1:14" ht="28.8" x14ac:dyDescent="0.3">
      <c r="A632" s="9" t="s">
        <v>209</v>
      </c>
      <c r="B632" s="13">
        <f>VLOOKUP(Table27[[#This Row],[Location 
(drop-down)]],'List source'!D$2:E$60,2,FALSE)</f>
        <v>165</v>
      </c>
      <c r="C632" s="222" t="s">
        <v>1790</v>
      </c>
      <c r="D632" s="30" t="str">
        <f t="shared" si="20"/>
        <v>PTO631-165-24</v>
      </c>
      <c r="E632" s="9" t="s">
        <v>1791</v>
      </c>
      <c r="F632" s="10" t="str" cm="1">
        <f t="array" aca="1" ref="F6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32" s="39" t="s">
        <v>1792</v>
      </c>
      <c r="I632" s="12">
        <v>45435</v>
      </c>
      <c r="J632" s="12" t="s">
        <v>182</v>
      </c>
      <c r="K632" s="77">
        <v>45711</v>
      </c>
      <c r="L632" s="10"/>
      <c r="M632" s="427">
        <v>631</v>
      </c>
      <c r="N632" s="13" t="str">
        <f t="shared" ca="1" si="21"/>
        <v>CLOSED</v>
      </c>
    </row>
    <row r="633" spans="1:14" ht="43.2" x14ac:dyDescent="0.3">
      <c r="A633" s="9" t="s">
        <v>57</v>
      </c>
      <c r="B633" s="13">
        <f>VLOOKUP(Table27[[#This Row],[Location 
(drop-down)]],'List source'!D$2:E$60,2,FALSE)</f>
        <v>170</v>
      </c>
      <c r="C633" s="222" t="s">
        <v>1793</v>
      </c>
      <c r="D633" s="30" t="str">
        <f t="shared" si="20"/>
        <v>PTO632-170-24</v>
      </c>
      <c r="E633" s="9" t="s">
        <v>1794</v>
      </c>
      <c r="F633" s="10" t="str" cm="1">
        <f t="array" aca="1" ref="F6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633" s="10">
        <v>2.2599999999999998</v>
      </c>
      <c r="I633" s="12">
        <v>45435</v>
      </c>
      <c r="J633" s="12" t="s">
        <v>495</v>
      </c>
      <c r="K633" s="77">
        <v>45435</v>
      </c>
      <c r="L633" s="10" t="s">
        <v>496</v>
      </c>
      <c r="M633" s="427">
        <v>632</v>
      </c>
      <c r="N633" s="13" t="str">
        <f t="shared" ca="1" si="21"/>
        <v>CLOSED</v>
      </c>
    </row>
    <row r="634" spans="1:14" ht="43.2" x14ac:dyDescent="0.3">
      <c r="A634" s="9" t="s">
        <v>57</v>
      </c>
      <c r="B634" s="13">
        <f>VLOOKUP(Table27[[#This Row],[Location 
(drop-down)]],'List source'!D$2:E$60,2,FALSE)</f>
        <v>170</v>
      </c>
      <c r="C634" s="222" t="s">
        <v>1795</v>
      </c>
      <c r="D634" s="30" t="str">
        <f t="shared" si="20"/>
        <v>PTO633-170-24</v>
      </c>
      <c r="E634" s="9" t="s">
        <v>1796</v>
      </c>
      <c r="F634" s="10" t="str" cm="1">
        <f t="array" aca="1" ref="F6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34" s="10" t="s">
        <v>1797</v>
      </c>
      <c r="I634" s="12">
        <v>45435</v>
      </c>
      <c r="J634" s="12" t="s">
        <v>495</v>
      </c>
      <c r="K634" s="77">
        <v>45435</v>
      </c>
      <c r="L634" s="10" t="s">
        <v>496</v>
      </c>
      <c r="M634" s="427">
        <v>633</v>
      </c>
      <c r="N634" s="13" t="str">
        <f t="shared" ca="1" si="21"/>
        <v>CLOSED</v>
      </c>
    </row>
    <row r="635" spans="1:14" ht="43.2" x14ac:dyDescent="0.3">
      <c r="A635" s="9" t="s">
        <v>325</v>
      </c>
      <c r="B635" s="13">
        <f>VLOOKUP(Table27[[#This Row],[Location 
(drop-down)]],'List source'!D$2:E$60,2,FALSE)</f>
        <v>180</v>
      </c>
      <c r="C635" s="222" t="s">
        <v>1798</v>
      </c>
      <c r="D635" s="30" t="str">
        <f t="shared" si="20"/>
        <v>PTO634-180-24</v>
      </c>
      <c r="E635" s="9" t="s">
        <v>1772</v>
      </c>
      <c r="F635" s="10" t="str" cm="1">
        <f t="array" aca="1" ref="F6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35" s="10">
        <v>2.19</v>
      </c>
      <c r="I635" s="12">
        <v>45435</v>
      </c>
      <c r="J635" s="12" t="s">
        <v>495</v>
      </c>
      <c r="K635" s="77">
        <v>45435</v>
      </c>
      <c r="L635" s="10" t="s">
        <v>496</v>
      </c>
      <c r="M635" s="427">
        <v>634</v>
      </c>
      <c r="N635" s="13" t="str">
        <f t="shared" ca="1" si="21"/>
        <v>CLOSED</v>
      </c>
    </row>
    <row r="636" spans="1:14" ht="28.8" x14ac:dyDescent="0.3">
      <c r="A636" s="9" t="s">
        <v>325</v>
      </c>
      <c r="B636" s="13">
        <f>VLOOKUP(Table27[[#This Row],[Location 
(drop-down)]],'List source'!D$2:E$60,2,FALSE)</f>
        <v>180</v>
      </c>
      <c r="C636" s="222" t="s">
        <v>1799</v>
      </c>
      <c r="D636" s="30" t="str">
        <f t="shared" si="20"/>
        <v>PTO635-180-24</v>
      </c>
      <c r="E636" s="9" t="s">
        <v>1800</v>
      </c>
      <c r="F636" s="10" t="str" cm="1">
        <f t="array" aca="1" ref="F6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636" s="39" t="s">
        <v>1801</v>
      </c>
      <c r="I636" s="12">
        <v>45435</v>
      </c>
      <c r="J636" s="12" t="s">
        <v>495</v>
      </c>
      <c r="K636" s="77">
        <v>45540</v>
      </c>
      <c r="L636" s="10" t="s">
        <v>1802</v>
      </c>
      <c r="M636" s="427">
        <v>635</v>
      </c>
      <c r="N636" s="13" t="str">
        <f t="shared" ca="1" si="21"/>
        <v>CLOSED</v>
      </c>
    </row>
    <row r="637" spans="1:14" ht="28.8" x14ac:dyDescent="0.3">
      <c r="A637" s="9" t="s">
        <v>388</v>
      </c>
      <c r="B637" s="13">
        <f>VLOOKUP(Table27[[#This Row],[Location 
(drop-down)]],'List source'!D$2:E$60,2,FALSE)</f>
        <v>191</v>
      </c>
      <c r="C637" s="222" t="s">
        <v>1803</v>
      </c>
      <c r="D637" s="30" t="str">
        <f t="shared" si="20"/>
        <v>PTO636-191-24</v>
      </c>
      <c r="E637" s="9" t="s">
        <v>1804</v>
      </c>
      <c r="F637" s="10" t="str" cm="1">
        <f t="array" aca="1" ref="F6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Multiple Parameters</v>
      </c>
      <c r="H637" s="10" t="s">
        <v>1805</v>
      </c>
      <c r="I637" s="12">
        <v>45435</v>
      </c>
      <c r="J637" s="12" t="s">
        <v>495</v>
      </c>
      <c r="K637" s="77">
        <v>45435</v>
      </c>
      <c r="L637" s="10" t="s">
        <v>510</v>
      </c>
      <c r="M637" s="427">
        <v>636</v>
      </c>
      <c r="N637" s="13" t="str">
        <f t="shared" ca="1" si="21"/>
        <v>CLOSED</v>
      </c>
    </row>
    <row r="638" spans="1:14" ht="28.8" x14ac:dyDescent="0.3">
      <c r="A638" s="9" t="s">
        <v>388</v>
      </c>
      <c r="B638" s="13">
        <f>VLOOKUP(Table27[[#This Row],[Location 
(drop-down)]],'List source'!D$2:E$60,2,FALSE)</f>
        <v>191</v>
      </c>
      <c r="C638" s="222" t="s">
        <v>1806</v>
      </c>
      <c r="D638" s="30" t="str">
        <f t="shared" si="20"/>
        <v>PTO637-191-24</v>
      </c>
      <c r="E638" s="9" t="s">
        <v>1741</v>
      </c>
      <c r="F638" s="10" t="str" cm="1">
        <f t="array" aca="1" ref="F6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38" s="39" t="s">
        <v>585</v>
      </c>
      <c r="I638" s="12">
        <v>45435</v>
      </c>
      <c r="J638" s="12" t="s">
        <v>60</v>
      </c>
      <c r="K638" s="77">
        <v>45610</v>
      </c>
      <c r="L638" s="10"/>
      <c r="M638" s="427">
        <v>637</v>
      </c>
      <c r="N638" s="13" t="str">
        <f t="shared" ca="1" si="21"/>
        <v>CLOSED</v>
      </c>
    </row>
    <row r="639" spans="1:14" ht="28.8" x14ac:dyDescent="0.3">
      <c r="A639" s="9" t="s">
        <v>261</v>
      </c>
      <c r="B639" s="13">
        <f>VLOOKUP(Table27[[#This Row],[Location 
(drop-down)]],'List source'!D$2:E$60,2,FALSE)</f>
        <v>210</v>
      </c>
      <c r="C639" s="222" t="s">
        <v>1807</v>
      </c>
      <c r="D639" s="30" t="str">
        <f t="shared" si="20"/>
        <v>PTO638-210-24</v>
      </c>
      <c r="E639" s="9" t="s">
        <v>1808</v>
      </c>
      <c r="F639" s="10" t="str" cm="1">
        <f t="array" aca="1" ref="F6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639" s="39" t="s">
        <v>1809</v>
      </c>
      <c r="I639" s="12">
        <v>45435</v>
      </c>
      <c r="J639" s="12" t="s">
        <v>498</v>
      </c>
      <c r="K639" s="77">
        <v>45535</v>
      </c>
      <c r="L639" s="10"/>
      <c r="M639" s="427">
        <v>638</v>
      </c>
      <c r="N639" s="13" t="str">
        <f t="shared" ca="1" si="21"/>
        <v>CLOSED</v>
      </c>
    </row>
    <row r="640" spans="1:14" ht="18" x14ac:dyDescent="0.3">
      <c r="A640" s="9" t="s">
        <v>564</v>
      </c>
      <c r="B640" s="13">
        <f>VLOOKUP(Table27[[#This Row],[Location 
(drop-down)]],'List source'!D$2:E$60,2,FALSE)</f>
        <v>215</v>
      </c>
      <c r="C640" s="222" t="s">
        <v>1810</v>
      </c>
      <c r="D640" s="30" t="str">
        <f t="shared" si="20"/>
        <v>PTO639-215-24</v>
      </c>
      <c r="E640" s="9" t="s">
        <v>1811</v>
      </c>
      <c r="F640" s="10" t="str" cm="1">
        <f t="array" aca="1" ref="F6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Distillation</v>
      </c>
      <c r="H640" s="10">
        <v>17.78</v>
      </c>
      <c r="I640" s="12">
        <v>45435</v>
      </c>
      <c r="J640" s="12" t="s">
        <v>498</v>
      </c>
      <c r="K640" s="77">
        <v>45530</v>
      </c>
      <c r="L640" s="10"/>
      <c r="M640" s="427">
        <v>639</v>
      </c>
      <c r="N640" s="13" t="str">
        <f t="shared" ca="1" si="21"/>
        <v>CLOSED</v>
      </c>
    </row>
    <row r="641" spans="1:14" ht="18" x14ac:dyDescent="0.3">
      <c r="A641" s="9" t="s">
        <v>564</v>
      </c>
      <c r="B641" s="13">
        <f>VLOOKUP(Table27[[#This Row],[Location 
(drop-down)]],'List source'!D$2:E$60,2,FALSE)</f>
        <v>215</v>
      </c>
      <c r="C641" s="222" t="s">
        <v>1812</v>
      </c>
      <c r="D641" s="30" t="str">
        <f t="shared" si="20"/>
        <v>PTO640-215-24</v>
      </c>
      <c r="E641" s="9" t="s">
        <v>1813</v>
      </c>
      <c r="F641" s="10" t="str" cm="1">
        <f t="array" aca="1" ref="F6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41" s="10">
        <v>2.37</v>
      </c>
      <c r="I641" s="12">
        <v>45435</v>
      </c>
      <c r="J641" s="12" t="s">
        <v>195</v>
      </c>
      <c r="K641" s="77">
        <v>45530</v>
      </c>
      <c r="L641" s="10"/>
      <c r="M641" s="427">
        <v>640</v>
      </c>
      <c r="N641" s="13" t="str">
        <f t="shared" ca="1" si="21"/>
        <v>CLOSED</v>
      </c>
    </row>
    <row r="642" spans="1:14" ht="43.2" x14ac:dyDescent="0.3">
      <c r="A642" s="9" t="s">
        <v>564</v>
      </c>
      <c r="B642" s="13">
        <f>VLOOKUP(Table27[[#This Row],[Location 
(drop-down)]],'List source'!D$2:E$60,2,FALSE)</f>
        <v>215</v>
      </c>
      <c r="C642" s="222" t="s">
        <v>1814</v>
      </c>
      <c r="D642" s="30" t="str">
        <f t="shared" si="20"/>
        <v>PTO641-215-24</v>
      </c>
      <c r="E642" s="9" t="s">
        <v>1815</v>
      </c>
      <c r="F642" s="10" t="str" cm="1">
        <f t="array" aca="1" ref="F6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642" s="10">
        <v>2.29</v>
      </c>
      <c r="I642" s="12">
        <v>45435</v>
      </c>
      <c r="J642" s="12" t="s">
        <v>495</v>
      </c>
      <c r="K642" s="77">
        <v>45435</v>
      </c>
      <c r="L642" s="10" t="s">
        <v>496</v>
      </c>
      <c r="M642" s="427">
        <v>641</v>
      </c>
      <c r="N642" s="13" t="str">
        <f t="shared" ca="1" si="21"/>
        <v>CLOSED</v>
      </c>
    </row>
    <row r="643" spans="1:14" ht="18" x14ac:dyDescent="0.3">
      <c r="A643" s="9" t="s">
        <v>65</v>
      </c>
      <c r="B643" s="13">
        <f>VLOOKUP(Table27[[#This Row],[Location 
(drop-down)]],'List source'!D$2:E$60,2,FALSE)</f>
        <v>155</v>
      </c>
      <c r="C643" s="222" t="s">
        <v>1816</v>
      </c>
      <c r="D643" s="30" t="str">
        <f t="shared" si="20"/>
        <v>PTO642-155-24</v>
      </c>
      <c r="E643" s="9" t="s">
        <v>1817</v>
      </c>
      <c r="F643" s="10" t="str" cm="1">
        <f t="array" aca="1" ref="F6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43" s="10">
        <v>77.349999999999994</v>
      </c>
      <c r="I643" s="12">
        <v>45435</v>
      </c>
      <c r="J643" s="12" t="s">
        <v>495</v>
      </c>
      <c r="K643" s="77">
        <v>45435</v>
      </c>
      <c r="L643" s="10" t="s">
        <v>510</v>
      </c>
      <c r="M643" s="427">
        <v>642</v>
      </c>
      <c r="N643" s="13" t="str">
        <f t="shared" ca="1" si="21"/>
        <v>CLOSED</v>
      </c>
    </row>
    <row r="644" spans="1:14" ht="18" x14ac:dyDescent="0.3">
      <c r="A644" s="239" t="s">
        <v>65</v>
      </c>
      <c r="B644" s="240">
        <f>VLOOKUP(Table27[[#This Row],[Location 
(drop-down)]],'List source'!D$2:E$60,2,FALSE)</f>
        <v>155</v>
      </c>
      <c r="C644" s="295" t="s">
        <v>1818</v>
      </c>
      <c r="D644" s="242" t="str">
        <f t="shared" si="20"/>
        <v>PTO643-155-24</v>
      </c>
      <c r="E644" s="239" t="s">
        <v>1819</v>
      </c>
      <c r="F644" s="245" t="str" cm="1">
        <f t="array" aca="1" ref="F6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4"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644" s="245">
        <v>2.76</v>
      </c>
      <c r="I644" s="246">
        <v>45435</v>
      </c>
      <c r="J644" s="246" t="s">
        <v>182</v>
      </c>
      <c r="K644" s="247">
        <v>45649</v>
      </c>
      <c r="L644" s="10"/>
      <c r="M644" s="427">
        <v>643</v>
      </c>
      <c r="N644" s="13" t="str">
        <f t="shared" ca="1" si="21"/>
        <v>CLOSED</v>
      </c>
    </row>
    <row r="645" spans="1:14" ht="18" x14ac:dyDescent="0.3">
      <c r="A645" s="9" t="s">
        <v>235</v>
      </c>
      <c r="B645" s="13">
        <f>VLOOKUP(Table27[[#This Row],[Location 
(drop-down)]],'List source'!D$2:E$60,2,FALSE)</f>
        <v>160</v>
      </c>
      <c r="C645" s="222" t="s">
        <v>1820</v>
      </c>
      <c r="D645" s="30" t="str">
        <f t="shared" si="20"/>
        <v>PTO644-160-24</v>
      </c>
      <c r="E645" s="9" t="s">
        <v>1821</v>
      </c>
      <c r="F645" s="10" t="str" cm="1">
        <f t="array" aca="1" ref="F6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45" s="10">
        <v>5.55</v>
      </c>
      <c r="I645" s="12">
        <v>45435</v>
      </c>
      <c r="J645" s="12" t="s">
        <v>182</v>
      </c>
      <c r="K645" s="77">
        <v>45566</v>
      </c>
      <c r="L645" s="10"/>
      <c r="M645" s="427">
        <v>644</v>
      </c>
      <c r="N645" s="13" t="str">
        <f t="shared" ca="1" si="21"/>
        <v>CLOSED</v>
      </c>
    </row>
    <row r="646" spans="1:14" ht="28.8" x14ac:dyDescent="0.3">
      <c r="A646" s="9" t="s">
        <v>57</v>
      </c>
      <c r="B646" s="13">
        <f>VLOOKUP(Table27[[#This Row],[Location 
(drop-down)]],'List source'!D$2:E$60,2,FALSE)</f>
        <v>170</v>
      </c>
      <c r="C646" s="222" t="s">
        <v>1822</v>
      </c>
      <c r="D646" s="30" t="str">
        <f t="shared" si="20"/>
        <v>PTO645-170-24</v>
      </c>
      <c r="E646" s="9" t="s">
        <v>1823</v>
      </c>
      <c r="F646" s="10" t="str" cm="1">
        <f t="array" aca="1" ref="F6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46" s="39" t="s">
        <v>1824</v>
      </c>
      <c r="I646" s="12">
        <v>45435</v>
      </c>
      <c r="J646" s="12" t="s">
        <v>60</v>
      </c>
      <c r="K646" s="77">
        <v>45511</v>
      </c>
      <c r="L646" s="10"/>
      <c r="M646" s="427">
        <v>645</v>
      </c>
      <c r="N646" s="13" t="str">
        <f t="shared" ca="1" si="21"/>
        <v>CLOSED</v>
      </c>
    </row>
    <row r="647" spans="1:14" ht="28.8" x14ac:dyDescent="0.3">
      <c r="A647" s="9" t="s">
        <v>57</v>
      </c>
      <c r="B647" s="13">
        <f>VLOOKUP(Table27[[#This Row],[Location 
(drop-down)]],'List source'!D$2:E$60,2,FALSE)</f>
        <v>170</v>
      </c>
      <c r="C647" s="222" t="s">
        <v>1825</v>
      </c>
      <c r="D647" s="30" t="str">
        <f t="shared" si="20"/>
        <v>PTO646-170-24</v>
      </c>
      <c r="E647" s="9" t="s">
        <v>1826</v>
      </c>
      <c r="F647" s="10" t="str" cm="1">
        <f t="array" aca="1" ref="F6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647" s="10" t="s">
        <v>1827</v>
      </c>
      <c r="I647" s="12">
        <v>45435</v>
      </c>
      <c r="J647" s="12" t="s">
        <v>60</v>
      </c>
      <c r="K647" s="77">
        <v>45517</v>
      </c>
      <c r="L647" s="10"/>
      <c r="M647" s="427">
        <v>646</v>
      </c>
      <c r="N647" s="13" t="str">
        <f t="shared" ca="1" si="21"/>
        <v>CLOSED</v>
      </c>
    </row>
    <row r="648" spans="1:14" ht="28.8" x14ac:dyDescent="0.3">
      <c r="A648" s="9" t="s">
        <v>388</v>
      </c>
      <c r="B648" s="13">
        <f>VLOOKUP(Table27[[#This Row],[Location 
(drop-down)]],'List source'!D$2:E$60,2,FALSE)</f>
        <v>191</v>
      </c>
      <c r="C648" s="222" t="s">
        <v>1828</v>
      </c>
      <c r="D648" s="30" t="str">
        <f t="shared" si="20"/>
        <v>PTO647-191-24</v>
      </c>
      <c r="E648" s="9" t="s">
        <v>1829</v>
      </c>
      <c r="F648" s="10" t="str" cm="1">
        <f t="array" aca="1" ref="F6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6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48" s="39" t="s">
        <v>1830</v>
      </c>
      <c r="I648" s="12">
        <v>45435</v>
      </c>
      <c r="J648" s="12" t="s">
        <v>495</v>
      </c>
      <c r="K648" s="77">
        <v>45435</v>
      </c>
      <c r="L648" s="10" t="s">
        <v>510</v>
      </c>
      <c r="M648" s="427">
        <v>647</v>
      </c>
      <c r="N648" s="13" t="str">
        <f t="shared" ca="1" si="21"/>
        <v>CLOSED</v>
      </c>
    </row>
    <row r="649" spans="1:14" ht="18" x14ac:dyDescent="0.3">
      <c r="A649" s="9" t="s">
        <v>107</v>
      </c>
      <c r="B649" s="13">
        <f>VLOOKUP(Table27[[#This Row],[Location 
(drop-down)]],'List source'!D$2:E$60,2,FALSE)</f>
        <v>120</v>
      </c>
      <c r="C649" s="222" t="s">
        <v>1831</v>
      </c>
      <c r="D649" s="30" t="str">
        <f t="shared" si="20"/>
        <v>PTO648-120-24</v>
      </c>
      <c r="E649" s="9" t="s">
        <v>1832</v>
      </c>
      <c r="F649" s="10" t="str" cm="1">
        <f t="array" aca="1" ref="F6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6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49" s="39" t="s">
        <v>1833</v>
      </c>
      <c r="I649" s="12">
        <v>45435</v>
      </c>
      <c r="J649" s="12" t="s">
        <v>495</v>
      </c>
      <c r="K649" s="77">
        <v>45545</v>
      </c>
      <c r="L649" s="10" t="s">
        <v>621</v>
      </c>
      <c r="M649" s="427">
        <v>648</v>
      </c>
      <c r="N649" s="13" t="str">
        <f t="shared" ca="1" si="21"/>
        <v>CLOSED</v>
      </c>
    </row>
    <row r="650" spans="1:14" ht="43.2" x14ac:dyDescent="0.3">
      <c r="A650" s="9" t="s">
        <v>107</v>
      </c>
      <c r="B650" s="13">
        <f>VLOOKUP(Table27[[#This Row],[Location 
(drop-down)]],'List source'!D$2:E$60,2,FALSE)</f>
        <v>120</v>
      </c>
      <c r="C650" s="222" t="s">
        <v>1834</v>
      </c>
      <c r="D650" s="30" t="str">
        <f t="shared" si="20"/>
        <v>PTO649-120-24</v>
      </c>
      <c r="E650" s="9" t="s">
        <v>1835</v>
      </c>
      <c r="F650" s="10" t="str" cm="1">
        <f t="array" aca="1" ref="F6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6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650" s="10">
        <v>-2.1800000000000002</v>
      </c>
      <c r="I650" s="12">
        <v>45435</v>
      </c>
      <c r="J650" s="12" t="s">
        <v>495</v>
      </c>
      <c r="K650" s="77">
        <v>45435</v>
      </c>
      <c r="L650" s="10" t="s">
        <v>496</v>
      </c>
      <c r="M650" s="427">
        <v>649</v>
      </c>
      <c r="N650" s="13" t="str">
        <f t="shared" ca="1" si="21"/>
        <v>CLOSED</v>
      </c>
    </row>
    <row r="651" spans="1:14" ht="43.2" x14ac:dyDescent="0.3">
      <c r="A651" s="9" t="s">
        <v>325</v>
      </c>
      <c r="B651" s="13">
        <f>VLOOKUP(Table27[[#This Row],[Location 
(drop-down)]],'List source'!D$2:E$60,2,FALSE)</f>
        <v>180</v>
      </c>
      <c r="C651" s="222" t="s">
        <v>1836</v>
      </c>
      <c r="D651" s="30" t="str">
        <f t="shared" si="20"/>
        <v>PTO650-180-24</v>
      </c>
      <c r="E651" s="9" t="s">
        <v>1837</v>
      </c>
      <c r="F651" s="10" t="str" cm="1">
        <f t="array" aca="1" ref="F6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6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51" s="10">
        <v>-2.63</v>
      </c>
      <c r="I651" s="12">
        <v>45435</v>
      </c>
      <c r="J651" s="12" t="s">
        <v>495</v>
      </c>
      <c r="K651" s="77">
        <v>45435</v>
      </c>
      <c r="L651" s="10" t="s">
        <v>496</v>
      </c>
      <c r="M651" s="427">
        <v>650</v>
      </c>
      <c r="N651" s="13" t="str">
        <f t="shared" ca="1" si="21"/>
        <v>CLOSED</v>
      </c>
    </row>
    <row r="652" spans="1:14" ht="28.8" x14ac:dyDescent="0.3">
      <c r="A652" s="9" t="s">
        <v>325</v>
      </c>
      <c r="B652" s="13">
        <f>VLOOKUP(Table27[[#This Row],[Location 
(drop-down)]],'List source'!D$2:E$60,2,FALSE)</f>
        <v>180</v>
      </c>
      <c r="C652" s="222" t="s">
        <v>1838</v>
      </c>
      <c r="D652" s="30" t="str">
        <f t="shared" si="20"/>
        <v>PTO651-180-24</v>
      </c>
      <c r="E652" s="9" t="s">
        <v>1839</v>
      </c>
      <c r="F652" s="10" t="str" cm="1">
        <f t="array" aca="1" ref="F6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6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2" s="10" t="s">
        <v>529</v>
      </c>
      <c r="I652" s="12">
        <v>45435</v>
      </c>
      <c r="J652" s="12" t="s">
        <v>495</v>
      </c>
      <c r="K652" s="77">
        <v>45435</v>
      </c>
      <c r="L652" s="10" t="s">
        <v>510</v>
      </c>
      <c r="M652" s="427">
        <v>651</v>
      </c>
      <c r="N652" s="13" t="str">
        <f t="shared" ca="1" si="21"/>
        <v>CLOSED</v>
      </c>
    </row>
    <row r="653" spans="1:14" ht="43.2" x14ac:dyDescent="0.3">
      <c r="A653" s="9" t="s">
        <v>138</v>
      </c>
      <c r="B653" s="13">
        <f>VLOOKUP(Table27[[#This Row],[Location 
(drop-down)]],'List source'!D$2:E$60,2,FALSE)</f>
        <v>110</v>
      </c>
      <c r="C653" s="222" t="s">
        <v>1840</v>
      </c>
      <c r="D653" s="30" t="str">
        <f t="shared" si="20"/>
        <v>PTO652-110-24</v>
      </c>
      <c r="E653" s="9" t="s">
        <v>1841</v>
      </c>
      <c r="F653" s="10" t="s">
        <v>898</v>
      </c>
      <c r="G6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3" s="10" t="s">
        <v>1842</v>
      </c>
      <c r="I653" s="12">
        <v>45435</v>
      </c>
      <c r="J653" s="12" t="s">
        <v>495</v>
      </c>
      <c r="K653" s="77">
        <v>45435</v>
      </c>
      <c r="L653" s="10" t="s">
        <v>496</v>
      </c>
      <c r="M653" s="427">
        <v>652</v>
      </c>
      <c r="N653" s="13" t="str">
        <f t="shared" ca="1" si="21"/>
        <v>CLOSED</v>
      </c>
    </row>
    <row r="654" spans="1:14" ht="18" x14ac:dyDescent="0.3">
      <c r="A654" s="9" t="s">
        <v>318</v>
      </c>
      <c r="B654" s="13">
        <f>VLOOKUP(Table27[[#This Row],[Location 
(drop-down)]],'List source'!D$2:E$60,2,FALSE)</f>
        <v>115</v>
      </c>
      <c r="C654" s="222" t="s">
        <v>1843</v>
      </c>
      <c r="D654" s="30" t="str">
        <f t="shared" si="20"/>
        <v>PTO653-115-24</v>
      </c>
      <c r="E654" s="9" t="s">
        <v>1844</v>
      </c>
      <c r="F654" s="10" t="s">
        <v>898</v>
      </c>
      <c r="G6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654" s="10">
        <v>2.0499999999999998</v>
      </c>
      <c r="I654" s="12">
        <v>45435</v>
      </c>
      <c r="J654" s="12" t="s">
        <v>495</v>
      </c>
      <c r="K654" s="77">
        <v>45435</v>
      </c>
      <c r="L654" s="10" t="s">
        <v>510</v>
      </c>
      <c r="M654" s="427">
        <v>653</v>
      </c>
      <c r="N654" s="13" t="str">
        <f t="shared" ca="1" si="21"/>
        <v>CLOSED</v>
      </c>
    </row>
    <row r="655" spans="1:14" ht="18" x14ac:dyDescent="0.3">
      <c r="A655" s="9" t="s">
        <v>29</v>
      </c>
      <c r="B655" s="13">
        <f>VLOOKUP(Table27[[#This Row],[Location 
(drop-down)]],'List source'!D$2:E$60,2,FALSE)</f>
        <v>141</v>
      </c>
      <c r="C655" s="222" t="s">
        <v>1845</v>
      </c>
      <c r="D655" s="30" t="str">
        <f t="shared" si="20"/>
        <v>PTO654-141-24</v>
      </c>
      <c r="E655" s="9" t="s">
        <v>1846</v>
      </c>
      <c r="F655" s="10" t="s">
        <v>898</v>
      </c>
      <c r="G6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55" s="10" t="s">
        <v>1847</v>
      </c>
      <c r="I655" s="12">
        <v>45435</v>
      </c>
      <c r="J655" s="12" t="s">
        <v>495</v>
      </c>
      <c r="K655" s="77">
        <v>45435</v>
      </c>
      <c r="L655" s="355" t="s">
        <v>673</v>
      </c>
      <c r="M655" s="427">
        <v>654</v>
      </c>
      <c r="N655" s="13" t="str">
        <f t="shared" ca="1" si="21"/>
        <v>CLOSED</v>
      </c>
    </row>
    <row r="656" spans="1:14" ht="18" x14ac:dyDescent="0.3">
      <c r="A656" s="9" t="s">
        <v>70</v>
      </c>
      <c r="B656" s="13">
        <f>VLOOKUP(Table27[[#This Row],[Location 
(drop-down)]],'List source'!D$2:E$60,2,FALSE)</f>
        <v>146</v>
      </c>
      <c r="C656" s="222" t="s">
        <v>1848</v>
      </c>
      <c r="D656" s="30" t="str">
        <f t="shared" si="20"/>
        <v>PTO655-146-24</v>
      </c>
      <c r="E656" s="9" t="s">
        <v>1849</v>
      </c>
      <c r="F656" s="10" t="s">
        <v>898</v>
      </c>
      <c r="G656" s="9" t="s">
        <v>1850</v>
      </c>
      <c r="H656" s="10">
        <v>-2.71</v>
      </c>
      <c r="I656" s="12">
        <v>45435</v>
      </c>
      <c r="J656" s="12" t="s">
        <v>495</v>
      </c>
      <c r="K656" s="77">
        <v>45435</v>
      </c>
      <c r="L656" s="355" t="s">
        <v>673</v>
      </c>
      <c r="M656" s="427">
        <v>655</v>
      </c>
      <c r="N656" s="13" t="str">
        <f t="shared" ca="1" si="21"/>
        <v>CLOSED</v>
      </c>
    </row>
    <row r="657" spans="1:14" ht="18" x14ac:dyDescent="0.3">
      <c r="A657" s="9" t="s">
        <v>57</v>
      </c>
      <c r="B657" s="13">
        <f>VLOOKUP(Table27[[#This Row],[Location 
(drop-down)]],'List source'!D$2:E$60,2,FALSE)</f>
        <v>170</v>
      </c>
      <c r="C657" s="222" t="s">
        <v>1851</v>
      </c>
      <c r="D657" s="30" t="str">
        <f t="shared" si="20"/>
        <v>PTO656-170-24</v>
      </c>
      <c r="E657" s="9" t="s">
        <v>1852</v>
      </c>
      <c r="F657" s="10" t="s">
        <v>898</v>
      </c>
      <c r="G657" s="9" t="s">
        <v>1853</v>
      </c>
      <c r="H657" s="10">
        <v>2.35</v>
      </c>
      <c r="I657" s="12">
        <v>45435</v>
      </c>
      <c r="J657" s="12" t="s">
        <v>495</v>
      </c>
      <c r="K657" s="77">
        <v>45435</v>
      </c>
      <c r="L657" s="355" t="s">
        <v>673</v>
      </c>
      <c r="M657" s="427">
        <v>656</v>
      </c>
      <c r="N657" s="13" t="str">
        <f t="shared" ca="1" si="21"/>
        <v>CLOSED</v>
      </c>
    </row>
    <row r="658" spans="1:14" ht="28.8" x14ac:dyDescent="0.3">
      <c r="A658" s="9" t="s">
        <v>325</v>
      </c>
      <c r="B658" s="13">
        <f>VLOOKUP(Table27[[#This Row],[Location 
(drop-down)]],'List source'!D$2:E$60,2,FALSE)</f>
        <v>180</v>
      </c>
      <c r="C658" s="222" t="s">
        <v>1854</v>
      </c>
      <c r="D658" s="30" t="str">
        <f t="shared" si="20"/>
        <v>PTO657-180-24</v>
      </c>
      <c r="E658" s="9" t="s">
        <v>1855</v>
      </c>
      <c r="F658" s="10" t="str" cm="1">
        <f t="array" aca="1" ref="F6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6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658" s="10">
        <v>22.02</v>
      </c>
      <c r="I658" s="12">
        <v>45464</v>
      </c>
      <c r="J658" s="12" t="s">
        <v>495</v>
      </c>
      <c r="K658" s="77">
        <v>45464</v>
      </c>
      <c r="L658" s="10" t="s">
        <v>510</v>
      </c>
      <c r="M658" s="427">
        <v>657</v>
      </c>
      <c r="N658" s="13" t="str">
        <f t="shared" ca="1" si="21"/>
        <v>CLOSED</v>
      </c>
    </row>
    <row r="659" spans="1:14" ht="28.8" x14ac:dyDescent="0.3">
      <c r="A659" s="9" t="s">
        <v>597</v>
      </c>
      <c r="B659" s="13">
        <f>VLOOKUP(Table27[[#This Row],[Location 
(drop-down)]],'List source'!D$2:E$60,2,FALSE)</f>
        <v>139</v>
      </c>
      <c r="C659" s="222" t="s">
        <v>1856</v>
      </c>
      <c r="D659" s="30" t="str">
        <f t="shared" si="20"/>
        <v>PTO658-139-24</v>
      </c>
      <c r="E659" s="9" t="s">
        <v>1857</v>
      </c>
      <c r="F659" s="10" t="str" cm="1">
        <f t="array" aca="1" ref="F6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6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659" s="10">
        <v>4.13</v>
      </c>
      <c r="I659" s="12">
        <v>45466</v>
      </c>
      <c r="J659" s="12" t="s">
        <v>60</v>
      </c>
      <c r="K659" s="77">
        <v>45532</v>
      </c>
      <c r="L659" s="10"/>
      <c r="M659" s="427">
        <v>658</v>
      </c>
      <c r="N659" s="13" t="str">
        <f t="shared" ca="1" si="21"/>
        <v>CLOSED</v>
      </c>
    </row>
    <row r="660" spans="1:14" ht="18" x14ac:dyDescent="0.3">
      <c r="A660" s="9" t="s">
        <v>288</v>
      </c>
      <c r="B660" s="13">
        <f>VLOOKUP(Table27[[#This Row],[Location 
(drop-down)]],'List source'!D$2:E$60,2,FALSE)</f>
        <v>197</v>
      </c>
      <c r="C660" s="222" t="s">
        <v>1858</v>
      </c>
      <c r="D660" s="30" t="str">
        <f t="shared" si="20"/>
        <v>PTO659-197-24</v>
      </c>
      <c r="E660" s="9" t="s">
        <v>1859</v>
      </c>
      <c r="F660" s="10" t="s">
        <v>1860</v>
      </c>
      <c r="G6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660" s="10">
        <v>2.29</v>
      </c>
      <c r="I660" s="12">
        <v>45471</v>
      </c>
      <c r="J660" s="12" t="s">
        <v>495</v>
      </c>
      <c r="K660" s="77">
        <v>45471</v>
      </c>
      <c r="L660" s="355" t="s">
        <v>673</v>
      </c>
      <c r="M660" s="427">
        <v>659</v>
      </c>
      <c r="N660" s="13" t="str">
        <f t="shared" ca="1" si="21"/>
        <v>CLOSED</v>
      </c>
    </row>
    <row r="661" spans="1:14" ht="18" x14ac:dyDescent="0.3">
      <c r="A661" s="9" t="s">
        <v>288</v>
      </c>
      <c r="B661" s="13">
        <f>VLOOKUP(Table27[[#This Row],[Location 
(drop-down)]],'List source'!D$2:E$60,2,FALSE)</f>
        <v>197</v>
      </c>
      <c r="C661" s="222" t="s">
        <v>1861</v>
      </c>
      <c r="D661" s="30" t="str">
        <f t="shared" si="20"/>
        <v>PTO660-197-24</v>
      </c>
      <c r="E661" s="9" t="s">
        <v>1862</v>
      </c>
      <c r="F661" s="10" t="s">
        <v>1860</v>
      </c>
      <c r="G6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D4737B - Cetane Index</v>
      </c>
      <c r="H661" s="10">
        <v>2.12</v>
      </c>
      <c r="I661" s="12">
        <v>45471</v>
      </c>
      <c r="J661" s="12" t="s">
        <v>495</v>
      </c>
      <c r="K661" s="77">
        <v>45471</v>
      </c>
      <c r="L661" s="355" t="s">
        <v>673</v>
      </c>
      <c r="M661" s="427">
        <v>660</v>
      </c>
      <c r="N661" s="13" t="str">
        <f t="shared" ca="1" si="21"/>
        <v>CLOSED</v>
      </c>
    </row>
    <row r="662" spans="1:14" ht="18" x14ac:dyDescent="0.3">
      <c r="A662" s="9" t="s">
        <v>90</v>
      </c>
      <c r="B662" s="13">
        <f>VLOOKUP(Table27[[#This Row],[Location 
(drop-down)]],'List source'!D$2:E$60,2,FALSE)</f>
        <v>157</v>
      </c>
      <c r="C662" s="222" t="s">
        <v>1863</v>
      </c>
      <c r="D662" s="30" t="str">
        <f t="shared" si="20"/>
        <v>PTO661-157-24</v>
      </c>
      <c r="E662" s="9" t="s">
        <v>1864</v>
      </c>
      <c r="F662" s="10" t="str" cm="1">
        <f t="array" aca="1" ref="F6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6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662" s="10" t="s">
        <v>529</v>
      </c>
      <c r="I662" s="12">
        <v>45492</v>
      </c>
      <c r="J662" s="12" t="s">
        <v>134</v>
      </c>
      <c r="K662" s="77">
        <v>45639</v>
      </c>
      <c r="L662" s="10"/>
      <c r="M662" s="427">
        <v>661</v>
      </c>
      <c r="N662" s="13" t="str">
        <f t="shared" ca="1" si="21"/>
        <v>CLOSED</v>
      </c>
    </row>
    <row r="663" spans="1:14" ht="28.8" x14ac:dyDescent="0.3">
      <c r="A663" s="9" t="s">
        <v>107</v>
      </c>
      <c r="B663" s="13">
        <f>VLOOKUP(Table27[[#This Row],[Location 
(drop-down)]],'List source'!D$2:E$60,2,FALSE)</f>
        <v>120</v>
      </c>
      <c r="C663" s="222" t="s">
        <v>1865</v>
      </c>
      <c r="D663" s="30" t="str">
        <f t="shared" si="20"/>
        <v>PTO662-120-24</v>
      </c>
      <c r="E663" s="9" t="s">
        <v>1866</v>
      </c>
      <c r="F663" s="10" t="str" cm="1">
        <f t="array" aca="1" ref="F6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D1298 - Density</v>
      </c>
      <c r="H663" s="39" t="s">
        <v>1867</v>
      </c>
      <c r="I663" s="12">
        <v>45495</v>
      </c>
      <c r="J663" s="12" t="s">
        <v>134</v>
      </c>
      <c r="K663" s="77">
        <v>45686</v>
      </c>
      <c r="L663" s="10"/>
      <c r="M663" s="427">
        <v>662</v>
      </c>
      <c r="N663" s="13" t="str">
        <f t="shared" ca="1" si="21"/>
        <v>CLOSED</v>
      </c>
    </row>
    <row r="664" spans="1:14" ht="28.8" x14ac:dyDescent="0.3">
      <c r="A664" s="9" t="s">
        <v>107</v>
      </c>
      <c r="B664" s="13">
        <f>VLOOKUP(Table27[[#This Row],[Location 
(drop-down)]],'List source'!D$2:E$60,2,FALSE)</f>
        <v>120</v>
      </c>
      <c r="C664" s="222" t="s">
        <v>1868</v>
      </c>
      <c r="D664" s="30" t="str">
        <f t="shared" si="20"/>
        <v>PTO663-120-24</v>
      </c>
      <c r="E664" s="9" t="s">
        <v>1869</v>
      </c>
      <c r="F664" s="10" t="str" cm="1">
        <f t="array" aca="1" ref="F6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EN14103 - Linolenic Acid Methyl Ester</v>
      </c>
      <c r="H664" s="10">
        <v>2.84</v>
      </c>
      <c r="I664" s="12">
        <v>45495</v>
      </c>
      <c r="J664" s="12" t="s">
        <v>182</v>
      </c>
      <c r="K664" s="77">
        <v>45748</v>
      </c>
      <c r="L664" s="10"/>
      <c r="M664" s="427">
        <v>663</v>
      </c>
      <c r="N664" s="13" t="str">
        <f t="shared" ca="1" si="21"/>
        <v>CLOSED</v>
      </c>
    </row>
    <row r="665" spans="1:14" ht="18" x14ac:dyDescent="0.3">
      <c r="A665" s="9" t="s">
        <v>107</v>
      </c>
      <c r="B665" s="13">
        <f>VLOOKUP(Table27[[#This Row],[Location 
(drop-down)]],'List source'!D$2:E$60,2,FALSE)</f>
        <v>120</v>
      </c>
      <c r="C665" s="222" t="s">
        <v>1870</v>
      </c>
      <c r="D665" s="30" t="str">
        <f t="shared" si="20"/>
        <v>PTO664-120-24</v>
      </c>
      <c r="E665" s="9" t="s">
        <v>1871</v>
      </c>
      <c r="F665" s="10" t="str" cm="1">
        <f t="array" aca="1" ref="F6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D6584 - Triglyceride</v>
      </c>
      <c r="H665" s="10">
        <v>3.11</v>
      </c>
      <c r="I665" s="12">
        <v>45495</v>
      </c>
      <c r="J665" s="12" t="s">
        <v>182</v>
      </c>
      <c r="K665" s="77">
        <v>45898</v>
      </c>
      <c r="L665" s="10"/>
      <c r="M665" s="427">
        <v>664</v>
      </c>
      <c r="N665" s="13" t="str">
        <f t="shared" ca="1" si="21"/>
        <v>CLOSED</v>
      </c>
    </row>
    <row r="666" spans="1:14" ht="18" x14ac:dyDescent="0.3">
      <c r="A666" s="9" t="s">
        <v>107</v>
      </c>
      <c r="B666" s="13">
        <f>VLOOKUP(Table27[[#This Row],[Location 
(drop-down)]],'List source'!D$2:E$60,2,FALSE)</f>
        <v>120</v>
      </c>
      <c r="C666" s="222" t="s">
        <v>1872</v>
      </c>
      <c r="D666" s="30" t="str">
        <f t="shared" si="20"/>
        <v>PTO665-120-24</v>
      </c>
      <c r="E666" s="9" t="s">
        <v>1873</v>
      </c>
      <c r="F666" s="10" t="str" cm="1">
        <f t="array" aca="1" ref="F6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E203 - Water</v>
      </c>
      <c r="H666" s="10">
        <v>2.29</v>
      </c>
      <c r="I666" s="12">
        <v>45495</v>
      </c>
      <c r="J666" s="12" t="s">
        <v>182</v>
      </c>
      <c r="K666" s="77">
        <v>45671</v>
      </c>
      <c r="L666" s="10"/>
      <c r="M666" s="427">
        <v>665</v>
      </c>
      <c r="N666" s="13" t="str">
        <f t="shared" ca="1" si="21"/>
        <v>CLOSED</v>
      </c>
    </row>
    <row r="667" spans="1:14" ht="43.2" x14ac:dyDescent="0.3">
      <c r="A667" s="9" t="s">
        <v>186</v>
      </c>
      <c r="B667" s="13">
        <f>VLOOKUP(Table27[[#This Row],[Location 
(drop-down)]],'List source'!D$2:E$60,2,FALSE)</f>
        <v>130</v>
      </c>
      <c r="C667" s="222" t="s">
        <v>1874</v>
      </c>
      <c r="D667" s="30" t="str">
        <f t="shared" si="20"/>
        <v>PTO666-130-24</v>
      </c>
      <c r="E667" s="9" t="s">
        <v>1875</v>
      </c>
      <c r="F667" s="10" t="str" cm="1">
        <f t="array" aca="1" ref="F6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67" s="10">
        <v>2.8</v>
      </c>
      <c r="I667" s="12">
        <v>45495</v>
      </c>
      <c r="J667" s="12" t="s">
        <v>495</v>
      </c>
      <c r="K667" s="77">
        <v>45495</v>
      </c>
      <c r="L667" s="10" t="s">
        <v>496</v>
      </c>
      <c r="M667" s="427">
        <v>666</v>
      </c>
      <c r="N667" s="13" t="str">
        <f t="shared" ca="1" si="21"/>
        <v>CLOSED</v>
      </c>
    </row>
    <row r="668" spans="1:14" ht="28.8" x14ac:dyDescent="0.3">
      <c r="A668" s="9" t="s">
        <v>186</v>
      </c>
      <c r="B668" s="13">
        <f>VLOOKUP(Table27[[#This Row],[Location 
(drop-down)]],'List source'!D$2:E$60,2,FALSE)</f>
        <v>130</v>
      </c>
      <c r="C668" s="222" t="s">
        <v>1876</v>
      </c>
      <c r="D668" s="30" t="str">
        <f t="shared" si="20"/>
        <v>PTO667-130-24</v>
      </c>
      <c r="E668" s="9" t="s">
        <v>1877</v>
      </c>
      <c r="F668" s="10" t="str" cm="1">
        <f t="array" aca="1" ref="F6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D4951 - Element</v>
      </c>
      <c r="H668" s="10">
        <v>3.75</v>
      </c>
      <c r="I668" s="12">
        <v>45495</v>
      </c>
      <c r="J668" s="12" t="s">
        <v>182</v>
      </c>
      <c r="K668" s="77">
        <v>45562</v>
      </c>
      <c r="L668" s="10"/>
      <c r="M668" s="427">
        <v>667</v>
      </c>
      <c r="N668" s="13" t="str">
        <f t="shared" ca="1" si="21"/>
        <v>CLOSED</v>
      </c>
    </row>
    <row r="669" spans="1:14" ht="43.2" x14ac:dyDescent="0.3">
      <c r="A669" s="9" t="s">
        <v>186</v>
      </c>
      <c r="B669" s="13">
        <f>VLOOKUP(Table27[[#This Row],[Location 
(drop-down)]],'List source'!D$2:E$60,2,FALSE)</f>
        <v>130</v>
      </c>
      <c r="C669" s="222" t="s">
        <v>1878</v>
      </c>
      <c r="D669" s="30" t="str">
        <f t="shared" si="20"/>
        <v>PTO668-130-24</v>
      </c>
      <c r="E669" s="9" t="s">
        <v>1879</v>
      </c>
      <c r="F669" s="10" t="str" cm="1">
        <f t="array" aca="1" ref="F6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EN14538 - Elements</v>
      </c>
      <c r="H669" s="10">
        <v>2.37</v>
      </c>
      <c r="I669" s="12">
        <v>45495</v>
      </c>
      <c r="J669" s="12" t="s">
        <v>495</v>
      </c>
      <c r="K669" s="77">
        <v>45495</v>
      </c>
      <c r="L669" s="10" t="s">
        <v>496</v>
      </c>
      <c r="M669" s="427">
        <v>668</v>
      </c>
      <c r="N669" s="13" t="str">
        <f t="shared" ca="1" si="21"/>
        <v>CLOSED</v>
      </c>
    </row>
    <row r="670" spans="1:14" ht="18" x14ac:dyDescent="0.3">
      <c r="A670" s="9" t="s">
        <v>186</v>
      </c>
      <c r="B670" s="13">
        <f>VLOOKUP(Table27[[#This Row],[Location 
(drop-down)]],'List source'!D$2:E$60,2,FALSE)</f>
        <v>130</v>
      </c>
      <c r="C670" s="222" t="s">
        <v>1880</v>
      </c>
      <c r="D670" s="30" t="str">
        <f t="shared" si="20"/>
        <v>PTO669-130-24</v>
      </c>
      <c r="E670" s="9" t="s">
        <v>1881</v>
      </c>
      <c r="F670" s="10" t="str" cm="1">
        <f t="array" aca="1" ref="F6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EN15751 - Oxidation Stability</v>
      </c>
      <c r="H670" s="10">
        <v>4.45</v>
      </c>
      <c r="I670" s="12">
        <v>45495</v>
      </c>
      <c r="J670" s="12" t="s">
        <v>495</v>
      </c>
      <c r="K670" s="77">
        <v>45553</v>
      </c>
      <c r="L670" s="10" t="s">
        <v>510</v>
      </c>
      <c r="M670" s="427">
        <v>669</v>
      </c>
      <c r="N670" s="13" t="str">
        <f t="shared" ca="1" si="21"/>
        <v>CLOSED</v>
      </c>
    </row>
    <row r="671" spans="1:14" ht="28.8" x14ac:dyDescent="0.3">
      <c r="A671" s="9" t="s">
        <v>145</v>
      </c>
      <c r="B671" s="13">
        <f>VLOOKUP(Table27[[#This Row],[Location 
(drop-down)]],'List source'!D$2:E$60,2,FALSE)</f>
        <v>145</v>
      </c>
      <c r="C671" s="222" t="s">
        <v>1882</v>
      </c>
      <c r="D671" s="30" t="str">
        <f t="shared" si="20"/>
        <v>PTO670-145-24</v>
      </c>
      <c r="E671" s="9" t="s">
        <v>1883</v>
      </c>
      <c r="F671" s="10" t="str" cm="1">
        <f t="array" aca="1" ref="F6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671" s="10">
        <v>10</v>
      </c>
      <c r="I671" s="12">
        <v>45495</v>
      </c>
      <c r="J671" s="12" t="s">
        <v>182</v>
      </c>
      <c r="K671" s="77">
        <v>45616</v>
      </c>
      <c r="L671" s="10"/>
      <c r="M671" s="427">
        <v>670</v>
      </c>
      <c r="N671" s="13" t="str">
        <f t="shared" ca="1" si="21"/>
        <v>CLOSED</v>
      </c>
    </row>
    <row r="672" spans="1:14" ht="18" x14ac:dyDescent="0.3">
      <c r="A672" s="9" t="s">
        <v>145</v>
      </c>
      <c r="B672" s="13">
        <f>VLOOKUP(Table27[[#This Row],[Location 
(drop-down)]],'List source'!D$2:E$60,2,FALSE)</f>
        <v>145</v>
      </c>
      <c r="C672" s="222" t="s">
        <v>1884</v>
      </c>
      <c r="D672" s="30" t="str">
        <f t="shared" si="20"/>
        <v>PTO671-145-24</v>
      </c>
      <c r="E672" s="9" t="s">
        <v>1885</v>
      </c>
      <c r="F672" s="10" t="str" cm="1">
        <f t="array" aca="1" ref="F6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D455 - Viscosity</v>
      </c>
      <c r="H672" s="39" t="s">
        <v>1886</v>
      </c>
      <c r="I672" s="12">
        <v>45495</v>
      </c>
      <c r="J672" s="12" t="s">
        <v>182</v>
      </c>
      <c r="K672" s="77">
        <v>45616</v>
      </c>
      <c r="L672" s="10"/>
      <c r="M672" s="427">
        <v>671</v>
      </c>
      <c r="N672" s="13" t="str">
        <f t="shared" ca="1" si="21"/>
        <v>CLOSED</v>
      </c>
    </row>
    <row r="673" spans="1:14" ht="28.8" x14ac:dyDescent="0.3">
      <c r="A673" s="9" t="s">
        <v>57</v>
      </c>
      <c r="B673" s="13">
        <f>VLOOKUP(Table27[[#This Row],[Location 
(drop-down)]],'List source'!D$2:E$60,2,FALSE)</f>
        <v>170</v>
      </c>
      <c r="C673" s="222" t="s">
        <v>1887</v>
      </c>
      <c r="D673" s="30" t="str">
        <f t="shared" si="20"/>
        <v>PTO672-170-24</v>
      </c>
      <c r="E673" s="9" t="s">
        <v>1888</v>
      </c>
      <c r="F673" s="10" t="str" cm="1">
        <f t="array" aca="1" ref="F6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D974 - Acid Number</v>
      </c>
      <c r="H673" s="39" t="s">
        <v>1550</v>
      </c>
      <c r="I673" s="12">
        <v>45495</v>
      </c>
      <c r="J673" s="12" t="s">
        <v>60</v>
      </c>
      <c r="K673" s="77">
        <v>45533</v>
      </c>
      <c r="L673" s="10"/>
      <c r="M673" s="427">
        <v>672</v>
      </c>
      <c r="N673" s="13" t="str">
        <f t="shared" ca="1" si="21"/>
        <v>CLOSED</v>
      </c>
    </row>
    <row r="674" spans="1:14" ht="43.2" x14ac:dyDescent="0.3">
      <c r="A674" s="9" t="s">
        <v>57</v>
      </c>
      <c r="B674" s="13">
        <f>VLOOKUP(Table27[[#This Row],[Location 
(drop-down)]],'List source'!D$2:E$60,2,FALSE)</f>
        <v>170</v>
      </c>
      <c r="C674" s="222" t="s">
        <v>1889</v>
      </c>
      <c r="D674" s="30" t="str">
        <f t="shared" si="20"/>
        <v>PTO673-170-24</v>
      </c>
      <c r="E674" s="9" t="s">
        <v>1875</v>
      </c>
      <c r="F674" s="10" t="str" cm="1">
        <f t="array" aca="1" ref="F6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74" s="39" t="s">
        <v>1000</v>
      </c>
      <c r="I674" s="12">
        <v>45495</v>
      </c>
      <c r="J674" s="12" t="s">
        <v>495</v>
      </c>
      <c r="K674" s="77">
        <v>45495</v>
      </c>
      <c r="L674" s="10" t="s">
        <v>673</v>
      </c>
      <c r="M674" s="427">
        <v>673</v>
      </c>
      <c r="N674" s="13" t="str">
        <f t="shared" ca="1" si="21"/>
        <v>CLOSED</v>
      </c>
    </row>
    <row r="675" spans="1:14" ht="28.8" x14ac:dyDescent="0.3">
      <c r="A675" s="9" t="s">
        <v>107</v>
      </c>
      <c r="B675" s="13">
        <f>VLOOKUP(Table27[[#This Row],[Location 
(drop-down)]],'List source'!D$2:E$60,2,FALSE)</f>
        <v>120</v>
      </c>
      <c r="C675" s="222" t="s">
        <v>1890</v>
      </c>
      <c r="D675" s="30" t="str">
        <f t="shared" si="20"/>
        <v>PTO674-120-24</v>
      </c>
      <c r="E675" s="9" t="s">
        <v>1891</v>
      </c>
      <c r="F675" s="10" t="str" cm="1">
        <f t="array" aca="1" ref="F6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D4951 - Element</v>
      </c>
      <c r="H675" s="10">
        <v>700</v>
      </c>
      <c r="I675" s="12">
        <v>45495</v>
      </c>
      <c r="J675" s="12" t="s">
        <v>495</v>
      </c>
      <c r="K675" s="77">
        <v>45593</v>
      </c>
      <c r="L675" s="10" t="s">
        <v>510</v>
      </c>
      <c r="M675" s="427">
        <v>674</v>
      </c>
      <c r="N675" s="13" t="str">
        <f t="shared" ca="1" si="21"/>
        <v>CLOSED</v>
      </c>
    </row>
    <row r="676" spans="1:14" ht="28.8" x14ac:dyDescent="0.3">
      <c r="A676" s="9" t="s">
        <v>107</v>
      </c>
      <c r="B676" s="13">
        <f>VLOOKUP(Table27[[#This Row],[Location 
(drop-down)]],'List source'!D$2:E$60,2,FALSE)</f>
        <v>120</v>
      </c>
      <c r="C676" s="222" t="s">
        <v>1892</v>
      </c>
      <c r="D676" s="30" t="str">
        <f t="shared" si="20"/>
        <v>PTO675-120-24</v>
      </c>
      <c r="E676" s="9" t="s">
        <v>1893</v>
      </c>
      <c r="F676" s="10" t="str" cm="1">
        <f t="array" aca="1" ref="F6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EN14538 - Elements</v>
      </c>
      <c r="H676" s="10">
        <v>6.69</v>
      </c>
      <c r="I676" s="12">
        <v>45495</v>
      </c>
      <c r="J676" s="12" t="s">
        <v>134</v>
      </c>
      <c r="K676" s="77">
        <v>45880</v>
      </c>
      <c r="L676" s="10"/>
      <c r="M676" s="427">
        <v>675</v>
      </c>
      <c r="N676" s="13" t="str">
        <f t="shared" ca="1" si="21"/>
        <v>CLOSED</v>
      </c>
    </row>
    <row r="677" spans="1:14" ht="43.2" x14ac:dyDescent="0.3">
      <c r="A677" s="9" t="s">
        <v>107</v>
      </c>
      <c r="B677" s="13">
        <f>VLOOKUP(Table27[[#This Row],[Location 
(drop-down)]],'List source'!D$2:E$60,2,FALSE)</f>
        <v>120</v>
      </c>
      <c r="C677" s="222" t="s">
        <v>1894</v>
      </c>
      <c r="D677" s="30" t="str">
        <f t="shared" si="20"/>
        <v>PTO676-120-24</v>
      </c>
      <c r="E677" s="9" t="s">
        <v>1895</v>
      </c>
      <c r="F677" s="10" t="str" cm="1">
        <f t="array" aca="1" ref="F6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EN14103 - FAME (ester)</v>
      </c>
      <c r="H677" s="39" t="s">
        <v>1045</v>
      </c>
      <c r="I677" s="12">
        <v>45495</v>
      </c>
      <c r="J677" s="12" t="s">
        <v>495</v>
      </c>
      <c r="K677" s="77">
        <v>45495</v>
      </c>
      <c r="L677" s="10" t="s">
        <v>673</v>
      </c>
      <c r="M677" s="427">
        <v>676</v>
      </c>
      <c r="N677" s="13" t="str">
        <f t="shared" ca="1" si="21"/>
        <v>CLOSED</v>
      </c>
    </row>
    <row r="678" spans="1:14" ht="43.2" x14ac:dyDescent="0.3">
      <c r="A678" s="9" t="s">
        <v>186</v>
      </c>
      <c r="B678" s="13">
        <f>VLOOKUP(Table27[[#This Row],[Location 
(drop-down)]],'List source'!D$2:E$60,2,FALSE)</f>
        <v>130</v>
      </c>
      <c r="C678" s="222" t="s">
        <v>1896</v>
      </c>
      <c r="D678" s="30" t="str">
        <f t="shared" si="20"/>
        <v>PTO677-130-24</v>
      </c>
      <c r="E678" s="9" t="s">
        <v>1897</v>
      </c>
      <c r="F678" s="10" t="str" cm="1">
        <f t="array" aca="1" ref="F6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678" s="10" t="s">
        <v>1898</v>
      </c>
      <c r="I678" s="12">
        <v>45495</v>
      </c>
      <c r="J678" s="12" t="s">
        <v>495</v>
      </c>
      <c r="K678" s="77">
        <v>45495</v>
      </c>
      <c r="L678" s="10" t="s">
        <v>673</v>
      </c>
      <c r="M678" s="427">
        <v>677</v>
      </c>
      <c r="N678" s="13" t="str">
        <f t="shared" ca="1" si="21"/>
        <v>CLOSED</v>
      </c>
    </row>
    <row r="679" spans="1:14" ht="28.8" x14ac:dyDescent="0.3">
      <c r="A679" s="9" t="s">
        <v>186</v>
      </c>
      <c r="B679" s="13">
        <f>VLOOKUP(Table27[[#This Row],[Location 
(drop-down)]],'List source'!D$2:E$60,2,FALSE)</f>
        <v>130</v>
      </c>
      <c r="C679" s="222" t="s">
        <v>1899</v>
      </c>
      <c r="D679" s="30" t="str">
        <f t="shared" si="20"/>
        <v>PTO678-130-24</v>
      </c>
      <c r="E679" s="9" t="s">
        <v>1900</v>
      </c>
      <c r="F679" s="10" t="str" cm="1">
        <f t="array" aca="1" ref="F6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EN14538 - Elements</v>
      </c>
      <c r="H679" s="10">
        <v>4.2300000000000004</v>
      </c>
      <c r="I679" s="12">
        <v>45495</v>
      </c>
      <c r="J679" s="12" t="s">
        <v>182</v>
      </c>
      <c r="K679" s="77">
        <v>45551</v>
      </c>
      <c r="L679" s="10"/>
      <c r="M679" s="427">
        <v>678</v>
      </c>
      <c r="N679" s="13" t="str">
        <f t="shared" ca="1" si="21"/>
        <v>CLOSED</v>
      </c>
    </row>
    <row r="680" spans="1:14" ht="18" x14ac:dyDescent="0.3">
      <c r="A680" s="9" t="s">
        <v>186</v>
      </c>
      <c r="B680" s="13">
        <f>VLOOKUP(Table27[[#This Row],[Location 
(drop-down)]],'List source'!D$2:E$60,2,FALSE)</f>
        <v>130</v>
      </c>
      <c r="C680" s="222" t="s">
        <v>1901</v>
      </c>
      <c r="D680" s="30" t="str">
        <f t="shared" si="20"/>
        <v>PTO679-130-24</v>
      </c>
      <c r="E680" s="9" t="s">
        <v>1902</v>
      </c>
      <c r="F680" s="10" t="str" cm="1">
        <f t="array" aca="1" ref="F6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EN15751 - Oxidation Stability</v>
      </c>
      <c r="H680" s="10">
        <v>2.42</v>
      </c>
      <c r="I680" s="12">
        <v>45495</v>
      </c>
      <c r="J680" s="12" t="s">
        <v>182</v>
      </c>
      <c r="K680" s="77">
        <v>45554</v>
      </c>
      <c r="L680" s="10"/>
      <c r="M680" s="427">
        <v>679</v>
      </c>
      <c r="N680" s="13" t="str">
        <f t="shared" ca="1" si="21"/>
        <v>CLOSED</v>
      </c>
    </row>
    <row r="681" spans="1:14" ht="28.8" x14ac:dyDescent="0.3">
      <c r="A681" s="9" t="s">
        <v>310</v>
      </c>
      <c r="B681" s="13">
        <f>VLOOKUP(Table27[[#This Row],[Location 
(drop-down)]],'List source'!D$2:E$60,2,FALSE)</f>
        <v>144</v>
      </c>
      <c r="C681" s="222" t="s">
        <v>1903</v>
      </c>
      <c r="D681" s="30" t="str">
        <f t="shared" si="20"/>
        <v>PTO680-144-24</v>
      </c>
      <c r="E681" s="9" t="s">
        <v>1904</v>
      </c>
      <c r="F681" s="10" t="str" cm="1">
        <f t="array" aca="1" ref="F6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681" s="10">
        <v>2.5099999999999998</v>
      </c>
      <c r="I681" s="12">
        <v>45495</v>
      </c>
      <c r="J681" s="12" t="s">
        <v>498</v>
      </c>
      <c r="K681" s="77">
        <v>45764</v>
      </c>
      <c r="L681" s="10"/>
      <c r="M681" s="427">
        <v>680</v>
      </c>
      <c r="N681" s="13" t="str">
        <f t="shared" ca="1" si="21"/>
        <v>CLOSED</v>
      </c>
    </row>
    <row r="682" spans="1:14" ht="28.8" x14ac:dyDescent="0.3">
      <c r="A682" s="9" t="s">
        <v>138</v>
      </c>
      <c r="B682" s="13">
        <f>VLOOKUP(Table27[[#This Row],[Location 
(drop-down)]],'List source'!D$2:E$61,2,FALSE)</f>
        <v>110</v>
      </c>
      <c r="C682" s="222" t="s">
        <v>1905</v>
      </c>
      <c r="D682" s="27" t="str">
        <f t="shared" si="20"/>
        <v>PTO1042-110-24</v>
      </c>
      <c r="E682" s="9" t="s">
        <v>1906</v>
      </c>
      <c r="F682" s="10" t="str" cm="1">
        <f t="array" aca="1" ref="F6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6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682" s="39" t="s">
        <v>1907</v>
      </c>
      <c r="I682" s="12">
        <v>45593</v>
      </c>
      <c r="J682" s="12" t="s">
        <v>498</v>
      </c>
      <c r="K682" s="77">
        <v>46035</v>
      </c>
      <c r="L682" s="10"/>
      <c r="M682" s="427">
        <v>1042</v>
      </c>
      <c r="N682" s="13" t="str">
        <f t="shared" ca="1" si="21"/>
        <v>CLOSED</v>
      </c>
    </row>
    <row r="683" spans="1:14" ht="18" x14ac:dyDescent="0.3">
      <c r="A683" s="9" t="s">
        <v>145</v>
      </c>
      <c r="B683" s="13">
        <f>VLOOKUP(Table27[[#This Row],[Location 
(drop-down)]],'List source'!D$2:E$60,2,FALSE)</f>
        <v>145</v>
      </c>
      <c r="C683" s="222" t="s">
        <v>1908</v>
      </c>
      <c r="D683" s="30" t="str">
        <f t="shared" si="20"/>
        <v>PTO682-145-24</v>
      </c>
      <c r="E683" s="9" t="s">
        <v>1909</v>
      </c>
      <c r="F683" s="10" t="str" cm="1">
        <f t="array" aca="1" ref="F6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EN15751 - Oxidation Stability</v>
      </c>
      <c r="H683" s="10">
        <v>3.31</v>
      </c>
      <c r="I683" s="12">
        <v>45495</v>
      </c>
      <c r="J683" s="12" t="s">
        <v>182</v>
      </c>
      <c r="K683" s="77">
        <v>45616</v>
      </c>
      <c r="L683" s="10"/>
      <c r="M683" s="427">
        <v>682</v>
      </c>
      <c r="N683" s="13" t="str">
        <f t="shared" ca="1" si="21"/>
        <v>CLOSED</v>
      </c>
    </row>
    <row r="684" spans="1:14" ht="43.2" x14ac:dyDescent="0.3">
      <c r="A684" s="9" t="s">
        <v>57</v>
      </c>
      <c r="B684" s="13">
        <f>VLOOKUP(Table27[[#This Row],[Location 
(drop-down)]],'List source'!D$2:E$60,2,FALSE)</f>
        <v>170</v>
      </c>
      <c r="C684" s="222" t="s">
        <v>1910</v>
      </c>
      <c r="D684" s="30" t="str">
        <f t="shared" si="20"/>
        <v>PTO683-170-24</v>
      </c>
      <c r="E684" s="9" t="s">
        <v>1911</v>
      </c>
      <c r="F684" s="10" t="str" cm="1">
        <f t="array" aca="1" ref="F6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4" s="9" t="s">
        <v>1273</v>
      </c>
      <c r="H684" s="10">
        <v>2.09</v>
      </c>
      <c r="I684" s="12">
        <v>45495</v>
      </c>
      <c r="J684" s="12" t="s">
        <v>495</v>
      </c>
      <c r="K684" s="77">
        <v>45495</v>
      </c>
      <c r="L684" s="10" t="s">
        <v>673</v>
      </c>
      <c r="M684" s="427">
        <v>683</v>
      </c>
      <c r="N684" s="13" t="str">
        <f t="shared" ca="1" si="21"/>
        <v>CLOSED</v>
      </c>
    </row>
    <row r="685" spans="1:14" ht="18" x14ac:dyDescent="0.3">
      <c r="A685" s="9" t="s">
        <v>57</v>
      </c>
      <c r="B685" s="13">
        <f>VLOOKUP(Table27[[#This Row],[Location 
(drop-down)]],'List source'!D$2:E$60,2,FALSE)</f>
        <v>170</v>
      </c>
      <c r="C685" s="222" t="s">
        <v>1912</v>
      </c>
      <c r="D685" s="30" t="str">
        <f t="shared" si="20"/>
        <v>PTO684-170-24</v>
      </c>
      <c r="E685" s="9" t="s">
        <v>1913</v>
      </c>
      <c r="F685" s="10" t="str" cm="1">
        <f t="array" aca="1" ref="F6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685" s="39" t="s">
        <v>1914</v>
      </c>
      <c r="I685" s="12">
        <v>45495</v>
      </c>
      <c r="J685" s="12" t="s">
        <v>60</v>
      </c>
      <c r="K685" s="77">
        <v>45533</v>
      </c>
      <c r="L685" s="10"/>
      <c r="M685" s="427">
        <v>684</v>
      </c>
      <c r="N685" s="13" t="str">
        <f t="shared" ca="1" si="21"/>
        <v>CLOSED</v>
      </c>
    </row>
    <row r="686" spans="1:14" ht="28.8" x14ac:dyDescent="0.3">
      <c r="A686" s="9" t="s">
        <v>57</v>
      </c>
      <c r="B686" s="13">
        <f>VLOOKUP(Table27[[#This Row],[Location 
(drop-down)]],'List source'!D$2:E$60,2,FALSE)</f>
        <v>170</v>
      </c>
      <c r="C686" s="222" t="s">
        <v>1915</v>
      </c>
      <c r="D686" s="30" t="str">
        <f t="shared" si="20"/>
        <v>PTO685-170-24</v>
      </c>
      <c r="E686" s="9" t="s">
        <v>1916</v>
      </c>
      <c r="F686" s="10" t="str" cm="1">
        <f t="array" aca="1" ref="F6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&amp; ISO 12185 - Density</v>
      </c>
      <c r="H686" s="10" t="s">
        <v>1917</v>
      </c>
      <c r="I686" s="12">
        <v>45495</v>
      </c>
      <c r="J686" s="12" t="s">
        <v>495</v>
      </c>
      <c r="K686" s="77">
        <v>45495</v>
      </c>
      <c r="L686" s="10" t="s">
        <v>510</v>
      </c>
      <c r="M686" s="427">
        <v>685</v>
      </c>
      <c r="N686" s="13" t="str">
        <f t="shared" ca="1" si="21"/>
        <v>CLOSED</v>
      </c>
    </row>
    <row r="687" spans="1:14" ht="28.8" x14ac:dyDescent="0.3">
      <c r="A687" s="9" t="s">
        <v>57</v>
      </c>
      <c r="B687" s="13">
        <f>VLOOKUP(Table27[[#This Row],[Location 
(drop-down)]],'List source'!D$2:E$60,2,FALSE)</f>
        <v>170</v>
      </c>
      <c r="C687" s="222" t="s">
        <v>1918</v>
      </c>
      <c r="D687" s="30" t="str">
        <f t="shared" si="20"/>
        <v>PTO686-170-24</v>
      </c>
      <c r="E687" s="9" t="s">
        <v>1919</v>
      </c>
      <c r="F687" s="10" t="str" cm="1">
        <f t="array" aca="1" ref="F6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D4951 - Element</v>
      </c>
      <c r="H687" s="10">
        <v>2550</v>
      </c>
      <c r="I687" s="12">
        <v>45495</v>
      </c>
      <c r="J687" s="12" t="s">
        <v>495</v>
      </c>
      <c r="K687" s="77">
        <v>45532</v>
      </c>
      <c r="L687" s="10" t="s">
        <v>510</v>
      </c>
      <c r="M687" s="427">
        <v>686</v>
      </c>
      <c r="N687" s="13" t="str">
        <f t="shared" ca="1" si="21"/>
        <v>CLOSED</v>
      </c>
    </row>
    <row r="688" spans="1:14" ht="43.2" x14ac:dyDescent="0.3">
      <c r="A688" s="9" t="s">
        <v>57</v>
      </c>
      <c r="B688" s="13">
        <f>VLOOKUP(Table27[[#This Row],[Location 
(drop-down)]],'List source'!D$2:E$60,2,FALSE)</f>
        <v>170</v>
      </c>
      <c r="C688" s="222" t="s">
        <v>1920</v>
      </c>
      <c r="D688" s="30" t="str">
        <f t="shared" si="20"/>
        <v>PTO687-170-24</v>
      </c>
      <c r="E688" s="9" t="s">
        <v>1921</v>
      </c>
      <c r="F688" s="10" t="str" cm="1">
        <f t="array" aca="1" ref="F6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D5185 - Elements</v>
      </c>
      <c r="H688" s="10">
        <v>2.2999999999999998</v>
      </c>
      <c r="I688" s="12">
        <v>45495</v>
      </c>
      <c r="J688" s="12" t="s">
        <v>495</v>
      </c>
      <c r="K688" s="77">
        <v>45495</v>
      </c>
      <c r="L688" s="10" t="s">
        <v>673</v>
      </c>
      <c r="M688" s="427">
        <v>687</v>
      </c>
      <c r="N688" s="13" t="str">
        <f t="shared" ca="1" si="21"/>
        <v>CLOSED</v>
      </c>
    </row>
    <row r="689" spans="1:14" ht="28.8" x14ac:dyDescent="0.3">
      <c r="A689" s="9" t="s">
        <v>207</v>
      </c>
      <c r="B689" s="13">
        <f>VLOOKUP(Table27[[#This Row],[Location 
(drop-down)]],'List source'!D$2:E$60,2,FALSE)</f>
        <v>189</v>
      </c>
      <c r="C689" s="222" t="s">
        <v>1922</v>
      </c>
      <c r="D689" s="30" t="str">
        <f t="shared" si="20"/>
        <v>PTO688-189-24</v>
      </c>
      <c r="E689" s="9" t="s">
        <v>1923</v>
      </c>
      <c r="F689" s="10" t="str" cm="1">
        <f t="array" aca="1" ref="F6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D5773 - Cloud Point</v>
      </c>
      <c r="H689" s="39" t="s">
        <v>1924</v>
      </c>
      <c r="I689" s="12">
        <v>45495</v>
      </c>
      <c r="J689" s="12" t="s">
        <v>495</v>
      </c>
      <c r="K689" s="77">
        <v>45496</v>
      </c>
      <c r="L689" s="10" t="s">
        <v>510</v>
      </c>
      <c r="M689" s="427">
        <v>688</v>
      </c>
      <c r="N689" s="13" t="str">
        <f t="shared" ca="1" si="21"/>
        <v>CLOSED</v>
      </c>
    </row>
    <row r="690" spans="1:14" ht="18" x14ac:dyDescent="0.3">
      <c r="A690" s="9" t="s">
        <v>207</v>
      </c>
      <c r="B690" s="13">
        <f>VLOOKUP(Table27[[#This Row],[Location 
(drop-down)]],'List source'!D$2:E$60,2,FALSE)</f>
        <v>189</v>
      </c>
      <c r="C690" s="222" t="s">
        <v>1925</v>
      </c>
      <c r="D690" s="30" t="str">
        <f t="shared" si="20"/>
        <v>PTO689-189-24</v>
      </c>
      <c r="E690" s="9" t="s">
        <v>1926</v>
      </c>
      <c r="F690" s="10" t="str" cm="1">
        <f t="array" aca="1" ref="F6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EN15751 - Oxidation Stability</v>
      </c>
      <c r="H690" s="39" t="s">
        <v>1534</v>
      </c>
      <c r="I690" s="12">
        <v>45495</v>
      </c>
      <c r="J690" s="12" t="s">
        <v>41</v>
      </c>
      <c r="K690" s="77">
        <v>45615</v>
      </c>
      <c r="L690" s="10"/>
      <c r="M690" s="427">
        <v>689</v>
      </c>
      <c r="N690" s="13" t="str">
        <f t="shared" ca="1" si="21"/>
        <v>CLOSED</v>
      </c>
    </row>
    <row r="691" spans="1:14" ht="18" x14ac:dyDescent="0.3">
      <c r="A691" s="189" t="s">
        <v>207</v>
      </c>
      <c r="B691" s="217">
        <f>VLOOKUP(Table27[[#This Row],[Location 
(drop-down)]],'List source'!D$2:E$60,2,FALSE)</f>
        <v>189</v>
      </c>
      <c r="C691" s="251" t="s">
        <v>1927</v>
      </c>
      <c r="D691" s="201" t="str">
        <f t="shared" si="20"/>
        <v>PTO690-189-24</v>
      </c>
      <c r="E691" s="9" t="s">
        <v>1928</v>
      </c>
      <c r="F691" s="10" t="str" cm="1">
        <f t="array" aca="1" ref="F6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6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D7321 - Particulates</v>
      </c>
      <c r="H691" s="10">
        <v>14.8</v>
      </c>
      <c r="I691" s="12">
        <v>45495</v>
      </c>
      <c r="J691" s="234" t="s">
        <v>23</v>
      </c>
      <c r="K691" s="220">
        <v>45660</v>
      </c>
      <c r="L691" s="10"/>
      <c r="M691" s="427">
        <v>690</v>
      </c>
      <c r="N691" s="13" t="str">
        <f t="shared" ca="1" si="21"/>
        <v>CLOSED</v>
      </c>
    </row>
    <row r="692" spans="1:14" ht="18" x14ac:dyDescent="0.3">
      <c r="A692" s="9" t="s">
        <v>57</v>
      </c>
      <c r="B692" s="13">
        <f>VLOOKUP(Table27[[#This Row],[Location 
(drop-down)]],'List source'!D$2:E$60,2,FALSE)</f>
        <v>170</v>
      </c>
      <c r="C692" s="222" t="s">
        <v>1929</v>
      </c>
      <c r="D692" s="30" t="str">
        <f t="shared" ref="D692:D755" si="22">"PTO" &amp; C692 &amp; "-" &amp; B692 &amp; "-" &amp; "24"</f>
        <v>PTO691-170-24</v>
      </c>
      <c r="E692" s="9" t="s">
        <v>1930</v>
      </c>
      <c r="F692" s="10" t="str" cm="1">
        <f t="array" aca="1" ref="F6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D482 - Ash</v>
      </c>
      <c r="H692" s="10">
        <v>5.38</v>
      </c>
      <c r="I692" s="12">
        <v>45509</v>
      </c>
      <c r="J692" s="12" t="s">
        <v>60</v>
      </c>
      <c r="K692" s="77">
        <v>45533</v>
      </c>
      <c r="L692" s="10"/>
      <c r="M692" s="427">
        <v>691</v>
      </c>
      <c r="N692" s="13" t="str">
        <f t="shared" ref="N692:N755" ca="1" si="23">IF(ISBLANK(K692), TODAY()-(I692), "CLOSED")</f>
        <v>CLOSED</v>
      </c>
    </row>
    <row r="693" spans="1:14" ht="43.2" x14ac:dyDescent="0.3">
      <c r="A693" s="9" t="s">
        <v>57</v>
      </c>
      <c r="B693" s="13">
        <f>VLOOKUP(Table27[[#This Row],[Location 
(drop-down)]],'List source'!D$2:E$60,2,FALSE)</f>
        <v>170</v>
      </c>
      <c r="C693" s="222" t="s">
        <v>1931</v>
      </c>
      <c r="D693" s="30" t="str">
        <f t="shared" si="22"/>
        <v>PTO692-170-24</v>
      </c>
      <c r="E693" s="9" t="s">
        <v>1932</v>
      </c>
      <c r="F693" s="10" t="str" cm="1">
        <f t="array" aca="1" ref="F6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693" s="10">
        <v>2.5</v>
      </c>
      <c r="I693" s="12">
        <v>45509</v>
      </c>
      <c r="J693" s="12" t="s">
        <v>495</v>
      </c>
      <c r="K693" s="77">
        <v>45509</v>
      </c>
      <c r="L693" s="10" t="s">
        <v>673</v>
      </c>
      <c r="M693" s="427">
        <v>692</v>
      </c>
      <c r="N693" s="13" t="str">
        <f t="shared" ca="1" si="23"/>
        <v>CLOSED</v>
      </c>
    </row>
    <row r="694" spans="1:14" ht="18" x14ac:dyDescent="0.3">
      <c r="A694" s="9" t="s">
        <v>57</v>
      </c>
      <c r="B694" s="13">
        <f>VLOOKUP(Table27[[#This Row],[Location 
(drop-down)]],'List source'!D$2:E$60,2,FALSE)</f>
        <v>170</v>
      </c>
      <c r="C694" s="222" t="s">
        <v>1933</v>
      </c>
      <c r="D694" s="30" t="str">
        <f t="shared" si="22"/>
        <v>PTO693-170-24</v>
      </c>
      <c r="E694" s="9" t="s">
        <v>1934</v>
      </c>
      <c r="F694" s="10" t="str" cm="1">
        <f t="array" aca="1" ref="F6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694" s="10">
        <v>10.08</v>
      </c>
      <c r="I694" s="12">
        <v>45509</v>
      </c>
      <c r="J694" s="12" t="s">
        <v>60</v>
      </c>
      <c r="K694" s="77">
        <v>45595</v>
      </c>
      <c r="L694" s="10"/>
      <c r="M694" s="427">
        <v>693</v>
      </c>
      <c r="N694" s="13" t="str">
        <f t="shared" ca="1" si="23"/>
        <v>CLOSED</v>
      </c>
    </row>
    <row r="695" spans="1:14" ht="18" x14ac:dyDescent="0.3">
      <c r="A695" s="9" t="s">
        <v>325</v>
      </c>
      <c r="B695" s="13">
        <f>VLOOKUP(Table27[[#This Row],[Location 
(drop-down)]],'List source'!D$2:E$60,2,FALSE)</f>
        <v>180</v>
      </c>
      <c r="C695" s="222" t="s">
        <v>1935</v>
      </c>
      <c r="D695" s="30" t="str">
        <f t="shared" si="22"/>
        <v>PTO694-180-24</v>
      </c>
      <c r="E695" s="9" t="s">
        <v>1936</v>
      </c>
      <c r="F695" s="10" t="str" cm="1">
        <f t="array" aca="1" ref="F6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D611 - Aniline Point</v>
      </c>
      <c r="H695" s="39" t="s">
        <v>1937</v>
      </c>
      <c r="I695" s="12">
        <v>45509</v>
      </c>
      <c r="J695" s="12" t="s">
        <v>41</v>
      </c>
      <c r="K695" s="77">
        <v>45721</v>
      </c>
      <c r="L695" s="10"/>
      <c r="M695" s="427">
        <v>694</v>
      </c>
      <c r="N695" s="13" t="str">
        <f t="shared" ca="1" si="23"/>
        <v>CLOSED</v>
      </c>
    </row>
    <row r="696" spans="1:14" ht="43.2" x14ac:dyDescent="0.3">
      <c r="A696" s="9" t="s">
        <v>325</v>
      </c>
      <c r="B696" s="13">
        <f>VLOOKUP(Table27[[#This Row],[Location 
(drop-down)]],'List source'!D$2:E$60,2,FALSE)</f>
        <v>180</v>
      </c>
      <c r="C696" s="222" t="s">
        <v>1938</v>
      </c>
      <c r="D696" s="30" t="str">
        <f t="shared" si="22"/>
        <v>PTO695-180-24</v>
      </c>
      <c r="E696" s="9" t="s">
        <v>1939</v>
      </c>
      <c r="F696" s="10" t="str" cm="1">
        <f t="array" aca="1" ref="F6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696" s="10">
        <v>2.13</v>
      </c>
      <c r="I696" s="12">
        <v>45509</v>
      </c>
      <c r="J696" s="12" t="s">
        <v>495</v>
      </c>
      <c r="K696" s="77">
        <v>45509</v>
      </c>
      <c r="L696" s="10" t="s">
        <v>673</v>
      </c>
      <c r="M696" s="427">
        <v>695</v>
      </c>
      <c r="N696" s="13" t="str">
        <f t="shared" ca="1" si="23"/>
        <v>CLOSED</v>
      </c>
    </row>
    <row r="697" spans="1:14" ht="18" x14ac:dyDescent="0.3">
      <c r="A697" s="9" t="s">
        <v>57</v>
      </c>
      <c r="B697" s="13">
        <f>VLOOKUP(Table27[[#This Row],[Location 
(drop-down)]],'List source'!D$2:E$60,2,FALSE)</f>
        <v>170</v>
      </c>
      <c r="C697" s="222" t="s">
        <v>1940</v>
      </c>
      <c r="D697" s="30" t="str">
        <f t="shared" si="22"/>
        <v>PTO696-170-24</v>
      </c>
      <c r="E697" s="9" t="s">
        <v>1936</v>
      </c>
      <c r="F697" s="10" t="str" cm="1">
        <f t="array" aca="1" ref="F6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D611 - Aniline Point</v>
      </c>
      <c r="H697" s="39" t="s">
        <v>1937</v>
      </c>
      <c r="I697" s="12">
        <v>45509</v>
      </c>
      <c r="J697" s="12" t="s">
        <v>60</v>
      </c>
      <c r="K697" s="77">
        <v>45596</v>
      </c>
      <c r="L697" s="10"/>
      <c r="M697" s="427">
        <v>696</v>
      </c>
      <c r="N697" s="13" t="str">
        <f t="shared" ca="1" si="23"/>
        <v>CLOSED</v>
      </c>
    </row>
    <row r="698" spans="1:14" ht="43.2" x14ac:dyDescent="0.3">
      <c r="A698" s="9" t="s">
        <v>57</v>
      </c>
      <c r="B698" s="13">
        <f>VLOOKUP(Table27[[#This Row],[Location 
(drop-down)]],'List source'!D$2:E$60,2,FALSE)</f>
        <v>170</v>
      </c>
      <c r="C698" s="222" t="s">
        <v>1941</v>
      </c>
      <c r="D698" s="30" t="str">
        <f t="shared" si="22"/>
        <v>PTO697-170-24</v>
      </c>
      <c r="E698" s="9" t="s">
        <v>1939</v>
      </c>
      <c r="F698" s="10" t="str" cm="1">
        <f t="array" aca="1" ref="F6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6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698" s="10">
        <v>2.42</v>
      </c>
      <c r="I698" s="12">
        <v>45509</v>
      </c>
      <c r="J698" s="12" t="s">
        <v>495</v>
      </c>
      <c r="K698" s="77">
        <v>45509</v>
      </c>
      <c r="L698" s="10" t="s">
        <v>673</v>
      </c>
      <c r="M698" s="427">
        <v>697</v>
      </c>
      <c r="N698" s="13" t="str">
        <f t="shared" ca="1" si="23"/>
        <v>CLOSED</v>
      </c>
    </row>
    <row r="699" spans="1:14" ht="43.2" x14ac:dyDescent="0.3">
      <c r="A699" s="9" t="s">
        <v>107</v>
      </c>
      <c r="B699" s="13">
        <f>VLOOKUP(Table27[[#This Row],[Location 
(drop-down)]],'List source'!D$2:E$60,2,FALSE)</f>
        <v>120</v>
      </c>
      <c r="C699" s="222" t="s">
        <v>1942</v>
      </c>
      <c r="D699" s="30" t="str">
        <f t="shared" si="22"/>
        <v>PTO698-120-24</v>
      </c>
      <c r="E699" s="9" t="s">
        <v>1943</v>
      </c>
      <c r="F699" s="10" t="str" cm="1">
        <f t="array" aca="1" ref="F6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6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699" s="10" t="s">
        <v>1944</v>
      </c>
      <c r="I699" s="12">
        <v>45509</v>
      </c>
      <c r="J699" s="12" t="s">
        <v>495</v>
      </c>
      <c r="K699" s="77">
        <v>45509</v>
      </c>
      <c r="L699" s="10" t="s">
        <v>673</v>
      </c>
      <c r="M699" s="427">
        <v>698</v>
      </c>
      <c r="N699" s="13" t="str">
        <f t="shared" ca="1" si="23"/>
        <v>CLOSED</v>
      </c>
    </row>
    <row r="700" spans="1:14" ht="43.2" x14ac:dyDescent="0.3">
      <c r="A700" s="9" t="s">
        <v>107</v>
      </c>
      <c r="B700" s="13">
        <f>VLOOKUP(Table27[[#This Row],[Location 
(drop-down)]],'List source'!D$2:E$60,2,FALSE)</f>
        <v>120</v>
      </c>
      <c r="C700" s="222" t="s">
        <v>1945</v>
      </c>
      <c r="D700" s="30" t="str">
        <f t="shared" si="22"/>
        <v>PTO699-120-24</v>
      </c>
      <c r="E700" s="9" t="s">
        <v>1946</v>
      </c>
      <c r="F700" s="10" t="str" cm="1">
        <f t="array" aca="1" ref="F7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700" s="10" t="s">
        <v>1947</v>
      </c>
      <c r="I700" s="12">
        <v>45509</v>
      </c>
      <c r="J700" s="12" t="s">
        <v>495</v>
      </c>
      <c r="K700" s="77">
        <v>45509</v>
      </c>
      <c r="L700" s="10" t="s">
        <v>673</v>
      </c>
      <c r="M700" s="427">
        <v>699</v>
      </c>
      <c r="N700" s="13" t="str">
        <f t="shared" ca="1" si="23"/>
        <v>CLOSED</v>
      </c>
    </row>
    <row r="701" spans="1:14" ht="28.8" x14ac:dyDescent="0.3">
      <c r="A701" s="94" t="s">
        <v>157</v>
      </c>
      <c r="B701" s="95">
        <f>VLOOKUP(Table27[[#This Row],[Location 
(drop-down)]],'List source'!D$2:E$60,2,FALSE)</f>
        <v>136</v>
      </c>
      <c r="C701" s="222" t="s">
        <v>1948</v>
      </c>
      <c r="D701" s="30" t="str">
        <f t="shared" si="22"/>
        <v>PTO700-136-24</v>
      </c>
      <c r="E701" s="9" t="s">
        <v>1949</v>
      </c>
      <c r="F701" s="10" t="str" cm="1">
        <f t="array" aca="1" ref="F7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 - C5+</v>
      </c>
      <c r="H701" s="397" t="s">
        <v>1950</v>
      </c>
      <c r="I701" s="12">
        <v>45509</v>
      </c>
      <c r="J701" s="12" t="s">
        <v>60</v>
      </c>
      <c r="K701" s="97">
        <v>45596</v>
      </c>
      <c r="L701" s="98"/>
      <c r="M701" s="429">
        <v>700</v>
      </c>
      <c r="N701" s="13" t="str">
        <f t="shared" ca="1" si="23"/>
        <v>CLOSED</v>
      </c>
    </row>
    <row r="702" spans="1:14" ht="43.2" x14ac:dyDescent="0.3">
      <c r="A702" s="9" t="s">
        <v>157</v>
      </c>
      <c r="B702" s="13">
        <f>VLOOKUP(Table27[[#This Row],[Location 
(drop-down)]],'List source'!D$2:E$60,2,FALSE)</f>
        <v>136</v>
      </c>
      <c r="C702" s="222" t="s">
        <v>1951</v>
      </c>
      <c r="D702" s="30" t="str">
        <f t="shared" si="22"/>
        <v>PTO701-136-24</v>
      </c>
      <c r="E702" s="9" t="s">
        <v>1952</v>
      </c>
      <c r="F702" s="10" t="str" cm="1">
        <f t="array" aca="1" ref="F7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2" s="9" t="s">
        <v>1953</v>
      </c>
      <c r="H702" s="10">
        <v>2.62</v>
      </c>
      <c r="I702" s="12">
        <v>45509</v>
      </c>
      <c r="J702" s="12" t="s">
        <v>495</v>
      </c>
      <c r="K702" s="77">
        <v>45509</v>
      </c>
      <c r="L702" s="10" t="s">
        <v>673</v>
      </c>
      <c r="M702" s="427">
        <v>701</v>
      </c>
      <c r="N702" s="13" t="str">
        <f t="shared" ca="1" si="23"/>
        <v>CLOSED</v>
      </c>
    </row>
    <row r="703" spans="1:14" ht="28.8" x14ac:dyDescent="0.3">
      <c r="A703" s="235" t="s">
        <v>65</v>
      </c>
      <c r="B703" s="236">
        <f>VLOOKUP(Table27[[#This Row],[Location 
(drop-down)]],'List source'!D$2:E$60,2,FALSE)</f>
        <v>155</v>
      </c>
      <c r="C703" s="262" t="s">
        <v>1954</v>
      </c>
      <c r="D703" s="238" t="str">
        <f t="shared" si="22"/>
        <v>PTO702-155-24</v>
      </c>
      <c r="E703" s="235" t="s">
        <v>1955</v>
      </c>
      <c r="F703" s="351" t="str" cm="1">
        <f t="array" aca="1" ref="F7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3" s="34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 - C5+</v>
      </c>
      <c r="H703" s="392" t="s">
        <v>1956</v>
      </c>
      <c r="I703" s="264">
        <v>45509</v>
      </c>
      <c r="J703" s="264" t="s">
        <v>182</v>
      </c>
      <c r="K703" s="250">
        <v>45671</v>
      </c>
      <c r="L703" s="10"/>
      <c r="M703" s="427">
        <v>702</v>
      </c>
      <c r="N703" s="13" t="str">
        <f t="shared" ca="1" si="23"/>
        <v>CLOSED</v>
      </c>
    </row>
    <row r="704" spans="1:14" ht="43.2" x14ac:dyDescent="0.3">
      <c r="A704" s="9" t="s">
        <v>65</v>
      </c>
      <c r="B704" s="13">
        <f>VLOOKUP(Table27[[#This Row],[Location 
(drop-down)]],'List source'!D$2:E$60,2,FALSE)</f>
        <v>155</v>
      </c>
      <c r="C704" s="222" t="s">
        <v>1957</v>
      </c>
      <c r="D704" s="30" t="str">
        <f t="shared" si="22"/>
        <v>PTO703-155-24</v>
      </c>
      <c r="E704" s="121" t="s">
        <v>1952</v>
      </c>
      <c r="F704" s="378" t="str" cm="1">
        <f t="array" aca="1" ref="F7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4" s="15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D6667 - Sulfur in LPG</v>
      </c>
      <c r="H704" s="390">
        <v>2.0299999999999998</v>
      </c>
      <c r="I704" s="12">
        <v>45509</v>
      </c>
      <c r="J704" s="12" t="s">
        <v>495</v>
      </c>
      <c r="K704" s="77">
        <v>45509</v>
      </c>
      <c r="L704" s="10" t="s">
        <v>673</v>
      </c>
      <c r="M704" s="427">
        <v>703</v>
      </c>
      <c r="N704" s="13" t="str">
        <f t="shared" ca="1" si="23"/>
        <v>CLOSED</v>
      </c>
    </row>
    <row r="705" spans="1:14" ht="18" x14ac:dyDescent="0.3">
      <c r="A705" s="9" t="s">
        <v>418</v>
      </c>
      <c r="B705" s="13">
        <f>VLOOKUP(Table27[[#This Row],[Location 
(drop-down)]],'List source'!D$2:E$60,2,FALSE)</f>
        <v>179</v>
      </c>
      <c r="C705" s="222" t="s">
        <v>1958</v>
      </c>
      <c r="D705" s="30" t="str">
        <f t="shared" si="22"/>
        <v>PTO704-179-24</v>
      </c>
      <c r="E705" s="9" t="s">
        <v>1959</v>
      </c>
      <c r="F705" s="25" t="str" cm="1">
        <f t="array" aca="1" ref="F7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705" s="2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 - C5+</v>
      </c>
      <c r="H705" s="10">
        <v>64.040000000000006</v>
      </c>
      <c r="I705" s="12">
        <v>45509</v>
      </c>
      <c r="J705" s="12" t="s">
        <v>495</v>
      </c>
      <c r="K705" s="77">
        <v>45509</v>
      </c>
      <c r="L705" s="10" t="s">
        <v>510</v>
      </c>
      <c r="M705" s="427">
        <v>704</v>
      </c>
      <c r="N705" s="13" t="str">
        <f t="shared" ca="1" si="23"/>
        <v>CLOSED</v>
      </c>
    </row>
    <row r="706" spans="1:14" ht="18" x14ac:dyDescent="0.3">
      <c r="A706" s="9" t="s">
        <v>130</v>
      </c>
      <c r="B706" s="13">
        <f>VLOOKUP(Table27[[#This Row],[Location 
(drop-down)]],'List source'!D$2:E$60,2,FALSE)</f>
        <v>194</v>
      </c>
      <c r="C706" s="222" t="s">
        <v>1960</v>
      </c>
      <c r="D706" s="30" t="str">
        <f t="shared" si="22"/>
        <v>PTO705-194-24</v>
      </c>
      <c r="E706" s="9" t="s">
        <v>1961</v>
      </c>
      <c r="F706" s="10" t="s">
        <v>1860</v>
      </c>
      <c r="G7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06" s="10">
        <v>3.81</v>
      </c>
      <c r="I706" s="12">
        <v>45509</v>
      </c>
      <c r="J706" s="12" t="s">
        <v>495</v>
      </c>
      <c r="K706" s="77">
        <v>45510</v>
      </c>
      <c r="L706" s="10" t="s">
        <v>510</v>
      </c>
      <c r="M706" s="427">
        <v>705</v>
      </c>
      <c r="N706" s="13" t="str">
        <f t="shared" ca="1" si="23"/>
        <v>CLOSED</v>
      </c>
    </row>
    <row r="707" spans="1:14" ht="43.2" x14ac:dyDescent="0.3">
      <c r="A707" s="9" t="s">
        <v>107</v>
      </c>
      <c r="B707" s="13">
        <f>VLOOKUP(Table27[[#This Row],[Location 
(drop-down)]],'List source'!D$2:E$60,2,FALSE)</f>
        <v>120</v>
      </c>
      <c r="C707" s="222" t="s">
        <v>1962</v>
      </c>
      <c r="D707" s="30" t="str">
        <f t="shared" si="22"/>
        <v>PTO706-120-24</v>
      </c>
      <c r="E707" s="9" t="s">
        <v>1963</v>
      </c>
      <c r="F707" s="10" t="s">
        <v>1050</v>
      </c>
      <c r="G7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07" s="39" t="s">
        <v>1964</v>
      </c>
      <c r="I707" s="12">
        <v>45509</v>
      </c>
      <c r="J707" s="12" t="s">
        <v>495</v>
      </c>
      <c r="K707" s="77">
        <v>45509</v>
      </c>
      <c r="L707" s="10" t="s">
        <v>673</v>
      </c>
      <c r="M707" s="427">
        <v>706</v>
      </c>
      <c r="N707" s="13" t="str">
        <f t="shared" ca="1" si="23"/>
        <v>CLOSED</v>
      </c>
    </row>
    <row r="708" spans="1:14" ht="18" x14ac:dyDescent="0.3">
      <c r="A708" s="9" t="s">
        <v>107</v>
      </c>
      <c r="B708" s="13">
        <f>VLOOKUP(Table27[[#This Row],[Location 
(drop-down)]],'List source'!D$2:E$60,2,FALSE)</f>
        <v>120</v>
      </c>
      <c r="C708" s="222" t="s">
        <v>1965</v>
      </c>
      <c r="D708" s="30" t="str">
        <f t="shared" si="22"/>
        <v>PTO707-120-24</v>
      </c>
      <c r="E708" s="84" t="s">
        <v>1966</v>
      </c>
      <c r="F708" s="10" t="s">
        <v>1050</v>
      </c>
      <c r="G7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D5006 - Fuel System Icing Inhibitors</v>
      </c>
      <c r="H708" s="39" t="s">
        <v>1967</v>
      </c>
      <c r="I708" s="12">
        <v>45509</v>
      </c>
      <c r="J708" s="12" t="s">
        <v>134</v>
      </c>
      <c r="K708" s="77">
        <v>45680</v>
      </c>
      <c r="L708" s="10"/>
      <c r="M708" s="427">
        <v>707</v>
      </c>
      <c r="N708" s="13" t="str">
        <f t="shared" ca="1" si="23"/>
        <v>CLOSED</v>
      </c>
    </row>
    <row r="709" spans="1:14" ht="18" x14ac:dyDescent="0.3">
      <c r="A709" s="9" t="s">
        <v>65</v>
      </c>
      <c r="B709" s="13">
        <f>VLOOKUP(Table27[[#This Row],[Location 
(drop-down)]],'List source'!D$2:E$60,2,FALSE)</f>
        <v>155</v>
      </c>
      <c r="C709" s="222" t="s">
        <v>1968</v>
      </c>
      <c r="D709" s="30" t="str">
        <f t="shared" si="22"/>
        <v>PTO708-155-24</v>
      </c>
      <c r="E709" s="9" t="s">
        <v>1969</v>
      </c>
      <c r="F709" s="10" t="s">
        <v>1050</v>
      </c>
      <c r="G7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09" s="10">
        <v>217.54</v>
      </c>
      <c r="I709" s="12">
        <v>45509</v>
      </c>
      <c r="J709" s="12" t="s">
        <v>495</v>
      </c>
      <c r="K709" s="77">
        <v>45660</v>
      </c>
      <c r="L709" s="10" t="s">
        <v>510</v>
      </c>
      <c r="M709" s="427">
        <v>708</v>
      </c>
      <c r="N709" s="13" t="str">
        <f t="shared" ca="1" si="23"/>
        <v>CLOSED</v>
      </c>
    </row>
    <row r="710" spans="1:14" ht="28.8" x14ac:dyDescent="0.3">
      <c r="A710" s="9" t="s">
        <v>65</v>
      </c>
      <c r="B710" s="13">
        <f>VLOOKUP(Table27[[#This Row],[Location 
(drop-down)]],'List source'!D$2:E$60,2,FALSE)</f>
        <v>155</v>
      </c>
      <c r="C710" s="222" t="s">
        <v>1970</v>
      </c>
      <c r="D710" s="30" t="str">
        <f t="shared" si="22"/>
        <v>PTO709-155-24</v>
      </c>
      <c r="E710" s="9" t="s">
        <v>1971</v>
      </c>
      <c r="F710" s="10" t="s">
        <v>1050</v>
      </c>
      <c r="G7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v>
      </c>
      <c r="H710" s="39" t="s">
        <v>1972</v>
      </c>
      <c r="I710" s="12">
        <v>45509</v>
      </c>
      <c r="J710" s="12" t="s">
        <v>134</v>
      </c>
      <c r="K710" s="77">
        <v>45896</v>
      </c>
      <c r="L710" s="10"/>
      <c r="M710" s="427">
        <v>709</v>
      </c>
      <c r="N710" s="13" t="str">
        <f t="shared" ca="1" si="23"/>
        <v>CLOSED</v>
      </c>
    </row>
    <row r="711" spans="1:14" ht="28.8" x14ac:dyDescent="0.3">
      <c r="A711" s="9" t="s">
        <v>65</v>
      </c>
      <c r="B711" s="13">
        <f>VLOOKUP(Table27[[#This Row],[Location 
(drop-down)]],'List source'!D$2:E$60,2,FALSE)</f>
        <v>155</v>
      </c>
      <c r="C711" s="222" t="s">
        <v>1973</v>
      </c>
      <c r="D711" s="30" t="str">
        <f t="shared" si="22"/>
        <v>PTO710-155-24</v>
      </c>
      <c r="E711" s="9" t="s">
        <v>1974</v>
      </c>
      <c r="F711" s="10" t="s">
        <v>1050</v>
      </c>
      <c r="G7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D3338/D3338M - Net Heat of Combustion</v>
      </c>
      <c r="H711" s="39" t="s">
        <v>1975</v>
      </c>
      <c r="I711" s="12">
        <v>45509</v>
      </c>
      <c r="J711" s="12" t="s">
        <v>495</v>
      </c>
      <c r="K711" s="77">
        <v>45688</v>
      </c>
      <c r="L711" s="10" t="s">
        <v>653</v>
      </c>
      <c r="M711" s="427">
        <v>710</v>
      </c>
      <c r="N711" s="13" t="str">
        <f t="shared" ca="1" si="23"/>
        <v>CLOSED</v>
      </c>
    </row>
    <row r="712" spans="1:14" ht="43.2" x14ac:dyDescent="0.3">
      <c r="A712" s="9" t="s">
        <v>107</v>
      </c>
      <c r="B712" s="13">
        <f>VLOOKUP(Table27[[#This Row],[Location 
(drop-down)]],'List source'!D$2:E$60,2,FALSE)</f>
        <v>120</v>
      </c>
      <c r="C712" s="222" t="s">
        <v>1976</v>
      </c>
      <c r="D712" s="30" t="str">
        <f t="shared" si="22"/>
        <v>PTO711-120-24</v>
      </c>
      <c r="E712" s="9" t="s">
        <v>1977</v>
      </c>
      <c r="F712" s="10" t="str" cm="1">
        <f t="array" aca="1" ref="F7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712" s="10">
        <v>2.66</v>
      </c>
      <c r="I712" s="12">
        <v>45510</v>
      </c>
      <c r="J712" s="12" t="s">
        <v>495</v>
      </c>
      <c r="K712" s="77">
        <v>45510</v>
      </c>
      <c r="L712" s="10" t="s">
        <v>673</v>
      </c>
      <c r="M712" s="427">
        <v>711</v>
      </c>
      <c r="N712" s="13" t="str">
        <f t="shared" ca="1" si="23"/>
        <v>CLOSED</v>
      </c>
    </row>
    <row r="713" spans="1:14" ht="18" x14ac:dyDescent="0.3">
      <c r="A713" s="235" t="s">
        <v>107</v>
      </c>
      <c r="B713" s="236">
        <f>VLOOKUP(Table27[[#This Row],[Location 
(drop-down)]],'List source'!D$2:E$60,2,FALSE)</f>
        <v>120</v>
      </c>
      <c r="C713" s="262" t="s">
        <v>1978</v>
      </c>
      <c r="D713" s="238" t="str">
        <f t="shared" si="22"/>
        <v>PTO712-120-24</v>
      </c>
      <c r="E713" s="235" t="s">
        <v>1979</v>
      </c>
      <c r="F713" s="263" t="str" cm="1">
        <f t="array" aca="1" ref="F7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Ethanol</v>
      </c>
      <c r="H713" s="263">
        <v>3.17</v>
      </c>
      <c r="I713" s="264">
        <v>45510</v>
      </c>
      <c r="J713" s="264" t="s">
        <v>182</v>
      </c>
      <c r="K713" s="250">
        <v>45631</v>
      </c>
      <c r="L713" s="10"/>
      <c r="M713" s="427">
        <v>712</v>
      </c>
      <c r="N713" s="13" t="str">
        <f t="shared" ca="1" si="23"/>
        <v>CLOSED</v>
      </c>
    </row>
    <row r="714" spans="1:14" ht="18" x14ac:dyDescent="0.3">
      <c r="A714" s="9" t="s">
        <v>153</v>
      </c>
      <c r="B714" s="13">
        <f>VLOOKUP(Table27[[#This Row],[Location 
(drop-down)]],'List source'!D$2:E$60,2,FALSE)</f>
        <v>126</v>
      </c>
      <c r="C714" s="222" t="s">
        <v>1980</v>
      </c>
      <c r="D714" s="30" t="str">
        <f t="shared" si="22"/>
        <v>PTO713-126-24</v>
      </c>
      <c r="E714" s="9" t="s">
        <v>1981</v>
      </c>
      <c r="F714" s="10" t="str" cm="1">
        <f t="array" aca="1" ref="F7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714" s="10">
        <v>4.1500000000000004</v>
      </c>
      <c r="I714" s="12">
        <v>45510</v>
      </c>
      <c r="J714" s="12" t="s">
        <v>498</v>
      </c>
      <c r="K714" s="77">
        <v>45610</v>
      </c>
      <c r="L714" s="10"/>
      <c r="M714" s="427">
        <v>713</v>
      </c>
      <c r="N714" s="13" t="str">
        <f t="shared" ca="1" si="23"/>
        <v>CLOSED</v>
      </c>
    </row>
    <row r="715" spans="1:14" ht="18" x14ac:dyDescent="0.3">
      <c r="A715" s="9" t="s">
        <v>186</v>
      </c>
      <c r="B715" s="13">
        <f>VLOOKUP(Table27[[#This Row],[Location 
(drop-down)]],'List source'!D$2:E$60,2,FALSE)</f>
        <v>130</v>
      </c>
      <c r="C715" s="222" t="s">
        <v>1982</v>
      </c>
      <c r="D715" s="30" t="str">
        <f t="shared" si="22"/>
        <v>PTO714-130-24</v>
      </c>
      <c r="E715" s="9" t="s">
        <v>1983</v>
      </c>
      <c r="F715" s="10" t="str" cm="1">
        <f t="array" aca="1" ref="F7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715" s="10">
        <v>7.25</v>
      </c>
      <c r="I715" s="12">
        <v>45510</v>
      </c>
      <c r="J715" s="12" t="s">
        <v>54</v>
      </c>
      <c r="K715" s="77">
        <v>45700</v>
      </c>
      <c r="L715" s="10"/>
      <c r="M715" s="427">
        <v>714</v>
      </c>
      <c r="N715" s="13" t="str">
        <f t="shared" ca="1" si="23"/>
        <v>CLOSED</v>
      </c>
    </row>
    <row r="716" spans="1:14" ht="43.2" x14ac:dyDescent="0.3">
      <c r="A716" s="9" t="s">
        <v>264</v>
      </c>
      <c r="B716" s="13">
        <f>VLOOKUP(Table27[[#This Row],[Location 
(drop-down)]],'List source'!D$2:E$60,2,FALSE)</f>
        <v>132</v>
      </c>
      <c r="C716" s="222" t="s">
        <v>1984</v>
      </c>
      <c r="D716" s="30" t="str">
        <f t="shared" si="22"/>
        <v>PTO715-132-24</v>
      </c>
      <c r="E716" s="9" t="s">
        <v>1985</v>
      </c>
      <c r="F716" s="10" t="str" cm="1">
        <f t="array" aca="1" ref="F7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Chloride</v>
      </c>
      <c r="H716" s="10">
        <v>2.0299999999999998</v>
      </c>
      <c r="I716" s="12">
        <v>45510</v>
      </c>
      <c r="J716" s="12" t="s">
        <v>495</v>
      </c>
      <c r="K716" s="77">
        <v>45510</v>
      </c>
      <c r="L716" s="10" t="s">
        <v>673</v>
      </c>
      <c r="M716" s="427">
        <v>715</v>
      </c>
      <c r="N716" s="13" t="str">
        <f t="shared" ca="1" si="23"/>
        <v>CLOSED</v>
      </c>
    </row>
    <row r="717" spans="1:14" ht="18" x14ac:dyDescent="0.3">
      <c r="A717" s="9" t="s">
        <v>264</v>
      </c>
      <c r="B717" s="13">
        <f>VLOOKUP(Table27[[#This Row],[Location 
(drop-down)]],'List source'!D$2:E$60,2,FALSE)</f>
        <v>132</v>
      </c>
      <c r="C717" s="222" t="s">
        <v>1986</v>
      </c>
      <c r="D717" s="30" t="str">
        <f t="shared" si="22"/>
        <v>PTO716-132-24</v>
      </c>
      <c r="E717" s="9" t="s">
        <v>1987</v>
      </c>
      <c r="F717" s="10" t="str" cm="1">
        <f t="array" aca="1" ref="F7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717" s="39" t="s">
        <v>1988</v>
      </c>
      <c r="I717" s="12">
        <v>45510</v>
      </c>
      <c r="J717" s="12" t="s">
        <v>54</v>
      </c>
      <c r="K717" s="77">
        <v>45708</v>
      </c>
      <c r="L717" s="10"/>
      <c r="M717" s="427">
        <v>716</v>
      </c>
      <c r="N717" s="13" t="str">
        <f t="shared" ca="1" si="23"/>
        <v>CLOSED</v>
      </c>
    </row>
    <row r="718" spans="1:14" ht="16.95" customHeight="1" x14ac:dyDescent="0.3">
      <c r="A718" s="189" t="s">
        <v>597</v>
      </c>
      <c r="B718" s="217">
        <f>VLOOKUP(Table27[[#This Row],[Location 
(drop-down)]],'List source'!D$2:E$60,2,FALSE)</f>
        <v>139</v>
      </c>
      <c r="C718" s="251" t="s">
        <v>1989</v>
      </c>
      <c r="D718" s="201" t="str">
        <f t="shared" si="22"/>
        <v>PTO717-139-24</v>
      </c>
      <c r="E718" s="9" t="s">
        <v>1990</v>
      </c>
      <c r="F718" s="10" t="str" cm="1">
        <f t="array" aca="1" ref="F7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Acidity</v>
      </c>
      <c r="H718" s="10">
        <v>-9.8800000000000008</v>
      </c>
      <c r="I718" s="12">
        <v>45510</v>
      </c>
      <c r="J718" s="234" t="s">
        <v>60</v>
      </c>
      <c r="K718" s="220">
        <v>45713</v>
      </c>
      <c r="L718" s="10"/>
      <c r="M718" s="427">
        <v>717</v>
      </c>
      <c r="N718" s="13" t="str">
        <f t="shared" ca="1" si="23"/>
        <v>CLOSED</v>
      </c>
    </row>
    <row r="719" spans="1:14" ht="28.8" x14ac:dyDescent="0.3">
      <c r="A719" s="189" t="s">
        <v>597</v>
      </c>
      <c r="B719" s="217">
        <f>VLOOKUP(Table27[[#This Row],[Location 
(drop-down)]],'List source'!D$2:E$60,2,FALSE)</f>
        <v>139</v>
      </c>
      <c r="C719" s="254" t="s">
        <v>1991</v>
      </c>
      <c r="D719" s="201" t="str">
        <f t="shared" si="22"/>
        <v>PTO718-139-24</v>
      </c>
      <c r="E719" s="9" t="s">
        <v>1992</v>
      </c>
      <c r="F719" s="10" t="str" cm="1">
        <f t="array" aca="1" ref="F7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D7328 - Sulfate</v>
      </c>
      <c r="H719" s="10">
        <v>5.19</v>
      </c>
      <c r="I719" s="12">
        <v>45510</v>
      </c>
      <c r="J719" s="234" t="s">
        <v>60</v>
      </c>
      <c r="K719" s="220">
        <v>45880</v>
      </c>
      <c r="L719" s="10"/>
      <c r="M719" s="427">
        <v>718</v>
      </c>
      <c r="N719" s="13" t="str">
        <f t="shared" ca="1" si="23"/>
        <v>CLOSED</v>
      </c>
    </row>
    <row r="720" spans="1:14" ht="43.2" x14ac:dyDescent="0.3">
      <c r="A720" s="9" t="s">
        <v>86</v>
      </c>
      <c r="B720" s="13">
        <f>VLOOKUP(Table27[[#This Row],[Location 
(drop-down)]],'List source'!D$2:E$60,2,FALSE)</f>
        <v>150</v>
      </c>
      <c r="C720" s="215" t="s">
        <v>1993</v>
      </c>
      <c r="D720" s="30" t="str">
        <f t="shared" si="22"/>
        <v>PTO719-150-24</v>
      </c>
      <c r="E720" s="9" t="s">
        <v>1994</v>
      </c>
      <c r="F720" s="10" t="str" cm="1">
        <f t="array" aca="1" ref="F7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Sulfate</v>
      </c>
      <c r="H720" s="10">
        <v>2.0499999999999998</v>
      </c>
      <c r="I720" s="12">
        <v>45510</v>
      </c>
      <c r="J720" s="12" t="s">
        <v>495</v>
      </c>
      <c r="K720" s="77">
        <v>45510</v>
      </c>
      <c r="L720" s="10" t="s">
        <v>673</v>
      </c>
      <c r="M720" s="427">
        <v>719</v>
      </c>
      <c r="N720" s="13" t="str">
        <f t="shared" ca="1" si="23"/>
        <v>CLOSED</v>
      </c>
    </row>
    <row r="721" spans="1:14" ht="18" x14ac:dyDescent="0.3">
      <c r="A721" s="9" t="s">
        <v>147</v>
      </c>
      <c r="B721" s="13">
        <f>VLOOKUP(Table27[[#This Row],[Location 
(drop-down)]],'List source'!D$2:E$61,2,FALSE)</f>
        <v>185</v>
      </c>
      <c r="C721" s="215" t="s">
        <v>1995</v>
      </c>
      <c r="D721" s="30" t="str">
        <f t="shared" si="22"/>
        <v>PTO720-185-24</v>
      </c>
      <c r="E721" s="9" t="s">
        <v>1996</v>
      </c>
      <c r="F721" s="10" t="str" cm="1">
        <f t="array" aca="1" ref="F7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7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721" s="39" t="s">
        <v>1997</v>
      </c>
      <c r="I721" s="12">
        <v>45510</v>
      </c>
      <c r="J721" s="12" t="s">
        <v>495</v>
      </c>
      <c r="K721" s="77">
        <v>45513</v>
      </c>
      <c r="L721" s="10" t="s">
        <v>510</v>
      </c>
      <c r="M721" s="427">
        <v>720</v>
      </c>
      <c r="N721" s="13" t="str">
        <f t="shared" ca="1" si="23"/>
        <v>CLOSED</v>
      </c>
    </row>
    <row r="722" spans="1:14" ht="43.2" x14ac:dyDescent="0.3">
      <c r="A722" s="9" t="s">
        <v>157</v>
      </c>
      <c r="B722" s="13">
        <f>VLOOKUP(Table27[[#This Row],[Location 
(drop-down)]],'List source'!D$2:E$60,2,FALSE)</f>
        <v>136</v>
      </c>
      <c r="C722" s="215" t="s">
        <v>1998</v>
      </c>
      <c r="D722" s="30" t="str">
        <f t="shared" si="22"/>
        <v>PTO721-136-24</v>
      </c>
      <c r="E722" s="9" t="s">
        <v>1999</v>
      </c>
      <c r="F722" s="10" t="s">
        <v>898</v>
      </c>
      <c r="G7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22" s="10" t="s">
        <v>2000</v>
      </c>
      <c r="I722" s="12">
        <v>45510</v>
      </c>
      <c r="J722" s="12" t="s">
        <v>495</v>
      </c>
      <c r="K722" s="77">
        <v>45510</v>
      </c>
      <c r="L722" s="10" t="s">
        <v>673</v>
      </c>
      <c r="M722" s="427">
        <v>721</v>
      </c>
      <c r="N722" s="13" t="str">
        <f t="shared" ca="1" si="23"/>
        <v>CLOSED</v>
      </c>
    </row>
    <row r="723" spans="1:14" ht="43.2" x14ac:dyDescent="0.3">
      <c r="A723" s="9" t="s">
        <v>157</v>
      </c>
      <c r="B723" s="13">
        <f>VLOOKUP(Table27[[#This Row],[Location 
(drop-down)]],'List source'!D$2:E$60,2,FALSE)</f>
        <v>136</v>
      </c>
      <c r="C723" s="215" t="s">
        <v>2001</v>
      </c>
      <c r="D723" s="30" t="str">
        <f t="shared" si="22"/>
        <v>PTO722-136-24</v>
      </c>
      <c r="E723" s="9" t="s">
        <v>2002</v>
      </c>
      <c r="F723" s="10" t="s">
        <v>898</v>
      </c>
      <c r="G7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723" s="39" t="s">
        <v>1605</v>
      </c>
      <c r="I723" s="12">
        <v>45510</v>
      </c>
      <c r="J723" s="12" t="s">
        <v>495</v>
      </c>
      <c r="K723" s="77">
        <v>45510</v>
      </c>
      <c r="L723" s="10" t="s">
        <v>673</v>
      </c>
      <c r="M723" s="427">
        <v>722</v>
      </c>
      <c r="N723" s="13" t="str">
        <f t="shared" ca="1" si="23"/>
        <v>CLOSED</v>
      </c>
    </row>
    <row r="724" spans="1:14" ht="43.2" x14ac:dyDescent="0.3">
      <c r="A724" s="9" t="s">
        <v>70</v>
      </c>
      <c r="B724" s="13">
        <f>VLOOKUP(Table27[[#This Row],[Location 
(drop-down)]],'List source'!D$2:E$60,2,FALSE)</f>
        <v>146</v>
      </c>
      <c r="C724" s="215" t="s">
        <v>2003</v>
      </c>
      <c r="D724" s="30" t="str">
        <f t="shared" si="22"/>
        <v>PTO723-146-24</v>
      </c>
      <c r="E724" s="9" t="s">
        <v>2004</v>
      </c>
      <c r="F724" s="10" t="s">
        <v>898</v>
      </c>
      <c r="G7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24" s="10">
        <v>2.71</v>
      </c>
      <c r="I724" s="12">
        <v>45510</v>
      </c>
      <c r="J724" s="12" t="s">
        <v>495</v>
      </c>
      <c r="K724" s="77">
        <v>45510</v>
      </c>
      <c r="L724" s="10" t="s">
        <v>673</v>
      </c>
      <c r="M724" s="427">
        <v>723</v>
      </c>
      <c r="N724" s="13" t="str">
        <f t="shared" ca="1" si="23"/>
        <v>CLOSED</v>
      </c>
    </row>
    <row r="725" spans="1:14" ht="18" x14ac:dyDescent="0.3">
      <c r="A725" s="189" t="s">
        <v>70</v>
      </c>
      <c r="B725" s="217">
        <f>VLOOKUP(Table27[[#This Row],[Location 
(drop-down)]],'List source'!D$2:E$60,2,FALSE)</f>
        <v>146</v>
      </c>
      <c r="C725" s="254" t="s">
        <v>2005</v>
      </c>
      <c r="D725" s="201" t="str">
        <f t="shared" si="22"/>
        <v>PTO724-146-24</v>
      </c>
      <c r="E725" s="9" t="s">
        <v>2006</v>
      </c>
      <c r="F725" s="10" t="s">
        <v>898</v>
      </c>
      <c r="G7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725" s="39" t="s">
        <v>1236</v>
      </c>
      <c r="I725" s="12">
        <v>45510</v>
      </c>
      <c r="J725" s="234" t="s">
        <v>60</v>
      </c>
      <c r="K725" s="220">
        <v>45806</v>
      </c>
      <c r="L725" s="10"/>
      <c r="M725" s="427">
        <v>724</v>
      </c>
      <c r="N725" s="13" t="str">
        <f t="shared" ca="1" si="23"/>
        <v>CLOSED</v>
      </c>
    </row>
    <row r="726" spans="1:14" ht="18" x14ac:dyDescent="0.3">
      <c r="A726" s="9" t="s">
        <v>57</v>
      </c>
      <c r="B726" s="13">
        <f>VLOOKUP(Table27[[#This Row],[Location 
(drop-down)]],'List source'!D$2:E$60,2,FALSE)</f>
        <v>170</v>
      </c>
      <c r="C726" s="215" t="s">
        <v>2007</v>
      </c>
      <c r="D726" s="30" t="str">
        <f t="shared" si="22"/>
        <v>PTO725-170-24</v>
      </c>
      <c r="E726" s="9" t="s">
        <v>2008</v>
      </c>
      <c r="F726" s="10" t="s">
        <v>898</v>
      </c>
      <c r="G7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726" s="39" t="s">
        <v>2009</v>
      </c>
      <c r="I726" s="12">
        <v>45510</v>
      </c>
      <c r="J726" s="12" t="s">
        <v>60</v>
      </c>
      <c r="K726" s="77">
        <v>45535</v>
      </c>
      <c r="L726" s="10"/>
      <c r="M726" s="427">
        <v>725</v>
      </c>
      <c r="N726" s="13" t="str">
        <f t="shared" ca="1" si="23"/>
        <v>CLOSED</v>
      </c>
    </row>
    <row r="727" spans="1:14" ht="18" x14ac:dyDescent="0.3">
      <c r="A727" s="9" t="s">
        <v>318</v>
      </c>
      <c r="B727" s="13">
        <f>VLOOKUP(Table27[[#This Row],[Location 
(drop-down)]],'List source'!D$2:E$60,2,FALSE)</f>
        <v>115</v>
      </c>
      <c r="C727" s="215" t="s">
        <v>2010</v>
      </c>
      <c r="D727" s="30" t="str">
        <f t="shared" si="22"/>
        <v>PTO726-115-24</v>
      </c>
      <c r="E727" s="9" t="s">
        <v>2011</v>
      </c>
      <c r="F727" s="10" t="s">
        <v>898</v>
      </c>
      <c r="G7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v>
      </c>
      <c r="H727" s="39" t="s">
        <v>2012</v>
      </c>
      <c r="I727" s="12">
        <v>45510</v>
      </c>
      <c r="J727" s="12" t="s">
        <v>495</v>
      </c>
      <c r="K727" s="77">
        <v>45516</v>
      </c>
      <c r="L727" s="10" t="s">
        <v>510</v>
      </c>
      <c r="M727" s="427">
        <v>726</v>
      </c>
      <c r="N727" s="13" t="str">
        <f t="shared" ca="1" si="23"/>
        <v>CLOSED</v>
      </c>
    </row>
    <row r="728" spans="1:14" ht="18" x14ac:dyDescent="0.3">
      <c r="A728" s="9" t="s">
        <v>318</v>
      </c>
      <c r="B728" s="13">
        <f>VLOOKUP(Table27[[#This Row],[Location 
(drop-down)]],'List source'!D$2:E$60,2,FALSE)</f>
        <v>115</v>
      </c>
      <c r="C728" s="215" t="s">
        <v>2013</v>
      </c>
      <c r="D728" s="30" t="str">
        <f t="shared" si="22"/>
        <v>PTO727-115-24</v>
      </c>
      <c r="E728" s="9" t="s">
        <v>2014</v>
      </c>
      <c r="F728" s="10" t="s">
        <v>898</v>
      </c>
      <c r="G7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728" s="10">
        <v>2.63</v>
      </c>
      <c r="I728" s="12">
        <v>45510</v>
      </c>
      <c r="J728" s="12" t="s">
        <v>495</v>
      </c>
      <c r="K728" s="77">
        <v>45516</v>
      </c>
      <c r="L728" s="10" t="s">
        <v>510</v>
      </c>
      <c r="M728" s="427">
        <v>727</v>
      </c>
      <c r="N728" s="13" t="str">
        <f t="shared" ca="1" si="23"/>
        <v>CLOSED</v>
      </c>
    </row>
    <row r="729" spans="1:14" ht="43.2" x14ac:dyDescent="0.3">
      <c r="A729" s="9" t="s">
        <v>157</v>
      </c>
      <c r="B729" s="13">
        <f>VLOOKUP(Table27[[#This Row],[Location 
(drop-down)]],'List source'!D$2:E$60,2,FALSE)</f>
        <v>136</v>
      </c>
      <c r="C729" s="215" t="s">
        <v>2015</v>
      </c>
      <c r="D729" s="30" t="str">
        <f t="shared" si="22"/>
        <v>PTO728-136-24</v>
      </c>
      <c r="E729" s="9" t="s">
        <v>2016</v>
      </c>
      <c r="F729" s="10" t="s">
        <v>898</v>
      </c>
      <c r="G7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29" s="10">
        <v>2.08</v>
      </c>
      <c r="I729" s="12">
        <v>45510</v>
      </c>
      <c r="J729" s="12" t="s">
        <v>495</v>
      </c>
      <c r="K729" s="77">
        <v>45510</v>
      </c>
      <c r="L729" s="10" t="s">
        <v>673</v>
      </c>
      <c r="M729" s="427">
        <v>728</v>
      </c>
      <c r="N729" s="13" t="str">
        <f t="shared" ca="1" si="23"/>
        <v>CLOSED</v>
      </c>
    </row>
    <row r="730" spans="1:14" ht="43.2" x14ac:dyDescent="0.3">
      <c r="A730" s="9" t="s">
        <v>29</v>
      </c>
      <c r="B730" s="13">
        <f>VLOOKUP(Table27[[#This Row],[Location 
(drop-down)]],'List source'!D$2:E$60,2,FALSE)</f>
        <v>141</v>
      </c>
      <c r="C730" s="215" t="s">
        <v>2017</v>
      </c>
      <c r="D730" s="30" t="str">
        <f t="shared" si="22"/>
        <v>PTO729-141-24</v>
      </c>
      <c r="E730" s="9" t="s">
        <v>2018</v>
      </c>
      <c r="F730" s="10" t="s">
        <v>898</v>
      </c>
      <c r="G7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0" s="10">
        <v>2.11</v>
      </c>
      <c r="I730" s="12">
        <v>45510</v>
      </c>
      <c r="J730" s="12" t="s">
        <v>495</v>
      </c>
      <c r="K730" s="77">
        <v>45510</v>
      </c>
      <c r="L730" s="10" t="s">
        <v>673</v>
      </c>
      <c r="M730" s="427">
        <v>729</v>
      </c>
      <c r="N730" s="13" t="str">
        <f t="shared" ca="1" si="23"/>
        <v>CLOSED</v>
      </c>
    </row>
    <row r="731" spans="1:14" ht="43.2" x14ac:dyDescent="0.3">
      <c r="A731" s="9" t="s">
        <v>145</v>
      </c>
      <c r="B731" s="13">
        <f>VLOOKUP(Table27[[#This Row],[Location 
(drop-down)]],'List source'!D$2:E$60,2,FALSE)</f>
        <v>145</v>
      </c>
      <c r="C731" s="215" t="s">
        <v>2019</v>
      </c>
      <c r="D731" s="30" t="str">
        <f t="shared" si="22"/>
        <v>PTO730-145-24</v>
      </c>
      <c r="E731" s="9" t="s">
        <v>2020</v>
      </c>
      <c r="F731" s="10" t="s">
        <v>898</v>
      </c>
      <c r="G7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1" s="10">
        <v>2.04</v>
      </c>
      <c r="I731" s="12">
        <v>45510</v>
      </c>
      <c r="J731" s="12" t="s">
        <v>495</v>
      </c>
      <c r="K731" s="77">
        <v>45510</v>
      </c>
      <c r="L731" s="10" t="s">
        <v>673</v>
      </c>
      <c r="M731" s="427">
        <v>730</v>
      </c>
      <c r="N731" s="13" t="str">
        <f t="shared" ca="1" si="23"/>
        <v>CLOSED</v>
      </c>
    </row>
    <row r="732" spans="1:14" ht="43.2" x14ac:dyDescent="0.3">
      <c r="A732" s="9" t="s">
        <v>70</v>
      </c>
      <c r="B732" s="13">
        <f>VLOOKUP(Table27[[#This Row],[Location 
(drop-down)]],'List source'!D$2:E$60,2,FALSE)</f>
        <v>146</v>
      </c>
      <c r="C732" s="215" t="s">
        <v>2021</v>
      </c>
      <c r="D732" s="30" t="str">
        <f t="shared" si="22"/>
        <v>PTO731-146-24</v>
      </c>
      <c r="E732" s="9" t="s">
        <v>2022</v>
      </c>
      <c r="F732" s="10" t="s">
        <v>898</v>
      </c>
      <c r="G7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2" s="10" t="s">
        <v>2023</v>
      </c>
      <c r="I732" s="12">
        <v>45510</v>
      </c>
      <c r="J732" s="12" t="s">
        <v>495</v>
      </c>
      <c r="K732" s="77">
        <v>45510</v>
      </c>
      <c r="L732" s="10" t="s">
        <v>673</v>
      </c>
      <c r="M732" s="427">
        <v>731</v>
      </c>
      <c r="N732" s="13" t="str">
        <f t="shared" ca="1" si="23"/>
        <v>CLOSED</v>
      </c>
    </row>
    <row r="733" spans="1:14" ht="18" x14ac:dyDescent="0.3">
      <c r="A733" s="189" t="s">
        <v>70</v>
      </c>
      <c r="B733" s="217">
        <f>VLOOKUP(Table27[[#This Row],[Location 
(drop-down)]],'List source'!D$2:E$60,2,FALSE)</f>
        <v>146</v>
      </c>
      <c r="C733" s="254" t="s">
        <v>2024</v>
      </c>
      <c r="D733" s="201" t="str">
        <f t="shared" si="22"/>
        <v>PTO732-146-24</v>
      </c>
      <c r="E733" s="9" t="s">
        <v>2025</v>
      </c>
      <c r="F733" s="10" t="s">
        <v>898</v>
      </c>
      <c r="G7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733" s="39" t="s">
        <v>2026</v>
      </c>
      <c r="I733" s="12">
        <v>45510</v>
      </c>
      <c r="J733" s="234" t="s">
        <v>60</v>
      </c>
      <c r="K733" s="220">
        <v>45806</v>
      </c>
      <c r="L733" s="10"/>
      <c r="M733" s="427">
        <v>732</v>
      </c>
      <c r="N733" s="13" t="str">
        <f t="shared" ca="1" si="23"/>
        <v>CLOSED</v>
      </c>
    </row>
    <row r="734" spans="1:14" ht="18" x14ac:dyDescent="0.3">
      <c r="A734" s="9" t="s">
        <v>186</v>
      </c>
      <c r="B734" s="13">
        <f>VLOOKUP(Table27[[#This Row],[Location 
(drop-down)]],'List source'!D$2:E$60,2,FALSE)</f>
        <v>130</v>
      </c>
      <c r="C734" s="215" t="s">
        <v>2027</v>
      </c>
      <c r="D734" s="30" t="str">
        <f t="shared" si="22"/>
        <v>PTO733-130-24</v>
      </c>
      <c r="E734" s="9" t="s">
        <v>2028</v>
      </c>
      <c r="F734" s="10" t="s">
        <v>2029</v>
      </c>
      <c r="G7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734" s="10">
        <v>12.09</v>
      </c>
      <c r="I734" s="12">
        <v>45510</v>
      </c>
      <c r="J734" s="12" t="s">
        <v>54</v>
      </c>
      <c r="K734" s="77">
        <v>45769</v>
      </c>
      <c r="L734" s="10"/>
      <c r="M734" s="427">
        <v>733</v>
      </c>
      <c r="N734" s="13" t="str">
        <f t="shared" ca="1" si="23"/>
        <v>CLOSED</v>
      </c>
    </row>
    <row r="735" spans="1:14" ht="43.2" x14ac:dyDescent="0.3">
      <c r="A735" s="9" t="s">
        <v>186</v>
      </c>
      <c r="B735" s="13">
        <f>VLOOKUP(Table27[[#This Row],[Location 
(drop-down)]],'List source'!D$2:E$60,2,FALSE)</f>
        <v>130</v>
      </c>
      <c r="C735" s="215" t="s">
        <v>2030</v>
      </c>
      <c r="D735" s="30" t="str">
        <f t="shared" si="22"/>
        <v>PTO734-130-24</v>
      </c>
      <c r="E735" s="9" t="s">
        <v>2031</v>
      </c>
      <c r="F735" s="10" t="s">
        <v>2029</v>
      </c>
      <c r="G7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35" s="10">
        <v>2.4300000000000002</v>
      </c>
      <c r="I735" s="12">
        <v>45510</v>
      </c>
      <c r="J735" s="12" t="s">
        <v>495</v>
      </c>
      <c r="K735" s="77">
        <v>45510</v>
      </c>
      <c r="L735" s="10" t="s">
        <v>673</v>
      </c>
      <c r="M735" s="427">
        <v>734</v>
      </c>
      <c r="N735" s="13" t="str">
        <f t="shared" ca="1" si="23"/>
        <v>CLOSED</v>
      </c>
    </row>
    <row r="736" spans="1:14" ht="18" x14ac:dyDescent="0.3">
      <c r="A736" s="9" t="s">
        <v>186</v>
      </c>
      <c r="B736" s="13">
        <f>VLOOKUP(Table27[[#This Row],[Location 
(drop-down)]],'List source'!D$2:E$60,2,FALSE)</f>
        <v>130</v>
      </c>
      <c r="C736" s="215" t="s">
        <v>2032</v>
      </c>
      <c r="D736" s="30" t="str">
        <f t="shared" si="22"/>
        <v>PTO735-130-24</v>
      </c>
      <c r="E736" s="9" t="s">
        <v>2033</v>
      </c>
      <c r="F736" s="10" t="s">
        <v>2029</v>
      </c>
      <c r="G7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6" s="10">
        <v>2231.8200000000002</v>
      </c>
      <c r="I736" s="12">
        <v>45510</v>
      </c>
      <c r="J736" s="12" t="s">
        <v>495</v>
      </c>
      <c r="K736" s="77">
        <v>45510</v>
      </c>
      <c r="L736" s="10" t="s">
        <v>510</v>
      </c>
      <c r="M736" s="427">
        <v>735</v>
      </c>
      <c r="N736" s="13" t="str">
        <f t="shared" ca="1" si="23"/>
        <v>CLOSED</v>
      </c>
    </row>
    <row r="737" spans="1:14" ht="43.2" x14ac:dyDescent="0.3">
      <c r="A737" s="9" t="s">
        <v>186</v>
      </c>
      <c r="B737" s="13">
        <f>VLOOKUP(Table27[[#This Row],[Location 
(drop-down)]],'List source'!D$2:E$60,2,FALSE)</f>
        <v>130</v>
      </c>
      <c r="C737" s="215" t="s">
        <v>2034</v>
      </c>
      <c r="D737" s="30" t="str">
        <f t="shared" si="22"/>
        <v>PTO736-130-24</v>
      </c>
      <c r="E737" s="9" t="s">
        <v>2035</v>
      </c>
      <c r="F737" s="10" t="s">
        <v>2036</v>
      </c>
      <c r="G7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7" s="10">
        <v>2.16</v>
      </c>
      <c r="I737" s="12">
        <v>45510</v>
      </c>
      <c r="J737" s="12" t="s">
        <v>495</v>
      </c>
      <c r="K737" s="77">
        <v>45510</v>
      </c>
      <c r="L737" s="10" t="s">
        <v>673</v>
      </c>
      <c r="M737" s="427">
        <v>736</v>
      </c>
      <c r="N737" s="13" t="str">
        <f t="shared" ca="1" si="23"/>
        <v>CLOSED</v>
      </c>
    </row>
    <row r="738" spans="1:14" ht="43.2" x14ac:dyDescent="0.3">
      <c r="A738" s="9" t="s">
        <v>235</v>
      </c>
      <c r="B738" s="13">
        <f>VLOOKUP(Table27[[#This Row],[Location 
(drop-down)]],'List source'!D$2:E$60,2,FALSE)</f>
        <v>160</v>
      </c>
      <c r="C738" s="215" t="s">
        <v>2037</v>
      </c>
      <c r="D738" s="30" t="str">
        <f t="shared" si="22"/>
        <v>PTO737-160-24</v>
      </c>
      <c r="E738" s="9" t="s">
        <v>2038</v>
      </c>
      <c r="F738" s="10" t="s">
        <v>876</v>
      </c>
      <c r="G7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38" s="39" t="s">
        <v>895</v>
      </c>
      <c r="I738" s="12">
        <v>45510</v>
      </c>
      <c r="J738" s="12" t="s">
        <v>495</v>
      </c>
      <c r="K738" s="77">
        <v>45510</v>
      </c>
      <c r="L738" s="10" t="s">
        <v>673</v>
      </c>
      <c r="M738" s="427">
        <v>737</v>
      </c>
      <c r="N738" s="13" t="str">
        <f t="shared" ca="1" si="23"/>
        <v>CLOSED</v>
      </c>
    </row>
    <row r="739" spans="1:14" ht="18" x14ac:dyDescent="0.3">
      <c r="A739" s="9" t="s">
        <v>207</v>
      </c>
      <c r="B739" s="13">
        <f>VLOOKUP(Table27[[#This Row],[Location 
(drop-down)]],'List source'!D$2:E$60,2,FALSE)</f>
        <v>189</v>
      </c>
      <c r="C739" s="215" t="s">
        <v>2039</v>
      </c>
      <c r="D739" s="30" t="str">
        <f t="shared" si="22"/>
        <v>PTO738-189-24</v>
      </c>
      <c r="E739" s="9" t="s">
        <v>2040</v>
      </c>
      <c r="F739" s="10" t="s">
        <v>2041</v>
      </c>
      <c r="G7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 Number</v>
      </c>
      <c r="H739" s="10">
        <v>23</v>
      </c>
      <c r="I739" s="12">
        <v>45510</v>
      </c>
      <c r="J739" s="12" t="s">
        <v>49</v>
      </c>
      <c r="K739" s="77">
        <v>45589</v>
      </c>
      <c r="L739" s="10"/>
      <c r="M739" s="427">
        <v>738</v>
      </c>
      <c r="N739" s="13" t="str">
        <f t="shared" ca="1" si="23"/>
        <v>CLOSED</v>
      </c>
    </row>
    <row r="740" spans="1:14" ht="18" x14ac:dyDescent="0.3">
      <c r="A740" s="9" t="s">
        <v>207</v>
      </c>
      <c r="B740" s="13">
        <f>VLOOKUP(Table27[[#This Row],[Location 
(drop-down)]],'List source'!D$2:E$60,2,FALSE)</f>
        <v>189</v>
      </c>
      <c r="C740" s="215" t="s">
        <v>2042</v>
      </c>
      <c r="D740" s="30" t="str">
        <f t="shared" si="22"/>
        <v>PTO739-189-24</v>
      </c>
      <c r="E740" s="9" t="s">
        <v>2043</v>
      </c>
      <c r="F740" s="10" t="s">
        <v>2041</v>
      </c>
      <c r="G7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740" s="10">
        <v>16.059999999999999</v>
      </c>
      <c r="I740" s="12">
        <v>45510</v>
      </c>
      <c r="J740" s="12" t="s">
        <v>495</v>
      </c>
      <c r="K740" s="77">
        <v>45516</v>
      </c>
      <c r="L740" s="10" t="s">
        <v>510</v>
      </c>
      <c r="M740" s="427">
        <v>739</v>
      </c>
      <c r="N740" s="13" t="str">
        <f t="shared" ca="1" si="23"/>
        <v>CLOSED</v>
      </c>
    </row>
    <row r="741" spans="1:14" ht="43.2" x14ac:dyDescent="0.3">
      <c r="A741" s="9" t="s">
        <v>288</v>
      </c>
      <c r="B741" s="13">
        <f>VLOOKUP(Table27[[#This Row],[Location 
(drop-down)]],'List source'!D$2:E$60,2,FALSE)</f>
        <v>197</v>
      </c>
      <c r="C741" s="215" t="s">
        <v>2044</v>
      </c>
      <c r="D741" s="30" t="str">
        <f t="shared" si="22"/>
        <v>PTO740-197-24</v>
      </c>
      <c r="E741" s="9" t="s">
        <v>2045</v>
      </c>
      <c r="F741" s="10" t="s">
        <v>2041</v>
      </c>
      <c r="G7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D7224 - Water Separation of Kerosine-type Aviation Turbine</v>
      </c>
      <c r="H741" s="10">
        <v>2.7</v>
      </c>
      <c r="I741" s="12">
        <v>45510</v>
      </c>
      <c r="J741" s="12" t="s">
        <v>495</v>
      </c>
      <c r="K741" s="77">
        <v>45510</v>
      </c>
      <c r="L741" s="10" t="s">
        <v>673</v>
      </c>
      <c r="M741" s="427">
        <v>740</v>
      </c>
      <c r="N741" s="13" t="str">
        <f t="shared" ca="1" si="23"/>
        <v>CLOSED</v>
      </c>
    </row>
    <row r="742" spans="1:14" ht="43.2" x14ac:dyDescent="0.3">
      <c r="A742" s="9" t="s">
        <v>318</v>
      </c>
      <c r="B742" s="13">
        <f>VLOOKUP(Table27[[#This Row],[Location 
(drop-down)]],'List source'!D$2:E$60,2,FALSE)</f>
        <v>115</v>
      </c>
      <c r="C742" s="215" t="s">
        <v>2046</v>
      </c>
      <c r="D742" s="30" t="str">
        <f t="shared" si="22"/>
        <v>PTO741-115-24</v>
      </c>
      <c r="E742" s="9" t="s">
        <v>2047</v>
      </c>
      <c r="F742" s="10" t="str" cm="1">
        <f t="array" aca="1" ref="F7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742" s="10">
        <v>2.2200000000000002</v>
      </c>
      <c r="I742" s="12">
        <v>45511</v>
      </c>
      <c r="J742" s="12" t="s">
        <v>495</v>
      </c>
      <c r="K742" s="77">
        <v>45511</v>
      </c>
      <c r="L742" s="10" t="s">
        <v>673</v>
      </c>
      <c r="M742" s="427">
        <v>741</v>
      </c>
      <c r="N742" s="13" t="str">
        <f t="shared" ca="1" si="23"/>
        <v>CLOSED</v>
      </c>
    </row>
    <row r="743" spans="1:14" ht="28.8" x14ac:dyDescent="0.3">
      <c r="A743" s="9" t="s">
        <v>65</v>
      </c>
      <c r="B743" s="13">
        <f>VLOOKUP(Table27[[#This Row],[Location 
(drop-down)]],'List source'!D$2:E$60,2,FALSE)</f>
        <v>155</v>
      </c>
      <c r="C743" s="215" t="s">
        <v>2048</v>
      </c>
      <c r="D743" s="30" t="str">
        <f t="shared" si="22"/>
        <v>PTO742-155-24</v>
      </c>
      <c r="E743" s="9" t="s">
        <v>2049</v>
      </c>
      <c r="F743" s="10" t="str" cm="1">
        <f t="array" aca="1" ref="F7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Types</v>
      </c>
      <c r="H743" s="10" t="s">
        <v>2050</v>
      </c>
      <c r="I743" s="12">
        <v>45511</v>
      </c>
      <c r="J743" s="12" t="s">
        <v>495</v>
      </c>
      <c r="K743" s="77">
        <v>45512</v>
      </c>
      <c r="L743" s="10" t="s">
        <v>510</v>
      </c>
      <c r="M743" s="427">
        <v>742</v>
      </c>
      <c r="N743" s="13" t="str">
        <f t="shared" ca="1" si="23"/>
        <v>CLOSED</v>
      </c>
    </row>
    <row r="744" spans="1:14" ht="18" x14ac:dyDescent="0.3">
      <c r="A744" s="9" t="s">
        <v>65</v>
      </c>
      <c r="B744" s="13">
        <f>VLOOKUP(Table27[[#This Row],[Location 
(drop-down)]],'List source'!D$2:E$60,2,FALSE)</f>
        <v>155</v>
      </c>
      <c r="C744" s="215" t="s">
        <v>2051</v>
      </c>
      <c r="D744" s="30" t="str">
        <f t="shared" si="22"/>
        <v>PTO743-155-24</v>
      </c>
      <c r="E744" s="9" t="s">
        <v>2052</v>
      </c>
      <c r="F744" s="10" t="str" cm="1">
        <f t="array" aca="1" ref="F7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744" s="39" t="s">
        <v>1417</v>
      </c>
      <c r="I744" s="12">
        <v>45511</v>
      </c>
      <c r="J744" s="12" t="s">
        <v>182</v>
      </c>
      <c r="K744" s="77">
        <v>45882</v>
      </c>
      <c r="L744" s="10"/>
      <c r="M744" s="427">
        <v>743</v>
      </c>
      <c r="N744" s="13" t="str">
        <f t="shared" ca="1" si="23"/>
        <v>CLOSED</v>
      </c>
    </row>
    <row r="745" spans="1:14" ht="28.8" x14ac:dyDescent="0.3">
      <c r="A745" s="9" t="s">
        <v>235</v>
      </c>
      <c r="B745" s="13">
        <f>VLOOKUP(Table27[[#This Row],[Location 
(drop-down)]],'List source'!D$2:E$60,2,FALSE)</f>
        <v>160</v>
      </c>
      <c r="C745" s="215" t="s">
        <v>2053</v>
      </c>
      <c r="D745" s="30" t="str">
        <f t="shared" si="22"/>
        <v>PTO744-160-24</v>
      </c>
      <c r="E745" s="9" t="s">
        <v>2054</v>
      </c>
      <c r="F745" s="10" t="str" cm="1">
        <f t="array" aca="1" ref="F7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v>
      </c>
      <c r="H745" s="10">
        <v>5.48</v>
      </c>
      <c r="I745" s="12">
        <v>45511</v>
      </c>
      <c r="J745" s="12" t="s">
        <v>182</v>
      </c>
      <c r="K745" s="77">
        <v>45713</v>
      </c>
      <c r="L745" s="10"/>
      <c r="M745" s="427">
        <v>744</v>
      </c>
      <c r="N745" s="13" t="str">
        <f t="shared" ca="1" si="23"/>
        <v>CLOSED</v>
      </c>
    </row>
    <row r="746" spans="1:14" ht="43.2" x14ac:dyDescent="0.3">
      <c r="A746" s="9" t="s">
        <v>57</v>
      </c>
      <c r="B746" s="13">
        <f>VLOOKUP(Table27[[#This Row],[Location 
(drop-down)]],'List source'!D$2:E$60,2,FALSE)</f>
        <v>170</v>
      </c>
      <c r="C746" s="215" t="s">
        <v>2055</v>
      </c>
      <c r="D746" s="30" t="str">
        <f t="shared" si="22"/>
        <v>PTO745-170-24</v>
      </c>
      <c r="E746" s="9" t="s">
        <v>2056</v>
      </c>
      <c r="F746" s="10" t="str" cm="1">
        <f t="array" aca="1" ref="F7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746" s="10">
        <v>2.13</v>
      </c>
      <c r="I746" s="12">
        <v>45511</v>
      </c>
      <c r="J746" s="12" t="s">
        <v>495</v>
      </c>
      <c r="K746" s="77">
        <v>45511</v>
      </c>
      <c r="L746" s="10" t="s">
        <v>673</v>
      </c>
      <c r="M746" s="427">
        <v>745</v>
      </c>
      <c r="N746" s="13" t="str">
        <f t="shared" ca="1" si="23"/>
        <v>CLOSED</v>
      </c>
    </row>
    <row r="747" spans="1:14" ht="43.2" x14ac:dyDescent="0.3">
      <c r="A747" s="9" t="s">
        <v>44</v>
      </c>
      <c r="B747" s="13">
        <f>VLOOKUP(Table27[[#This Row],[Location 
(drop-down)]],'List source'!D$2:E$60,2,FALSE)</f>
        <v>192</v>
      </c>
      <c r="C747" s="215" t="s">
        <v>2057</v>
      </c>
      <c r="D747" s="30" t="str">
        <f t="shared" si="22"/>
        <v>PTO746-192-24</v>
      </c>
      <c r="E747" s="9" t="s">
        <v>2058</v>
      </c>
      <c r="F747" s="10" t="str" cm="1">
        <f t="array" aca="1" ref="F7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47" s="39" t="s">
        <v>892</v>
      </c>
      <c r="I747" s="12">
        <v>45511</v>
      </c>
      <c r="J747" s="12" t="s">
        <v>495</v>
      </c>
      <c r="K747" s="77">
        <v>45511</v>
      </c>
      <c r="L747" s="10" t="s">
        <v>673</v>
      </c>
      <c r="M747" s="427">
        <v>746</v>
      </c>
      <c r="N747" s="13" t="str">
        <f t="shared" ca="1" si="23"/>
        <v>CLOSED</v>
      </c>
    </row>
    <row r="748" spans="1:14" ht="18" x14ac:dyDescent="0.3">
      <c r="A748" s="9" t="s">
        <v>288</v>
      </c>
      <c r="B748" s="13">
        <f>VLOOKUP(Table27[[#This Row],[Location 
(drop-down)]],'List source'!D$2:E$60,2,FALSE)</f>
        <v>197</v>
      </c>
      <c r="C748" s="215" t="s">
        <v>2059</v>
      </c>
      <c r="D748" s="30" t="str">
        <f t="shared" si="22"/>
        <v>PTO747-197-24</v>
      </c>
      <c r="E748" s="9" t="s">
        <v>2060</v>
      </c>
      <c r="F748" s="10" t="str" cm="1">
        <f t="array" aca="1" ref="F7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48" s="10">
        <v>4.26</v>
      </c>
      <c r="I748" s="12">
        <v>45511</v>
      </c>
      <c r="J748" s="12" t="s">
        <v>495</v>
      </c>
      <c r="K748" s="77">
        <v>45512</v>
      </c>
      <c r="L748" s="10" t="s">
        <v>510</v>
      </c>
      <c r="M748" s="427">
        <v>747</v>
      </c>
      <c r="N748" s="13" t="str">
        <f t="shared" ca="1" si="23"/>
        <v>CLOSED</v>
      </c>
    </row>
    <row r="749" spans="1:14" ht="43.2" x14ac:dyDescent="0.3">
      <c r="A749" s="9" t="s">
        <v>166</v>
      </c>
      <c r="B749" s="13">
        <f>VLOOKUP(Table27[[#This Row],[Location 
(drop-down)]],'List source'!D$2:E$60,2,FALSE)</f>
        <v>198</v>
      </c>
      <c r="C749" s="215" t="s">
        <v>2061</v>
      </c>
      <c r="D749" s="30" t="str">
        <f t="shared" si="22"/>
        <v>PTO748-198-24</v>
      </c>
      <c r="E749" s="9" t="s">
        <v>2062</v>
      </c>
      <c r="F749" s="10" t="str" cm="1">
        <f t="array" aca="1" ref="F7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v>
      </c>
      <c r="H749" s="39" t="s">
        <v>1013</v>
      </c>
      <c r="I749" s="12">
        <v>45511</v>
      </c>
      <c r="J749" s="12" t="s">
        <v>495</v>
      </c>
      <c r="K749" s="77">
        <v>45511</v>
      </c>
      <c r="L749" s="10" t="s">
        <v>673</v>
      </c>
      <c r="M749" s="427">
        <v>748</v>
      </c>
      <c r="N749" s="13" t="str">
        <f t="shared" ca="1" si="23"/>
        <v>CLOSED</v>
      </c>
    </row>
    <row r="750" spans="1:14" ht="18" x14ac:dyDescent="0.3">
      <c r="A750" s="9" t="s">
        <v>261</v>
      </c>
      <c r="B750" s="13">
        <f>VLOOKUP(Table27[[#This Row],[Location 
(drop-down)]],'List source'!D$2:E$60,2,FALSE)</f>
        <v>210</v>
      </c>
      <c r="C750" s="215" t="s">
        <v>2063</v>
      </c>
      <c r="D750" s="30" t="str">
        <f t="shared" si="22"/>
        <v>PTO749-210-24</v>
      </c>
      <c r="E750" s="9" t="s">
        <v>2064</v>
      </c>
      <c r="F750" s="10" t="str" cm="1">
        <f t="array" aca="1" ref="F7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750" s="39" t="s">
        <v>2065</v>
      </c>
      <c r="I750" s="12">
        <v>45511</v>
      </c>
      <c r="J750" s="12" t="s">
        <v>495</v>
      </c>
      <c r="K750" s="77">
        <v>45511</v>
      </c>
      <c r="L750" s="10" t="s">
        <v>510</v>
      </c>
      <c r="M750" s="427">
        <v>749</v>
      </c>
      <c r="N750" s="13" t="str">
        <f t="shared" ca="1" si="23"/>
        <v>CLOSED</v>
      </c>
    </row>
    <row r="751" spans="1:14" ht="28.8" x14ac:dyDescent="0.3">
      <c r="A751" s="9" t="s">
        <v>564</v>
      </c>
      <c r="B751" s="13">
        <f>VLOOKUP(Table27[[#This Row],[Location 
(drop-down)]],'List source'!D$2:E$60,2,FALSE)</f>
        <v>215</v>
      </c>
      <c r="C751" s="215" t="s">
        <v>2066</v>
      </c>
      <c r="D751" s="30" t="str">
        <f t="shared" si="22"/>
        <v>PTO750-215-24</v>
      </c>
      <c r="E751" s="9" t="s">
        <v>2067</v>
      </c>
      <c r="F751" s="10" t="str" cm="1">
        <f t="array" aca="1" ref="F7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7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Types</v>
      </c>
      <c r="H751" s="10" t="s">
        <v>2068</v>
      </c>
      <c r="I751" s="12">
        <v>45511</v>
      </c>
      <c r="J751" s="12" t="s">
        <v>495</v>
      </c>
      <c r="K751" s="77">
        <v>45524</v>
      </c>
      <c r="L751" s="10" t="s">
        <v>915</v>
      </c>
      <c r="M751" s="427">
        <v>750</v>
      </c>
      <c r="N751" s="13" t="str">
        <f t="shared" ca="1" si="23"/>
        <v>CLOSED</v>
      </c>
    </row>
    <row r="752" spans="1:14" ht="28.8" x14ac:dyDescent="0.3">
      <c r="A752" s="9" t="s">
        <v>186</v>
      </c>
      <c r="B752" s="13">
        <f>VLOOKUP(Table27[[#This Row],[Location 
(drop-down)]],'List source'!D$2:E$60,2,FALSE)</f>
        <v>130</v>
      </c>
      <c r="C752" s="215" t="s">
        <v>2069</v>
      </c>
      <c r="D752" s="30" t="str">
        <f t="shared" si="22"/>
        <v>PTO751-130-24</v>
      </c>
      <c r="E752" s="9" t="s">
        <v>2070</v>
      </c>
      <c r="F752" s="10" t="str" cm="1">
        <f t="array" aca="1" ref="F7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52" s="10">
        <v>-20.92</v>
      </c>
      <c r="I752" s="12">
        <v>45513</v>
      </c>
      <c r="J752" s="12" t="s">
        <v>182</v>
      </c>
      <c r="K752" s="77">
        <v>45562</v>
      </c>
      <c r="L752" s="10"/>
      <c r="M752" s="427">
        <v>751</v>
      </c>
      <c r="N752" s="13" t="str">
        <f t="shared" ca="1" si="23"/>
        <v>CLOSED</v>
      </c>
    </row>
    <row r="753" spans="1:14" ht="18" x14ac:dyDescent="0.3">
      <c r="A753" s="9" t="s">
        <v>186</v>
      </c>
      <c r="B753" s="13">
        <f>VLOOKUP(Table27[[#This Row],[Location 
(drop-down)]],'List source'!D$2:E$60,2,FALSE)</f>
        <v>130</v>
      </c>
      <c r="C753" s="215" t="s">
        <v>2071</v>
      </c>
      <c r="D753" s="30" t="str">
        <f t="shared" si="22"/>
        <v>PTO752-130-24</v>
      </c>
      <c r="E753" s="9" t="s">
        <v>2072</v>
      </c>
      <c r="F753" s="10" t="str" cm="1">
        <f t="array" aca="1" ref="F7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753" s="10">
        <v>3.1</v>
      </c>
      <c r="I753" s="12">
        <v>45513</v>
      </c>
      <c r="J753" s="12" t="s">
        <v>495</v>
      </c>
      <c r="K753" s="77">
        <v>45547</v>
      </c>
      <c r="L753" s="10" t="s">
        <v>510</v>
      </c>
      <c r="M753" s="427">
        <v>752</v>
      </c>
      <c r="N753" s="13" t="str">
        <f t="shared" ca="1" si="23"/>
        <v>CLOSED</v>
      </c>
    </row>
    <row r="754" spans="1:14" ht="28.8" x14ac:dyDescent="0.3">
      <c r="A754" s="9" t="s">
        <v>21</v>
      </c>
      <c r="B754" s="13">
        <f>VLOOKUP(Table27[[#This Row],[Location 
(drop-down)]],'List source'!D$2:E$60,2,FALSE)</f>
        <v>131</v>
      </c>
      <c r="C754" s="215" t="s">
        <v>2073</v>
      </c>
      <c r="D754" s="30" t="str">
        <f t="shared" si="22"/>
        <v>PTO753-131-24</v>
      </c>
      <c r="E754" s="9" t="s">
        <v>2074</v>
      </c>
      <c r="F754" s="10" t="str" cm="1">
        <f t="array" aca="1" ref="F7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754" s="10">
        <v>3.07</v>
      </c>
      <c r="I754" s="12">
        <v>45513</v>
      </c>
      <c r="J754" s="12" t="s">
        <v>182</v>
      </c>
      <c r="K754" s="77">
        <v>45597</v>
      </c>
      <c r="L754" s="10"/>
      <c r="M754" s="427">
        <v>753</v>
      </c>
      <c r="N754" s="13" t="str">
        <f t="shared" ca="1" si="23"/>
        <v>CLOSED</v>
      </c>
    </row>
    <row r="755" spans="1:14" ht="28.8" x14ac:dyDescent="0.3">
      <c r="A755" s="9" t="s">
        <v>264</v>
      </c>
      <c r="B755" s="13">
        <f>VLOOKUP(Table27[[#This Row],[Location 
(drop-down)]],'List source'!D$2:E$60,2,FALSE)</f>
        <v>132</v>
      </c>
      <c r="C755" s="215" t="s">
        <v>2075</v>
      </c>
      <c r="D755" s="30" t="str">
        <f t="shared" si="22"/>
        <v>PTO754-132-24</v>
      </c>
      <c r="E755" s="9" t="s">
        <v>2076</v>
      </c>
      <c r="F755" s="10" t="str" cm="1">
        <f t="array" aca="1" ref="F7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55" s="10">
        <v>-20.72</v>
      </c>
      <c r="I755" s="12">
        <v>45513</v>
      </c>
      <c r="J755" s="12" t="s">
        <v>495</v>
      </c>
      <c r="K755" s="77">
        <v>45527</v>
      </c>
      <c r="L755" s="10" t="s">
        <v>2077</v>
      </c>
      <c r="M755" s="427">
        <v>754</v>
      </c>
      <c r="N755" s="13" t="str">
        <f t="shared" ca="1" si="23"/>
        <v>CLOSED</v>
      </c>
    </row>
    <row r="756" spans="1:14" ht="43.2" x14ac:dyDescent="0.3">
      <c r="A756" s="9" t="s">
        <v>264</v>
      </c>
      <c r="B756" s="13">
        <f>VLOOKUP(Table27[[#This Row],[Location 
(drop-down)]],'List source'!D$2:E$60,2,FALSE)</f>
        <v>132</v>
      </c>
      <c r="C756" s="215" t="s">
        <v>2078</v>
      </c>
      <c r="D756" s="30" t="str">
        <f t="shared" ref="D756:D819" si="24">"PTO" &amp; C756 &amp; "-" &amp; B756 &amp; "-" &amp; "24"</f>
        <v>PTO755-132-24</v>
      </c>
      <c r="E756" s="9" t="s">
        <v>2079</v>
      </c>
      <c r="F756" s="10" t="str" cm="1">
        <f t="array" aca="1" ref="F7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56" s="39" t="s">
        <v>1561</v>
      </c>
      <c r="I756" s="12">
        <v>45513</v>
      </c>
      <c r="J756" s="12" t="s">
        <v>495</v>
      </c>
      <c r="K756" s="77">
        <v>45513</v>
      </c>
      <c r="L756" s="10" t="s">
        <v>496</v>
      </c>
      <c r="M756" s="427">
        <v>755</v>
      </c>
      <c r="N756" s="13" t="str">
        <f t="shared" ref="N756:N819" ca="1" si="25">IF(ISBLANK(K756), TODAY()-(I756), "CLOSED")</f>
        <v>CLOSED</v>
      </c>
    </row>
    <row r="757" spans="1:14" ht="43.2" x14ac:dyDescent="0.3">
      <c r="A757" s="9" t="s">
        <v>86</v>
      </c>
      <c r="B757" s="13">
        <f>VLOOKUP(Table27[[#This Row],[Location 
(drop-down)]],'List source'!D$2:E$60,2,FALSE)</f>
        <v>150</v>
      </c>
      <c r="C757" s="215" t="s">
        <v>2080</v>
      </c>
      <c r="D757" s="30" t="str">
        <f t="shared" si="24"/>
        <v>PTO756-150-24</v>
      </c>
      <c r="E757" s="9" t="s">
        <v>2081</v>
      </c>
      <c r="F757" s="10" t="str" cm="1">
        <f t="array" aca="1" ref="F7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D6560 - Asphaltenes</v>
      </c>
      <c r="H757" s="10">
        <v>2.72</v>
      </c>
      <c r="I757" s="12">
        <v>45513</v>
      </c>
      <c r="J757" s="12" t="s">
        <v>495</v>
      </c>
      <c r="K757" s="77">
        <v>45513</v>
      </c>
      <c r="L757" s="10" t="s">
        <v>496</v>
      </c>
      <c r="M757" s="427">
        <v>756</v>
      </c>
      <c r="N757" s="13" t="str">
        <f t="shared" ca="1" si="25"/>
        <v>CLOSED</v>
      </c>
    </row>
    <row r="758" spans="1:14" ht="28.8" x14ac:dyDescent="0.3">
      <c r="A758" s="9" t="s">
        <v>86</v>
      </c>
      <c r="B758" s="13">
        <f>VLOOKUP(Table27[[#This Row],[Location 
(drop-down)]],'List source'!D$2:E$60,2,FALSE)</f>
        <v>150</v>
      </c>
      <c r="C758" s="215" t="s">
        <v>2082</v>
      </c>
      <c r="D758" s="30" t="str">
        <f t="shared" si="24"/>
        <v>PTO757-150-24</v>
      </c>
      <c r="E758" s="9" t="s">
        <v>2083</v>
      </c>
      <c r="F758" s="10" t="str" cm="1">
        <f t="array" aca="1" ref="F7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758" s="10">
        <v>-9.23</v>
      </c>
      <c r="I758" s="12">
        <v>45513</v>
      </c>
      <c r="J758" s="12" t="s">
        <v>182</v>
      </c>
      <c r="K758" s="77">
        <v>45912</v>
      </c>
      <c r="L758" s="10"/>
      <c r="M758" s="427">
        <v>757</v>
      </c>
      <c r="N758" s="13" t="str">
        <f t="shared" ca="1" si="25"/>
        <v>CLOSED</v>
      </c>
    </row>
    <row r="759" spans="1:14" ht="28.8" x14ac:dyDescent="0.3">
      <c r="A759" s="9" t="s">
        <v>65</v>
      </c>
      <c r="B759" s="13">
        <f>VLOOKUP(Table27[[#This Row],[Location 
(drop-down)]],'List source'!D$2:E$60,2,FALSE)</f>
        <v>155</v>
      </c>
      <c r="C759" s="215" t="s">
        <v>2084</v>
      </c>
      <c r="D759" s="30" t="str">
        <f t="shared" si="24"/>
        <v>PTO758-155-24</v>
      </c>
      <c r="E759" s="9" t="s">
        <v>2085</v>
      </c>
      <c r="F759" s="10" t="str" cm="1">
        <f t="array" aca="1" ref="F7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Multiple Parameters</v>
      </c>
      <c r="H759" s="10" t="s">
        <v>529</v>
      </c>
      <c r="I759" s="12">
        <v>45513</v>
      </c>
      <c r="J759" s="12" t="s">
        <v>182</v>
      </c>
      <c r="K759" s="77">
        <v>45912</v>
      </c>
      <c r="L759" s="10"/>
      <c r="M759" s="427">
        <v>758</v>
      </c>
      <c r="N759" s="13" t="str">
        <f t="shared" ca="1" si="25"/>
        <v>CLOSED</v>
      </c>
    </row>
    <row r="760" spans="1:14" ht="28.8" x14ac:dyDescent="0.3">
      <c r="A760" s="272" t="s">
        <v>159</v>
      </c>
      <c r="B760" s="273">
        <f>VLOOKUP(Table27[[#This Row],[Location 
(drop-down)]],'List source'!D$2:E$60,2,FALSE)</f>
        <v>156</v>
      </c>
      <c r="C760" s="332" t="s">
        <v>2086</v>
      </c>
      <c r="D760" s="275" t="str">
        <f t="shared" si="24"/>
        <v>PTO759-156-24</v>
      </c>
      <c r="E760" s="272" t="s">
        <v>2087</v>
      </c>
      <c r="F760" s="277" t="str" cm="1">
        <f t="array" aca="1" ref="F7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0"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760" s="277">
        <v>3.29</v>
      </c>
      <c r="I760" s="279">
        <v>45513</v>
      </c>
      <c r="J760" s="279" t="s">
        <v>182</v>
      </c>
      <c r="K760" s="280">
        <v>45638</v>
      </c>
      <c r="L760" s="10"/>
      <c r="M760" s="427">
        <v>759</v>
      </c>
      <c r="N760" s="13" t="str">
        <f t="shared" ca="1" si="25"/>
        <v>CLOSED</v>
      </c>
    </row>
    <row r="761" spans="1:14" ht="43.2" x14ac:dyDescent="0.3">
      <c r="A761" s="9" t="s">
        <v>35</v>
      </c>
      <c r="B761" s="13">
        <f>VLOOKUP(Table27[[#This Row],[Location 
(drop-down)]],'List source'!D$2:E$60,2,FALSE)</f>
        <v>158</v>
      </c>
      <c r="C761" s="215" t="s">
        <v>2088</v>
      </c>
      <c r="D761" s="30" t="str">
        <f t="shared" si="24"/>
        <v>PTO760-158-24</v>
      </c>
      <c r="E761" s="9" t="s">
        <v>2089</v>
      </c>
      <c r="F761" s="10" t="str" cm="1">
        <f t="array" aca="1" ref="F7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61" s="39" t="s">
        <v>1481</v>
      </c>
      <c r="I761" s="12">
        <v>45513</v>
      </c>
      <c r="J761" s="12" t="s">
        <v>495</v>
      </c>
      <c r="K761" s="77">
        <v>45513</v>
      </c>
      <c r="L761" s="10" t="s">
        <v>496</v>
      </c>
      <c r="M761" s="427">
        <v>760</v>
      </c>
      <c r="N761" s="13" t="str">
        <f t="shared" ca="1" si="25"/>
        <v>CLOSED</v>
      </c>
    </row>
    <row r="762" spans="1:14" ht="18" x14ac:dyDescent="0.3">
      <c r="A762" s="9" t="s">
        <v>235</v>
      </c>
      <c r="B762" s="13">
        <f>VLOOKUP(Table27[[#This Row],[Location 
(drop-down)]],'List source'!D$2:E$60,2,FALSE)</f>
        <v>160</v>
      </c>
      <c r="C762" s="215" t="s">
        <v>2090</v>
      </c>
      <c r="D762" s="30" t="str">
        <f t="shared" si="24"/>
        <v>PTO761-160-24</v>
      </c>
      <c r="E762" s="9" t="s">
        <v>2091</v>
      </c>
      <c r="F762" s="10" t="str" cm="1">
        <f t="array" aca="1" ref="F7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762" s="39" t="s">
        <v>2092</v>
      </c>
      <c r="I762" s="12">
        <v>45513</v>
      </c>
      <c r="J762" s="12" t="s">
        <v>182</v>
      </c>
      <c r="K762" s="77">
        <v>45581</v>
      </c>
      <c r="L762" s="10"/>
      <c r="M762" s="427">
        <v>761</v>
      </c>
      <c r="N762" s="13" t="str">
        <f t="shared" ca="1" si="25"/>
        <v>CLOSED</v>
      </c>
    </row>
    <row r="763" spans="1:14" ht="18" x14ac:dyDescent="0.3">
      <c r="A763" s="9" t="s">
        <v>235</v>
      </c>
      <c r="B763" s="13">
        <f>VLOOKUP(Table27[[#This Row],[Location 
(drop-down)]],'List source'!D$2:E$60,2,FALSE)</f>
        <v>160</v>
      </c>
      <c r="C763" s="215" t="s">
        <v>2093</v>
      </c>
      <c r="D763" s="30" t="str">
        <f t="shared" si="24"/>
        <v>PTO762-160-24</v>
      </c>
      <c r="E763" s="9" t="s">
        <v>2094</v>
      </c>
      <c r="F763" s="10" t="str" cm="1">
        <f t="array" aca="1" ref="F7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63" s="39" t="s">
        <v>2095</v>
      </c>
      <c r="I763" s="12">
        <v>45513</v>
      </c>
      <c r="J763" s="12" t="s">
        <v>182</v>
      </c>
      <c r="K763" s="77">
        <v>45581</v>
      </c>
      <c r="L763" s="10"/>
      <c r="M763" s="427">
        <v>762</v>
      </c>
      <c r="N763" s="13" t="str">
        <f t="shared" ca="1" si="25"/>
        <v>CLOSED</v>
      </c>
    </row>
    <row r="764" spans="1:14" ht="43.2" x14ac:dyDescent="0.3">
      <c r="A764" s="9" t="s">
        <v>209</v>
      </c>
      <c r="B764" s="13">
        <f>VLOOKUP(Table27[[#This Row],[Location 
(drop-down)]],'List source'!D$2:E$60,2,FALSE)</f>
        <v>165</v>
      </c>
      <c r="C764" s="215" t="s">
        <v>2096</v>
      </c>
      <c r="D764" s="30" t="str">
        <f t="shared" si="24"/>
        <v>PTO763-165-24</v>
      </c>
      <c r="E764" s="9" t="s">
        <v>2097</v>
      </c>
      <c r="F764" s="10" t="str" cm="1">
        <f t="array" aca="1" ref="F7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D287 - API Gravity</v>
      </c>
      <c r="H764" s="39" t="s">
        <v>2098</v>
      </c>
      <c r="I764" s="12">
        <v>45513</v>
      </c>
      <c r="J764" s="12" t="s">
        <v>495</v>
      </c>
      <c r="K764" s="77">
        <v>45513</v>
      </c>
      <c r="L764" s="10" t="s">
        <v>496</v>
      </c>
      <c r="M764" s="427">
        <v>763</v>
      </c>
      <c r="N764" s="13" t="str">
        <f t="shared" ca="1" si="25"/>
        <v>CLOSED</v>
      </c>
    </row>
    <row r="765" spans="1:14" ht="18" x14ac:dyDescent="0.3">
      <c r="A765" s="9" t="s">
        <v>209</v>
      </c>
      <c r="B765" s="13">
        <f>VLOOKUP(Table27[[#This Row],[Location 
(drop-down)]],'List source'!D$2:E$60,2,FALSE)</f>
        <v>165</v>
      </c>
      <c r="C765" s="215" t="s">
        <v>2099</v>
      </c>
      <c r="D765" s="30" t="str">
        <f t="shared" si="24"/>
        <v>PTO764-165-24</v>
      </c>
      <c r="E765" s="9" t="s">
        <v>2100</v>
      </c>
      <c r="F765" s="10" t="str" cm="1">
        <f t="array" aca="1" ref="F7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65" s="10">
        <v>3.55</v>
      </c>
      <c r="I765" s="12">
        <v>45513</v>
      </c>
      <c r="J765" s="12" t="s">
        <v>495</v>
      </c>
      <c r="K765" s="77">
        <v>45657</v>
      </c>
      <c r="L765" s="10" t="s">
        <v>2101</v>
      </c>
      <c r="M765" s="427">
        <v>764</v>
      </c>
      <c r="N765" s="13" t="str">
        <f t="shared" ca="1" si="25"/>
        <v>CLOSED</v>
      </c>
    </row>
    <row r="766" spans="1:14" ht="28.8" x14ac:dyDescent="0.3">
      <c r="A766" s="189" t="s">
        <v>57</v>
      </c>
      <c r="B766" s="217">
        <f>VLOOKUP(Table27[[#This Row],[Location 
(drop-down)]],'List source'!D$2:E$60,2,FALSE)</f>
        <v>170</v>
      </c>
      <c r="C766" s="254" t="s">
        <v>2102</v>
      </c>
      <c r="D766" s="201" t="str">
        <f t="shared" si="24"/>
        <v>PTO765-170-24</v>
      </c>
      <c r="E766" s="9" t="s">
        <v>2103</v>
      </c>
      <c r="F766" s="10" t="str" cm="1">
        <f t="array" aca="1" ref="F7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66" s="39" t="s">
        <v>2104</v>
      </c>
      <c r="I766" s="12">
        <v>45513</v>
      </c>
      <c r="J766" s="234" t="s">
        <v>60</v>
      </c>
      <c r="K766" s="220">
        <v>45758</v>
      </c>
      <c r="L766" s="10"/>
      <c r="M766" s="427">
        <v>765</v>
      </c>
      <c r="N766" s="13" t="str">
        <f t="shared" ca="1" si="25"/>
        <v>CLOSED</v>
      </c>
    </row>
    <row r="767" spans="1:14" ht="18" x14ac:dyDescent="0.3">
      <c r="A767" s="9" t="s">
        <v>57</v>
      </c>
      <c r="B767" s="13">
        <f>VLOOKUP(Table27[[#This Row],[Location 
(drop-down)]],'List source'!D$2:E$60,2,FALSE)</f>
        <v>170</v>
      </c>
      <c r="C767" s="215" t="s">
        <v>2105</v>
      </c>
      <c r="D767" s="30" t="str">
        <f t="shared" si="24"/>
        <v>PTO766-170-24</v>
      </c>
      <c r="E767" s="9" t="s">
        <v>2106</v>
      </c>
      <c r="F767" s="10" t="str" cm="1">
        <f t="array" aca="1" ref="F7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67" s="10">
        <v>4.22</v>
      </c>
      <c r="I767" s="12">
        <v>45513</v>
      </c>
      <c r="J767" s="12" t="s">
        <v>60</v>
      </c>
      <c r="K767" s="77">
        <v>45596</v>
      </c>
      <c r="L767" s="10"/>
      <c r="M767" s="427">
        <v>766</v>
      </c>
      <c r="N767" s="13" t="str">
        <f t="shared" ca="1" si="25"/>
        <v>CLOSED</v>
      </c>
    </row>
    <row r="768" spans="1:14" ht="18" x14ac:dyDescent="0.3">
      <c r="A768" s="9" t="s">
        <v>325</v>
      </c>
      <c r="B768" s="13">
        <f>VLOOKUP(Table27[[#This Row],[Location 
(drop-down)]],'List source'!D$2:E$60,2,FALSE)</f>
        <v>180</v>
      </c>
      <c r="C768" s="215" t="s">
        <v>2107</v>
      </c>
      <c r="D768" s="30" t="str">
        <f t="shared" si="24"/>
        <v>PTO767-180-24</v>
      </c>
      <c r="E768" s="9" t="s">
        <v>2108</v>
      </c>
      <c r="F768" s="10" t="str" cm="1">
        <f t="array" aca="1" ref="F7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768" s="39" t="s">
        <v>2109</v>
      </c>
      <c r="I768" s="12">
        <v>45513</v>
      </c>
      <c r="J768" s="12" t="s">
        <v>495</v>
      </c>
      <c r="K768" s="77">
        <v>45516</v>
      </c>
      <c r="L768" s="10" t="s">
        <v>510</v>
      </c>
      <c r="M768" s="427">
        <v>767</v>
      </c>
      <c r="N768" s="13" t="str">
        <f t="shared" ca="1" si="25"/>
        <v>CLOSED</v>
      </c>
    </row>
    <row r="769" spans="1:14" ht="43.2" x14ac:dyDescent="0.3">
      <c r="A769" s="9" t="s">
        <v>325</v>
      </c>
      <c r="B769" s="13">
        <f>VLOOKUP(Table27[[#This Row],[Location 
(drop-down)]],'List source'!D$2:E$60,2,FALSE)</f>
        <v>180</v>
      </c>
      <c r="C769" s="215" t="s">
        <v>2110</v>
      </c>
      <c r="D769" s="30" t="str">
        <f t="shared" si="24"/>
        <v>PTO768-180-24</v>
      </c>
      <c r="E769" s="9" t="s">
        <v>2111</v>
      </c>
      <c r="F769" s="10" t="str" cm="1">
        <f t="array" aca="1" ref="F7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769" s="39" t="s">
        <v>1600</v>
      </c>
      <c r="I769" s="12">
        <v>45513</v>
      </c>
      <c r="J769" s="12" t="s">
        <v>495</v>
      </c>
      <c r="K769" s="77">
        <v>45513</v>
      </c>
      <c r="L769" s="10" t="s">
        <v>496</v>
      </c>
      <c r="M769" s="427">
        <v>768</v>
      </c>
      <c r="N769" s="13" t="str">
        <f t="shared" ca="1" si="25"/>
        <v>CLOSED</v>
      </c>
    </row>
    <row r="770" spans="1:14" ht="43.2" x14ac:dyDescent="0.3">
      <c r="A770" s="9" t="s">
        <v>75</v>
      </c>
      <c r="B770" s="13">
        <f>VLOOKUP(Table27[[#This Row],[Location 
(drop-down)]],'List source'!D$2:E$60,2,FALSE)</f>
        <v>190</v>
      </c>
      <c r="C770" s="215" t="s">
        <v>2112</v>
      </c>
      <c r="D770" s="30" t="str">
        <f t="shared" si="24"/>
        <v>PTO769-190-24</v>
      </c>
      <c r="E770" s="9" t="s">
        <v>2097</v>
      </c>
      <c r="F770" s="10" t="str" cm="1">
        <f t="array" aca="1" ref="F7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D287 - API Gravity</v>
      </c>
      <c r="H770" s="10">
        <v>2.96</v>
      </c>
      <c r="I770" s="12">
        <v>45513</v>
      </c>
      <c r="J770" s="12" t="s">
        <v>495</v>
      </c>
      <c r="K770" s="77">
        <v>45513</v>
      </c>
      <c r="L770" s="10" t="s">
        <v>496</v>
      </c>
      <c r="M770" s="427">
        <v>769</v>
      </c>
      <c r="N770" s="13" t="str">
        <f t="shared" ca="1" si="25"/>
        <v>CLOSED</v>
      </c>
    </row>
    <row r="771" spans="1:14" ht="28.8" x14ac:dyDescent="0.3">
      <c r="A771" s="9" t="s">
        <v>75</v>
      </c>
      <c r="B771" s="13">
        <f>VLOOKUP(Table27[[#This Row],[Location 
(drop-down)]],'List source'!D$2:E$60,2,FALSE)</f>
        <v>190</v>
      </c>
      <c r="C771" s="215" t="s">
        <v>2113</v>
      </c>
      <c r="D771" s="30" t="str">
        <f t="shared" si="24"/>
        <v>PTO770-190-24</v>
      </c>
      <c r="E771" s="9" t="s">
        <v>2114</v>
      </c>
      <c r="F771" s="10" t="str" cm="1">
        <f t="array" aca="1" ref="F7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71" s="10">
        <v>3.37</v>
      </c>
      <c r="I771" s="12">
        <v>45513</v>
      </c>
      <c r="J771" s="12" t="s">
        <v>60</v>
      </c>
      <c r="K771" s="77">
        <v>45559</v>
      </c>
      <c r="L771" s="10"/>
      <c r="M771" s="427">
        <v>770</v>
      </c>
      <c r="N771" s="13" t="str">
        <f t="shared" ca="1" si="25"/>
        <v>CLOSED</v>
      </c>
    </row>
    <row r="772" spans="1:14" ht="18" x14ac:dyDescent="0.3">
      <c r="A772" s="9" t="s">
        <v>75</v>
      </c>
      <c r="B772" s="13">
        <f>VLOOKUP(Table27[[#This Row],[Location 
(drop-down)]],'List source'!D$2:E$60,2,FALSE)</f>
        <v>190</v>
      </c>
      <c r="C772" s="215" t="s">
        <v>2115</v>
      </c>
      <c r="D772" s="30" t="str">
        <f t="shared" si="24"/>
        <v>PTO771-190-24</v>
      </c>
      <c r="E772" s="9" t="s">
        <v>2116</v>
      </c>
      <c r="F772" s="10" t="str" cm="1">
        <f t="array" aca="1" ref="F7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72" s="39" t="s">
        <v>2117</v>
      </c>
      <c r="I772" s="12">
        <v>45513</v>
      </c>
      <c r="J772" s="12" t="s">
        <v>60</v>
      </c>
      <c r="K772" s="77">
        <v>45559</v>
      </c>
      <c r="L772" s="10"/>
      <c r="M772" s="427">
        <v>771</v>
      </c>
      <c r="N772" s="13" t="str">
        <f t="shared" ca="1" si="25"/>
        <v>CLOSED</v>
      </c>
    </row>
    <row r="773" spans="1:14" ht="43.2" x14ac:dyDescent="0.3">
      <c r="A773" s="9" t="s">
        <v>388</v>
      </c>
      <c r="B773" s="13">
        <f>VLOOKUP(Table27[[#This Row],[Location 
(drop-down)]],'List source'!D$2:E$60,2,FALSE)</f>
        <v>191</v>
      </c>
      <c r="C773" s="215" t="s">
        <v>2118</v>
      </c>
      <c r="D773" s="30" t="str">
        <f t="shared" si="24"/>
        <v>PTO772-191-24</v>
      </c>
      <c r="E773" s="9" t="s">
        <v>2111</v>
      </c>
      <c r="F773" s="10" t="str" cm="1">
        <f t="array" aca="1" ref="F7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D4006 - Water</v>
      </c>
      <c r="H773" s="39" t="s">
        <v>1600</v>
      </c>
      <c r="I773" s="12">
        <v>45513</v>
      </c>
      <c r="J773" s="12" t="s">
        <v>495</v>
      </c>
      <c r="K773" s="77">
        <v>45513</v>
      </c>
      <c r="L773" s="10" t="s">
        <v>496</v>
      </c>
      <c r="M773" s="427">
        <v>772</v>
      </c>
      <c r="N773" s="13" t="str">
        <f t="shared" ca="1" si="25"/>
        <v>CLOSED</v>
      </c>
    </row>
    <row r="774" spans="1:14" ht="18" x14ac:dyDescent="0.3">
      <c r="A774" s="9" t="s">
        <v>261</v>
      </c>
      <c r="B774" s="13">
        <f>VLOOKUP(Table27[[#This Row],[Location 
(drop-down)]],'List source'!D$2:E$60,2,FALSE)</f>
        <v>210</v>
      </c>
      <c r="C774" s="215" t="s">
        <v>2119</v>
      </c>
      <c r="D774" s="30" t="str">
        <f t="shared" si="24"/>
        <v>PTO773-210-24</v>
      </c>
      <c r="E774" s="9" t="s">
        <v>2120</v>
      </c>
      <c r="F774" s="10" t="str" cm="1">
        <f t="array" aca="1" ref="F7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D5863 - Element</v>
      </c>
      <c r="H774" s="10">
        <v>7.23</v>
      </c>
      <c r="I774" s="12">
        <v>45513</v>
      </c>
      <c r="J774" s="12" t="s">
        <v>495</v>
      </c>
      <c r="K774" s="77">
        <v>45513</v>
      </c>
      <c r="L774" s="10" t="s">
        <v>510</v>
      </c>
      <c r="M774" s="427">
        <v>773</v>
      </c>
      <c r="N774" s="13" t="str">
        <f t="shared" ca="1" si="25"/>
        <v>CLOSED</v>
      </c>
    </row>
    <row r="775" spans="1:14" ht="18" x14ac:dyDescent="0.3">
      <c r="A775" s="9" t="s">
        <v>261</v>
      </c>
      <c r="B775" s="13">
        <f>VLOOKUP(Table27[[#This Row],[Location 
(drop-down)]],'List source'!D$2:E$60,2,FALSE)</f>
        <v>210</v>
      </c>
      <c r="C775" s="215" t="s">
        <v>2121</v>
      </c>
      <c r="D775" s="30" t="str">
        <f t="shared" si="24"/>
        <v>PTO774-210-24</v>
      </c>
      <c r="E775" s="9" t="s">
        <v>2122</v>
      </c>
      <c r="F775" s="10" t="str" cm="1">
        <f t="array" aca="1" ref="F7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775" s="10">
        <v>261</v>
      </c>
      <c r="I775" s="12">
        <v>45513</v>
      </c>
      <c r="J775" s="12" t="s">
        <v>495</v>
      </c>
      <c r="K775" s="77">
        <v>45513</v>
      </c>
      <c r="L775" s="10" t="s">
        <v>510</v>
      </c>
      <c r="M775" s="427">
        <v>774</v>
      </c>
      <c r="N775" s="13" t="str">
        <f t="shared" ca="1" si="25"/>
        <v>CLOSED</v>
      </c>
    </row>
    <row r="776" spans="1:14" ht="28.8" x14ac:dyDescent="0.3">
      <c r="A776" s="9" t="s">
        <v>107</v>
      </c>
      <c r="B776" s="13">
        <f>VLOOKUP(Table27[[#This Row],[Location 
(drop-down)]],'List source'!D$2:E$60,2,FALSE)</f>
        <v>120</v>
      </c>
      <c r="C776" s="215" t="s">
        <v>2123</v>
      </c>
      <c r="D776" s="30" t="str">
        <f t="shared" si="24"/>
        <v>PTO775-120-24</v>
      </c>
      <c r="E776" s="9" t="s">
        <v>2124</v>
      </c>
      <c r="F776" s="10" t="str" cm="1">
        <f t="array" aca="1" ref="F7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76" s="10" t="s">
        <v>529</v>
      </c>
      <c r="I776" s="12">
        <v>45513</v>
      </c>
      <c r="J776" s="12" t="s">
        <v>495</v>
      </c>
      <c r="K776" s="77">
        <v>45590</v>
      </c>
      <c r="L776" s="10" t="s">
        <v>510</v>
      </c>
      <c r="M776" s="427">
        <v>775</v>
      </c>
      <c r="N776" s="13" t="str">
        <f t="shared" ca="1" si="25"/>
        <v>CLOSED</v>
      </c>
    </row>
    <row r="777" spans="1:14" ht="18" x14ac:dyDescent="0.3">
      <c r="A777" s="235" t="s">
        <v>107</v>
      </c>
      <c r="B777" s="236">
        <f>VLOOKUP(Table27[[#This Row],[Location 
(drop-down)]],'List source'!D$2:E$60,2,FALSE)</f>
        <v>120</v>
      </c>
      <c r="C777" s="331" t="s">
        <v>2125</v>
      </c>
      <c r="D777" s="238" t="str">
        <f t="shared" si="24"/>
        <v>PTO776-120-24</v>
      </c>
      <c r="E777" s="9" t="s">
        <v>2126</v>
      </c>
      <c r="F777" s="10" t="str" cm="1">
        <f t="array" aca="1" ref="F7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777" s="10">
        <v>2.0699999999999998</v>
      </c>
      <c r="I777" s="12">
        <v>45513</v>
      </c>
      <c r="J777" s="264" t="s">
        <v>134</v>
      </c>
      <c r="K777" s="250">
        <v>45593</v>
      </c>
      <c r="L777" s="10"/>
      <c r="M777" s="427">
        <v>776</v>
      </c>
      <c r="N777" s="13" t="str">
        <f t="shared" ca="1" si="25"/>
        <v>CLOSED</v>
      </c>
    </row>
    <row r="778" spans="1:14" ht="18" x14ac:dyDescent="0.3">
      <c r="A778" s="9" t="s">
        <v>151</v>
      </c>
      <c r="B778" s="13">
        <f>VLOOKUP(Table27[[#This Row],[Location 
(drop-down)]],'List source'!D$2:E$60,2,FALSE)</f>
        <v>124</v>
      </c>
      <c r="C778" s="215" t="s">
        <v>2127</v>
      </c>
      <c r="D778" s="30" t="str">
        <f t="shared" si="24"/>
        <v>PTO777-124-24</v>
      </c>
      <c r="E778" s="9" t="s">
        <v>2128</v>
      </c>
      <c r="F778" s="10" t="str" cm="1">
        <f t="array" aca="1" ref="F7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778" s="10">
        <v>4.58</v>
      </c>
      <c r="I778" s="12">
        <v>45513</v>
      </c>
      <c r="J778" s="12" t="s">
        <v>182</v>
      </c>
      <c r="K778" s="77">
        <v>45554</v>
      </c>
      <c r="L778" s="10"/>
      <c r="M778" s="427">
        <v>777</v>
      </c>
      <c r="N778" s="13" t="str">
        <f t="shared" ca="1" si="25"/>
        <v>CLOSED</v>
      </c>
    </row>
    <row r="779" spans="1:14" ht="18" x14ac:dyDescent="0.3">
      <c r="A779" s="9" t="s">
        <v>93</v>
      </c>
      <c r="B779" s="13">
        <f>VLOOKUP(Table27[[#This Row],[Location 
(drop-down)]],'List source'!D$2:E$60,2,FALSE)</f>
        <v>128</v>
      </c>
      <c r="C779" s="215" t="s">
        <v>2129</v>
      </c>
      <c r="D779" s="30" t="str">
        <f t="shared" si="24"/>
        <v>PTO778-128-24</v>
      </c>
      <c r="E779" s="9" t="s">
        <v>2128</v>
      </c>
      <c r="F779" s="10" t="str" cm="1">
        <f t="array" aca="1" ref="F7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779" s="10">
        <v>4.58</v>
      </c>
      <c r="I779" s="12">
        <v>45513</v>
      </c>
      <c r="J779" s="12" t="s">
        <v>134</v>
      </c>
      <c r="K779" s="77">
        <v>45553</v>
      </c>
      <c r="L779" s="10"/>
      <c r="M779" s="427">
        <v>778</v>
      </c>
      <c r="N779" s="13" t="str">
        <f t="shared" ca="1" si="25"/>
        <v>CLOSED</v>
      </c>
    </row>
    <row r="780" spans="1:14" ht="28.8" x14ac:dyDescent="0.3">
      <c r="A780" s="9" t="s">
        <v>186</v>
      </c>
      <c r="B780" s="13">
        <f>VLOOKUP(Table27[[#This Row],[Location 
(drop-down)]],'List source'!D$2:E$60,2,FALSE)</f>
        <v>130</v>
      </c>
      <c r="C780" s="215" t="s">
        <v>2130</v>
      </c>
      <c r="D780" s="30" t="str">
        <f t="shared" si="24"/>
        <v>PTO779-130-24</v>
      </c>
      <c r="E780" s="9" t="s">
        <v>2124</v>
      </c>
      <c r="F780" s="10" t="str" cm="1">
        <f t="array" aca="1" ref="F7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80" s="10" t="s">
        <v>529</v>
      </c>
      <c r="I780" s="12">
        <v>45513</v>
      </c>
      <c r="J780" s="12" t="s">
        <v>495</v>
      </c>
      <c r="K780" s="77">
        <v>45513</v>
      </c>
      <c r="L780" s="10" t="s">
        <v>915</v>
      </c>
      <c r="M780" s="427">
        <v>779</v>
      </c>
      <c r="N780" s="13" t="str">
        <f t="shared" ca="1" si="25"/>
        <v>CLOSED</v>
      </c>
    </row>
    <row r="781" spans="1:14" ht="43.2" x14ac:dyDescent="0.3">
      <c r="A781" s="9" t="s">
        <v>186</v>
      </c>
      <c r="B781" s="13">
        <f>VLOOKUP(Table27[[#This Row],[Location 
(drop-down)]],'List source'!D$2:E$60,2,FALSE)</f>
        <v>130</v>
      </c>
      <c r="C781" s="215" t="s">
        <v>2131</v>
      </c>
      <c r="D781" s="30" t="str">
        <f t="shared" si="24"/>
        <v>PTO780-130-24</v>
      </c>
      <c r="E781" s="9" t="s">
        <v>2132</v>
      </c>
      <c r="F781" s="10" t="str" cm="1">
        <f t="array" aca="1" ref="F7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781" s="10">
        <v>2.0099999999999998</v>
      </c>
      <c r="I781" s="12">
        <v>45513</v>
      </c>
      <c r="J781" s="12" t="s">
        <v>495</v>
      </c>
      <c r="K781" s="77">
        <v>45513</v>
      </c>
      <c r="L781" s="10" t="s">
        <v>496</v>
      </c>
      <c r="M781" s="427">
        <v>780</v>
      </c>
      <c r="N781" s="13" t="str">
        <f t="shared" ca="1" si="25"/>
        <v>CLOSED</v>
      </c>
    </row>
    <row r="782" spans="1:14" ht="18" x14ac:dyDescent="0.3">
      <c r="A782" s="9" t="s">
        <v>186</v>
      </c>
      <c r="B782" s="13">
        <f>VLOOKUP(Table27[[#This Row],[Location 
(drop-down)]],'List source'!D$2:E$60,2,FALSE)</f>
        <v>130</v>
      </c>
      <c r="C782" s="215" t="s">
        <v>2133</v>
      </c>
      <c r="D782" s="30" t="str">
        <f t="shared" si="24"/>
        <v>PTO781-130-24</v>
      </c>
      <c r="E782" s="9" t="s">
        <v>2134</v>
      </c>
      <c r="F782" s="10" t="str" cm="1">
        <f t="array" aca="1" ref="F7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D323 - Vapor Pressure</v>
      </c>
      <c r="H782" s="10">
        <v>4.37</v>
      </c>
      <c r="I782" s="12">
        <v>45513</v>
      </c>
      <c r="J782" s="12" t="s">
        <v>182</v>
      </c>
      <c r="K782" s="77">
        <v>45588</v>
      </c>
      <c r="L782" s="10"/>
      <c r="M782" s="427">
        <v>781</v>
      </c>
      <c r="N782" s="13" t="str">
        <f t="shared" ca="1" si="25"/>
        <v>CLOSED</v>
      </c>
    </row>
    <row r="783" spans="1:14" ht="18" x14ac:dyDescent="0.3">
      <c r="A783" s="9" t="s">
        <v>186</v>
      </c>
      <c r="B783" s="13">
        <f>VLOOKUP(Table27[[#This Row],[Location 
(drop-down)]],'List source'!D$2:E$60,2,FALSE)</f>
        <v>130</v>
      </c>
      <c r="C783" s="215" t="s">
        <v>2135</v>
      </c>
      <c r="D783" s="30" t="str">
        <f t="shared" si="24"/>
        <v>PTO782-130-24</v>
      </c>
      <c r="E783" s="9" t="s">
        <v>2136</v>
      </c>
      <c r="F783" s="10" t="str" cm="1">
        <f t="array" aca="1" ref="F7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83" s="10">
        <v>8.57</v>
      </c>
      <c r="I783" s="12">
        <v>45513</v>
      </c>
      <c r="J783" s="12" t="s">
        <v>182</v>
      </c>
      <c r="K783" s="77">
        <v>45573</v>
      </c>
      <c r="L783" s="10"/>
      <c r="M783" s="427">
        <v>782</v>
      </c>
      <c r="N783" s="13" t="str">
        <f t="shared" ca="1" si="25"/>
        <v>CLOSED</v>
      </c>
    </row>
    <row r="784" spans="1:14" ht="18" x14ac:dyDescent="0.3">
      <c r="A784" s="272" t="s">
        <v>21</v>
      </c>
      <c r="B784" s="273">
        <f>VLOOKUP(Table27[[#This Row],[Location 
(drop-down)]],'List source'!D$2:E$60,2,FALSE)</f>
        <v>131</v>
      </c>
      <c r="C784" s="332" t="s">
        <v>2137</v>
      </c>
      <c r="D784" s="275" t="str">
        <f t="shared" si="24"/>
        <v>PTO783-131-24</v>
      </c>
      <c r="E784" s="272" t="s">
        <v>2138</v>
      </c>
      <c r="F784" s="277" t="str" cm="1">
        <f t="array" aca="1" ref="F7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4"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784" s="277">
        <v>5.07</v>
      </c>
      <c r="I784" s="279">
        <v>45513</v>
      </c>
      <c r="J784" s="279" t="s">
        <v>182</v>
      </c>
      <c r="K784" s="280">
        <v>45639</v>
      </c>
      <c r="L784" s="10"/>
      <c r="M784" s="427">
        <v>783</v>
      </c>
      <c r="N784" s="13" t="str">
        <f t="shared" ca="1" si="25"/>
        <v>CLOSED</v>
      </c>
    </row>
    <row r="785" spans="1:14" ht="28.8" x14ac:dyDescent="0.3">
      <c r="A785" s="9" t="s">
        <v>264</v>
      </c>
      <c r="B785" s="13">
        <f>VLOOKUP(Table27[[#This Row],[Location 
(drop-down)]],'List source'!D$2:E$60,2,FALSE)</f>
        <v>132</v>
      </c>
      <c r="C785" s="215" t="s">
        <v>2139</v>
      </c>
      <c r="D785" s="30" t="str">
        <f t="shared" si="24"/>
        <v>PTO784-132-24</v>
      </c>
      <c r="E785" s="9" t="s">
        <v>2140</v>
      </c>
      <c r="F785" s="10" t="str" cm="1">
        <f t="array" aca="1" ref="F7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85" s="39" t="s">
        <v>2141</v>
      </c>
      <c r="I785" s="12">
        <v>45513</v>
      </c>
      <c r="J785" s="12" t="s">
        <v>54</v>
      </c>
      <c r="K785" s="77">
        <v>45849</v>
      </c>
      <c r="L785" s="10"/>
      <c r="M785" s="427">
        <v>784</v>
      </c>
      <c r="N785" s="13" t="str">
        <f t="shared" ca="1" si="25"/>
        <v>CLOSED</v>
      </c>
    </row>
    <row r="786" spans="1:14" ht="18" x14ac:dyDescent="0.3">
      <c r="A786" s="9" t="s">
        <v>264</v>
      </c>
      <c r="B786" s="13">
        <f>VLOOKUP(Table27[[#This Row],[Location 
(drop-down)]],'List source'!D$2:E$60,2,FALSE)</f>
        <v>132</v>
      </c>
      <c r="C786" s="215" t="s">
        <v>2142</v>
      </c>
      <c r="D786" s="30" t="str">
        <f t="shared" si="24"/>
        <v>PTO785-132-24</v>
      </c>
      <c r="E786" s="9" t="s">
        <v>2143</v>
      </c>
      <c r="F786" s="10" t="str" cm="1">
        <f t="array" aca="1" ref="F7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86" s="10">
        <v>2.5499999999999998</v>
      </c>
      <c r="I786" s="12">
        <v>45513</v>
      </c>
      <c r="J786" s="12" t="s">
        <v>54</v>
      </c>
      <c r="K786" s="77">
        <v>45708</v>
      </c>
      <c r="L786" s="10"/>
      <c r="M786" s="427">
        <v>785</v>
      </c>
      <c r="N786" s="13" t="str">
        <f t="shared" ca="1" si="25"/>
        <v>CLOSED</v>
      </c>
    </row>
    <row r="787" spans="1:14" ht="18" x14ac:dyDescent="0.3">
      <c r="A787" s="9" t="s">
        <v>264</v>
      </c>
      <c r="B787" s="13">
        <f>VLOOKUP(Table27[[#This Row],[Location 
(drop-down)]],'List source'!D$2:E$60,2,FALSE)</f>
        <v>132</v>
      </c>
      <c r="C787" s="215" t="s">
        <v>2144</v>
      </c>
      <c r="D787" s="30" t="str">
        <f t="shared" si="24"/>
        <v>PTO786-132-24</v>
      </c>
      <c r="E787" s="9" t="s">
        <v>2145</v>
      </c>
      <c r="F787" s="10" t="str" cm="1">
        <f t="array" aca="1" ref="F7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787" s="39" t="s">
        <v>2146</v>
      </c>
      <c r="I787" s="12">
        <v>45513</v>
      </c>
      <c r="J787" s="12" t="s">
        <v>49</v>
      </c>
      <c r="K787" s="77">
        <v>45548</v>
      </c>
      <c r="L787" s="10"/>
      <c r="M787" s="427">
        <v>786</v>
      </c>
      <c r="N787" s="13" t="str">
        <f t="shared" ca="1" si="25"/>
        <v>CLOSED</v>
      </c>
    </row>
    <row r="788" spans="1:14" ht="28.8" x14ac:dyDescent="0.3">
      <c r="A788" s="9" t="s">
        <v>159</v>
      </c>
      <c r="B788" s="13">
        <f>VLOOKUP(Table27[[#This Row],[Location 
(drop-down)]],'List source'!D$2:E$60,2,FALSE)</f>
        <v>156</v>
      </c>
      <c r="C788" s="215" t="s">
        <v>2147</v>
      </c>
      <c r="D788" s="30" t="str">
        <f t="shared" si="24"/>
        <v>PTO787-156-24</v>
      </c>
      <c r="E788" s="9" t="s">
        <v>2148</v>
      </c>
      <c r="F788" s="10" t="str" cm="1">
        <f t="array" aca="1" ref="F7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88" s="39" t="s">
        <v>2149</v>
      </c>
      <c r="I788" s="12">
        <v>45513</v>
      </c>
      <c r="J788" s="12" t="s">
        <v>495</v>
      </c>
      <c r="K788" s="77">
        <v>45520</v>
      </c>
      <c r="L788" s="10" t="s">
        <v>915</v>
      </c>
      <c r="M788" s="427">
        <v>787</v>
      </c>
      <c r="N788" s="13" t="str">
        <f t="shared" ca="1" si="25"/>
        <v>CLOSED</v>
      </c>
    </row>
    <row r="789" spans="1:14" ht="18" x14ac:dyDescent="0.3">
      <c r="A789" s="9" t="s">
        <v>90</v>
      </c>
      <c r="B789" s="13">
        <f>VLOOKUP(Table27[[#This Row],[Location 
(drop-down)]],'List source'!D$2:E$60,2,FALSE)</f>
        <v>157</v>
      </c>
      <c r="C789" s="215" t="s">
        <v>2150</v>
      </c>
      <c r="D789" s="30" t="str">
        <f t="shared" si="24"/>
        <v>PTO788-157-24</v>
      </c>
      <c r="E789" s="9" t="s">
        <v>2151</v>
      </c>
      <c r="F789" s="10" t="str" cm="1">
        <f t="array" aca="1" ref="F7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789" s="10">
        <v>5.25</v>
      </c>
      <c r="I789" s="12">
        <v>45513</v>
      </c>
      <c r="J789" s="12" t="s">
        <v>134</v>
      </c>
      <c r="K789" s="77">
        <v>45639</v>
      </c>
      <c r="L789" s="10"/>
      <c r="M789" s="427">
        <v>788</v>
      </c>
      <c r="N789" s="13" t="str">
        <f t="shared" ca="1" si="25"/>
        <v>CLOSED</v>
      </c>
    </row>
    <row r="790" spans="1:14" ht="28.8" x14ac:dyDescent="0.3">
      <c r="A790" s="9" t="s">
        <v>90</v>
      </c>
      <c r="B790" s="13">
        <f>VLOOKUP(Table27[[#This Row],[Location 
(drop-down)]],'List source'!D$2:E$60,2,FALSE)</f>
        <v>157</v>
      </c>
      <c r="C790" s="215" t="s">
        <v>2152</v>
      </c>
      <c r="D790" s="30" t="str">
        <f t="shared" si="24"/>
        <v>PTO789-157-24</v>
      </c>
      <c r="E790" s="9" t="s">
        <v>2153</v>
      </c>
      <c r="F790" s="10" t="str" cm="1">
        <f t="array" aca="1" ref="F7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790" s="10">
        <v>16.010000000000002</v>
      </c>
      <c r="I790" s="12">
        <v>45513</v>
      </c>
      <c r="J790" s="12" t="s">
        <v>134</v>
      </c>
      <c r="K790" s="77">
        <v>45672</v>
      </c>
      <c r="L790" s="10"/>
      <c r="M790" s="427">
        <v>789</v>
      </c>
      <c r="N790" s="13" t="str">
        <f t="shared" ca="1" si="25"/>
        <v>CLOSED</v>
      </c>
    </row>
    <row r="791" spans="1:14" ht="18" x14ac:dyDescent="0.3">
      <c r="A791" s="9" t="s">
        <v>35</v>
      </c>
      <c r="B791" s="13">
        <f>VLOOKUP(Table27[[#This Row],[Location 
(drop-down)]],'List source'!D$2:E$60,2,FALSE)</f>
        <v>158</v>
      </c>
      <c r="C791" s="215" t="s">
        <v>2154</v>
      </c>
      <c r="D791" s="30" t="str">
        <f t="shared" si="24"/>
        <v>PTO790-158-24</v>
      </c>
      <c r="E791" s="9" t="s">
        <v>2155</v>
      </c>
      <c r="F791" s="10" t="str" cm="1">
        <f t="array" aca="1" ref="F7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791" s="10">
        <v>5.0999999999999996</v>
      </c>
      <c r="I791" s="12">
        <v>45513</v>
      </c>
      <c r="J791" s="12" t="s">
        <v>495</v>
      </c>
      <c r="K791" s="77">
        <v>45524</v>
      </c>
      <c r="L791" s="10" t="s">
        <v>510</v>
      </c>
      <c r="M791" s="427">
        <v>790</v>
      </c>
      <c r="N791" s="13" t="str">
        <f t="shared" ca="1" si="25"/>
        <v>CLOSED</v>
      </c>
    </row>
    <row r="792" spans="1:14" ht="43.2" x14ac:dyDescent="0.3">
      <c r="A792" s="9" t="s">
        <v>235</v>
      </c>
      <c r="B792" s="13">
        <f>VLOOKUP(Table27[[#This Row],[Location 
(drop-down)]],'List source'!D$2:E$60,2,FALSE)</f>
        <v>160</v>
      </c>
      <c r="C792" s="215" t="s">
        <v>2156</v>
      </c>
      <c r="D792" s="30" t="str">
        <f t="shared" si="24"/>
        <v>PTO791-160-24</v>
      </c>
      <c r="E792" s="9" t="s">
        <v>2157</v>
      </c>
      <c r="F792" s="10" t="str" cm="1">
        <f t="array" aca="1" ref="F7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792" s="10">
        <v>2.31</v>
      </c>
      <c r="I792" s="12">
        <v>45513</v>
      </c>
      <c r="J792" s="12" t="s">
        <v>495</v>
      </c>
      <c r="K792" s="77">
        <v>45513</v>
      </c>
      <c r="L792" s="10" t="s">
        <v>496</v>
      </c>
      <c r="M792" s="427">
        <v>791</v>
      </c>
      <c r="N792" s="13" t="str">
        <f t="shared" ca="1" si="25"/>
        <v>CLOSED</v>
      </c>
    </row>
    <row r="793" spans="1:14" ht="43.2" x14ac:dyDescent="0.3">
      <c r="A793" s="9" t="s">
        <v>209</v>
      </c>
      <c r="B793" s="13">
        <f>VLOOKUP(Table27[[#This Row],[Location 
(drop-down)]],'List source'!D$2:E$60,2,FALSE)</f>
        <v>165</v>
      </c>
      <c r="C793" s="215" t="s">
        <v>2158</v>
      </c>
      <c r="D793" s="30" t="str">
        <f t="shared" si="24"/>
        <v>PTO792-165-24</v>
      </c>
      <c r="E793" s="9" t="s">
        <v>2159</v>
      </c>
      <c r="F793" s="10" t="str" cm="1">
        <f t="array" aca="1" ref="F7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793" s="10">
        <v>2.42</v>
      </c>
      <c r="I793" s="12">
        <v>45513</v>
      </c>
      <c r="J793" s="12" t="s">
        <v>495</v>
      </c>
      <c r="K793" s="77">
        <v>45513</v>
      </c>
      <c r="L793" s="10" t="s">
        <v>496</v>
      </c>
      <c r="M793" s="427">
        <v>792</v>
      </c>
      <c r="N793" s="13" t="str">
        <f t="shared" ca="1" si="25"/>
        <v>CLOSED</v>
      </c>
    </row>
    <row r="794" spans="1:14" ht="28.8" x14ac:dyDescent="0.3">
      <c r="A794" s="9" t="s">
        <v>209</v>
      </c>
      <c r="B794" s="13">
        <f>VLOOKUP(Table27[[#This Row],[Location 
(drop-down)]],'List source'!D$2:E$60,2,FALSE)</f>
        <v>165</v>
      </c>
      <c r="C794" s="215" t="s">
        <v>2160</v>
      </c>
      <c r="D794" s="30" t="str">
        <f t="shared" si="24"/>
        <v>PTO793-165-24</v>
      </c>
      <c r="E794" s="9" t="s">
        <v>2161</v>
      </c>
      <c r="F794" s="10" t="str" cm="1">
        <f t="array" aca="1" ref="F7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794" s="39" t="s">
        <v>2162</v>
      </c>
      <c r="I794" s="12">
        <v>45513</v>
      </c>
      <c r="J794" s="12" t="s">
        <v>495</v>
      </c>
      <c r="K794" s="77">
        <v>45524</v>
      </c>
      <c r="L794" s="10" t="s">
        <v>510</v>
      </c>
      <c r="M794" s="427">
        <v>793</v>
      </c>
      <c r="N794" s="13" t="str">
        <f t="shared" ca="1" si="25"/>
        <v>CLOSED</v>
      </c>
    </row>
    <row r="795" spans="1:14" ht="18" x14ac:dyDescent="0.3">
      <c r="A795" s="9" t="s">
        <v>209</v>
      </c>
      <c r="B795" s="13">
        <f>VLOOKUP(Table27[[#This Row],[Location 
(drop-down)]],'List source'!D$2:E$60,2,FALSE)</f>
        <v>165</v>
      </c>
      <c r="C795" s="215" t="s">
        <v>2163</v>
      </c>
      <c r="D795" s="30" t="str">
        <f t="shared" si="24"/>
        <v>PTO794-165-24</v>
      </c>
      <c r="E795" s="9" t="s">
        <v>2164</v>
      </c>
      <c r="F795" s="10" t="str" cm="1">
        <f t="array" aca="1" ref="F7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795" s="39" t="s">
        <v>569</v>
      </c>
      <c r="I795" s="12">
        <v>45513</v>
      </c>
      <c r="J795" s="12" t="s">
        <v>495</v>
      </c>
      <c r="K795" s="77">
        <v>45524</v>
      </c>
      <c r="L795" s="10" t="s">
        <v>510</v>
      </c>
      <c r="M795" s="427">
        <v>794</v>
      </c>
      <c r="N795" s="13" t="str">
        <f t="shared" ca="1" si="25"/>
        <v>CLOSED</v>
      </c>
    </row>
    <row r="796" spans="1:14" ht="18" x14ac:dyDescent="0.3">
      <c r="A796" s="239" t="s">
        <v>209</v>
      </c>
      <c r="B796" s="240">
        <f>VLOOKUP(Table27[[#This Row],[Location 
(drop-down)]],'List source'!D$2:E$60,2,FALSE)</f>
        <v>165</v>
      </c>
      <c r="C796" s="297" t="s">
        <v>2165</v>
      </c>
      <c r="D796" s="242" t="str">
        <f t="shared" si="24"/>
        <v>PTO795-165-24</v>
      </c>
      <c r="E796" s="239" t="s">
        <v>2143</v>
      </c>
      <c r="F796" s="245" t="str" cm="1">
        <f t="array" aca="1" ref="F7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6"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D473 - Sediment</v>
      </c>
      <c r="H796" s="245">
        <v>2.5499999999999998</v>
      </c>
      <c r="I796" s="246">
        <v>45513</v>
      </c>
      <c r="J796" s="246" t="s">
        <v>182</v>
      </c>
      <c r="K796" s="247">
        <v>45657</v>
      </c>
      <c r="L796" s="10"/>
      <c r="M796" s="427">
        <v>795</v>
      </c>
      <c r="N796" s="13" t="str">
        <f t="shared" ca="1" si="25"/>
        <v>CLOSED</v>
      </c>
    </row>
    <row r="797" spans="1:14" ht="43.2" x14ac:dyDescent="0.3">
      <c r="A797" s="9" t="s">
        <v>209</v>
      </c>
      <c r="B797" s="13">
        <f>VLOOKUP(Table27[[#This Row],[Location 
(drop-down)]],'List source'!D$2:E$60,2,FALSE)</f>
        <v>165</v>
      </c>
      <c r="C797" s="215" t="s">
        <v>2166</v>
      </c>
      <c r="D797" s="30" t="str">
        <f t="shared" si="24"/>
        <v>PTO796-165-24</v>
      </c>
      <c r="E797" s="9" t="s">
        <v>2167</v>
      </c>
      <c r="F797" s="10" t="str" cm="1">
        <f t="array" aca="1" ref="F7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797" s="39" t="s">
        <v>1377</v>
      </c>
      <c r="I797" s="12">
        <v>45513</v>
      </c>
      <c r="J797" s="12" t="s">
        <v>495</v>
      </c>
      <c r="K797" s="77">
        <v>45513</v>
      </c>
      <c r="L797" s="10" t="s">
        <v>496</v>
      </c>
      <c r="M797" s="427">
        <v>796</v>
      </c>
      <c r="N797" s="13" t="str">
        <f t="shared" ca="1" si="25"/>
        <v>CLOSED</v>
      </c>
    </row>
    <row r="798" spans="1:14" ht="43.2" x14ac:dyDescent="0.3">
      <c r="A798" s="9" t="s">
        <v>209</v>
      </c>
      <c r="B798" s="13">
        <f>VLOOKUP(Table27[[#This Row],[Location 
(drop-down)]],'List source'!D$2:E$60,2,FALSE)</f>
        <v>165</v>
      </c>
      <c r="C798" s="215" t="s">
        <v>2168</v>
      </c>
      <c r="D798" s="30" t="str">
        <f t="shared" si="24"/>
        <v>PTO797-165-24</v>
      </c>
      <c r="E798" s="9" t="s">
        <v>2169</v>
      </c>
      <c r="F798" s="10" t="str" cm="1">
        <f t="array" aca="1" ref="F7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798" s="10">
        <v>2.06</v>
      </c>
      <c r="I798" s="12">
        <v>45513</v>
      </c>
      <c r="J798" s="12" t="s">
        <v>495</v>
      </c>
      <c r="K798" s="77">
        <v>45513</v>
      </c>
      <c r="L798" s="10" t="s">
        <v>496</v>
      </c>
      <c r="M798" s="427">
        <v>797</v>
      </c>
      <c r="N798" s="13" t="str">
        <f t="shared" ca="1" si="25"/>
        <v>CLOSED</v>
      </c>
    </row>
    <row r="799" spans="1:14" ht="18" x14ac:dyDescent="0.3">
      <c r="A799" s="9" t="s">
        <v>57</v>
      </c>
      <c r="B799" s="13">
        <f>VLOOKUP(Table27[[#This Row],[Location 
(drop-down)]],'List source'!D$2:E$60,2,FALSE)</f>
        <v>170</v>
      </c>
      <c r="C799" s="215" t="s">
        <v>2170</v>
      </c>
      <c r="D799" s="30" t="str">
        <f t="shared" si="24"/>
        <v>PTO798-170-24</v>
      </c>
      <c r="E799" s="9" t="s">
        <v>2171</v>
      </c>
      <c r="F799" s="10" t="str" cm="1">
        <f t="array" aca="1" ref="F7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7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799" s="39" t="s">
        <v>569</v>
      </c>
      <c r="I799" s="12">
        <v>45513</v>
      </c>
      <c r="J799" s="12" t="s">
        <v>495</v>
      </c>
      <c r="K799" s="77">
        <v>45524</v>
      </c>
      <c r="L799" s="10" t="s">
        <v>510</v>
      </c>
      <c r="M799" s="427">
        <v>798</v>
      </c>
      <c r="N799" s="13" t="str">
        <f t="shared" ca="1" si="25"/>
        <v>CLOSED</v>
      </c>
    </row>
    <row r="800" spans="1:14" ht="43.2" x14ac:dyDescent="0.3">
      <c r="A800" s="9" t="s">
        <v>57</v>
      </c>
      <c r="B800" s="13">
        <f>VLOOKUP(Table27[[#This Row],[Location 
(drop-down)]],'List source'!D$2:E$60,2,FALSE)</f>
        <v>170</v>
      </c>
      <c r="C800" s="215" t="s">
        <v>2172</v>
      </c>
      <c r="D800" s="30" t="str">
        <f t="shared" si="24"/>
        <v>PTO799-170-24</v>
      </c>
      <c r="E800" s="9" t="s">
        <v>2173</v>
      </c>
      <c r="F800" s="10" t="str" cm="1">
        <f t="array" aca="1" ref="F8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800" s="10">
        <v>2.1800000000000002</v>
      </c>
      <c r="I800" s="12">
        <v>45513</v>
      </c>
      <c r="J800" s="12" t="s">
        <v>495</v>
      </c>
      <c r="K800" s="77">
        <v>45513</v>
      </c>
      <c r="L800" s="10" t="s">
        <v>496</v>
      </c>
      <c r="M800" s="427">
        <v>799</v>
      </c>
      <c r="N800" s="13" t="str">
        <f t="shared" ca="1" si="25"/>
        <v>CLOSED</v>
      </c>
    </row>
    <row r="801" spans="1:14" ht="43.2" x14ac:dyDescent="0.3">
      <c r="A801" s="94" t="s">
        <v>325</v>
      </c>
      <c r="B801" s="95">
        <f>VLOOKUP(Table27[[#This Row],[Location 
(drop-down)]],'List source'!D$2:E$60,2,FALSE)</f>
        <v>180</v>
      </c>
      <c r="C801" s="223" t="s">
        <v>2174</v>
      </c>
      <c r="D801" s="30" t="str">
        <f t="shared" si="24"/>
        <v>PTO800-180-24</v>
      </c>
      <c r="E801" s="94" t="s">
        <v>2175</v>
      </c>
      <c r="F801" s="98" t="str" cm="1">
        <f t="array" aca="1" ref="F8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0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801" s="200" t="s">
        <v>2176</v>
      </c>
      <c r="I801" s="12">
        <v>45513</v>
      </c>
      <c r="J801" s="12" t="s">
        <v>495</v>
      </c>
      <c r="K801" s="77">
        <v>45513</v>
      </c>
      <c r="L801" s="10" t="s">
        <v>496</v>
      </c>
      <c r="M801" s="427">
        <v>800</v>
      </c>
      <c r="N801" s="13" t="str">
        <f t="shared" ca="1" si="25"/>
        <v>CLOSED</v>
      </c>
    </row>
    <row r="802" spans="1:14" ht="28.8" x14ac:dyDescent="0.3">
      <c r="A802" s="94" t="s">
        <v>288</v>
      </c>
      <c r="B802" s="95">
        <f>VLOOKUP(Table27[[#This Row],[Location 
(drop-down)]],'List source'!D$2:E$60,2,FALSE)</f>
        <v>197</v>
      </c>
      <c r="C802" s="223" t="s">
        <v>2177</v>
      </c>
      <c r="D802" s="30" t="str">
        <f t="shared" si="24"/>
        <v>PTO801-197-24</v>
      </c>
      <c r="E802" s="94" t="s">
        <v>2178</v>
      </c>
      <c r="F802" s="98" t="str" cm="1">
        <f t="array" aca="1" ref="F8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80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D4007 - Water and Sediment</v>
      </c>
      <c r="H802" s="98">
        <v>2.67</v>
      </c>
      <c r="I802" s="96">
        <v>45513</v>
      </c>
      <c r="J802" s="96" t="s">
        <v>41</v>
      </c>
      <c r="K802" s="97">
        <v>45615</v>
      </c>
      <c r="L802" s="98"/>
      <c r="M802" s="429">
        <v>801</v>
      </c>
      <c r="N802" s="13" t="str">
        <f t="shared" ca="1" si="25"/>
        <v>CLOSED</v>
      </c>
    </row>
    <row r="803" spans="1:14" ht="18" x14ac:dyDescent="0.3">
      <c r="A803" s="94" t="s">
        <v>138</v>
      </c>
      <c r="B803" s="95">
        <f>VLOOKUP(Table27[[#This Row],[Location 
(drop-down)]],'List source'!D$2:E$60,2,FALSE)</f>
        <v>110</v>
      </c>
      <c r="C803" s="223" t="s">
        <v>2179</v>
      </c>
      <c r="D803" s="30" t="str">
        <f t="shared" si="24"/>
        <v>PTO802-110-24</v>
      </c>
      <c r="E803" s="94" t="s">
        <v>2180</v>
      </c>
      <c r="F803" s="98" t="str" cm="1">
        <f t="array" aca="1" ref="F8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3"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803" s="98">
        <v>2.57</v>
      </c>
      <c r="I803" s="96">
        <v>45533</v>
      </c>
      <c r="J803" s="96" t="s">
        <v>498</v>
      </c>
      <c r="K803" s="97">
        <v>45953</v>
      </c>
      <c r="L803" s="98"/>
      <c r="M803" s="429">
        <v>802</v>
      </c>
      <c r="N803" s="13" t="str">
        <f t="shared" ca="1" si="25"/>
        <v>CLOSED</v>
      </c>
    </row>
    <row r="804" spans="1:14" ht="28.8" x14ac:dyDescent="0.3">
      <c r="A804" s="94" t="s">
        <v>138</v>
      </c>
      <c r="B804" s="95">
        <f>VLOOKUP(Table27[[#This Row],[Location 
(drop-down)]],'List source'!D$2:E$60,2,FALSE)</f>
        <v>110</v>
      </c>
      <c r="C804" s="223" t="s">
        <v>2181</v>
      </c>
      <c r="D804" s="30" t="str">
        <f t="shared" si="24"/>
        <v>PTO803-110-24</v>
      </c>
      <c r="E804" s="94" t="s">
        <v>2182</v>
      </c>
      <c r="F804" s="98" t="str" cm="1">
        <f t="array" aca="1" ref="F8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4"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804" s="98">
        <v>2.6</v>
      </c>
      <c r="I804" s="96">
        <v>45533</v>
      </c>
      <c r="J804" s="96" t="s">
        <v>495</v>
      </c>
      <c r="K804" s="97">
        <v>45534</v>
      </c>
      <c r="L804" s="98" t="s">
        <v>510</v>
      </c>
      <c r="M804" s="429">
        <v>803</v>
      </c>
      <c r="N804" s="13" t="str">
        <f t="shared" ca="1" si="25"/>
        <v>CLOSED</v>
      </c>
    </row>
    <row r="805" spans="1:14" ht="43.2" x14ac:dyDescent="0.3">
      <c r="A805" s="94" t="s">
        <v>107</v>
      </c>
      <c r="B805" s="95">
        <f>VLOOKUP(Table27[[#This Row],[Location 
(drop-down)]],'List source'!D$2:E$60,2,FALSE)</f>
        <v>120</v>
      </c>
      <c r="C805" s="223" t="s">
        <v>2183</v>
      </c>
      <c r="D805" s="30" t="str">
        <f t="shared" si="24"/>
        <v>PTO804-120-24</v>
      </c>
      <c r="E805" s="94" t="s">
        <v>2184</v>
      </c>
      <c r="F805" s="98" t="str" cm="1">
        <f t="array" aca="1" ref="F8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5"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805" s="98">
        <v>2.15</v>
      </c>
      <c r="I805" s="96">
        <v>45533</v>
      </c>
      <c r="J805" s="96" t="s">
        <v>495</v>
      </c>
      <c r="K805" s="97">
        <v>45533</v>
      </c>
      <c r="L805" s="10" t="s">
        <v>496</v>
      </c>
      <c r="M805" s="429">
        <v>804</v>
      </c>
      <c r="N805" s="13" t="str">
        <f t="shared" ca="1" si="25"/>
        <v>CLOSED</v>
      </c>
    </row>
    <row r="806" spans="1:14" ht="18" x14ac:dyDescent="0.3">
      <c r="A806" s="94" t="s">
        <v>107</v>
      </c>
      <c r="B806" s="95">
        <f>VLOOKUP(Table27[[#This Row],[Location 
(drop-down)]],'List source'!D$2:E$60,2,FALSE)</f>
        <v>120</v>
      </c>
      <c r="C806" s="223" t="s">
        <v>2185</v>
      </c>
      <c r="D806" s="30" t="str">
        <f t="shared" si="24"/>
        <v>PTO805-120-24</v>
      </c>
      <c r="E806" s="94" t="s">
        <v>2186</v>
      </c>
      <c r="F806" s="98" t="str" cm="1">
        <f t="array" aca="1" ref="F8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6"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806" s="98">
        <v>5.0599999999999996</v>
      </c>
      <c r="I806" s="96">
        <v>45533</v>
      </c>
      <c r="J806" s="96" t="s">
        <v>495</v>
      </c>
      <c r="K806" s="97">
        <v>45534</v>
      </c>
      <c r="L806" s="98" t="s">
        <v>510</v>
      </c>
      <c r="M806" s="429">
        <v>805</v>
      </c>
      <c r="N806" s="13" t="str">
        <f t="shared" ca="1" si="25"/>
        <v>CLOSED</v>
      </c>
    </row>
    <row r="807" spans="1:14" ht="18" x14ac:dyDescent="0.3">
      <c r="A807" s="94" t="s">
        <v>107</v>
      </c>
      <c r="B807" s="95">
        <f>VLOOKUP(Table27[[#This Row],[Location 
(drop-down)]],'List source'!D$2:E$60,2,FALSE)</f>
        <v>120</v>
      </c>
      <c r="C807" s="223" t="s">
        <v>2187</v>
      </c>
      <c r="D807" s="30" t="str">
        <f t="shared" si="24"/>
        <v>PTO806-120-24</v>
      </c>
      <c r="E807" s="94" t="s">
        <v>2188</v>
      </c>
      <c r="F807" s="98" t="str" cm="1">
        <f t="array" aca="1" ref="F8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07" s="200" t="s">
        <v>1274</v>
      </c>
      <c r="I807" s="96">
        <v>45533</v>
      </c>
      <c r="J807" s="96" t="s">
        <v>495</v>
      </c>
      <c r="K807" s="97">
        <v>45545</v>
      </c>
      <c r="L807" s="98" t="s">
        <v>621</v>
      </c>
      <c r="M807" s="429">
        <v>806</v>
      </c>
      <c r="N807" s="13" t="str">
        <f t="shared" ca="1" si="25"/>
        <v>CLOSED</v>
      </c>
    </row>
    <row r="808" spans="1:14" ht="28.8" x14ac:dyDescent="0.3">
      <c r="A808" s="326" t="s">
        <v>107</v>
      </c>
      <c r="B808" s="328">
        <f>VLOOKUP(Table27[[#This Row],[Location 
(drop-down)]],'List source'!D$2:E$60,2,FALSE)</f>
        <v>120</v>
      </c>
      <c r="C808" s="294" t="s">
        <v>2189</v>
      </c>
      <c r="D808" s="242" t="str">
        <f t="shared" si="24"/>
        <v>PTO807-120-24</v>
      </c>
      <c r="E808" s="326" t="s">
        <v>2190</v>
      </c>
      <c r="F808" s="335" t="str" cm="1">
        <f t="array" aca="1" ref="F8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8" s="32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808" s="335" t="s">
        <v>2191</v>
      </c>
      <c r="I808" s="338">
        <v>45533</v>
      </c>
      <c r="J808" s="338" t="s">
        <v>182</v>
      </c>
      <c r="K808" s="340">
        <v>45649</v>
      </c>
      <c r="L808" s="98"/>
      <c r="M808" s="429">
        <v>807</v>
      </c>
      <c r="N808" s="13" t="str">
        <f t="shared" ca="1" si="25"/>
        <v>CLOSED</v>
      </c>
    </row>
    <row r="809" spans="1:14" ht="18" x14ac:dyDescent="0.3">
      <c r="A809" s="94" t="s">
        <v>107</v>
      </c>
      <c r="B809" s="95">
        <f>VLOOKUP(Table27[[#This Row],[Location 
(drop-down)]],'List source'!D$2:E$60,2,FALSE)</f>
        <v>120</v>
      </c>
      <c r="C809" s="223" t="s">
        <v>2192</v>
      </c>
      <c r="D809" s="30" t="str">
        <f t="shared" si="24"/>
        <v>PTO808-120-24</v>
      </c>
      <c r="E809" s="94" t="s">
        <v>2193</v>
      </c>
      <c r="F809" s="98" t="str" cm="1">
        <f t="array" aca="1" ref="F8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0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09" s="200" t="s">
        <v>2194</v>
      </c>
      <c r="I809" s="96">
        <v>45533</v>
      </c>
      <c r="J809" s="96" t="s">
        <v>134</v>
      </c>
      <c r="K809" s="97">
        <v>45597</v>
      </c>
      <c r="L809" s="98"/>
      <c r="M809" s="429">
        <v>808</v>
      </c>
      <c r="N809" s="13" t="str">
        <f t="shared" ca="1" si="25"/>
        <v>CLOSED</v>
      </c>
    </row>
    <row r="810" spans="1:14" ht="28.8" x14ac:dyDescent="0.3">
      <c r="A810" s="94" t="s">
        <v>126</v>
      </c>
      <c r="B810" s="95">
        <f>VLOOKUP(Table27[[#This Row],[Location 
(drop-down)]],'List source'!D$2:E$60,2,FALSE)</f>
        <v>125</v>
      </c>
      <c r="C810" s="223" t="s">
        <v>2195</v>
      </c>
      <c r="D810" s="30" t="str">
        <f t="shared" si="24"/>
        <v>PTO809-125-24</v>
      </c>
      <c r="E810" s="94" t="s">
        <v>2196</v>
      </c>
      <c r="F810" s="98" t="str" cm="1">
        <f t="array" aca="1" ref="F8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810" s="98">
        <v>206.14</v>
      </c>
      <c r="I810" s="96">
        <v>45533</v>
      </c>
      <c r="J810" s="96" t="s">
        <v>495</v>
      </c>
      <c r="K810" s="97">
        <v>45533</v>
      </c>
      <c r="L810" s="98" t="s">
        <v>510</v>
      </c>
      <c r="M810" s="429">
        <v>809</v>
      </c>
      <c r="N810" s="13" t="str">
        <f t="shared" ca="1" si="25"/>
        <v>CLOSED</v>
      </c>
    </row>
    <row r="811" spans="1:14" ht="28.8" x14ac:dyDescent="0.3">
      <c r="A811" s="94" t="s">
        <v>126</v>
      </c>
      <c r="B811" s="95">
        <f>VLOOKUP(Table27[[#This Row],[Location 
(drop-down)]],'List source'!D$2:E$60,2,FALSE)</f>
        <v>125</v>
      </c>
      <c r="C811" s="223" t="s">
        <v>2197</v>
      </c>
      <c r="D811" s="30" t="str">
        <f t="shared" si="24"/>
        <v>PTO810-125-24</v>
      </c>
      <c r="E811" s="94" t="s">
        <v>2198</v>
      </c>
      <c r="F811" s="98" t="str" cm="1">
        <f t="array" aca="1" ref="F8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811" s="98">
        <v>2.1</v>
      </c>
      <c r="I811" s="96">
        <v>45533</v>
      </c>
      <c r="J811" s="96" t="s">
        <v>495</v>
      </c>
      <c r="K811" s="97">
        <v>45533</v>
      </c>
      <c r="L811" s="98" t="s">
        <v>510</v>
      </c>
      <c r="M811" s="429">
        <v>810</v>
      </c>
      <c r="N811" s="13" t="str">
        <f t="shared" ca="1" si="25"/>
        <v>CLOSED</v>
      </c>
    </row>
    <row r="812" spans="1:14" ht="18" x14ac:dyDescent="0.3">
      <c r="A812" s="94" t="s">
        <v>126</v>
      </c>
      <c r="B812" s="95">
        <f>VLOOKUP(Table27[[#This Row],[Location 
(drop-down)]],'List source'!D$2:E$60,2,FALSE)</f>
        <v>125</v>
      </c>
      <c r="C812" s="223" t="s">
        <v>2199</v>
      </c>
      <c r="D812" s="30" t="str">
        <f t="shared" si="24"/>
        <v>PTO811-125-24</v>
      </c>
      <c r="E812" s="94" t="s">
        <v>2200</v>
      </c>
      <c r="F812" s="98" t="str" cm="1">
        <f t="array" aca="1" ref="F8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12" s="98">
        <v>6.11</v>
      </c>
      <c r="I812" s="96">
        <v>45533</v>
      </c>
      <c r="J812" s="96" t="s">
        <v>495</v>
      </c>
      <c r="K812" s="97">
        <v>45533</v>
      </c>
      <c r="L812" s="98" t="s">
        <v>510</v>
      </c>
      <c r="M812" s="429">
        <v>811</v>
      </c>
      <c r="N812" s="13" t="str">
        <f t="shared" ca="1" si="25"/>
        <v>CLOSED</v>
      </c>
    </row>
    <row r="813" spans="1:14" ht="43.2" x14ac:dyDescent="0.3">
      <c r="A813" s="94" t="s">
        <v>39</v>
      </c>
      <c r="B813" s="95">
        <f>VLOOKUP(Table27[[#This Row],[Location 
(drop-down)]],'List source'!D$2:E$60,2,FALSE)</f>
        <v>127</v>
      </c>
      <c r="C813" s="223" t="s">
        <v>2201</v>
      </c>
      <c r="D813" s="30" t="str">
        <f t="shared" si="24"/>
        <v>PTO812-127-24</v>
      </c>
      <c r="E813" s="94" t="s">
        <v>2202</v>
      </c>
      <c r="F813" s="98" t="str" cm="1">
        <f t="array" aca="1" ref="F8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3"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13" s="200" t="s">
        <v>2203</v>
      </c>
      <c r="I813" s="96">
        <v>45533</v>
      </c>
      <c r="J813" s="96" t="s">
        <v>495</v>
      </c>
      <c r="K813" s="97">
        <v>45533</v>
      </c>
      <c r="L813" s="10" t="s">
        <v>496</v>
      </c>
      <c r="M813" s="429">
        <v>812</v>
      </c>
      <c r="N813" s="13" t="str">
        <f t="shared" ca="1" si="25"/>
        <v>CLOSED</v>
      </c>
    </row>
    <row r="814" spans="1:14" ht="18" x14ac:dyDescent="0.3">
      <c r="A814" s="94" t="s">
        <v>186</v>
      </c>
      <c r="B814" s="95">
        <f>VLOOKUP(Table27[[#This Row],[Location 
(drop-down)]],'List source'!D$2:E$60,2,FALSE)</f>
        <v>130</v>
      </c>
      <c r="C814" s="223" t="s">
        <v>2204</v>
      </c>
      <c r="D814" s="30" t="str">
        <f t="shared" si="24"/>
        <v>PTO813-130-24</v>
      </c>
      <c r="E814" s="94" t="s">
        <v>2205</v>
      </c>
      <c r="F814" s="98" t="str" cm="1">
        <f t="array" aca="1" ref="F8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4"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14" s="98">
        <v>2.2999999999999998</v>
      </c>
      <c r="I814" s="96">
        <v>45533</v>
      </c>
      <c r="J814" s="96" t="s">
        <v>182</v>
      </c>
      <c r="K814" s="97">
        <v>45551</v>
      </c>
      <c r="L814" s="98"/>
      <c r="M814" s="429">
        <v>813</v>
      </c>
      <c r="N814" s="13" t="str">
        <f t="shared" ca="1" si="25"/>
        <v>CLOSED</v>
      </c>
    </row>
    <row r="815" spans="1:14" ht="18" x14ac:dyDescent="0.3">
      <c r="A815" s="94" t="s">
        <v>264</v>
      </c>
      <c r="B815" s="95">
        <f>VLOOKUP(Table27[[#This Row],[Location 
(drop-down)]],'List source'!D$2:E$60,2,FALSE)</f>
        <v>132</v>
      </c>
      <c r="C815" s="223" t="s">
        <v>2206</v>
      </c>
      <c r="D815" s="30" t="str">
        <f t="shared" si="24"/>
        <v>PTO814-132-24</v>
      </c>
      <c r="E815" s="94" t="s">
        <v>2207</v>
      </c>
      <c r="F815" s="98" t="str" cm="1">
        <f t="array" aca="1" ref="F8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5"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815" s="98">
        <v>3.33</v>
      </c>
      <c r="I815" s="96">
        <v>45533</v>
      </c>
      <c r="J815" s="96" t="s">
        <v>49</v>
      </c>
      <c r="K815" s="97">
        <v>45548</v>
      </c>
      <c r="L815" s="98"/>
      <c r="M815" s="429">
        <v>814</v>
      </c>
      <c r="N815" s="13" t="str">
        <f t="shared" ca="1" si="25"/>
        <v>CLOSED</v>
      </c>
    </row>
    <row r="816" spans="1:14" ht="28.8" x14ac:dyDescent="0.3">
      <c r="A816" s="94" t="s">
        <v>264</v>
      </c>
      <c r="B816" s="95">
        <f>VLOOKUP(Table27[[#This Row],[Location 
(drop-down)]],'List source'!D$2:E$60,2,FALSE)</f>
        <v>132</v>
      </c>
      <c r="C816" s="223" t="s">
        <v>2208</v>
      </c>
      <c r="D816" s="30" t="str">
        <f t="shared" si="24"/>
        <v>PTO815-132-24</v>
      </c>
      <c r="E816" s="94" t="s">
        <v>2209</v>
      </c>
      <c r="F816" s="98" t="str" cm="1">
        <f t="array" aca="1" ref="F8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6"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816" s="200" t="s">
        <v>2210</v>
      </c>
      <c r="I816" s="96">
        <v>45533</v>
      </c>
      <c r="J816" s="96" t="s">
        <v>49</v>
      </c>
      <c r="K816" s="97">
        <v>45548</v>
      </c>
      <c r="L816" s="98"/>
      <c r="M816" s="429">
        <v>815</v>
      </c>
      <c r="N816" s="13" t="str">
        <f t="shared" ca="1" si="25"/>
        <v>CLOSED</v>
      </c>
    </row>
    <row r="817" spans="1:14" ht="18" x14ac:dyDescent="0.3">
      <c r="A817" s="94" t="s">
        <v>264</v>
      </c>
      <c r="B817" s="95">
        <f>VLOOKUP(Table27[[#This Row],[Location 
(drop-down)]],'List source'!D$2:E$60,2,FALSE)</f>
        <v>132</v>
      </c>
      <c r="C817" s="223" t="s">
        <v>2211</v>
      </c>
      <c r="D817" s="30" t="str">
        <f t="shared" si="24"/>
        <v>PTO816-132-24</v>
      </c>
      <c r="E817" s="94" t="s">
        <v>2212</v>
      </c>
      <c r="F817" s="98" t="str" cm="1">
        <f t="array" aca="1" ref="F8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17" s="98">
        <v>3.45</v>
      </c>
      <c r="I817" s="96">
        <v>45533</v>
      </c>
      <c r="J817" s="96" t="s">
        <v>495</v>
      </c>
      <c r="K817" s="97">
        <v>45645</v>
      </c>
      <c r="L817" s="98" t="s">
        <v>653</v>
      </c>
      <c r="M817" s="429">
        <v>816</v>
      </c>
      <c r="N817" s="13" t="str">
        <f t="shared" ca="1" si="25"/>
        <v>CLOSED</v>
      </c>
    </row>
    <row r="818" spans="1:14" ht="18" x14ac:dyDescent="0.3">
      <c r="A818" s="94" t="s">
        <v>264</v>
      </c>
      <c r="B818" s="95">
        <f>VLOOKUP(Table27[[#This Row],[Location 
(drop-down)]],'List source'!D$2:E$60,2,FALSE)</f>
        <v>132</v>
      </c>
      <c r="C818" s="223" t="s">
        <v>2213</v>
      </c>
      <c r="D818" s="30" t="str">
        <f t="shared" si="24"/>
        <v>PTO817-132-24</v>
      </c>
      <c r="E818" s="94" t="s">
        <v>2214</v>
      </c>
      <c r="F818" s="98" t="str" cm="1">
        <f t="array" aca="1" ref="F8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8"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818" s="98">
        <v>3.27</v>
      </c>
      <c r="I818" s="96">
        <v>45533</v>
      </c>
      <c r="J818" s="96" t="s">
        <v>54</v>
      </c>
      <c r="K818" s="97">
        <v>45646</v>
      </c>
      <c r="L818" s="98"/>
      <c r="M818" s="429">
        <v>817</v>
      </c>
      <c r="N818" s="13" t="str">
        <f t="shared" ca="1" si="25"/>
        <v>CLOSED</v>
      </c>
    </row>
    <row r="819" spans="1:14" ht="18" x14ac:dyDescent="0.3">
      <c r="A819" s="94" t="s">
        <v>264</v>
      </c>
      <c r="B819" s="95">
        <f>VLOOKUP(Table27[[#This Row],[Location 
(drop-down)]],'List source'!D$2:E$60,2,FALSE)</f>
        <v>132</v>
      </c>
      <c r="C819" s="223" t="s">
        <v>2215</v>
      </c>
      <c r="D819" s="30" t="str">
        <f t="shared" si="24"/>
        <v>PTO818-132-24</v>
      </c>
      <c r="E819" s="94" t="s">
        <v>2216</v>
      </c>
      <c r="F819" s="98" t="str" cm="1">
        <f t="array" aca="1" ref="F8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1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819" s="98">
        <v>9.6999999999999993</v>
      </c>
      <c r="I819" s="96">
        <v>45533</v>
      </c>
      <c r="J819" s="96" t="s">
        <v>54</v>
      </c>
      <c r="K819" s="97">
        <v>45838</v>
      </c>
      <c r="L819" s="98"/>
      <c r="M819" s="429">
        <v>818</v>
      </c>
      <c r="N819" s="13" t="str">
        <f t="shared" ca="1" si="25"/>
        <v>CLOSED</v>
      </c>
    </row>
    <row r="820" spans="1:14" ht="28.8" x14ac:dyDescent="0.3">
      <c r="A820" s="94" t="s">
        <v>264</v>
      </c>
      <c r="B820" s="95">
        <f>VLOOKUP(Table27[[#This Row],[Location 
(drop-down)]],'List source'!D$2:E$60,2,FALSE)</f>
        <v>132</v>
      </c>
      <c r="C820" s="223" t="s">
        <v>2217</v>
      </c>
      <c r="D820" s="30" t="str">
        <f t="shared" ref="D820:D883" si="26">"PTO" &amp; C820 &amp; "-" &amp; B820 &amp; "-" &amp; "24"</f>
        <v>PTO819-132-24</v>
      </c>
      <c r="E820" s="94" t="s">
        <v>2218</v>
      </c>
      <c r="F820" s="98" t="str" cm="1">
        <f t="array" aca="1" ref="F8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820" s="98">
        <v>2.2000000000000002</v>
      </c>
      <c r="I820" s="96">
        <v>45533</v>
      </c>
      <c r="J820" s="338" t="s">
        <v>54</v>
      </c>
      <c r="K820" s="340">
        <v>45646</v>
      </c>
      <c r="L820" s="98"/>
      <c r="M820" s="429">
        <v>819</v>
      </c>
      <c r="N820" s="13" t="str">
        <f t="shared" ref="N820:N883" ca="1" si="27">IF(ISBLANK(K820), TODAY()-(I820), "CLOSED")</f>
        <v>CLOSED</v>
      </c>
    </row>
    <row r="821" spans="1:14" ht="28.8" x14ac:dyDescent="0.3">
      <c r="A821" s="252" t="s">
        <v>157</v>
      </c>
      <c r="B821" s="253">
        <f>VLOOKUP(Table27[[#This Row],[Location 
(drop-down)]],'List source'!D$2:E$60,2,FALSE)</f>
        <v>136</v>
      </c>
      <c r="C821" s="255" t="s">
        <v>2219</v>
      </c>
      <c r="D821" s="201" t="str">
        <f t="shared" si="26"/>
        <v>PTO820-136-24</v>
      </c>
      <c r="E821" s="94" t="s">
        <v>2220</v>
      </c>
      <c r="F821" s="98" t="str" cm="1">
        <f t="array" aca="1" ref="F8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821" s="98" t="s">
        <v>529</v>
      </c>
      <c r="I821" s="96">
        <v>45533</v>
      </c>
      <c r="J821" s="261" t="s">
        <v>60</v>
      </c>
      <c r="K821" s="260">
        <v>45712</v>
      </c>
      <c r="L821" s="98"/>
      <c r="M821" s="429">
        <v>820</v>
      </c>
      <c r="N821" s="13" t="str">
        <f t="shared" ca="1" si="27"/>
        <v>CLOSED</v>
      </c>
    </row>
    <row r="822" spans="1:14" ht="18" x14ac:dyDescent="0.3">
      <c r="A822" s="94" t="s">
        <v>29</v>
      </c>
      <c r="B822" s="95">
        <f>VLOOKUP(Table27[[#This Row],[Location 
(drop-down)]],'List source'!D$2:E$60,2,FALSE)</f>
        <v>141</v>
      </c>
      <c r="C822" s="223" t="s">
        <v>2221</v>
      </c>
      <c r="D822" s="55" t="str">
        <f t="shared" si="26"/>
        <v>PTO821-141-24</v>
      </c>
      <c r="E822" s="94" t="s">
        <v>2222</v>
      </c>
      <c r="F822" s="98" t="str" cm="1">
        <f t="array" aca="1" ref="F8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22" s="200" t="s">
        <v>2223</v>
      </c>
      <c r="I822" s="96">
        <v>45533</v>
      </c>
      <c r="J822" s="96" t="s">
        <v>495</v>
      </c>
      <c r="K822" s="97">
        <v>45586</v>
      </c>
      <c r="L822" s="98" t="s">
        <v>2224</v>
      </c>
      <c r="M822" s="429">
        <v>821</v>
      </c>
      <c r="N822" s="13" t="str">
        <f t="shared" ca="1" si="27"/>
        <v>CLOSED</v>
      </c>
    </row>
    <row r="823" spans="1:14" ht="18" x14ac:dyDescent="0.3">
      <c r="A823" s="342" t="s">
        <v>145</v>
      </c>
      <c r="B823" s="327">
        <f>VLOOKUP(Table27[[#This Row],[Location 
(drop-down)]],'List source'!D$2:E$60,2,FALSE)</f>
        <v>145</v>
      </c>
      <c r="C823" s="330" t="s">
        <v>2225</v>
      </c>
      <c r="D823" s="343" t="str">
        <f t="shared" si="26"/>
        <v>PTO822-145-24</v>
      </c>
      <c r="E823" s="342" t="s">
        <v>2226</v>
      </c>
      <c r="F823" s="351" t="str" cm="1">
        <f t="array" aca="1" ref="F8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3" s="34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823" s="393" t="s">
        <v>895</v>
      </c>
      <c r="I823" s="400">
        <v>45533</v>
      </c>
      <c r="J823" s="400" t="s">
        <v>182</v>
      </c>
      <c r="K823" s="405">
        <v>45632</v>
      </c>
      <c r="L823" s="98"/>
      <c r="M823" s="429">
        <v>822</v>
      </c>
      <c r="N823" s="13" t="str">
        <f t="shared" ca="1" si="27"/>
        <v>CLOSED</v>
      </c>
    </row>
    <row r="824" spans="1:14" ht="18" x14ac:dyDescent="0.3">
      <c r="A824" s="94" t="s">
        <v>145</v>
      </c>
      <c r="B824" s="95">
        <f>VLOOKUP(Table27[[#This Row],[Location 
(drop-down)]],'List source'!D$2:E$60,2,FALSE)</f>
        <v>145</v>
      </c>
      <c r="C824" s="223" t="s">
        <v>2227</v>
      </c>
      <c r="D824" s="55" t="str">
        <f t="shared" si="26"/>
        <v>PTO823-145-24</v>
      </c>
      <c r="E824" s="94" t="s">
        <v>2228</v>
      </c>
      <c r="F824" s="98" t="str" cm="1">
        <f t="array" aca="1" ref="F8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4"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24" s="200" t="s">
        <v>1388</v>
      </c>
      <c r="I824" s="96">
        <v>45533</v>
      </c>
      <c r="J824" s="96" t="s">
        <v>495</v>
      </c>
      <c r="K824" s="97">
        <v>45671</v>
      </c>
      <c r="L824" s="98" t="s">
        <v>653</v>
      </c>
      <c r="M824" s="429">
        <v>823</v>
      </c>
      <c r="N824" s="13" t="str">
        <f t="shared" ca="1" si="27"/>
        <v>CLOSED</v>
      </c>
    </row>
    <row r="825" spans="1:14" ht="18" x14ac:dyDescent="0.3">
      <c r="A825" s="252" t="s">
        <v>70</v>
      </c>
      <c r="B825" s="253">
        <f>VLOOKUP(Table27[[#This Row],[Location 
(drop-down)]],'List source'!D$2:E$60,2,FALSE)</f>
        <v>146</v>
      </c>
      <c r="C825" s="255" t="s">
        <v>2229</v>
      </c>
      <c r="D825" s="344" t="str">
        <f t="shared" si="26"/>
        <v>PTO824-146-24</v>
      </c>
      <c r="E825" s="94" t="s">
        <v>2230</v>
      </c>
      <c r="F825" s="98" t="str" cm="1">
        <f t="array" aca="1" ref="F8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5"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825" s="98">
        <v>7.69</v>
      </c>
      <c r="I825" s="96">
        <v>45533</v>
      </c>
      <c r="J825" s="261" t="s">
        <v>2231</v>
      </c>
      <c r="K825" s="260">
        <v>45597</v>
      </c>
      <c r="L825" s="98"/>
      <c r="M825" s="429">
        <v>824</v>
      </c>
      <c r="N825" s="13" t="str">
        <f t="shared" ca="1" si="27"/>
        <v>CLOSED</v>
      </c>
    </row>
    <row r="826" spans="1:14" ht="18" x14ac:dyDescent="0.3">
      <c r="A826" s="252" t="s">
        <v>70</v>
      </c>
      <c r="B826" s="253">
        <f>VLOOKUP(Table27[[#This Row],[Location 
(drop-down)]],'List source'!D$2:E$60,2,FALSE)</f>
        <v>146</v>
      </c>
      <c r="C826" s="255" t="s">
        <v>2232</v>
      </c>
      <c r="D826" s="344" t="str">
        <f t="shared" si="26"/>
        <v>PTO825-146-24</v>
      </c>
      <c r="E826" s="94" t="s">
        <v>2233</v>
      </c>
      <c r="F826" s="98" t="str" cm="1">
        <f t="array" aca="1" ref="F8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6"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26" s="98">
        <v>646.87</v>
      </c>
      <c r="I826" s="96">
        <v>45533</v>
      </c>
      <c r="J826" s="261" t="s">
        <v>60</v>
      </c>
      <c r="K826" s="260">
        <v>45687</v>
      </c>
      <c r="L826" s="98"/>
      <c r="M826" s="429">
        <v>825</v>
      </c>
      <c r="N826" s="13" t="str">
        <f t="shared" ca="1" si="27"/>
        <v>CLOSED</v>
      </c>
    </row>
    <row r="827" spans="1:14" ht="18" x14ac:dyDescent="0.3">
      <c r="A827" s="94" t="s">
        <v>86</v>
      </c>
      <c r="B827" s="95">
        <f>VLOOKUP(Table27[[#This Row],[Location 
(drop-down)]],'List source'!D$2:E$60,2,FALSE)</f>
        <v>150</v>
      </c>
      <c r="C827" s="223" t="s">
        <v>2234</v>
      </c>
      <c r="D827" s="55" t="str">
        <f t="shared" si="26"/>
        <v>PTO826-150-24</v>
      </c>
      <c r="E827" s="94" t="s">
        <v>2235</v>
      </c>
      <c r="F827" s="98" t="str" cm="1">
        <f t="array" aca="1" ref="F8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827" s="98">
        <v>5.33</v>
      </c>
      <c r="I827" s="96">
        <v>45533</v>
      </c>
      <c r="J827" s="96" t="s">
        <v>495</v>
      </c>
      <c r="K827" s="97">
        <v>45559</v>
      </c>
      <c r="L827" s="98" t="s">
        <v>510</v>
      </c>
      <c r="M827" s="429">
        <v>826</v>
      </c>
      <c r="N827" s="13" t="str">
        <f t="shared" ca="1" si="27"/>
        <v>CLOSED</v>
      </c>
    </row>
    <row r="828" spans="1:14" ht="43.2" x14ac:dyDescent="0.3">
      <c r="A828" s="94" t="s">
        <v>86</v>
      </c>
      <c r="B828" s="95">
        <f>VLOOKUP(Table27[[#This Row],[Location 
(drop-down)]],'List source'!D$2:E$60,2,FALSE)</f>
        <v>150</v>
      </c>
      <c r="C828" s="223" t="s">
        <v>2236</v>
      </c>
      <c r="D828" s="55" t="str">
        <f t="shared" si="26"/>
        <v>PTO827-150-24</v>
      </c>
      <c r="E828" s="94" t="s">
        <v>2237</v>
      </c>
      <c r="F828" s="98" t="str" cm="1">
        <f t="array" aca="1" ref="F8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8"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28" s="98">
        <v>2.87</v>
      </c>
      <c r="I828" s="96">
        <v>45533</v>
      </c>
      <c r="J828" s="96" t="s">
        <v>495</v>
      </c>
      <c r="K828" s="97">
        <v>45533</v>
      </c>
      <c r="L828" s="10" t="s">
        <v>496</v>
      </c>
      <c r="M828" s="429">
        <v>827</v>
      </c>
      <c r="N828" s="13" t="str">
        <f t="shared" ca="1" si="27"/>
        <v>CLOSED</v>
      </c>
    </row>
    <row r="829" spans="1:14" ht="43.2" x14ac:dyDescent="0.3">
      <c r="A829" s="94" t="s">
        <v>86</v>
      </c>
      <c r="B829" s="95">
        <f>VLOOKUP(Table27[[#This Row],[Location 
(drop-down)]],'List source'!D$2:E$60,2,FALSE)</f>
        <v>150</v>
      </c>
      <c r="C829" s="223" t="s">
        <v>2238</v>
      </c>
      <c r="D829" s="55" t="str">
        <f t="shared" si="26"/>
        <v>PTO828-150-24</v>
      </c>
      <c r="E829" s="94" t="s">
        <v>2239</v>
      </c>
      <c r="F829" s="98" t="str" cm="1">
        <f t="array" aca="1" ref="F8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2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829" s="98" t="s">
        <v>2240</v>
      </c>
      <c r="I829" s="96">
        <v>45533</v>
      </c>
      <c r="J829" s="96" t="s">
        <v>182</v>
      </c>
      <c r="K829" s="97">
        <v>45588</v>
      </c>
      <c r="L829" s="98"/>
      <c r="M829" s="429">
        <v>828</v>
      </c>
      <c r="N829" s="13" t="str">
        <f t="shared" ca="1" si="27"/>
        <v>CLOSED</v>
      </c>
    </row>
    <row r="830" spans="1:14" ht="18" x14ac:dyDescent="0.3">
      <c r="A830" s="94" t="s">
        <v>235</v>
      </c>
      <c r="B830" s="95">
        <f>VLOOKUP(Table27[[#This Row],[Location 
(drop-down)]],'List source'!D$2:E$60,2,FALSE)</f>
        <v>160</v>
      </c>
      <c r="C830" s="223" t="s">
        <v>2241</v>
      </c>
      <c r="D830" s="55" t="str">
        <f t="shared" si="26"/>
        <v>PTO829-160-24</v>
      </c>
      <c r="E830" s="94" t="s">
        <v>2242</v>
      </c>
      <c r="F830" s="98" t="str" cm="1">
        <f t="array" aca="1" ref="F8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830" s="200" t="s">
        <v>2243</v>
      </c>
      <c r="I830" s="96">
        <v>45533</v>
      </c>
      <c r="J830" s="96" t="s">
        <v>134</v>
      </c>
      <c r="K830" s="97">
        <v>45694</v>
      </c>
      <c r="L830" s="98"/>
      <c r="M830" s="429">
        <v>829</v>
      </c>
      <c r="N830" s="13" t="str">
        <f t="shared" ca="1" si="27"/>
        <v>CLOSED</v>
      </c>
    </row>
    <row r="831" spans="1:14" ht="28.8" x14ac:dyDescent="0.3">
      <c r="A831" s="326" t="s">
        <v>209</v>
      </c>
      <c r="B831" s="328">
        <f>VLOOKUP(Table27[[#This Row],[Location 
(drop-down)]],'List source'!D$2:E$60,2,FALSE)</f>
        <v>165</v>
      </c>
      <c r="C831" s="294" t="s">
        <v>2244</v>
      </c>
      <c r="D831" s="345" t="str">
        <f t="shared" si="26"/>
        <v>PTO830-165-24</v>
      </c>
      <c r="E831" s="326" t="s">
        <v>2245</v>
      </c>
      <c r="F831" s="335" t="str" cm="1">
        <f t="array" aca="1" ref="F8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1" s="326"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831" s="335">
        <v>7.54</v>
      </c>
      <c r="I831" s="338">
        <v>45533</v>
      </c>
      <c r="J831" s="338" t="s">
        <v>182</v>
      </c>
      <c r="K831" s="340">
        <v>45721</v>
      </c>
      <c r="L831" s="98"/>
      <c r="M831" s="429">
        <v>830</v>
      </c>
      <c r="N831" s="13" t="str">
        <f t="shared" ca="1" si="27"/>
        <v>CLOSED</v>
      </c>
    </row>
    <row r="832" spans="1:14" ht="18" x14ac:dyDescent="0.3">
      <c r="A832" s="342" t="s">
        <v>209</v>
      </c>
      <c r="B832" s="327">
        <f>VLOOKUP(Table27[[#This Row],[Location 
(drop-down)]],'List source'!D$2:E$60,2,FALSE)</f>
        <v>165</v>
      </c>
      <c r="C832" s="330" t="s">
        <v>2246</v>
      </c>
      <c r="D832" s="343" t="str">
        <f t="shared" si="26"/>
        <v>PTO831-165-24</v>
      </c>
      <c r="E832" s="342" t="s">
        <v>2247</v>
      </c>
      <c r="F832" s="351" t="str" cm="1">
        <f t="array" aca="1" ref="F8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2" s="34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832" s="351">
        <v>2.78</v>
      </c>
      <c r="I832" s="400">
        <v>45533</v>
      </c>
      <c r="J832" s="400" t="s">
        <v>182</v>
      </c>
      <c r="K832" s="405">
        <v>45742</v>
      </c>
      <c r="L832" s="98"/>
      <c r="M832" s="429">
        <v>831</v>
      </c>
      <c r="N832" s="13" t="str">
        <f t="shared" ca="1" si="27"/>
        <v>CLOSED</v>
      </c>
    </row>
    <row r="833" spans="1:14" ht="28.8" x14ac:dyDescent="0.3">
      <c r="A833" s="341" t="s">
        <v>209</v>
      </c>
      <c r="B833" s="329">
        <f>VLOOKUP(Table27[[#This Row],[Location 
(drop-down)]],'List source'!D$2:E$60,2,FALSE)</f>
        <v>165</v>
      </c>
      <c r="C833" s="333" t="s">
        <v>2248</v>
      </c>
      <c r="D833" s="346" t="str">
        <f t="shared" si="26"/>
        <v>PTO832-165-24</v>
      </c>
      <c r="E833" s="341" t="s">
        <v>2249</v>
      </c>
      <c r="F833" s="357" t="str" cm="1">
        <f t="array" aca="1" ref="F8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3" s="341"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833" s="398" t="s">
        <v>1045</v>
      </c>
      <c r="I833" s="359">
        <v>45533</v>
      </c>
      <c r="J833" s="359" t="s">
        <v>182</v>
      </c>
      <c r="K833" s="361">
        <v>45742</v>
      </c>
      <c r="L833" s="98"/>
      <c r="M833" s="429">
        <v>832</v>
      </c>
      <c r="N833" s="13" t="str">
        <f t="shared" ca="1" si="27"/>
        <v>CLOSED</v>
      </c>
    </row>
    <row r="834" spans="1:14" ht="18" x14ac:dyDescent="0.3">
      <c r="A834" s="94" t="s">
        <v>57</v>
      </c>
      <c r="B834" s="95">
        <f>VLOOKUP(Table27[[#This Row],[Location 
(drop-down)]],'List source'!D$2:E$60,2,FALSE)</f>
        <v>170</v>
      </c>
      <c r="C834" s="223" t="s">
        <v>2250</v>
      </c>
      <c r="D834" s="55" t="str">
        <f t="shared" si="26"/>
        <v>PTO833-170-24</v>
      </c>
      <c r="E834" s="94" t="s">
        <v>2180</v>
      </c>
      <c r="F834" s="98" t="str" cm="1">
        <f t="array" aca="1" ref="F8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4"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834" s="98">
        <v>2.57</v>
      </c>
      <c r="I834" s="96">
        <v>45533</v>
      </c>
      <c r="J834" s="96" t="s">
        <v>495</v>
      </c>
      <c r="K834" s="97">
        <v>45777</v>
      </c>
      <c r="L834" s="98" t="s">
        <v>2251</v>
      </c>
      <c r="M834" s="429">
        <v>833</v>
      </c>
      <c r="N834" s="13" t="str">
        <f t="shared" ca="1" si="27"/>
        <v>CLOSED</v>
      </c>
    </row>
    <row r="835" spans="1:14" ht="43.2" x14ac:dyDescent="0.3">
      <c r="A835" s="94" t="s">
        <v>57</v>
      </c>
      <c r="B835" s="95">
        <f>VLOOKUP(Table27[[#This Row],[Location 
(drop-down)]],'List source'!D$2:E$60,2,FALSE)</f>
        <v>170</v>
      </c>
      <c r="C835" s="223" t="s">
        <v>2252</v>
      </c>
      <c r="D835" s="55" t="str">
        <f t="shared" si="26"/>
        <v>PTO834-170-24</v>
      </c>
      <c r="E835" s="94" t="s">
        <v>2253</v>
      </c>
      <c r="F835" s="98" t="str" cm="1">
        <f t="array" aca="1" ref="F8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5"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35" s="200" t="s">
        <v>2254</v>
      </c>
      <c r="I835" s="96">
        <v>45533</v>
      </c>
      <c r="J835" s="96" t="s">
        <v>495</v>
      </c>
      <c r="K835" s="97">
        <v>45533</v>
      </c>
      <c r="L835" s="10" t="s">
        <v>496</v>
      </c>
      <c r="M835" s="429">
        <v>834</v>
      </c>
      <c r="N835" s="13" t="str">
        <f t="shared" ca="1" si="27"/>
        <v>CLOSED</v>
      </c>
    </row>
    <row r="836" spans="1:14" ht="28.8" x14ac:dyDescent="0.3">
      <c r="A836" s="252" t="s">
        <v>57</v>
      </c>
      <c r="B836" s="253">
        <f>VLOOKUP(Table27[[#This Row],[Location 
(drop-down)]],'List source'!D$2:E$60,2,FALSE)</f>
        <v>170</v>
      </c>
      <c r="C836" s="255" t="s">
        <v>2255</v>
      </c>
      <c r="D836" s="344" t="str">
        <f t="shared" si="26"/>
        <v>PTO835-170-24</v>
      </c>
      <c r="E836" s="94" t="s">
        <v>2256</v>
      </c>
      <c r="F836" s="98" t="str" cm="1">
        <f t="array" aca="1" ref="F8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6"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D6379 - HC Type by HPLC</v>
      </c>
      <c r="H836" s="98" t="s">
        <v>2257</v>
      </c>
      <c r="I836" s="96">
        <v>45533</v>
      </c>
      <c r="J836" s="261" t="s">
        <v>495</v>
      </c>
      <c r="K836" s="260">
        <v>45596</v>
      </c>
      <c r="L836" s="98" t="s">
        <v>2258</v>
      </c>
      <c r="M836" s="429">
        <v>835</v>
      </c>
      <c r="N836" s="13" t="str">
        <f t="shared" ca="1" si="27"/>
        <v>CLOSED</v>
      </c>
    </row>
    <row r="837" spans="1:14" ht="28.8" x14ac:dyDescent="0.3">
      <c r="A837" s="94" t="s">
        <v>57</v>
      </c>
      <c r="B837" s="95">
        <f>VLOOKUP(Table27[[#This Row],[Location 
(drop-down)]],'List source'!D$2:E$60,2,FALSE)</f>
        <v>170</v>
      </c>
      <c r="C837" s="223" t="s">
        <v>2259</v>
      </c>
      <c r="D837" s="55" t="str">
        <f t="shared" si="26"/>
        <v>PTO836-170-24</v>
      </c>
      <c r="E837" s="94" t="s">
        <v>2260</v>
      </c>
      <c r="F837" s="98" t="str" cm="1">
        <f t="array" aca="1" ref="F8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37" s="98" t="s">
        <v>2261</v>
      </c>
      <c r="I837" s="96">
        <v>45533</v>
      </c>
      <c r="J837" s="96" t="s">
        <v>60</v>
      </c>
      <c r="K837" s="97">
        <v>45596</v>
      </c>
      <c r="L837" s="98"/>
      <c r="M837" s="429">
        <v>836</v>
      </c>
      <c r="N837" s="13" t="str">
        <f t="shared" ca="1" si="27"/>
        <v>CLOSED</v>
      </c>
    </row>
    <row r="838" spans="1:14" ht="18" x14ac:dyDescent="0.3">
      <c r="A838" s="94" t="s">
        <v>57</v>
      </c>
      <c r="B838" s="95">
        <f>VLOOKUP(Table27[[#This Row],[Location 
(drop-down)]],'List source'!D$2:E$60,2,FALSE)</f>
        <v>170</v>
      </c>
      <c r="C838" s="223" t="s">
        <v>2262</v>
      </c>
      <c r="D838" s="55" t="str">
        <f t="shared" si="26"/>
        <v>PTO837-170-24</v>
      </c>
      <c r="E838" s="94" t="s">
        <v>2263</v>
      </c>
      <c r="F838" s="98" t="str" cm="1">
        <f t="array" aca="1" ref="F8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8"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D3343 - Hydrogen</v>
      </c>
      <c r="H838" s="200" t="s">
        <v>2264</v>
      </c>
      <c r="I838" s="96">
        <v>45533</v>
      </c>
      <c r="J838" s="96" t="s">
        <v>60</v>
      </c>
      <c r="K838" s="97">
        <v>45596</v>
      </c>
      <c r="L838" s="98"/>
      <c r="M838" s="429">
        <v>837</v>
      </c>
      <c r="N838" s="13" t="str">
        <f t="shared" ca="1" si="27"/>
        <v>CLOSED</v>
      </c>
    </row>
    <row r="839" spans="1:14" ht="18" x14ac:dyDescent="0.3">
      <c r="A839" s="252" t="s">
        <v>57</v>
      </c>
      <c r="B839" s="253">
        <f>VLOOKUP(Table27[[#This Row],[Location 
(drop-down)]],'List source'!D$2:E$60,2,FALSE)</f>
        <v>170</v>
      </c>
      <c r="C839" s="255" t="s">
        <v>2265</v>
      </c>
      <c r="D839" s="344" t="str">
        <f t="shared" si="26"/>
        <v>PTO838-170-24</v>
      </c>
      <c r="E839" s="94" t="s">
        <v>2266</v>
      </c>
      <c r="F839" s="98" t="str" cm="1">
        <f t="array" aca="1" ref="F8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3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39" s="200" t="s">
        <v>2267</v>
      </c>
      <c r="I839" s="96">
        <v>45533</v>
      </c>
      <c r="J839" s="261" t="s">
        <v>495</v>
      </c>
      <c r="K839" s="260">
        <v>45961</v>
      </c>
      <c r="L839" s="98" t="s">
        <v>2268</v>
      </c>
      <c r="M839" s="429">
        <v>838</v>
      </c>
      <c r="N839" s="13" t="str">
        <f t="shared" ca="1" si="27"/>
        <v>CLOSED</v>
      </c>
    </row>
    <row r="840" spans="1:14" ht="18" x14ac:dyDescent="0.3">
      <c r="A840" s="252" t="s">
        <v>57</v>
      </c>
      <c r="B840" s="253">
        <f>VLOOKUP(Table27[[#This Row],[Location 
(drop-down)]],'List source'!D$2:E$60,2,FALSE)</f>
        <v>170</v>
      </c>
      <c r="C840" s="255" t="s">
        <v>2269</v>
      </c>
      <c r="D840" s="344" t="str">
        <f t="shared" si="26"/>
        <v>PTO839-170-24</v>
      </c>
      <c r="E840" s="94" t="s">
        <v>2270</v>
      </c>
      <c r="F840" s="98" t="str" cm="1">
        <f t="array" aca="1" ref="F8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840" s="200" t="s">
        <v>2271</v>
      </c>
      <c r="I840" s="96">
        <v>45533</v>
      </c>
      <c r="J840" s="261" t="s">
        <v>60</v>
      </c>
      <c r="K840" s="260">
        <v>45772</v>
      </c>
      <c r="L840" s="98"/>
      <c r="M840" s="429">
        <v>839</v>
      </c>
      <c r="N840" s="13" t="str">
        <f t="shared" ca="1" si="27"/>
        <v>CLOSED</v>
      </c>
    </row>
    <row r="841" spans="1:14" ht="18" x14ac:dyDescent="0.3">
      <c r="A841" s="252" t="s">
        <v>57</v>
      </c>
      <c r="B841" s="253">
        <f>VLOOKUP(Table27[[#This Row],[Location 
(drop-down)]],'List source'!D$2:E$60,2,FALSE)</f>
        <v>170</v>
      </c>
      <c r="C841" s="255" t="s">
        <v>2272</v>
      </c>
      <c r="D841" s="344" t="str">
        <f t="shared" si="26"/>
        <v>PTO840-170-24</v>
      </c>
      <c r="E841" s="94" t="s">
        <v>2273</v>
      </c>
      <c r="F841" s="98" t="str" cm="1">
        <f t="array" aca="1" ref="F8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841" s="200" t="s">
        <v>724</v>
      </c>
      <c r="I841" s="96">
        <v>45533</v>
      </c>
      <c r="J841" s="261" t="s">
        <v>60</v>
      </c>
      <c r="K841" s="260">
        <v>45687</v>
      </c>
      <c r="L841" s="98"/>
      <c r="M841" s="429">
        <v>840</v>
      </c>
      <c r="N841" s="13" t="str">
        <f t="shared" ca="1" si="27"/>
        <v>CLOSED</v>
      </c>
    </row>
    <row r="842" spans="1:14" ht="18" x14ac:dyDescent="0.3">
      <c r="A842" s="94" t="s">
        <v>388</v>
      </c>
      <c r="B842" s="95">
        <f>VLOOKUP(Table27[[#This Row],[Location 
(drop-down)]],'List source'!D$2:E$60,2,FALSE)</f>
        <v>191</v>
      </c>
      <c r="C842" s="223" t="s">
        <v>2274</v>
      </c>
      <c r="D842" s="55" t="str">
        <f t="shared" si="26"/>
        <v>PTO841-191-24</v>
      </c>
      <c r="E842" s="94" t="s">
        <v>2275</v>
      </c>
      <c r="F842" s="98" t="str" cm="1">
        <f t="array" aca="1" ref="F8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42" s="200" t="s">
        <v>2276</v>
      </c>
      <c r="I842" s="96">
        <v>45533</v>
      </c>
      <c r="J842" s="96" t="s">
        <v>495</v>
      </c>
      <c r="K842" s="97">
        <v>45534</v>
      </c>
      <c r="L842" s="98" t="s">
        <v>510</v>
      </c>
      <c r="M842" s="429">
        <v>841</v>
      </c>
      <c r="N842" s="13" t="str">
        <f t="shared" ca="1" si="27"/>
        <v>CLOSED</v>
      </c>
    </row>
    <row r="843" spans="1:14" ht="18" x14ac:dyDescent="0.3">
      <c r="A843" s="94" t="s">
        <v>130</v>
      </c>
      <c r="B843" s="95">
        <f>VLOOKUP(Table27[[#This Row],[Location 
(drop-down)]],'List source'!D$2:E$60,2,FALSE)</f>
        <v>194</v>
      </c>
      <c r="C843" s="223" t="s">
        <v>2277</v>
      </c>
      <c r="D843" s="55" t="str">
        <f t="shared" si="26"/>
        <v>PTO842-194-24</v>
      </c>
      <c r="E843" s="94" t="s">
        <v>2278</v>
      </c>
      <c r="F843" s="98" t="str" cm="1">
        <f t="array" aca="1" ref="F8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3"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43" s="98">
        <v>2.1</v>
      </c>
      <c r="I843" s="96">
        <v>45533</v>
      </c>
      <c r="J843" s="96" t="s">
        <v>41</v>
      </c>
      <c r="K843" s="97">
        <v>45539</v>
      </c>
      <c r="L843" s="98"/>
      <c r="M843" s="429">
        <v>842</v>
      </c>
      <c r="N843" s="13" t="str">
        <f t="shared" ca="1" si="27"/>
        <v>CLOSED</v>
      </c>
    </row>
    <row r="844" spans="1:14" ht="18" x14ac:dyDescent="0.3">
      <c r="A844" s="94" t="s">
        <v>288</v>
      </c>
      <c r="B844" s="95">
        <f>VLOOKUP(Table27[[#This Row],[Location 
(drop-down)]],'List source'!D$2:E$60,2,FALSE)</f>
        <v>197</v>
      </c>
      <c r="C844" s="223" t="s">
        <v>2279</v>
      </c>
      <c r="D844" s="55" t="str">
        <f t="shared" si="26"/>
        <v>PTO843-197-24</v>
      </c>
      <c r="E844" s="94" t="s">
        <v>2280</v>
      </c>
      <c r="F844" s="98" t="str" cm="1">
        <f t="array" aca="1" ref="F8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4"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44" s="98">
        <v>5.89</v>
      </c>
      <c r="I844" s="96">
        <v>45533</v>
      </c>
      <c r="J844" s="96" t="s">
        <v>495</v>
      </c>
      <c r="K844" s="97">
        <v>45534</v>
      </c>
      <c r="L844" s="98" t="s">
        <v>510</v>
      </c>
      <c r="M844" s="429">
        <v>843</v>
      </c>
      <c r="N844" s="13" t="str">
        <f t="shared" ca="1" si="27"/>
        <v>CLOSED</v>
      </c>
    </row>
    <row r="845" spans="1:14" ht="43.2" x14ac:dyDescent="0.3">
      <c r="A845" s="94" t="s">
        <v>166</v>
      </c>
      <c r="B845" s="95">
        <f>VLOOKUP(Table27[[#This Row],[Location 
(drop-down)]],'List source'!D$2:E$60,2,FALSE)</f>
        <v>198</v>
      </c>
      <c r="C845" s="223" t="s">
        <v>2281</v>
      </c>
      <c r="D845" s="55" t="str">
        <f t="shared" si="26"/>
        <v>PTO844-198-24</v>
      </c>
      <c r="E845" s="94" t="s">
        <v>2282</v>
      </c>
      <c r="F845" s="98" t="str" cm="1">
        <f t="array" aca="1" ref="F8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5"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45" s="98">
        <v>2.74</v>
      </c>
      <c r="I845" s="96">
        <v>45533</v>
      </c>
      <c r="J845" s="96" t="s">
        <v>495</v>
      </c>
      <c r="K845" s="97">
        <v>45533</v>
      </c>
      <c r="L845" s="10" t="s">
        <v>496</v>
      </c>
      <c r="M845" s="429">
        <v>844</v>
      </c>
      <c r="N845" s="13" t="str">
        <f t="shared" ca="1" si="27"/>
        <v>CLOSED</v>
      </c>
    </row>
    <row r="846" spans="1:14" ht="18" x14ac:dyDescent="0.3">
      <c r="A846" s="94" t="s">
        <v>166</v>
      </c>
      <c r="B846" s="95">
        <f>VLOOKUP(Table27[[#This Row],[Location 
(drop-down)]],'List source'!D$2:E$60,2,FALSE)</f>
        <v>198</v>
      </c>
      <c r="C846" s="223" t="s">
        <v>2283</v>
      </c>
      <c r="D846" s="55" t="str">
        <f t="shared" si="26"/>
        <v>PTO845-198-24</v>
      </c>
      <c r="E846" s="94" t="s">
        <v>2284</v>
      </c>
      <c r="F846" s="98" t="str" cm="1">
        <f t="array" aca="1" ref="F8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6"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46" s="200" t="s">
        <v>2285</v>
      </c>
      <c r="I846" s="96">
        <v>45533</v>
      </c>
      <c r="J846" s="96" t="s">
        <v>495</v>
      </c>
      <c r="K846" s="97">
        <v>45534</v>
      </c>
      <c r="L846" s="98" t="s">
        <v>510</v>
      </c>
      <c r="M846" s="429">
        <v>845</v>
      </c>
      <c r="N846" s="13" t="str">
        <f t="shared" ca="1" si="27"/>
        <v>CLOSED</v>
      </c>
    </row>
    <row r="847" spans="1:14" ht="18" x14ac:dyDescent="0.3">
      <c r="A847" s="94" t="s">
        <v>261</v>
      </c>
      <c r="B847" s="95">
        <f>VLOOKUP(Table27[[#This Row],[Location 
(drop-down)]],'List source'!D$2:E$60,2,FALSE)</f>
        <v>210</v>
      </c>
      <c r="C847" s="223" t="s">
        <v>2286</v>
      </c>
      <c r="D847" s="55" t="str">
        <f t="shared" si="26"/>
        <v>PTO846-210-24</v>
      </c>
      <c r="E847" s="94" t="s">
        <v>2287</v>
      </c>
      <c r="F847" s="98" t="str" cm="1">
        <f t="array" aca="1" ref="F8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7"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47" s="98">
        <v>3.13</v>
      </c>
      <c r="I847" s="96">
        <v>45533</v>
      </c>
      <c r="J847" s="96" t="s">
        <v>498</v>
      </c>
      <c r="K847" s="97">
        <v>45541</v>
      </c>
      <c r="L847" s="98"/>
      <c r="M847" s="429">
        <v>846</v>
      </c>
      <c r="N847" s="13" t="str">
        <f t="shared" ca="1" si="27"/>
        <v>CLOSED</v>
      </c>
    </row>
    <row r="848" spans="1:14" ht="18" x14ac:dyDescent="0.3">
      <c r="A848" s="94" t="s">
        <v>564</v>
      </c>
      <c r="B848" s="95">
        <f>VLOOKUP(Table27[[#This Row],[Location 
(drop-down)]],'List source'!D$2:E$60,2,FALSE)</f>
        <v>215</v>
      </c>
      <c r="C848" s="223" t="s">
        <v>2288</v>
      </c>
      <c r="D848" s="55" t="str">
        <f t="shared" si="26"/>
        <v>PTO847-215-24</v>
      </c>
      <c r="E848" s="94" t="s">
        <v>2289</v>
      </c>
      <c r="F848" s="98" t="str" cm="1">
        <f t="array" aca="1" ref="F8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8"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48" s="98">
        <v>4.96</v>
      </c>
      <c r="I848" s="96">
        <v>45533</v>
      </c>
      <c r="J848" s="96" t="s">
        <v>498</v>
      </c>
      <c r="K848" s="97">
        <v>45601</v>
      </c>
      <c r="L848" s="98"/>
      <c r="M848" s="429">
        <v>847</v>
      </c>
      <c r="N848" s="13" t="str">
        <f t="shared" ca="1" si="27"/>
        <v>CLOSED</v>
      </c>
    </row>
    <row r="849" spans="1:14" ht="18" x14ac:dyDescent="0.3">
      <c r="A849" s="94" t="s">
        <v>138</v>
      </c>
      <c r="B849" s="95">
        <f>VLOOKUP(Table27[[#This Row],[Location 
(drop-down)]],'List source'!D$2:E$60,2,FALSE)</f>
        <v>110</v>
      </c>
      <c r="C849" s="223" t="s">
        <v>2290</v>
      </c>
      <c r="D849" s="55" t="str">
        <f t="shared" si="26"/>
        <v>PTO848-110-24</v>
      </c>
      <c r="E849" s="94" t="s">
        <v>2291</v>
      </c>
      <c r="F849" s="98" t="str" cm="1">
        <f t="array" aca="1" ref="F8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4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D3343 - Hydrogen</v>
      </c>
      <c r="H849" s="98">
        <v>-52.8</v>
      </c>
      <c r="I849" s="96">
        <v>45534</v>
      </c>
      <c r="J849" s="96" t="s">
        <v>495</v>
      </c>
      <c r="K849" s="97">
        <v>45534</v>
      </c>
      <c r="L849" s="98" t="s">
        <v>510</v>
      </c>
      <c r="M849" s="429">
        <v>848</v>
      </c>
      <c r="N849" s="13" t="str">
        <f t="shared" ca="1" si="27"/>
        <v>CLOSED</v>
      </c>
    </row>
    <row r="850" spans="1:14" ht="28.8" x14ac:dyDescent="0.3">
      <c r="A850" s="94" t="s">
        <v>138</v>
      </c>
      <c r="B850" s="95">
        <f>VLOOKUP(Table27[[#This Row],[Location 
(drop-down)]],'List source'!D$2:E$60,2,FALSE)</f>
        <v>110</v>
      </c>
      <c r="C850" s="223" t="s">
        <v>2292</v>
      </c>
      <c r="D850" s="55" t="str">
        <f t="shared" si="26"/>
        <v>PTO849-110-24</v>
      </c>
      <c r="E850" s="94" t="s">
        <v>2293</v>
      </c>
      <c r="F850" s="98" t="str" cm="1">
        <f t="array" aca="1" ref="F8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0"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850" s="98">
        <v>2.99</v>
      </c>
      <c r="I850" s="96">
        <v>45534</v>
      </c>
      <c r="J850" s="96" t="s">
        <v>498</v>
      </c>
      <c r="K850" s="97">
        <v>45954</v>
      </c>
      <c r="L850" s="98"/>
      <c r="M850" s="429">
        <v>849</v>
      </c>
      <c r="N850" s="13" t="str">
        <f t="shared" ca="1" si="27"/>
        <v>CLOSED</v>
      </c>
    </row>
    <row r="851" spans="1:14" ht="18" x14ac:dyDescent="0.3">
      <c r="A851" s="94" t="s">
        <v>138</v>
      </c>
      <c r="B851" s="95">
        <f>VLOOKUP(Table27[[#This Row],[Location 
(drop-down)]],'List source'!D$2:E$60,2,FALSE)</f>
        <v>110</v>
      </c>
      <c r="C851" s="223" t="s">
        <v>2294</v>
      </c>
      <c r="D851" s="55" t="str">
        <f t="shared" si="26"/>
        <v>PTO850-110-24</v>
      </c>
      <c r="E851" s="94" t="s">
        <v>2295</v>
      </c>
      <c r="F851" s="98" t="str" cm="1">
        <f t="array" aca="1" ref="F8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51" s="98">
        <v>4.05</v>
      </c>
      <c r="I851" s="96">
        <v>45534</v>
      </c>
      <c r="J851" s="96" t="s">
        <v>495</v>
      </c>
      <c r="K851" s="97">
        <v>45565</v>
      </c>
      <c r="L851" s="98" t="s">
        <v>510</v>
      </c>
      <c r="M851" s="429">
        <v>850</v>
      </c>
      <c r="N851" s="13" t="str">
        <f t="shared" ca="1" si="27"/>
        <v>CLOSED</v>
      </c>
    </row>
    <row r="852" spans="1:14" ht="18" x14ac:dyDescent="0.3">
      <c r="A852" s="189" t="s">
        <v>318</v>
      </c>
      <c r="B852" s="253">
        <f>VLOOKUP(Table27[[#This Row],[Location 
(drop-down)]],'List source'!D$2:E$60,2,FALSE)</f>
        <v>115</v>
      </c>
      <c r="C852" s="255" t="s">
        <v>2296</v>
      </c>
      <c r="D852" s="344" t="str">
        <f t="shared" si="26"/>
        <v>PTO851-115-24</v>
      </c>
      <c r="E852" s="9" t="s">
        <v>2297</v>
      </c>
      <c r="F852" s="10" t="str" cm="1">
        <f t="array" aca="1" ref="F8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52" s="10">
        <v>3.71</v>
      </c>
      <c r="I852" s="96">
        <v>45534</v>
      </c>
      <c r="J852" s="234" t="s">
        <v>60</v>
      </c>
      <c r="K852" s="220">
        <v>45756</v>
      </c>
      <c r="L852" s="10"/>
      <c r="M852" s="427">
        <v>851</v>
      </c>
      <c r="N852" s="13" t="str">
        <f t="shared" ca="1" si="27"/>
        <v>CLOSED</v>
      </c>
    </row>
    <row r="853" spans="1:14" ht="43.2" x14ac:dyDescent="0.3">
      <c r="A853" s="9" t="s">
        <v>153</v>
      </c>
      <c r="B853" s="95">
        <f>VLOOKUP(Table27[[#This Row],[Location 
(drop-down)]],'List source'!D$2:E$60,2,FALSE)</f>
        <v>126</v>
      </c>
      <c r="C853" s="223" t="s">
        <v>2298</v>
      </c>
      <c r="D853" s="55" t="str">
        <f t="shared" si="26"/>
        <v>PTO852-126-24</v>
      </c>
      <c r="E853" s="9" t="s">
        <v>2299</v>
      </c>
      <c r="F853" s="10" t="str" cm="1">
        <f t="array" aca="1" ref="F8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853" s="10">
        <v>2.64</v>
      </c>
      <c r="I853" s="96">
        <v>45534</v>
      </c>
      <c r="J853" s="12" t="s">
        <v>495</v>
      </c>
      <c r="K853" s="77">
        <v>45534</v>
      </c>
      <c r="L853" s="10" t="s">
        <v>496</v>
      </c>
      <c r="M853" s="427">
        <v>852</v>
      </c>
      <c r="N853" s="13" t="str">
        <f t="shared" ca="1" si="27"/>
        <v>CLOSED</v>
      </c>
    </row>
    <row r="854" spans="1:14" ht="43.2" x14ac:dyDescent="0.3">
      <c r="A854" s="9" t="s">
        <v>153</v>
      </c>
      <c r="B854" s="95">
        <f>VLOOKUP(Table27[[#This Row],[Location 
(drop-down)]],'List source'!D$2:E$60,2,FALSE)</f>
        <v>126</v>
      </c>
      <c r="C854" s="223" t="s">
        <v>2300</v>
      </c>
      <c r="D854" s="55" t="str">
        <f t="shared" si="26"/>
        <v>PTO853-126-24</v>
      </c>
      <c r="E854" s="9" t="s">
        <v>2301</v>
      </c>
      <c r="F854" s="10" t="str" cm="1">
        <f t="array" aca="1" ref="F8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Cetanex Index</v>
      </c>
      <c r="H854" s="10">
        <v>-2.19</v>
      </c>
      <c r="I854" s="96">
        <v>45534</v>
      </c>
      <c r="J854" s="12" t="s">
        <v>495</v>
      </c>
      <c r="K854" s="77">
        <v>45534</v>
      </c>
      <c r="L854" s="10" t="s">
        <v>496</v>
      </c>
      <c r="M854" s="427">
        <v>853</v>
      </c>
      <c r="N854" s="13" t="str">
        <f t="shared" ca="1" si="27"/>
        <v>CLOSED</v>
      </c>
    </row>
    <row r="855" spans="1:14" ht="43.2" x14ac:dyDescent="0.3">
      <c r="A855" s="9" t="s">
        <v>153</v>
      </c>
      <c r="B855" s="95">
        <f>VLOOKUP(Table27[[#This Row],[Location 
(drop-down)]],'List source'!D$2:E$60,2,FALSE)</f>
        <v>126</v>
      </c>
      <c r="C855" s="223" t="s">
        <v>2302</v>
      </c>
      <c r="D855" s="55" t="str">
        <f t="shared" si="26"/>
        <v>PTO854-126-24</v>
      </c>
      <c r="E855" s="9" t="s">
        <v>2303</v>
      </c>
      <c r="F855" s="10" t="str" cm="1">
        <f t="array" aca="1" ref="F8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55" s="10" t="s">
        <v>529</v>
      </c>
      <c r="I855" s="96">
        <v>45534</v>
      </c>
      <c r="J855" s="12" t="s">
        <v>495</v>
      </c>
      <c r="K855" s="77">
        <v>45534</v>
      </c>
      <c r="L855" s="10" t="s">
        <v>496</v>
      </c>
      <c r="M855" s="427">
        <v>854</v>
      </c>
      <c r="N855" s="13" t="str">
        <f t="shared" ca="1" si="27"/>
        <v>CLOSED</v>
      </c>
    </row>
    <row r="856" spans="1:14" ht="18" x14ac:dyDescent="0.3">
      <c r="A856" s="9" t="s">
        <v>153</v>
      </c>
      <c r="B856" s="95">
        <f>VLOOKUP(Table27[[#This Row],[Location 
(drop-down)]],'List source'!D$2:E$60,2,FALSE)</f>
        <v>126</v>
      </c>
      <c r="C856" s="223" t="s">
        <v>2304</v>
      </c>
      <c r="D856" s="55" t="str">
        <f t="shared" si="26"/>
        <v>PTO855-126-24</v>
      </c>
      <c r="E856" s="9" t="s">
        <v>2305</v>
      </c>
      <c r="F856" s="10" t="str" cm="1">
        <f t="array" aca="1" ref="F8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56" s="39" t="s">
        <v>686</v>
      </c>
      <c r="I856" s="96">
        <v>45534</v>
      </c>
      <c r="J856" s="12" t="s">
        <v>498</v>
      </c>
      <c r="K856" s="77">
        <v>45642</v>
      </c>
      <c r="L856" s="10"/>
      <c r="M856" s="427">
        <v>855</v>
      </c>
      <c r="N856" s="13" t="str">
        <f t="shared" ca="1" si="27"/>
        <v>CLOSED</v>
      </c>
    </row>
    <row r="857" spans="1:14" ht="18" x14ac:dyDescent="0.3">
      <c r="A857" s="9" t="s">
        <v>153</v>
      </c>
      <c r="B857" s="95">
        <f>VLOOKUP(Table27[[#This Row],[Location 
(drop-down)]],'List source'!D$2:E$60,2,FALSE)</f>
        <v>126</v>
      </c>
      <c r="C857" s="223" t="s">
        <v>2306</v>
      </c>
      <c r="D857" s="55" t="str">
        <f t="shared" si="26"/>
        <v>PTO856-126-24</v>
      </c>
      <c r="E857" s="9" t="s">
        <v>2307</v>
      </c>
      <c r="F857" s="10" t="str" cm="1">
        <f t="array" aca="1" ref="F8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57" s="10">
        <v>8.0399999999999991</v>
      </c>
      <c r="I857" s="96">
        <v>45534</v>
      </c>
      <c r="J857" s="12" t="s">
        <v>495</v>
      </c>
      <c r="K857" s="77">
        <v>45534</v>
      </c>
      <c r="L857" s="10" t="s">
        <v>510</v>
      </c>
      <c r="M857" s="427">
        <v>856</v>
      </c>
      <c r="N857" s="13" t="str">
        <f t="shared" ca="1" si="27"/>
        <v>CLOSED</v>
      </c>
    </row>
    <row r="858" spans="1:14" ht="43.2" x14ac:dyDescent="0.3">
      <c r="A858" s="9" t="s">
        <v>39</v>
      </c>
      <c r="B858" s="95">
        <f>VLOOKUP(Table27[[#This Row],[Location 
(drop-down)]],'List source'!D$2:E$60,2,FALSE)</f>
        <v>127</v>
      </c>
      <c r="C858" s="223" t="s">
        <v>2308</v>
      </c>
      <c r="D858" s="55" t="str">
        <f t="shared" si="26"/>
        <v>PTO857-127-24</v>
      </c>
      <c r="E858" s="9" t="s">
        <v>2301</v>
      </c>
      <c r="F858" s="10" t="str" cm="1">
        <f t="array" aca="1" ref="F8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Cetanex Index</v>
      </c>
      <c r="H858" s="39" t="s">
        <v>585</v>
      </c>
      <c r="I858" s="96">
        <v>45534</v>
      </c>
      <c r="J858" s="12" t="s">
        <v>495</v>
      </c>
      <c r="K858" s="77">
        <v>45534</v>
      </c>
      <c r="L858" s="10" t="s">
        <v>496</v>
      </c>
      <c r="M858" s="427">
        <v>857</v>
      </c>
      <c r="N858" s="13" t="str">
        <f t="shared" ca="1" si="27"/>
        <v>CLOSED</v>
      </c>
    </row>
    <row r="859" spans="1:14" ht="28.8" x14ac:dyDescent="0.3">
      <c r="A859" s="9" t="s">
        <v>39</v>
      </c>
      <c r="B859" s="95">
        <f>VLOOKUP(Table27[[#This Row],[Location 
(drop-down)]],'List source'!D$2:E$60,2,FALSE)</f>
        <v>127</v>
      </c>
      <c r="C859" s="223" t="s">
        <v>2309</v>
      </c>
      <c r="D859" s="55" t="str">
        <f t="shared" si="26"/>
        <v>PTO858-127-24</v>
      </c>
      <c r="E859" s="9" t="s">
        <v>2310</v>
      </c>
      <c r="F859" s="10" t="str" cm="1">
        <f t="array" aca="1" ref="F8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59" s="39" t="s">
        <v>529</v>
      </c>
      <c r="I859" s="96">
        <v>45534</v>
      </c>
      <c r="J859" s="12" t="s">
        <v>498</v>
      </c>
      <c r="K859" s="77">
        <v>45559</v>
      </c>
      <c r="L859" s="10"/>
      <c r="M859" s="427">
        <v>858</v>
      </c>
      <c r="N859" s="13" t="str">
        <f t="shared" ca="1" si="27"/>
        <v>CLOSED</v>
      </c>
    </row>
    <row r="860" spans="1:14" ht="18" x14ac:dyDescent="0.3">
      <c r="A860" s="9" t="s">
        <v>39</v>
      </c>
      <c r="B860" s="95">
        <f>VLOOKUP(Table27[[#This Row],[Location 
(drop-down)]],'List source'!D$2:E$60,2,FALSE)</f>
        <v>127</v>
      </c>
      <c r="C860" s="223" t="s">
        <v>2311</v>
      </c>
      <c r="D860" s="55" t="str">
        <f t="shared" si="26"/>
        <v>PTO859-127-24</v>
      </c>
      <c r="E860" s="9" t="s">
        <v>2312</v>
      </c>
      <c r="F860" s="10" t="str" cm="1">
        <f t="array" aca="1" ref="F8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860" s="10">
        <v>2.35</v>
      </c>
      <c r="I860" s="96">
        <v>45534</v>
      </c>
      <c r="J860" s="12" t="s">
        <v>498</v>
      </c>
      <c r="K860" s="77">
        <v>45558</v>
      </c>
      <c r="L860" s="10"/>
      <c r="M860" s="427">
        <v>859</v>
      </c>
      <c r="N860" s="13" t="str">
        <f t="shared" ca="1" si="27"/>
        <v>CLOSED</v>
      </c>
    </row>
    <row r="861" spans="1:14" ht="28.8" x14ac:dyDescent="0.3">
      <c r="A861" s="9" t="s">
        <v>39</v>
      </c>
      <c r="B861" s="95">
        <f>VLOOKUP(Table27[[#This Row],[Location 
(drop-down)]],'List source'!D$2:E$60,2,FALSE)</f>
        <v>127</v>
      </c>
      <c r="C861" s="223" t="s">
        <v>2313</v>
      </c>
      <c r="D861" s="55" t="str">
        <f t="shared" si="26"/>
        <v>PTO860-127-24</v>
      </c>
      <c r="E861" s="9" t="s">
        <v>2314</v>
      </c>
      <c r="F861" s="10" t="str" cm="1">
        <f t="array" aca="1" ref="F8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861" s="39" t="s">
        <v>2315</v>
      </c>
      <c r="I861" s="96">
        <v>45534</v>
      </c>
      <c r="J861" s="12" t="s">
        <v>498</v>
      </c>
      <c r="K861" s="77">
        <v>45567</v>
      </c>
      <c r="L861" s="10"/>
      <c r="M861" s="427">
        <v>860</v>
      </c>
      <c r="N861" s="13" t="str">
        <f t="shared" ca="1" si="27"/>
        <v>CLOSED</v>
      </c>
    </row>
    <row r="862" spans="1:14" ht="18" x14ac:dyDescent="0.3">
      <c r="A862" s="9" t="s">
        <v>39</v>
      </c>
      <c r="B862" s="95">
        <f>VLOOKUP(Table27[[#This Row],[Location 
(drop-down)]],'List source'!D$2:E$60,2,FALSE)</f>
        <v>127</v>
      </c>
      <c r="C862" s="223" t="s">
        <v>2316</v>
      </c>
      <c r="D862" s="55" t="str">
        <f t="shared" si="26"/>
        <v>PTO861-127-24</v>
      </c>
      <c r="E862" s="9" t="s">
        <v>2317</v>
      </c>
      <c r="F862" s="10" t="str" cm="1">
        <f t="array" aca="1" ref="F8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862" s="39" t="s">
        <v>892</v>
      </c>
      <c r="I862" s="96">
        <v>45534</v>
      </c>
      <c r="J862" s="12" t="s">
        <v>498</v>
      </c>
      <c r="K862" s="77">
        <v>45574</v>
      </c>
      <c r="L862" s="10"/>
      <c r="M862" s="427">
        <v>861</v>
      </c>
      <c r="N862" s="13" t="str">
        <f t="shared" ca="1" si="27"/>
        <v>CLOSED</v>
      </c>
    </row>
    <row r="863" spans="1:14" ht="18" x14ac:dyDescent="0.3">
      <c r="A863" s="9" t="s">
        <v>186</v>
      </c>
      <c r="B863" s="95">
        <f>VLOOKUP(Table27[[#This Row],[Location 
(drop-down)]],'List source'!D$2:E$60,2,FALSE)</f>
        <v>130</v>
      </c>
      <c r="C863" s="223" t="s">
        <v>2318</v>
      </c>
      <c r="D863" s="55" t="str">
        <f t="shared" si="26"/>
        <v>PTO862-130-24</v>
      </c>
      <c r="E863" s="9" t="s">
        <v>2319</v>
      </c>
      <c r="F863" s="10" t="str" cm="1">
        <f t="array" aca="1" ref="F8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3" s="10">
        <v>17.46</v>
      </c>
      <c r="I863" s="12">
        <v>45534</v>
      </c>
      <c r="J863" s="12" t="s">
        <v>495</v>
      </c>
      <c r="K863" s="77">
        <v>45534</v>
      </c>
      <c r="L863" s="10" t="s">
        <v>510</v>
      </c>
      <c r="M863" s="427">
        <v>862</v>
      </c>
      <c r="N863" s="13" t="str">
        <f t="shared" ca="1" si="27"/>
        <v>CLOSED</v>
      </c>
    </row>
    <row r="864" spans="1:14" ht="18" x14ac:dyDescent="0.3">
      <c r="A864" s="9" t="s">
        <v>264</v>
      </c>
      <c r="B864" s="95">
        <f>VLOOKUP(Table27[[#This Row],[Location 
(drop-down)]],'List source'!D$2:E$60,2,FALSE)</f>
        <v>132</v>
      </c>
      <c r="C864" s="223" t="s">
        <v>2320</v>
      </c>
      <c r="D864" s="55" t="str">
        <f t="shared" si="26"/>
        <v>PTO863-132-24</v>
      </c>
      <c r="E864" s="9" t="s">
        <v>2321</v>
      </c>
      <c r="F864" s="10" t="str" cm="1">
        <f t="array" aca="1" ref="F8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4" s="39" t="s">
        <v>2322</v>
      </c>
      <c r="I864" s="12">
        <v>45534</v>
      </c>
      <c r="J864" s="12" t="s">
        <v>495</v>
      </c>
      <c r="K864" s="77">
        <v>45642</v>
      </c>
      <c r="L864" s="10" t="s">
        <v>510</v>
      </c>
      <c r="M864" s="427">
        <v>863</v>
      </c>
      <c r="N864" s="13" t="str">
        <f t="shared" ca="1" si="27"/>
        <v>CLOSED</v>
      </c>
    </row>
    <row r="865" spans="1:14" ht="18" x14ac:dyDescent="0.3">
      <c r="A865" s="189" t="s">
        <v>597</v>
      </c>
      <c r="B865" s="253">
        <f>VLOOKUP(Table27[[#This Row],[Location 
(drop-down)]],'List source'!D$2:E$60,2,FALSE)</f>
        <v>139</v>
      </c>
      <c r="C865" s="255" t="s">
        <v>2323</v>
      </c>
      <c r="D865" s="344" t="str">
        <f t="shared" si="26"/>
        <v>PTO864-139-24</v>
      </c>
      <c r="E865" s="9" t="s">
        <v>2324</v>
      </c>
      <c r="F865" s="10" t="str" cm="1">
        <f t="array" aca="1" ref="F8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865" s="10">
        <v>2.58</v>
      </c>
      <c r="I865" s="12">
        <v>45534</v>
      </c>
      <c r="J865" s="234" t="s">
        <v>60</v>
      </c>
      <c r="K865" s="220">
        <v>45713</v>
      </c>
      <c r="L865" s="10"/>
      <c r="M865" s="427">
        <v>864</v>
      </c>
      <c r="N865" s="13" t="str">
        <f t="shared" ca="1" si="27"/>
        <v>CLOSED</v>
      </c>
    </row>
    <row r="866" spans="1:14" ht="18" x14ac:dyDescent="0.3">
      <c r="A866" s="189" t="s">
        <v>597</v>
      </c>
      <c r="B866" s="253">
        <f>VLOOKUP(Table27[[#This Row],[Location 
(drop-down)]],'List source'!D$2:E$60,2,FALSE)</f>
        <v>139</v>
      </c>
      <c r="C866" s="255" t="s">
        <v>2325</v>
      </c>
      <c r="D866" s="344" t="str">
        <f t="shared" si="26"/>
        <v>PTO865-139-24</v>
      </c>
      <c r="E866" s="9" t="s">
        <v>2326</v>
      </c>
      <c r="F866" s="10" t="str" cm="1">
        <f t="array" aca="1" ref="F8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Freeze Point</v>
      </c>
      <c r="H866" s="10">
        <v>4.9800000000000004</v>
      </c>
      <c r="I866" s="12">
        <v>45534</v>
      </c>
      <c r="J866" s="234" t="s">
        <v>60</v>
      </c>
      <c r="K866" s="220">
        <v>45880</v>
      </c>
      <c r="L866" s="10"/>
      <c r="M866" s="427">
        <v>865</v>
      </c>
      <c r="N866" s="13" t="str">
        <f t="shared" ca="1" si="27"/>
        <v>CLOSED</v>
      </c>
    </row>
    <row r="867" spans="1:14" ht="28.8" x14ac:dyDescent="0.3">
      <c r="A867" s="189" t="s">
        <v>597</v>
      </c>
      <c r="B867" s="253">
        <f>VLOOKUP(Table27[[#This Row],[Location 
(drop-down)]],'List source'!D$2:E$60,2,FALSE)</f>
        <v>139</v>
      </c>
      <c r="C867" s="255" t="s">
        <v>2327</v>
      </c>
      <c r="D867" s="344" t="str">
        <f t="shared" si="26"/>
        <v>PTO866-139-24</v>
      </c>
      <c r="E867" s="9" t="s">
        <v>2328</v>
      </c>
      <c r="F867" s="10" t="str" cm="1">
        <f t="array" aca="1" ref="F8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867" s="10">
        <v>7.95</v>
      </c>
      <c r="I867" s="12">
        <v>45534</v>
      </c>
      <c r="J867" s="234" t="s">
        <v>60</v>
      </c>
      <c r="K867" s="220">
        <v>45713</v>
      </c>
      <c r="L867" s="10"/>
      <c r="M867" s="427">
        <v>866</v>
      </c>
      <c r="N867" s="13" t="str">
        <f t="shared" ca="1" si="27"/>
        <v>CLOSED</v>
      </c>
    </row>
    <row r="868" spans="1:14" ht="43.2" x14ac:dyDescent="0.3">
      <c r="A868" s="9" t="s">
        <v>29</v>
      </c>
      <c r="B868" s="95">
        <f>VLOOKUP(Table27[[#This Row],[Location 
(drop-down)]],'List source'!D$2:E$60,2,FALSE)</f>
        <v>141</v>
      </c>
      <c r="C868" s="223" t="s">
        <v>2329</v>
      </c>
      <c r="D868" s="55" t="str">
        <f t="shared" si="26"/>
        <v>PTO867-141-24</v>
      </c>
      <c r="E868" s="9" t="s">
        <v>2330</v>
      </c>
      <c r="F868" s="10" t="str" cm="1">
        <f t="array" aca="1" ref="F8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68" s="10">
        <v>2.0499999999999998</v>
      </c>
      <c r="I868" s="12">
        <v>45534</v>
      </c>
      <c r="J868" s="12" t="s">
        <v>495</v>
      </c>
      <c r="K868" s="77">
        <v>45534</v>
      </c>
      <c r="L868" s="10" t="s">
        <v>673</v>
      </c>
      <c r="M868" s="427">
        <v>867</v>
      </c>
      <c r="N868" s="13" t="str">
        <f t="shared" ca="1" si="27"/>
        <v>CLOSED</v>
      </c>
    </row>
    <row r="869" spans="1:14" ht="18" x14ac:dyDescent="0.3">
      <c r="A869" s="9" t="s">
        <v>29</v>
      </c>
      <c r="B869" s="95">
        <f>VLOOKUP(Table27[[#This Row],[Location 
(drop-down)]],'List source'!D$2:E$60,2,FALSE)</f>
        <v>141</v>
      </c>
      <c r="C869" s="223" t="s">
        <v>2331</v>
      </c>
      <c r="D869" s="55" t="str">
        <f t="shared" si="26"/>
        <v>PTO868-141-24</v>
      </c>
      <c r="E869" s="9" t="s">
        <v>2332</v>
      </c>
      <c r="F869" s="10" t="str" cm="1">
        <f t="array" aca="1" ref="F8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69" s="10">
        <v>4.78</v>
      </c>
      <c r="I869" s="12">
        <v>45534</v>
      </c>
      <c r="J869" s="12" t="s">
        <v>182</v>
      </c>
      <c r="K869" s="77">
        <v>45586</v>
      </c>
      <c r="L869" s="10"/>
      <c r="M869" s="427">
        <v>868</v>
      </c>
      <c r="N869" s="13" t="str">
        <f t="shared" ca="1" si="27"/>
        <v>CLOSED</v>
      </c>
    </row>
    <row r="870" spans="1:14" ht="18" x14ac:dyDescent="0.3">
      <c r="A870" s="9" t="s">
        <v>161</v>
      </c>
      <c r="B870" s="95">
        <f>VLOOKUP(Table27[[#This Row],[Location 
(drop-down)]],'List source'!D$2:E$60,2,FALSE)</f>
        <v>142</v>
      </c>
      <c r="C870" s="223" t="s">
        <v>2333</v>
      </c>
      <c r="D870" s="55" t="str">
        <f t="shared" si="26"/>
        <v>PTO869-142-24</v>
      </c>
      <c r="E870" s="9" t="s">
        <v>2334</v>
      </c>
      <c r="F870" s="10" t="str" cm="1">
        <f t="array" aca="1" ref="F8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70" s="10">
        <v>-2.27</v>
      </c>
      <c r="I870" s="12">
        <v>45534</v>
      </c>
      <c r="J870" s="12" t="s">
        <v>495</v>
      </c>
      <c r="K870" s="77">
        <v>45534</v>
      </c>
      <c r="L870" s="355" t="s">
        <v>673</v>
      </c>
      <c r="M870" s="427">
        <v>869</v>
      </c>
      <c r="N870" s="13" t="str">
        <f t="shared" ca="1" si="27"/>
        <v>CLOSED</v>
      </c>
    </row>
    <row r="871" spans="1:14" ht="18" x14ac:dyDescent="0.3">
      <c r="A871" s="9" t="s">
        <v>161</v>
      </c>
      <c r="B871" s="95">
        <f>VLOOKUP(Table27[[#This Row],[Location 
(drop-down)]],'List source'!D$2:E$60,2,FALSE)</f>
        <v>142</v>
      </c>
      <c r="C871" s="223" t="s">
        <v>2335</v>
      </c>
      <c r="D871" s="55" t="str">
        <f t="shared" si="26"/>
        <v>PTO870-142-24</v>
      </c>
      <c r="E871" s="9" t="s">
        <v>2336</v>
      </c>
      <c r="F871" s="10" t="str" cm="1">
        <f t="array" aca="1" ref="F8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71" s="10">
        <v>2.38</v>
      </c>
      <c r="I871" s="12">
        <v>45534</v>
      </c>
      <c r="J871" s="12" t="s">
        <v>495</v>
      </c>
      <c r="K871" s="77">
        <v>45540</v>
      </c>
      <c r="L871" s="10" t="s">
        <v>510</v>
      </c>
      <c r="M871" s="427">
        <v>870</v>
      </c>
      <c r="N871" s="13" t="str">
        <f t="shared" ca="1" si="27"/>
        <v>CLOSED</v>
      </c>
    </row>
    <row r="872" spans="1:14" ht="18" x14ac:dyDescent="0.3">
      <c r="A872" s="9" t="s">
        <v>145</v>
      </c>
      <c r="B872" s="95">
        <f>VLOOKUP(Table27[[#This Row],[Location 
(drop-down)]],'List source'!D$2:E$60,2,FALSE)</f>
        <v>145</v>
      </c>
      <c r="C872" s="223" t="s">
        <v>2337</v>
      </c>
      <c r="D872" s="55" t="str">
        <f t="shared" si="26"/>
        <v>PTO871-145-24</v>
      </c>
      <c r="E872" s="9" t="s">
        <v>2299</v>
      </c>
      <c r="F872" s="10" t="str" cm="1">
        <f t="array" aca="1" ref="F8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872" s="10">
        <v>2.64</v>
      </c>
      <c r="I872" s="12">
        <v>45534</v>
      </c>
      <c r="J872" s="12" t="s">
        <v>495</v>
      </c>
      <c r="K872" s="77">
        <v>45534</v>
      </c>
      <c r="L872" s="355" t="s">
        <v>673</v>
      </c>
      <c r="M872" s="427">
        <v>871</v>
      </c>
      <c r="N872" s="13" t="str">
        <f t="shared" ca="1" si="27"/>
        <v>CLOSED</v>
      </c>
    </row>
    <row r="873" spans="1:14" ht="18" x14ac:dyDescent="0.3">
      <c r="A873" s="9" t="s">
        <v>145</v>
      </c>
      <c r="B873" s="95">
        <f>VLOOKUP(Table27[[#This Row],[Location 
(drop-down)]],'List source'!D$2:E$60,2,FALSE)</f>
        <v>145</v>
      </c>
      <c r="C873" s="223" t="s">
        <v>2338</v>
      </c>
      <c r="D873" s="55" t="str">
        <f t="shared" si="26"/>
        <v>PTO872-145-24</v>
      </c>
      <c r="E873" s="9" t="s">
        <v>2336</v>
      </c>
      <c r="F873" s="10" t="str" cm="1">
        <f t="array" aca="1" ref="F8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73" s="10">
        <v>2.38</v>
      </c>
      <c r="I873" s="12">
        <v>45534</v>
      </c>
      <c r="J873" s="12" t="s">
        <v>495</v>
      </c>
      <c r="K873" s="77">
        <v>45677</v>
      </c>
      <c r="L873" s="10" t="s">
        <v>510</v>
      </c>
      <c r="M873" s="427">
        <v>872</v>
      </c>
      <c r="N873" s="13" t="str">
        <f t="shared" ca="1" si="27"/>
        <v>CLOSED</v>
      </c>
    </row>
    <row r="874" spans="1:14" ht="18" x14ac:dyDescent="0.3">
      <c r="A874" s="189" t="s">
        <v>70</v>
      </c>
      <c r="B874" s="253">
        <f>VLOOKUP(Table27[[#This Row],[Location 
(drop-down)]],'List source'!D$2:E$60,2,FALSE)</f>
        <v>146</v>
      </c>
      <c r="C874" s="255" t="s">
        <v>2339</v>
      </c>
      <c r="D874" s="344" t="str">
        <f t="shared" si="26"/>
        <v>PTO873-146-24</v>
      </c>
      <c r="E874" s="9" t="s">
        <v>2340</v>
      </c>
      <c r="F874" s="10" t="str" cm="1">
        <f t="array" aca="1" ref="F8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74" s="39" t="s">
        <v>2341</v>
      </c>
      <c r="I874" s="12">
        <v>45534</v>
      </c>
      <c r="J874" s="234" t="s">
        <v>60</v>
      </c>
      <c r="K874" s="220">
        <v>45762</v>
      </c>
      <c r="L874" s="10"/>
      <c r="M874" s="427">
        <v>873</v>
      </c>
      <c r="N874" s="13" t="str">
        <f t="shared" ca="1" si="27"/>
        <v>CLOSED</v>
      </c>
    </row>
    <row r="875" spans="1:14" ht="18" x14ac:dyDescent="0.3">
      <c r="A875" s="9" t="s">
        <v>86</v>
      </c>
      <c r="B875" s="95">
        <f>VLOOKUP(Table27[[#This Row],[Location 
(drop-down)]],'List source'!D$2:E$60,2,FALSE)</f>
        <v>150</v>
      </c>
      <c r="C875" s="223" t="s">
        <v>2342</v>
      </c>
      <c r="D875" s="55" t="str">
        <f t="shared" si="26"/>
        <v>PTO874-150-24</v>
      </c>
      <c r="E875" s="9" t="s">
        <v>2343</v>
      </c>
      <c r="F875" s="10" t="str" cm="1">
        <f t="array" aca="1" ref="F8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75" s="10">
        <v>5.53</v>
      </c>
      <c r="I875" s="12">
        <v>45534</v>
      </c>
      <c r="J875" s="12" t="s">
        <v>495</v>
      </c>
      <c r="K875" s="77">
        <v>45559</v>
      </c>
      <c r="L875" s="10" t="s">
        <v>510</v>
      </c>
      <c r="M875" s="427">
        <v>874</v>
      </c>
      <c r="N875" s="13" t="str">
        <f t="shared" ca="1" si="27"/>
        <v>CLOSED</v>
      </c>
    </row>
    <row r="876" spans="1:14" ht="18" x14ac:dyDescent="0.3">
      <c r="A876" s="9" t="s">
        <v>86</v>
      </c>
      <c r="B876" s="95">
        <f>VLOOKUP(Table27[[#This Row],[Location 
(drop-down)]],'List source'!D$2:E$60,2,FALSE)</f>
        <v>150</v>
      </c>
      <c r="C876" s="223" t="s">
        <v>2344</v>
      </c>
      <c r="D876" s="55" t="str">
        <f t="shared" si="26"/>
        <v>PTO875-150-24</v>
      </c>
      <c r="E876" s="9" t="s">
        <v>2345</v>
      </c>
      <c r="F876" s="10" t="str" cm="1">
        <f t="array" aca="1" ref="F8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76" s="39" t="s">
        <v>806</v>
      </c>
      <c r="I876" s="12">
        <v>45534</v>
      </c>
      <c r="J876" s="12" t="s">
        <v>49</v>
      </c>
      <c r="K876" s="77">
        <v>45741</v>
      </c>
      <c r="L876" s="10"/>
      <c r="M876" s="427">
        <v>875</v>
      </c>
      <c r="N876" s="13" t="str">
        <f t="shared" ca="1" si="27"/>
        <v>CLOSED</v>
      </c>
    </row>
    <row r="877" spans="1:14" ht="43.2" x14ac:dyDescent="0.3">
      <c r="A877" s="9" t="s">
        <v>86</v>
      </c>
      <c r="B877" s="95">
        <f>VLOOKUP(Table27[[#This Row],[Location 
(drop-down)]],'List source'!D$2:E$60,2,FALSE)</f>
        <v>150</v>
      </c>
      <c r="C877" s="223" t="s">
        <v>2346</v>
      </c>
      <c r="D877" s="55" t="str">
        <f t="shared" si="26"/>
        <v>PTO876-150-24</v>
      </c>
      <c r="E877" s="9" t="s">
        <v>2347</v>
      </c>
      <c r="F877" s="10" t="str" cm="1">
        <f t="array" aca="1" ref="F8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7" s="355" t="s">
        <v>2348</v>
      </c>
      <c r="H877" s="10">
        <v>2.81</v>
      </c>
      <c r="I877" s="12">
        <v>45534</v>
      </c>
      <c r="J877" s="12" t="s">
        <v>495</v>
      </c>
      <c r="K877" s="77">
        <v>45539</v>
      </c>
      <c r="L877" s="10" t="s">
        <v>673</v>
      </c>
      <c r="M877" s="427">
        <v>876</v>
      </c>
      <c r="N877" s="13" t="str">
        <f t="shared" ca="1" si="27"/>
        <v>CLOSED</v>
      </c>
    </row>
    <row r="878" spans="1:14" ht="18" x14ac:dyDescent="0.3">
      <c r="A878" s="9" t="s">
        <v>65</v>
      </c>
      <c r="B878" s="95">
        <f>VLOOKUP(Table27[[#This Row],[Location 
(drop-down)]],'List source'!D$2:E$60,2,FALSE)</f>
        <v>155</v>
      </c>
      <c r="C878" s="223" t="s">
        <v>2349</v>
      </c>
      <c r="D878" s="55" t="str">
        <f t="shared" si="26"/>
        <v>PTO877-155-24</v>
      </c>
      <c r="E878" s="9" t="s">
        <v>2350</v>
      </c>
      <c r="F878" s="10" t="str" cm="1">
        <f t="array" aca="1" ref="F8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78" s="10">
        <v>2.06</v>
      </c>
      <c r="I878" s="12">
        <v>45534</v>
      </c>
      <c r="J878" s="12" t="s">
        <v>495</v>
      </c>
      <c r="K878" s="77">
        <v>45534</v>
      </c>
      <c r="L878" s="355" t="s">
        <v>673</v>
      </c>
      <c r="M878" s="427">
        <v>877</v>
      </c>
      <c r="N878" s="13" t="str">
        <f t="shared" ca="1" si="27"/>
        <v>CLOSED</v>
      </c>
    </row>
    <row r="879" spans="1:14" ht="18" x14ac:dyDescent="0.3">
      <c r="A879" s="239" t="s">
        <v>65</v>
      </c>
      <c r="B879" s="328">
        <f>VLOOKUP(Table27[[#This Row],[Location 
(drop-down)]],'List source'!D$2:E$60,2,FALSE)</f>
        <v>155</v>
      </c>
      <c r="C879" s="294" t="s">
        <v>2351</v>
      </c>
      <c r="D879" s="345" t="str">
        <f t="shared" si="26"/>
        <v>PTO878-155-24</v>
      </c>
      <c r="E879" s="239" t="s">
        <v>2352</v>
      </c>
      <c r="F879" s="245" t="str" cm="1">
        <f t="array" aca="1" ref="F8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79"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D4529 - Heat of Combustion</v>
      </c>
      <c r="H879" s="296" t="s">
        <v>2353</v>
      </c>
      <c r="I879" s="246">
        <v>45534</v>
      </c>
      <c r="J879" s="246" t="s">
        <v>182</v>
      </c>
      <c r="K879" s="247">
        <v>45649</v>
      </c>
      <c r="L879" s="10"/>
      <c r="M879" s="427">
        <v>878</v>
      </c>
      <c r="N879" s="13" t="str">
        <f t="shared" ca="1" si="27"/>
        <v>CLOSED</v>
      </c>
    </row>
    <row r="880" spans="1:14" ht="18" x14ac:dyDescent="0.3">
      <c r="A880" s="9" t="s">
        <v>235</v>
      </c>
      <c r="B880" s="95">
        <f>VLOOKUP(Table27[[#This Row],[Location 
(drop-down)]],'List source'!D$2:E$60,2,FALSE)</f>
        <v>160</v>
      </c>
      <c r="C880" s="223" t="s">
        <v>2354</v>
      </c>
      <c r="D880" s="55" t="str">
        <f t="shared" si="26"/>
        <v>PTO879-160-24</v>
      </c>
      <c r="E880" s="9" t="s">
        <v>2355</v>
      </c>
      <c r="F880" s="10" t="str" cm="1">
        <f t="array" aca="1" ref="F8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880" s="10">
        <v>2.15</v>
      </c>
      <c r="I880" s="12">
        <v>45534</v>
      </c>
      <c r="J880" s="12" t="s">
        <v>182</v>
      </c>
      <c r="K880" s="77">
        <v>45566</v>
      </c>
      <c r="L880" s="10"/>
      <c r="M880" s="427">
        <v>879</v>
      </c>
      <c r="N880" s="13" t="str">
        <f t="shared" ca="1" si="27"/>
        <v>CLOSED</v>
      </c>
    </row>
    <row r="881" spans="1:14" ht="18" x14ac:dyDescent="0.3">
      <c r="A881" s="9" t="s">
        <v>235</v>
      </c>
      <c r="B881" s="95">
        <f>VLOOKUP(Table27[[#This Row],[Location 
(drop-down)]],'List source'!D$2:E$60,2,FALSE)</f>
        <v>160</v>
      </c>
      <c r="C881" s="223" t="s">
        <v>2356</v>
      </c>
      <c r="D881" s="55" t="str">
        <f t="shared" si="26"/>
        <v>PTO880-160-24</v>
      </c>
      <c r="E881" s="9" t="s">
        <v>2357</v>
      </c>
      <c r="F881" s="10" t="str" cm="1">
        <f t="array" aca="1" ref="F8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881" s="39" t="s">
        <v>2358</v>
      </c>
      <c r="I881" s="12">
        <v>45534</v>
      </c>
      <c r="J881" s="12" t="s">
        <v>182</v>
      </c>
      <c r="K881" s="77">
        <v>45566</v>
      </c>
      <c r="L881" s="10"/>
      <c r="M881" s="427">
        <v>880</v>
      </c>
      <c r="N881" s="13" t="str">
        <f t="shared" ca="1" si="27"/>
        <v>CLOSED</v>
      </c>
    </row>
    <row r="882" spans="1:14" ht="28.8" x14ac:dyDescent="0.3">
      <c r="A882" s="9" t="s">
        <v>235</v>
      </c>
      <c r="B882" s="95">
        <f>VLOOKUP(Table27[[#This Row],[Location 
(drop-down)]],'List source'!D$2:E$60,2,FALSE)</f>
        <v>160</v>
      </c>
      <c r="C882" s="223" t="s">
        <v>2359</v>
      </c>
      <c r="D882" s="55" t="str">
        <f t="shared" si="26"/>
        <v>PTO881-160-24</v>
      </c>
      <c r="E882" s="9" t="s">
        <v>2360</v>
      </c>
      <c r="F882" s="10" t="str" cm="1">
        <f t="array" aca="1" ref="F8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82" s="10" t="s">
        <v>2361</v>
      </c>
      <c r="I882" s="12">
        <v>45534</v>
      </c>
      <c r="J882" s="12" t="s">
        <v>182</v>
      </c>
      <c r="K882" s="77">
        <v>45713</v>
      </c>
      <c r="L882" s="10"/>
      <c r="M882" s="427">
        <v>881</v>
      </c>
      <c r="N882" s="13" t="str">
        <f t="shared" ca="1" si="27"/>
        <v>CLOSED</v>
      </c>
    </row>
    <row r="883" spans="1:14" ht="18" x14ac:dyDescent="0.3">
      <c r="A883" s="235" t="s">
        <v>235</v>
      </c>
      <c r="B883" s="327">
        <f>VLOOKUP(Table27[[#This Row],[Location 
(drop-down)]],'List source'!D$2:E$60,2,FALSE)</f>
        <v>160</v>
      </c>
      <c r="C883" s="330" t="s">
        <v>2362</v>
      </c>
      <c r="D883" s="343" t="str">
        <f t="shared" si="26"/>
        <v>PTO882-160-24</v>
      </c>
      <c r="E883" s="235" t="s">
        <v>2363</v>
      </c>
      <c r="F883" s="263" t="str" cm="1">
        <f t="array" aca="1" ref="F8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83" s="263">
        <v>4.2300000000000004</v>
      </c>
      <c r="I883" s="264">
        <v>45534</v>
      </c>
      <c r="J883" s="264" t="s">
        <v>182</v>
      </c>
      <c r="K883" s="250">
        <v>45768</v>
      </c>
      <c r="L883" s="10"/>
      <c r="M883" s="427">
        <v>882</v>
      </c>
      <c r="N883" s="13" t="str">
        <f t="shared" ca="1" si="27"/>
        <v>CLOSED</v>
      </c>
    </row>
    <row r="884" spans="1:14" ht="18" x14ac:dyDescent="0.3">
      <c r="A884" s="9" t="s">
        <v>209</v>
      </c>
      <c r="B884" s="95">
        <f>VLOOKUP(Table27[[#This Row],[Location 
(drop-down)]],'List source'!D$2:E$60,2,FALSE)</f>
        <v>165</v>
      </c>
      <c r="C884" s="223" t="s">
        <v>2364</v>
      </c>
      <c r="D884" s="55" t="str">
        <f t="shared" ref="D884:D947" si="28">"PTO" &amp; C884 &amp; "-" &amp; B884 &amp; "-" &amp; "24"</f>
        <v>PTO883-165-24</v>
      </c>
      <c r="E884" s="9" t="s">
        <v>2365</v>
      </c>
      <c r="F884" s="10" t="str" cm="1">
        <f t="array" aca="1" ref="F8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84" s="10">
        <v>11.06</v>
      </c>
      <c r="I884" s="12">
        <v>45534</v>
      </c>
      <c r="J884" s="12" t="s">
        <v>495</v>
      </c>
      <c r="K884" s="77">
        <v>45534</v>
      </c>
      <c r="L884" s="10" t="s">
        <v>510</v>
      </c>
      <c r="M884" s="427">
        <v>883</v>
      </c>
      <c r="N884" s="13" t="str">
        <f t="shared" ref="N884:N947" ca="1" si="29">IF(ISBLANK(K884), TODAY()-(I884), "CLOSED")</f>
        <v>CLOSED</v>
      </c>
    </row>
    <row r="885" spans="1:14" ht="18" x14ac:dyDescent="0.3">
      <c r="A885" s="189" t="s">
        <v>57</v>
      </c>
      <c r="B885" s="253">
        <f>VLOOKUP(Table27[[#This Row],[Location 
(drop-down)]],'List source'!D$2:E$60,2,FALSE)</f>
        <v>170</v>
      </c>
      <c r="C885" s="255" t="s">
        <v>2366</v>
      </c>
      <c r="D885" s="344" t="str">
        <f t="shared" si="28"/>
        <v>PTO884-170-24</v>
      </c>
      <c r="E885" s="9" t="s">
        <v>2367</v>
      </c>
      <c r="F885" s="10" t="str" cm="1">
        <f t="array" aca="1" ref="F8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885" s="10">
        <v>2.44</v>
      </c>
      <c r="I885" s="12">
        <v>45534</v>
      </c>
      <c r="J885" s="234" t="s">
        <v>60</v>
      </c>
      <c r="K885" s="220">
        <v>45777</v>
      </c>
      <c r="L885" s="10"/>
      <c r="M885" s="427">
        <v>884</v>
      </c>
      <c r="N885" s="13" t="str">
        <f t="shared" ca="1" si="29"/>
        <v>CLOSED</v>
      </c>
    </row>
    <row r="886" spans="1:14" ht="28.8" x14ac:dyDescent="0.3">
      <c r="A886" s="9" t="s">
        <v>57</v>
      </c>
      <c r="B886" s="95">
        <f>VLOOKUP(Table27[[#This Row],[Location 
(drop-down)]],'List source'!D$2:E$60,2,FALSE)</f>
        <v>170</v>
      </c>
      <c r="C886" s="223" t="s">
        <v>2368</v>
      </c>
      <c r="D886" s="55" t="str">
        <f t="shared" si="28"/>
        <v>PTO885-170-24</v>
      </c>
      <c r="E886" s="9" t="s">
        <v>2369</v>
      </c>
      <c r="F886" s="10" t="str" cm="1">
        <f t="array" aca="1" ref="F8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886" s="10" t="s">
        <v>2370</v>
      </c>
      <c r="I886" s="12">
        <v>45534</v>
      </c>
      <c r="J886" s="12" t="s">
        <v>60</v>
      </c>
      <c r="K886" s="77">
        <v>45596</v>
      </c>
      <c r="L886" s="10"/>
      <c r="M886" s="427">
        <v>885</v>
      </c>
      <c r="N886" s="13" t="str">
        <f t="shared" ca="1" si="29"/>
        <v>CLOSED</v>
      </c>
    </row>
    <row r="887" spans="1:14" ht="18" x14ac:dyDescent="0.3">
      <c r="A887" s="189" t="s">
        <v>57</v>
      </c>
      <c r="B887" s="253">
        <f>VLOOKUP(Table27[[#This Row],[Location 
(drop-down)]],'List source'!D$2:E$60,2,FALSE)</f>
        <v>170</v>
      </c>
      <c r="C887" s="255" t="s">
        <v>2371</v>
      </c>
      <c r="D887" s="344" t="str">
        <f t="shared" si="28"/>
        <v>PTO886-170-24</v>
      </c>
      <c r="E887" s="9" t="s">
        <v>2372</v>
      </c>
      <c r="F887" s="10" t="str" cm="1">
        <f t="array" aca="1" ref="F8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D5001 - Lubricity</v>
      </c>
      <c r="H887" s="39" t="s">
        <v>2373</v>
      </c>
      <c r="I887" s="12">
        <v>45534</v>
      </c>
      <c r="J887" s="234" t="s">
        <v>60</v>
      </c>
      <c r="K887" s="220">
        <v>45777</v>
      </c>
      <c r="L887" s="10"/>
      <c r="M887" s="427">
        <v>886</v>
      </c>
      <c r="N887" s="13" t="str">
        <f t="shared" ca="1" si="29"/>
        <v>CLOSED</v>
      </c>
    </row>
    <row r="888" spans="1:14" ht="18" x14ac:dyDescent="0.3">
      <c r="A888" s="189" t="s">
        <v>57</v>
      </c>
      <c r="B888" s="253">
        <f>VLOOKUP(Table27[[#This Row],[Location 
(drop-down)]],'List source'!D$2:E$60,2,FALSE)</f>
        <v>170</v>
      </c>
      <c r="C888" s="255" t="s">
        <v>2374</v>
      </c>
      <c r="D888" s="344" t="str">
        <f t="shared" si="28"/>
        <v>PTO887-170-24</v>
      </c>
      <c r="E888" s="9" t="s">
        <v>2375</v>
      </c>
      <c r="F888" s="10" t="str" cm="1">
        <f t="array" aca="1" ref="F8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88" s="10">
        <v>9.0299999999999994</v>
      </c>
      <c r="I888" s="12">
        <v>45534</v>
      </c>
      <c r="J888" s="234" t="s">
        <v>60</v>
      </c>
      <c r="K888" s="220">
        <v>45715</v>
      </c>
      <c r="L888" s="10"/>
      <c r="M888" s="427">
        <v>887</v>
      </c>
      <c r="N888" s="13" t="str">
        <f t="shared" ca="1" si="29"/>
        <v>CLOSED</v>
      </c>
    </row>
    <row r="889" spans="1:14" ht="18" x14ac:dyDescent="0.3">
      <c r="A889" s="9" t="s">
        <v>57</v>
      </c>
      <c r="B889" s="95">
        <f>VLOOKUP(Table27[[#This Row],[Location 
(drop-down)]],'List source'!D$2:E$60,2,FALSE)</f>
        <v>170</v>
      </c>
      <c r="C889" s="223" t="s">
        <v>2376</v>
      </c>
      <c r="D889" s="55" t="str">
        <f t="shared" si="28"/>
        <v>PTO888-170-24</v>
      </c>
      <c r="E889" s="9" t="s">
        <v>2377</v>
      </c>
      <c r="F889" s="10" t="str" cm="1">
        <f t="array" aca="1" ref="F8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889" s="39" t="s">
        <v>907</v>
      </c>
      <c r="I889" s="12">
        <v>45534</v>
      </c>
      <c r="J889" s="12" t="s">
        <v>60</v>
      </c>
      <c r="K889" s="77">
        <v>45596</v>
      </c>
      <c r="L889" s="10"/>
      <c r="M889" s="427">
        <v>888</v>
      </c>
      <c r="N889" s="13" t="str">
        <f t="shared" ca="1" si="29"/>
        <v>CLOSED</v>
      </c>
    </row>
    <row r="890" spans="1:14" ht="28.8" x14ac:dyDescent="0.3">
      <c r="A890" s="9" t="s">
        <v>325</v>
      </c>
      <c r="B890" s="95">
        <f>VLOOKUP(Table27[[#This Row],[Location 
(drop-down)]],'List source'!D$2:E$60,2,FALSE)</f>
        <v>180</v>
      </c>
      <c r="C890" s="223" t="s">
        <v>2378</v>
      </c>
      <c r="D890" s="55" t="str">
        <f t="shared" si="28"/>
        <v>PTO889-180-24</v>
      </c>
      <c r="E890" s="9" t="s">
        <v>2379</v>
      </c>
      <c r="F890" s="10" t="str" cm="1">
        <f t="array" aca="1" ref="F8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890" s="10">
        <v>65.19</v>
      </c>
      <c r="I890" s="12">
        <v>45534</v>
      </c>
      <c r="J890" s="12" t="s">
        <v>41</v>
      </c>
      <c r="K890" s="77">
        <v>45839</v>
      </c>
      <c r="L890" s="10"/>
      <c r="M890" s="427">
        <v>889</v>
      </c>
      <c r="N890" s="13" t="str">
        <f t="shared" ca="1" si="29"/>
        <v>CLOSED</v>
      </c>
    </row>
    <row r="891" spans="1:14" ht="18" x14ac:dyDescent="0.3">
      <c r="A891" s="9" t="s">
        <v>207</v>
      </c>
      <c r="B891" s="95">
        <f>VLOOKUP(Table27[[#This Row],[Location 
(drop-down)]],'List source'!D$2:E$60,2,FALSE)</f>
        <v>189</v>
      </c>
      <c r="C891" s="223" t="s">
        <v>2380</v>
      </c>
      <c r="D891" s="55" t="str">
        <f t="shared" si="28"/>
        <v>PTO890-189-24</v>
      </c>
      <c r="E891" s="9" t="s">
        <v>2381</v>
      </c>
      <c r="F891" s="10" t="str" cm="1">
        <f t="array" aca="1" ref="F8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891" s="39" t="s">
        <v>1000</v>
      </c>
      <c r="I891" s="12">
        <v>45534</v>
      </c>
      <c r="J891" s="12" t="s">
        <v>495</v>
      </c>
      <c r="K891" s="77">
        <v>45546</v>
      </c>
      <c r="L891" s="10" t="s">
        <v>510</v>
      </c>
      <c r="M891" s="427">
        <v>890</v>
      </c>
      <c r="N891" s="13" t="str">
        <f t="shared" ca="1" si="29"/>
        <v>CLOSED</v>
      </c>
    </row>
    <row r="892" spans="1:14" ht="28.8" x14ac:dyDescent="0.3">
      <c r="A892" s="9" t="s">
        <v>207</v>
      </c>
      <c r="B892" s="95">
        <f>VLOOKUP(Table27[[#This Row],[Location 
(drop-down)]],'List source'!D$2:E$60,2,FALSE)</f>
        <v>189</v>
      </c>
      <c r="C892" s="223" t="s">
        <v>2382</v>
      </c>
      <c r="D892" s="55" t="str">
        <f t="shared" si="28"/>
        <v>PTO891-189-24</v>
      </c>
      <c r="E892" s="9" t="s">
        <v>2383</v>
      </c>
      <c r="F892" s="10" t="str" cm="1">
        <f t="array" aca="1" ref="F8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892" s="39" t="s">
        <v>1561</v>
      </c>
      <c r="I892" s="12">
        <v>45534</v>
      </c>
      <c r="J892" s="12" t="s">
        <v>495</v>
      </c>
      <c r="K892" s="77">
        <v>45546</v>
      </c>
      <c r="L892" s="10" t="s">
        <v>510</v>
      </c>
      <c r="M892" s="427">
        <v>891</v>
      </c>
      <c r="N892" s="13" t="str">
        <f t="shared" ca="1" si="29"/>
        <v>CLOSED</v>
      </c>
    </row>
    <row r="893" spans="1:14" ht="18" x14ac:dyDescent="0.3">
      <c r="A893" s="9" t="s">
        <v>388</v>
      </c>
      <c r="B893" s="95">
        <f>VLOOKUP(Table27[[#This Row],[Location 
(drop-down)]],'List source'!D$2:E$60,2,FALSE)</f>
        <v>191</v>
      </c>
      <c r="C893" s="223" t="s">
        <v>2384</v>
      </c>
      <c r="D893" s="55" t="str">
        <f t="shared" si="28"/>
        <v>PTO892-191-24</v>
      </c>
      <c r="E893" s="9" t="s">
        <v>2385</v>
      </c>
      <c r="F893" s="10" t="str" cm="1">
        <f t="array" aca="1" ref="F8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893" s="10">
        <v>3.31</v>
      </c>
      <c r="I893" s="12">
        <v>45534</v>
      </c>
      <c r="J893" s="12" t="s">
        <v>501</v>
      </c>
      <c r="K893" s="77">
        <v>45590</v>
      </c>
      <c r="L893" s="10"/>
      <c r="M893" s="427">
        <v>892</v>
      </c>
      <c r="N893" s="13" t="str">
        <f t="shared" ca="1" si="29"/>
        <v>CLOSED</v>
      </c>
    </row>
    <row r="894" spans="1:14" ht="43.2" x14ac:dyDescent="0.3">
      <c r="A894" s="9" t="s">
        <v>130</v>
      </c>
      <c r="B894" s="95">
        <f>VLOOKUP(Table27[[#This Row],[Location 
(drop-down)]],'List source'!D$2:E$60,2,FALSE)</f>
        <v>194</v>
      </c>
      <c r="C894" s="223" t="s">
        <v>2386</v>
      </c>
      <c r="D894" s="55" t="str">
        <f t="shared" si="28"/>
        <v>PTO893-194-24</v>
      </c>
      <c r="E894" s="9" t="s">
        <v>2299</v>
      </c>
      <c r="F894" s="10" t="str" cm="1">
        <f t="array" aca="1" ref="F8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894" s="10">
        <v>2.64</v>
      </c>
      <c r="I894" s="12">
        <v>45534</v>
      </c>
      <c r="J894" s="12" t="s">
        <v>495</v>
      </c>
      <c r="K894" s="77">
        <v>45534</v>
      </c>
      <c r="L894" s="10" t="s">
        <v>673</v>
      </c>
      <c r="M894" s="427">
        <v>893</v>
      </c>
      <c r="N894" s="13" t="str">
        <f t="shared" ca="1" si="29"/>
        <v>CLOSED</v>
      </c>
    </row>
    <row r="895" spans="1:14" ht="18" x14ac:dyDescent="0.3">
      <c r="A895" s="9" t="s">
        <v>288</v>
      </c>
      <c r="B895" s="95">
        <f>VLOOKUP(Table27[[#This Row],[Location 
(drop-down)]],'List source'!D$2:E$60,2,FALSE)</f>
        <v>197</v>
      </c>
      <c r="C895" s="223" t="s">
        <v>2387</v>
      </c>
      <c r="D895" s="55" t="str">
        <f t="shared" si="28"/>
        <v>PTO894-197-24</v>
      </c>
      <c r="E895" s="9" t="s">
        <v>2388</v>
      </c>
      <c r="F895" s="10" t="str" cm="1">
        <f t="array" aca="1" ref="F8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895" s="10">
        <v>3.7</v>
      </c>
      <c r="I895" s="12">
        <v>45534</v>
      </c>
      <c r="J895" s="12" t="s">
        <v>495</v>
      </c>
      <c r="K895" s="77">
        <v>45534</v>
      </c>
      <c r="L895" s="10" t="s">
        <v>510</v>
      </c>
      <c r="M895" s="427">
        <v>894</v>
      </c>
      <c r="N895" s="13" t="str">
        <f t="shared" ca="1" si="29"/>
        <v>CLOSED</v>
      </c>
    </row>
    <row r="896" spans="1:14" ht="18" x14ac:dyDescent="0.3">
      <c r="A896" s="9" t="s">
        <v>288</v>
      </c>
      <c r="B896" s="95">
        <f>VLOOKUP(Table27[[#This Row],[Location 
(drop-down)]],'List source'!D$2:E$60,2,FALSE)</f>
        <v>197</v>
      </c>
      <c r="C896" s="223" t="s">
        <v>2389</v>
      </c>
      <c r="D896" s="55" t="str">
        <f t="shared" si="28"/>
        <v>PTO895-197-24</v>
      </c>
      <c r="E896" s="9" t="s">
        <v>2390</v>
      </c>
      <c r="F896" s="10" t="str" cm="1">
        <f t="array" aca="1" ref="F8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896" s="39" t="s">
        <v>2391</v>
      </c>
      <c r="I896" s="12">
        <v>45534</v>
      </c>
      <c r="J896" s="12" t="s">
        <v>41</v>
      </c>
      <c r="K896" s="77">
        <v>45593</v>
      </c>
      <c r="L896" s="10"/>
      <c r="M896" s="427">
        <v>895</v>
      </c>
      <c r="N896" s="13" t="str">
        <f t="shared" ca="1" si="29"/>
        <v>CLOSED</v>
      </c>
    </row>
    <row r="897" spans="1:14" ht="18" x14ac:dyDescent="0.3">
      <c r="A897" s="9" t="s">
        <v>166</v>
      </c>
      <c r="B897" s="95">
        <f>VLOOKUP(Table27[[#This Row],[Location 
(drop-down)]],'List source'!D$2:E$60,2,FALSE)</f>
        <v>198</v>
      </c>
      <c r="C897" s="223" t="s">
        <v>2392</v>
      </c>
      <c r="D897" s="55" t="str">
        <f t="shared" si="28"/>
        <v>PTO896-198-24</v>
      </c>
      <c r="E897" s="9" t="s">
        <v>2334</v>
      </c>
      <c r="F897" s="10" t="str" cm="1">
        <f t="array" aca="1" ref="F8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897" s="10">
        <v>2.41</v>
      </c>
      <c r="I897" s="12">
        <v>45534</v>
      </c>
      <c r="J897" s="12" t="s">
        <v>495</v>
      </c>
      <c r="K897" s="77">
        <v>45534</v>
      </c>
      <c r="L897" s="355" t="s">
        <v>673</v>
      </c>
      <c r="M897" s="427">
        <v>896</v>
      </c>
      <c r="N897" s="13" t="str">
        <f t="shared" ca="1" si="29"/>
        <v>CLOSED</v>
      </c>
    </row>
    <row r="898" spans="1:14" ht="18" x14ac:dyDescent="0.3">
      <c r="A898" s="9" t="s">
        <v>166</v>
      </c>
      <c r="B898" s="95">
        <f>VLOOKUP(Table27[[#This Row],[Location 
(drop-down)]],'List source'!D$2:E$60,2,FALSE)</f>
        <v>198</v>
      </c>
      <c r="C898" s="223" t="s">
        <v>2393</v>
      </c>
      <c r="D898" s="55" t="str">
        <f t="shared" si="28"/>
        <v>PTO897-198-24</v>
      </c>
      <c r="E898" s="9" t="s">
        <v>2394</v>
      </c>
      <c r="F898" s="10" t="str" cm="1">
        <f t="array" aca="1" ref="F8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898" s="39" t="s">
        <v>2395</v>
      </c>
      <c r="I898" s="12">
        <v>45534</v>
      </c>
      <c r="J898" s="12" t="s">
        <v>41</v>
      </c>
      <c r="K898" s="77">
        <v>45636</v>
      </c>
      <c r="L898" s="10"/>
      <c r="M898" s="427">
        <v>897</v>
      </c>
      <c r="N898" s="13" t="str">
        <f t="shared" ca="1" si="29"/>
        <v>CLOSED</v>
      </c>
    </row>
    <row r="899" spans="1:14" ht="18" x14ac:dyDescent="0.3">
      <c r="A899" s="9" t="s">
        <v>261</v>
      </c>
      <c r="B899" s="95">
        <f>VLOOKUP(Table27[[#This Row],[Location 
(drop-down)]],'List source'!D$2:E$60,2,FALSE)</f>
        <v>210</v>
      </c>
      <c r="C899" s="223" t="s">
        <v>2396</v>
      </c>
      <c r="D899" s="55" t="str">
        <f t="shared" si="28"/>
        <v>PTO898-210-24</v>
      </c>
      <c r="E899" s="9" t="s">
        <v>2397</v>
      </c>
      <c r="F899" s="10" t="str" cm="1">
        <f t="array" aca="1" ref="F8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8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899" s="10">
        <v>4.75</v>
      </c>
      <c r="I899" s="12">
        <v>45534</v>
      </c>
      <c r="J899" s="12" t="s">
        <v>495</v>
      </c>
      <c r="K899" s="77">
        <v>45534</v>
      </c>
      <c r="L899" s="10" t="s">
        <v>510</v>
      </c>
      <c r="M899" s="427">
        <v>898</v>
      </c>
      <c r="N899" s="13" t="str">
        <f t="shared" ca="1" si="29"/>
        <v>CLOSED</v>
      </c>
    </row>
    <row r="900" spans="1:14" ht="28.8" x14ac:dyDescent="0.3">
      <c r="A900" s="9" t="s">
        <v>564</v>
      </c>
      <c r="B900" s="95">
        <f>VLOOKUP(Table27[[#This Row],[Location 
(drop-down)]],'List source'!D$2:E$60,2,FALSE)</f>
        <v>215</v>
      </c>
      <c r="C900" s="223" t="s">
        <v>2398</v>
      </c>
      <c r="D900" s="55" t="str">
        <f t="shared" si="28"/>
        <v>PTO899-215-24</v>
      </c>
      <c r="E900" s="9" t="s">
        <v>2388</v>
      </c>
      <c r="F900" s="10" t="str" cm="1">
        <f t="array" aca="1" ref="F9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9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900" s="10">
        <v>3.7</v>
      </c>
      <c r="I900" s="12">
        <v>45534</v>
      </c>
      <c r="J900" s="12" t="s">
        <v>195</v>
      </c>
      <c r="K900" s="77" t="s">
        <v>114</v>
      </c>
      <c r="L900" s="2" t="s">
        <v>567</v>
      </c>
      <c r="M900" s="427">
        <v>899</v>
      </c>
      <c r="N900" s="13" t="str">
        <f t="shared" ca="1" si="29"/>
        <v>CLOSED</v>
      </c>
    </row>
    <row r="901" spans="1:14" ht="18" x14ac:dyDescent="0.3">
      <c r="A901" s="9" t="s">
        <v>564</v>
      </c>
      <c r="B901" s="95">
        <f>VLOOKUP(Table27[[#This Row],[Location 
(drop-down)]],'List source'!D$2:E$60,2,FALSE)</f>
        <v>215</v>
      </c>
      <c r="C901" s="223" t="s">
        <v>2399</v>
      </c>
      <c r="D901" s="55" t="str">
        <f t="shared" si="28"/>
        <v>PTO900-215-24</v>
      </c>
      <c r="E901" s="9" t="s">
        <v>2400</v>
      </c>
      <c r="F901" s="10" t="str" cm="1">
        <f t="array" aca="1" ref="F9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9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01" s="10">
        <v>2.42</v>
      </c>
      <c r="I901" s="12">
        <v>45534</v>
      </c>
      <c r="J901" s="12" t="s">
        <v>495</v>
      </c>
      <c r="K901" s="77">
        <v>45534</v>
      </c>
      <c r="L901" s="355" t="s">
        <v>673</v>
      </c>
      <c r="M901" s="427">
        <v>900</v>
      </c>
      <c r="N901" s="13" t="str">
        <f t="shared" ca="1" si="29"/>
        <v>CLOSED</v>
      </c>
    </row>
    <row r="902" spans="1:14" ht="28.8" x14ac:dyDescent="0.3">
      <c r="A902" s="9" t="s">
        <v>564</v>
      </c>
      <c r="B902" s="95">
        <f>VLOOKUP(Table27[[#This Row],[Location 
(drop-down)]],'List source'!D$2:E$60,2,FALSE)</f>
        <v>215</v>
      </c>
      <c r="C902" s="223" t="s">
        <v>2401</v>
      </c>
      <c r="D902" s="55" t="str">
        <f t="shared" si="28"/>
        <v>PTO901-215-24</v>
      </c>
      <c r="E902" s="9" t="s">
        <v>2293</v>
      </c>
      <c r="F902" s="10" t="str" cm="1">
        <f t="array" aca="1" ref="F9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9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902" s="10">
        <v>2.99</v>
      </c>
      <c r="I902" s="12">
        <v>45534</v>
      </c>
      <c r="J902" s="12" t="s">
        <v>195</v>
      </c>
      <c r="K902" s="77" t="s">
        <v>114</v>
      </c>
      <c r="L902" s="2" t="s">
        <v>567</v>
      </c>
      <c r="M902" s="427">
        <v>901</v>
      </c>
      <c r="N902" s="13" t="str">
        <f t="shared" ca="1" si="29"/>
        <v>CLOSED</v>
      </c>
    </row>
    <row r="903" spans="1:14" ht="28.8" x14ac:dyDescent="0.3">
      <c r="A903" s="9" t="s">
        <v>153</v>
      </c>
      <c r="B903" s="95">
        <f>VLOOKUP(Table27[[#This Row],[Location 
(drop-down)]],'List source'!D$2:E$60,2,FALSE)</f>
        <v>126</v>
      </c>
      <c r="C903" s="223" t="s">
        <v>2402</v>
      </c>
      <c r="D903" s="55" t="str">
        <f t="shared" si="28"/>
        <v>PTO902-126-24</v>
      </c>
      <c r="E903" s="9" t="s">
        <v>2403</v>
      </c>
      <c r="F903" s="10" t="str" cm="1">
        <f t="array" aca="1" ref="F9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903" s="39" t="s">
        <v>585</v>
      </c>
      <c r="I903" s="12">
        <v>45540</v>
      </c>
      <c r="J903" s="12" t="s">
        <v>498</v>
      </c>
      <c r="K903" s="77">
        <v>45807</v>
      </c>
      <c r="L903" s="10"/>
      <c r="M903" s="427">
        <v>902</v>
      </c>
      <c r="N903" s="13" t="str">
        <f t="shared" ca="1" si="29"/>
        <v>CLOSED</v>
      </c>
    </row>
    <row r="904" spans="1:14" ht="43.2" x14ac:dyDescent="0.3">
      <c r="A904" s="9" t="s">
        <v>39</v>
      </c>
      <c r="B904" s="95">
        <f>VLOOKUP(Table27[[#This Row],[Location 
(drop-down)]],'List source'!D$2:E$60,2,FALSE)</f>
        <v>127</v>
      </c>
      <c r="C904" s="223" t="s">
        <v>2404</v>
      </c>
      <c r="D904" s="55" t="str">
        <f t="shared" si="28"/>
        <v>PTO903-127-24</v>
      </c>
      <c r="E904" s="9" t="s">
        <v>2405</v>
      </c>
      <c r="F904" s="10" t="str" cm="1">
        <f t="array" aca="1" ref="F9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904" s="39" t="s">
        <v>717</v>
      </c>
      <c r="I904" s="12">
        <v>45540</v>
      </c>
      <c r="J904" s="12" t="s">
        <v>495</v>
      </c>
      <c r="K904" s="77">
        <v>45540</v>
      </c>
      <c r="L904" s="10" t="s">
        <v>673</v>
      </c>
      <c r="M904" s="427">
        <v>903</v>
      </c>
      <c r="N904" s="13" t="str">
        <f t="shared" ca="1" si="29"/>
        <v>CLOSED</v>
      </c>
    </row>
    <row r="905" spans="1:14" ht="28.8" x14ac:dyDescent="0.3">
      <c r="A905" s="9" t="s">
        <v>186</v>
      </c>
      <c r="B905" s="95">
        <f>VLOOKUP(Table27[[#This Row],[Location 
(drop-down)]],'List source'!D$2:E$60,2,FALSE)</f>
        <v>130</v>
      </c>
      <c r="C905" s="223" t="s">
        <v>2406</v>
      </c>
      <c r="D905" s="55" t="str">
        <f t="shared" si="28"/>
        <v>PTO904-130-24</v>
      </c>
      <c r="E905" s="9" t="s">
        <v>2407</v>
      </c>
      <c r="F905" s="10" t="str" cm="1">
        <f t="array" aca="1" ref="F9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5" s="10" t="s">
        <v>2408</v>
      </c>
      <c r="I905" s="12">
        <v>45540</v>
      </c>
      <c r="J905" s="12" t="s">
        <v>54</v>
      </c>
      <c r="K905" s="77">
        <v>45701</v>
      </c>
      <c r="L905" s="10"/>
      <c r="M905" s="427">
        <v>904</v>
      </c>
      <c r="N905" s="13" t="str">
        <f t="shared" ca="1" si="29"/>
        <v>CLOSED</v>
      </c>
    </row>
    <row r="906" spans="1:14" ht="43.2" x14ac:dyDescent="0.3">
      <c r="A906" s="9" t="s">
        <v>186</v>
      </c>
      <c r="B906" s="95">
        <f>VLOOKUP(Table27[[#This Row],[Location 
(drop-down)]],'List source'!D$2:E$60,2,FALSE)</f>
        <v>130</v>
      </c>
      <c r="C906" s="223" t="s">
        <v>2409</v>
      </c>
      <c r="D906" s="55" t="str">
        <f t="shared" si="28"/>
        <v>PTO905-130-24</v>
      </c>
      <c r="E906" s="9" t="s">
        <v>2405</v>
      </c>
      <c r="F906" s="10" t="str" cm="1">
        <f t="array" aca="1" ref="F9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906" s="39" t="s">
        <v>2410</v>
      </c>
      <c r="I906" s="12">
        <v>45540</v>
      </c>
      <c r="J906" s="12" t="s">
        <v>495</v>
      </c>
      <c r="K906" s="77">
        <v>45540</v>
      </c>
      <c r="L906" s="10" t="s">
        <v>673</v>
      </c>
      <c r="M906" s="427">
        <v>905</v>
      </c>
      <c r="N906" s="13" t="str">
        <f t="shared" ca="1" si="29"/>
        <v>CLOSED</v>
      </c>
    </row>
    <row r="907" spans="1:14" ht="43.2" x14ac:dyDescent="0.3">
      <c r="A907" s="9" t="s">
        <v>264</v>
      </c>
      <c r="B907" s="95">
        <f>VLOOKUP(Table27[[#This Row],[Location 
(drop-down)]],'List source'!D$2:E$60,2,FALSE)</f>
        <v>132</v>
      </c>
      <c r="C907" s="223" t="s">
        <v>2411</v>
      </c>
      <c r="D907" s="55" t="str">
        <f t="shared" si="28"/>
        <v>PTO906-132-24</v>
      </c>
      <c r="E907" s="9" t="s">
        <v>2412</v>
      </c>
      <c r="F907" s="10" t="str" cm="1">
        <f t="array" aca="1" ref="F9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07" s="39" t="s">
        <v>2413</v>
      </c>
      <c r="I907" s="12">
        <v>45540</v>
      </c>
      <c r="J907" s="12" t="s">
        <v>495</v>
      </c>
      <c r="K907" s="77">
        <v>45540</v>
      </c>
      <c r="L907" s="10" t="s">
        <v>673</v>
      </c>
      <c r="M907" s="427">
        <v>906</v>
      </c>
      <c r="N907" s="13" t="str">
        <f t="shared" ca="1" si="29"/>
        <v>CLOSED</v>
      </c>
    </row>
    <row r="908" spans="1:14" ht="43.2" x14ac:dyDescent="0.3">
      <c r="A908" s="9" t="s">
        <v>157</v>
      </c>
      <c r="B908" s="95">
        <f>VLOOKUP(Table27[[#This Row],[Location 
(drop-down)]],'List source'!D$2:E$60,2,FALSE)</f>
        <v>136</v>
      </c>
      <c r="C908" s="223" t="s">
        <v>2414</v>
      </c>
      <c r="D908" s="55" t="str">
        <f t="shared" si="28"/>
        <v>PTO907-136-24</v>
      </c>
      <c r="E908" s="9" t="s">
        <v>2415</v>
      </c>
      <c r="F908" s="10" t="str" cm="1">
        <f t="array" aca="1" ref="F9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908" s="39" t="s">
        <v>2416</v>
      </c>
      <c r="I908" s="12">
        <v>45540</v>
      </c>
      <c r="J908" s="12" t="s">
        <v>495</v>
      </c>
      <c r="K908" s="77">
        <v>45540</v>
      </c>
      <c r="L908" s="10" t="s">
        <v>673</v>
      </c>
      <c r="M908" s="427">
        <v>907</v>
      </c>
      <c r="N908" s="13" t="str">
        <f t="shared" ca="1" si="29"/>
        <v>CLOSED</v>
      </c>
    </row>
    <row r="909" spans="1:14" ht="28.8" x14ac:dyDescent="0.3">
      <c r="A909" s="189" t="s">
        <v>157</v>
      </c>
      <c r="B909" s="253">
        <f>VLOOKUP(Table27[[#This Row],[Location 
(drop-down)]],'List source'!D$2:E$60,2,FALSE)</f>
        <v>136</v>
      </c>
      <c r="C909" s="255" t="s">
        <v>2417</v>
      </c>
      <c r="D909" s="344" t="str">
        <f t="shared" si="28"/>
        <v>PTO908-136-24</v>
      </c>
      <c r="E909" s="9" t="s">
        <v>2418</v>
      </c>
      <c r="F909" s="10" t="str" cm="1">
        <f t="array" aca="1" ref="F9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09" s="39" t="s">
        <v>2419</v>
      </c>
      <c r="I909" s="12">
        <v>45540</v>
      </c>
      <c r="J909" s="234" t="s">
        <v>60</v>
      </c>
      <c r="K909" s="220">
        <v>45797</v>
      </c>
      <c r="L909" s="10"/>
      <c r="M909" s="427">
        <v>908</v>
      </c>
      <c r="N909" s="13" t="str">
        <f t="shared" ca="1" si="29"/>
        <v>CLOSED</v>
      </c>
    </row>
    <row r="910" spans="1:14" ht="28.8" x14ac:dyDescent="0.3">
      <c r="A910" s="189" t="s">
        <v>157</v>
      </c>
      <c r="B910" s="253">
        <f>VLOOKUP(Table27[[#This Row],[Location 
(drop-down)]],'List source'!D$2:E$60,2,FALSE)</f>
        <v>136</v>
      </c>
      <c r="C910" s="255" t="s">
        <v>2420</v>
      </c>
      <c r="D910" s="344" t="str">
        <f t="shared" si="28"/>
        <v>PTO909-136-24</v>
      </c>
      <c r="E910" s="9" t="s">
        <v>2421</v>
      </c>
      <c r="F910" s="10" t="str" cm="1">
        <f t="array" aca="1" ref="F9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910" s="39" t="s">
        <v>2422</v>
      </c>
      <c r="I910" s="12">
        <v>45540</v>
      </c>
      <c r="J910" s="234" t="s">
        <v>60</v>
      </c>
      <c r="K910" s="220">
        <v>45687</v>
      </c>
      <c r="L910" s="10"/>
      <c r="M910" s="427">
        <v>909</v>
      </c>
      <c r="N910" s="13" t="str">
        <f t="shared" ca="1" si="29"/>
        <v>CLOSED</v>
      </c>
    </row>
    <row r="911" spans="1:14" ht="18" x14ac:dyDescent="0.3">
      <c r="A911" s="189" t="s">
        <v>597</v>
      </c>
      <c r="B911" s="253">
        <f>VLOOKUP(Table27[[#This Row],[Location 
(drop-down)]],'List source'!D$2:E$60,2,FALSE)</f>
        <v>139</v>
      </c>
      <c r="C911" s="255" t="s">
        <v>2423</v>
      </c>
      <c r="D911" s="344" t="str">
        <f t="shared" si="28"/>
        <v>PTO910-139-24</v>
      </c>
      <c r="E911" s="9" t="s">
        <v>2424</v>
      </c>
      <c r="F911" s="10" t="str" cm="1">
        <f t="array" aca="1" ref="F9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 (EPA)</v>
      </c>
      <c r="H911" s="10">
        <v>7.67</v>
      </c>
      <c r="I911" s="12">
        <v>45540</v>
      </c>
      <c r="J911" s="234" t="s">
        <v>60</v>
      </c>
      <c r="K911" s="220">
        <v>45713</v>
      </c>
      <c r="L911" s="10"/>
      <c r="M911" s="427">
        <v>910</v>
      </c>
      <c r="N911" s="13" t="str">
        <f t="shared" ca="1" si="29"/>
        <v>CLOSED</v>
      </c>
    </row>
    <row r="912" spans="1:14" ht="28.8" x14ac:dyDescent="0.3">
      <c r="A912" s="9" t="s">
        <v>273</v>
      </c>
      <c r="B912" s="95">
        <f>VLOOKUP(Table27[[#This Row],[Location 
(drop-down)]],'List source'!D$2:E$60,2,FALSE)</f>
        <v>140</v>
      </c>
      <c r="C912" s="223" t="s">
        <v>2425</v>
      </c>
      <c r="D912" s="55" t="str">
        <f t="shared" si="28"/>
        <v>PTO911-140-24</v>
      </c>
      <c r="E912" s="9" t="s">
        <v>2426</v>
      </c>
      <c r="F912" s="10" t="str" cm="1">
        <f t="array" aca="1" ref="F9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912" s="39" t="s">
        <v>2427</v>
      </c>
      <c r="I912" s="12">
        <v>45540</v>
      </c>
      <c r="J912" s="12" t="s">
        <v>182</v>
      </c>
      <c r="K912" s="77">
        <v>45665</v>
      </c>
      <c r="L912" s="10"/>
      <c r="M912" s="427">
        <v>911</v>
      </c>
      <c r="N912" s="13" t="str">
        <f t="shared" ca="1" si="29"/>
        <v>CLOSED</v>
      </c>
    </row>
    <row r="913" spans="1:14" ht="43.2" x14ac:dyDescent="0.3">
      <c r="A913" s="9" t="s">
        <v>235</v>
      </c>
      <c r="B913" s="95">
        <f>VLOOKUP(Table27[[#This Row],[Location 
(drop-down)]],'List source'!D$2:E$60,2,FALSE)</f>
        <v>160</v>
      </c>
      <c r="C913" s="223" t="s">
        <v>2428</v>
      </c>
      <c r="D913" s="55" t="str">
        <f t="shared" si="28"/>
        <v>PTO912-160-24</v>
      </c>
      <c r="E913" s="9" t="s">
        <v>2429</v>
      </c>
      <c r="F913" s="10" t="str" cm="1">
        <f t="array" aca="1" ref="F9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3" s="39" t="s">
        <v>2430</v>
      </c>
      <c r="I913" s="12">
        <v>45540</v>
      </c>
      <c r="J913" s="12" t="s">
        <v>495</v>
      </c>
      <c r="K913" s="77">
        <v>45540</v>
      </c>
      <c r="L913" s="10" t="s">
        <v>673</v>
      </c>
      <c r="M913" s="427">
        <v>912</v>
      </c>
      <c r="N913" s="13" t="str">
        <f t="shared" ca="1" si="29"/>
        <v>CLOSED</v>
      </c>
    </row>
    <row r="914" spans="1:14" x14ac:dyDescent="0.3">
      <c r="A914" s="9" t="s">
        <v>138</v>
      </c>
      <c r="B914" s="95">
        <f>VLOOKUP(Table27[[#This Row],[Location 
(drop-down)]],'List source'!D$2:E$61,2,FALSE)</f>
        <v>110</v>
      </c>
      <c r="C914" s="223" t="s">
        <v>2431</v>
      </c>
      <c r="D914" s="27" t="str">
        <f t="shared" si="28"/>
        <v>PTO1332-110-24</v>
      </c>
      <c r="E914" s="9" t="s">
        <v>2432</v>
      </c>
      <c r="F914" s="10" t="str" cm="1">
        <f t="array" aca="1" ref="F9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9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4" s="10">
        <v>295.64</v>
      </c>
      <c r="I914" s="12">
        <v>45657</v>
      </c>
      <c r="J914" s="12" t="s">
        <v>498</v>
      </c>
      <c r="K914" s="77">
        <v>45950</v>
      </c>
      <c r="L914" s="10"/>
      <c r="M914" s="427">
        <v>1332</v>
      </c>
      <c r="N914" s="13" t="str">
        <f t="shared" ca="1" si="29"/>
        <v>CLOSED</v>
      </c>
    </row>
    <row r="915" spans="1:14" ht="43.2" x14ac:dyDescent="0.3">
      <c r="A915" s="9" t="s">
        <v>209</v>
      </c>
      <c r="B915" s="95">
        <f>VLOOKUP(Table27[[#This Row],[Location 
(drop-down)]],'List source'!D$2:E$60,2,FALSE)</f>
        <v>165</v>
      </c>
      <c r="C915" s="223" t="s">
        <v>2433</v>
      </c>
      <c r="D915" s="55" t="str">
        <f t="shared" si="28"/>
        <v>PTO914-165-24</v>
      </c>
      <c r="E915" s="9" t="s">
        <v>2434</v>
      </c>
      <c r="F915" s="10" t="str" cm="1">
        <f t="array" aca="1" ref="F9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5" s="10">
        <v>-2.4700000000000002</v>
      </c>
      <c r="I915" s="12">
        <v>45540</v>
      </c>
      <c r="J915" s="12" t="s">
        <v>495</v>
      </c>
      <c r="K915" s="77">
        <v>45540</v>
      </c>
      <c r="L915" s="10" t="s">
        <v>673</v>
      </c>
      <c r="M915" s="427">
        <v>914</v>
      </c>
      <c r="N915" s="13" t="str">
        <f t="shared" ca="1" si="29"/>
        <v>CLOSED</v>
      </c>
    </row>
    <row r="916" spans="1:14" ht="28.8" x14ac:dyDescent="0.3">
      <c r="A916" s="239" t="s">
        <v>209</v>
      </c>
      <c r="B916" s="328">
        <f>VLOOKUP(Table27[[#This Row],[Location 
(drop-down)]],'List source'!D$2:E$60,2,FALSE)</f>
        <v>165</v>
      </c>
      <c r="C916" s="294" t="s">
        <v>2435</v>
      </c>
      <c r="D916" s="345" t="str">
        <f t="shared" si="28"/>
        <v>PTO915-165-24</v>
      </c>
      <c r="E916" s="239" t="s">
        <v>2436</v>
      </c>
      <c r="F916" s="245" t="str" cm="1">
        <f t="array" aca="1" ref="F9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6"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16" s="296" t="s">
        <v>2437</v>
      </c>
      <c r="I916" s="246">
        <v>45540</v>
      </c>
      <c r="J916" s="246" t="s">
        <v>182</v>
      </c>
      <c r="K916" s="247">
        <v>45791</v>
      </c>
      <c r="L916" s="10"/>
      <c r="M916" s="427">
        <v>915</v>
      </c>
      <c r="N916" s="13" t="str">
        <f t="shared" ca="1" si="29"/>
        <v>CLOSED</v>
      </c>
    </row>
    <row r="917" spans="1:14" ht="28.8" x14ac:dyDescent="0.3">
      <c r="A917" s="9" t="s">
        <v>209</v>
      </c>
      <c r="B917" s="95">
        <f>VLOOKUP(Table27[[#This Row],[Location 
(drop-down)]],'List source'!D$2:E$60,2,FALSE)</f>
        <v>165</v>
      </c>
      <c r="C917" s="223" t="s">
        <v>2438</v>
      </c>
      <c r="D917" s="55" t="str">
        <f t="shared" si="28"/>
        <v>PTO916-165-24</v>
      </c>
      <c r="E917" s="9" t="s">
        <v>2439</v>
      </c>
      <c r="F917" s="10" t="str" cm="1">
        <f t="array" aca="1" ref="F9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D6378 - Vapor Pressure</v>
      </c>
      <c r="H917" s="39" t="s">
        <v>688</v>
      </c>
      <c r="I917" s="12">
        <v>45540</v>
      </c>
      <c r="J917" s="12" t="s">
        <v>134</v>
      </c>
      <c r="K917" s="77">
        <v>45761</v>
      </c>
      <c r="L917" s="10"/>
      <c r="M917" s="427">
        <v>916</v>
      </c>
      <c r="N917" s="13" t="str">
        <f t="shared" ca="1" si="29"/>
        <v>CLOSED</v>
      </c>
    </row>
    <row r="918" spans="1:14" ht="43.2" x14ac:dyDescent="0.3">
      <c r="A918" s="9" t="s">
        <v>57</v>
      </c>
      <c r="B918" s="95">
        <f>VLOOKUP(Table27[[#This Row],[Location 
(drop-down)]],'List source'!D$2:E$60,2,FALSE)</f>
        <v>170</v>
      </c>
      <c r="C918" s="223" t="s">
        <v>2440</v>
      </c>
      <c r="D918" s="55" t="str">
        <f t="shared" si="28"/>
        <v>PTO917-170-24</v>
      </c>
      <c r="E918" s="9" t="s">
        <v>2441</v>
      </c>
      <c r="F918" s="10" t="str" cm="1">
        <f t="array" aca="1" ref="F9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918" s="10">
        <v>2.02</v>
      </c>
      <c r="I918" s="12">
        <v>45540</v>
      </c>
      <c r="J918" s="12" t="s">
        <v>495</v>
      </c>
      <c r="K918" s="77">
        <v>45540</v>
      </c>
      <c r="L918" s="10" t="s">
        <v>673</v>
      </c>
      <c r="M918" s="427">
        <v>917</v>
      </c>
      <c r="N918" s="13" t="str">
        <f t="shared" ca="1" si="29"/>
        <v>CLOSED</v>
      </c>
    </row>
    <row r="919" spans="1:14" ht="43.2" x14ac:dyDescent="0.3">
      <c r="A919" s="9" t="s">
        <v>57</v>
      </c>
      <c r="B919" s="95">
        <f>VLOOKUP(Table27[[#This Row],[Location 
(drop-down)]],'List source'!D$2:E$60,2,FALSE)</f>
        <v>170</v>
      </c>
      <c r="C919" s="223" t="s">
        <v>2442</v>
      </c>
      <c r="D919" s="55" t="str">
        <f t="shared" si="28"/>
        <v>PTO918-170-24</v>
      </c>
      <c r="E919" s="9" t="s">
        <v>2443</v>
      </c>
      <c r="F919" s="10" t="str" cm="1">
        <f t="array" aca="1" ref="F9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19" s="39" t="s">
        <v>2444</v>
      </c>
      <c r="I919" s="12">
        <v>45540</v>
      </c>
      <c r="J919" s="12" t="s">
        <v>495</v>
      </c>
      <c r="K919" s="77">
        <v>45540</v>
      </c>
      <c r="L919" s="10" t="s">
        <v>673</v>
      </c>
      <c r="M919" s="427">
        <v>918</v>
      </c>
      <c r="N919" s="13" t="str">
        <f t="shared" ca="1" si="29"/>
        <v>CLOSED</v>
      </c>
    </row>
    <row r="920" spans="1:14" ht="28.8" x14ac:dyDescent="0.3">
      <c r="A920" s="9" t="s">
        <v>57</v>
      </c>
      <c r="B920" s="95">
        <f>VLOOKUP(Table27[[#This Row],[Location 
(drop-down)]],'List source'!D$2:E$60,2,FALSE)</f>
        <v>170</v>
      </c>
      <c r="C920" s="223" t="s">
        <v>2445</v>
      </c>
      <c r="D920" s="55" t="str">
        <f t="shared" si="28"/>
        <v>PTO919-170-24</v>
      </c>
      <c r="E920" s="9" t="s">
        <v>2446</v>
      </c>
      <c r="F920" s="10" t="str" cm="1">
        <f t="array" aca="1" ref="F9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20" s="10">
        <v>2.19</v>
      </c>
      <c r="I920" s="12">
        <v>45540</v>
      </c>
      <c r="J920" s="12" t="s">
        <v>60</v>
      </c>
      <c r="K920" s="77">
        <v>45596</v>
      </c>
      <c r="L920" s="10"/>
      <c r="M920" s="427">
        <v>919</v>
      </c>
      <c r="N920" s="13" t="str">
        <f t="shared" ca="1" si="29"/>
        <v>CLOSED</v>
      </c>
    </row>
    <row r="921" spans="1:14" ht="43.2" x14ac:dyDescent="0.3">
      <c r="A921" s="9" t="s">
        <v>57</v>
      </c>
      <c r="B921" s="95">
        <f>VLOOKUP(Table27[[#This Row],[Location 
(drop-down)]],'List source'!D$2:E$60,2,FALSE)</f>
        <v>170</v>
      </c>
      <c r="C921" s="223" t="s">
        <v>2447</v>
      </c>
      <c r="D921" s="55" t="str">
        <f t="shared" si="28"/>
        <v>PTO920-170-24</v>
      </c>
      <c r="E921" s="9" t="s">
        <v>2448</v>
      </c>
      <c r="F921" s="10" t="str" cm="1">
        <f t="array" aca="1" ref="F9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921" s="39" t="s">
        <v>2449</v>
      </c>
      <c r="I921" s="12">
        <v>45540</v>
      </c>
      <c r="J921" s="12" t="s">
        <v>495</v>
      </c>
      <c r="K921" s="77">
        <v>45540</v>
      </c>
      <c r="L921" s="10" t="s">
        <v>673</v>
      </c>
      <c r="M921" s="427">
        <v>920</v>
      </c>
      <c r="N921" s="13" t="str">
        <f t="shared" ca="1" si="29"/>
        <v>CLOSED</v>
      </c>
    </row>
    <row r="922" spans="1:14" ht="28.8" x14ac:dyDescent="0.3">
      <c r="A922" s="9" t="s">
        <v>325</v>
      </c>
      <c r="B922" s="95">
        <f>VLOOKUP(Table27[[#This Row],[Location 
(drop-down)]],'List source'!D$2:E$61,2,FALSE)</f>
        <v>180</v>
      </c>
      <c r="C922" s="223" t="s">
        <v>2450</v>
      </c>
      <c r="D922" s="55" t="str">
        <f t="shared" si="28"/>
        <v>PTO921-180-24</v>
      </c>
      <c r="E922" s="9" t="s">
        <v>2451</v>
      </c>
      <c r="F922" s="10" t="str" cm="1">
        <f t="array" aca="1" ref="F9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922" s="39" t="s">
        <v>2452</v>
      </c>
      <c r="I922" s="12">
        <v>45540</v>
      </c>
      <c r="J922" s="12" t="s">
        <v>41</v>
      </c>
      <c r="K922" s="77">
        <v>45601</v>
      </c>
      <c r="L922" s="10"/>
      <c r="M922" s="427">
        <v>921</v>
      </c>
      <c r="N922" s="13" t="str">
        <f t="shared" ca="1" si="29"/>
        <v>CLOSED</v>
      </c>
    </row>
    <row r="923" spans="1:14" ht="43.2" x14ac:dyDescent="0.3">
      <c r="A923" s="9" t="s">
        <v>147</v>
      </c>
      <c r="B923" s="95">
        <f>VLOOKUP(Table27[[#This Row],[Location 
(drop-down)]],'List source'!D$2:E$61,2,FALSE)</f>
        <v>185</v>
      </c>
      <c r="C923" s="223" t="s">
        <v>2453</v>
      </c>
      <c r="D923" s="55" t="str">
        <f t="shared" si="28"/>
        <v>PTO922-185-24</v>
      </c>
      <c r="E923" s="9" t="s">
        <v>2454</v>
      </c>
      <c r="F923" s="10" t="str" cm="1">
        <f t="array" aca="1" ref="F9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23" s="39" t="s">
        <v>892</v>
      </c>
      <c r="I923" s="12">
        <v>45540</v>
      </c>
      <c r="J923" s="12" t="s">
        <v>495</v>
      </c>
      <c r="K923" s="77">
        <v>45540</v>
      </c>
      <c r="L923" s="10" t="s">
        <v>673</v>
      </c>
      <c r="M923" s="427">
        <v>922</v>
      </c>
      <c r="N923" s="13" t="str">
        <f t="shared" ca="1" si="29"/>
        <v>CLOSED</v>
      </c>
    </row>
    <row r="924" spans="1:14" ht="43.2" x14ac:dyDescent="0.3">
      <c r="A924" s="9" t="s">
        <v>147</v>
      </c>
      <c r="B924" s="95">
        <f>VLOOKUP(Table27[[#This Row],[Location 
(drop-down)]],'List source'!D$2:E$61,2,FALSE)</f>
        <v>185</v>
      </c>
      <c r="C924" s="223" t="s">
        <v>2455</v>
      </c>
      <c r="D924" s="55" t="str">
        <f t="shared" si="28"/>
        <v>PTO923-185-24</v>
      </c>
      <c r="E924" s="9" t="s">
        <v>2456</v>
      </c>
      <c r="F924" s="10" t="str" cm="1">
        <f t="array" aca="1" ref="F9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4" s="39" t="s">
        <v>1704</v>
      </c>
      <c r="I924" s="12">
        <v>45540</v>
      </c>
      <c r="J924" s="12" t="s">
        <v>495</v>
      </c>
      <c r="K924" s="77">
        <v>45540</v>
      </c>
      <c r="L924" s="10" t="s">
        <v>673</v>
      </c>
      <c r="M924" s="427">
        <v>923</v>
      </c>
      <c r="N924" s="13" t="str">
        <f t="shared" ca="1" si="29"/>
        <v>CLOSED</v>
      </c>
    </row>
    <row r="925" spans="1:14" ht="18" x14ac:dyDescent="0.3">
      <c r="A925" s="9" t="s">
        <v>44</v>
      </c>
      <c r="B925" s="95">
        <f>VLOOKUP(Table27[[#This Row],[Location 
(drop-down)]],'List source'!D$2:E$61,2,FALSE)</f>
        <v>192</v>
      </c>
      <c r="C925" s="223" t="s">
        <v>2457</v>
      </c>
      <c r="D925" s="55" t="str">
        <f t="shared" si="28"/>
        <v>PTO924-192-24</v>
      </c>
      <c r="E925" s="9" t="s">
        <v>2458</v>
      </c>
      <c r="F925" s="10" t="str" cm="1">
        <f t="array" aca="1" ref="F9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25" s="39" t="s">
        <v>2459</v>
      </c>
      <c r="I925" s="12">
        <v>45540</v>
      </c>
      <c r="J925" s="12" t="s">
        <v>495</v>
      </c>
      <c r="K925" s="77">
        <v>45546</v>
      </c>
      <c r="L925" s="10" t="s">
        <v>510</v>
      </c>
      <c r="M925" s="427">
        <v>924</v>
      </c>
      <c r="N925" s="13" t="str">
        <f t="shared" ca="1" si="29"/>
        <v>CLOSED</v>
      </c>
    </row>
    <row r="926" spans="1:14" ht="43.2" x14ac:dyDescent="0.3">
      <c r="A926" s="9" t="s">
        <v>44</v>
      </c>
      <c r="B926" s="95">
        <f>VLOOKUP(Table27[[#This Row],[Location 
(drop-down)]],'List source'!D$2:E$61,2,FALSE)</f>
        <v>192</v>
      </c>
      <c r="C926" s="223" t="s">
        <v>2460</v>
      </c>
      <c r="D926" s="55" t="str">
        <f t="shared" si="28"/>
        <v>PTO925-192-24</v>
      </c>
      <c r="E926" s="9" t="s">
        <v>2461</v>
      </c>
      <c r="F926" s="10" t="str" cm="1">
        <f t="array" aca="1" ref="F9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6" s="39" t="s">
        <v>2462</v>
      </c>
      <c r="I926" s="12">
        <v>45540</v>
      </c>
      <c r="J926" s="12" t="s">
        <v>495</v>
      </c>
      <c r="K926" s="77">
        <v>45540</v>
      </c>
      <c r="L926" s="10" t="s">
        <v>673</v>
      </c>
      <c r="M926" s="427">
        <v>925</v>
      </c>
      <c r="N926" s="13" t="str">
        <f t="shared" ca="1" si="29"/>
        <v>CLOSED</v>
      </c>
    </row>
    <row r="927" spans="1:14" ht="43.2" x14ac:dyDescent="0.3">
      <c r="A927" s="9" t="s">
        <v>564</v>
      </c>
      <c r="B927" s="95">
        <f>VLOOKUP(Table27[[#This Row],[Location 
(drop-down)]],'List source'!D$2:E$61,2,FALSE)</f>
        <v>215</v>
      </c>
      <c r="C927" s="223" t="s">
        <v>2463</v>
      </c>
      <c r="D927" s="55" t="str">
        <f t="shared" si="28"/>
        <v>PTO926-215-24</v>
      </c>
      <c r="E927" s="9" t="s">
        <v>2464</v>
      </c>
      <c r="F927" s="10" t="str" cm="1">
        <f t="array" aca="1" ref="F9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7" s="39" t="s">
        <v>895</v>
      </c>
      <c r="I927" s="12">
        <v>45540</v>
      </c>
      <c r="J927" s="12" t="s">
        <v>495</v>
      </c>
      <c r="K927" s="77">
        <v>45540</v>
      </c>
      <c r="L927" s="10" t="s">
        <v>673</v>
      </c>
      <c r="M927" s="427">
        <v>926</v>
      </c>
      <c r="N927" s="13" t="str">
        <f t="shared" ca="1" si="29"/>
        <v>CLOSED</v>
      </c>
    </row>
    <row r="928" spans="1:14" ht="28.8" x14ac:dyDescent="0.3">
      <c r="A928" s="9" t="s">
        <v>107</v>
      </c>
      <c r="B928" s="95">
        <f>VLOOKUP(Table27[[#This Row],[Location 
(drop-down)]],'List source'!D$2:E$61,2,FALSE)</f>
        <v>120</v>
      </c>
      <c r="C928" s="223" t="s">
        <v>2465</v>
      </c>
      <c r="D928" s="55" t="str">
        <f t="shared" si="28"/>
        <v>PTO927-120-24</v>
      </c>
      <c r="E928" s="9" t="s">
        <v>2466</v>
      </c>
      <c r="F928" s="10" t="str" cm="1">
        <f t="array" aca="1" ref="F9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28" s="10" t="s">
        <v>529</v>
      </c>
      <c r="I928" s="12">
        <v>45541</v>
      </c>
      <c r="J928" s="12" t="s">
        <v>134</v>
      </c>
      <c r="K928" s="77">
        <v>45871</v>
      </c>
      <c r="L928" s="10"/>
      <c r="M928" s="427">
        <v>927</v>
      </c>
      <c r="N928" s="13" t="str">
        <f t="shared" ca="1" si="29"/>
        <v>CLOSED</v>
      </c>
    </row>
    <row r="929" spans="1:14" ht="28.8" x14ac:dyDescent="0.3">
      <c r="A929" s="235" t="s">
        <v>107</v>
      </c>
      <c r="B929" s="327">
        <f>VLOOKUP(Table27[[#This Row],[Location 
(drop-down)]],'List source'!D$2:E$61,2,FALSE)</f>
        <v>120</v>
      </c>
      <c r="C929" s="330" t="s">
        <v>2467</v>
      </c>
      <c r="D929" s="343" t="str">
        <f t="shared" si="28"/>
        <v>PTO928-120-24</v>
      </c>
      <c r="E929" s="235" t="s">
        <v>2468</v>
      </c>
      <c r="F929" s="263" t="str" cm="1">
        <f t="array" aca="1" ref="F9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29"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929" s="266" t="s">
        <v>1230</v>
      </c>
      <c r="I929" s="264">
        <v>45541</v>
      </c>
      <c r="J929" s="264" t="s">
        <v>182</v>
      </c>
      <c r="K929" s="250">
        <v>45685</v>
      </c>
      <c r="L929" s="10"/>
      <c r="M929" s="427">
        <v>928</v>
      </c>
      <c r="N929" s="13" t="str">
        <f t="shared" ca="1" si="29"/>
        <v>CLOSED</v>
      </c>
    </row>
    <row r="930" spans="1:14" ht="18" x14ac:dyDescent="0.3">
      <c r="A930" s="9" t="s">
        <v>153</v>
      </c>
      <c r="B930" s="95">
        <f>VLOOKUP(Table27[[#This Row],[Location 
(drop-down)]],'List source'!D$2:E$61,2,FALSE)</f>
        <v>126</v>
      </c>
      <c r="C930" s="223" t="s">
        <v>2469</v>
      </c>
      <c r="D930" s="55" t="str">
        <f t="shared" si="28"/>
        <v>PTO929-126-24</v>
      </c>
      <c r="E930" s="9" t="s">
        <v>2470</v>
      </c>
      <c r="F930" s="10" t="str" cm="1">
        <f t="array" aca="1" ref="F9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0" s="39" t="s">
        <v>2471</v>
      </c>
      <c r="I930" s="12">
        <v>45541</v>
      </c>
      <c r="J930" s="12" t="s">
        <v>195</v>
      </c>
      <c r="K930" s="77">
        <v>45931</v>
      </c>
      <c r="L930" s="10"/>
      <c r="M930" s="427">
        <v>929</v>
      </c>
      <c r="N930" s="13" t="str">
        <f t="shared" ca="1" si="29"/>
        <v>CLOSED</v>
      </c>
    </row>
    <row r="931" spans="1:14" ht="43.2" x14ac:dyDescent="0.3">
      <c r="A931" s="9" t="s">
        <v>153</v>
      </c>
      <c r="B931" s="95">
        <f>VLOOKUP(Table27[[#This Row],[Location 
(drop-down)]],'List source'!D$2:E$61,2,FALSE)</f>
        <v>126</v>
      </c>
      <c r="C931" s="223" t="s">
        <v>2472</v>
      </c>
      <c r="D931" s="55" t="str">
        <f t="shared" si="28"/>
        <v>PTO930-126-24</v>
      </c>
      <c r="E931" s="9" t="s">
        <v>2473</v>
      </c>
      <c r="F931" s="10" t="str" cm="1">
        <f t="array" aca="1" ref="F9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31" s="10" t="s">
        <v>2474</v>
      </c>
      <c r="I931" s="12">
        <v>45541</v>
      </c>
      <c r="J931" s="12" t="s">
        <v>495</v>
      </c>
      <c r="K931" s="77">
        <v>45541</v>
      </c>
      <c r="L931" s="10" t="s">
        <v>673</v>
      </c>
      <c r="M931" s="427">
        <v>930</v>
      </c>
      <c r="N931" s="13" t="str">
        <f t="shared" ca="1" si="29"/>
        <v>CLOSED</v>
      </c>
    </row>
    <row r="932" spans="1:14" ht="18" x14ac:dyDescent="0.3">
      <c r="A932" s="9" t="s">
        <v>186</v>
      </c>
      <c r="B932" s="95">
        <f>VLOOKUP(Table27[[#This Row],[Location 
(drop-down)]],'List source'!D$2:E$61,2,FALSE)</f>
        <v>130</v>
      </c>
      <c r="C932" s="223" t="s">
        <v>2475</v>
      </c>
      <c r="D932" s="55" t="str">
        <f t="shared" si="28"/>
        <v>PTO931-130-24</v>
      </c>
      <c r="E932" s="9" t="s">
        <v>2476</v>
      </c>
      <c r="F932" s="10" t="str" cm="1">
        <f t="array" aca="1" ref="F9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932" s="39" t="s">
        <v>2477</v>
      </c>
      <c r="I932" s="12">
        <v>45541</v>
      </c>
      <c r="J932" s="264" t="s">
        <v>54</v>
      </c>
      <c r="K932" s="250">
        <v>45645</v>
      </c>
      <c r="L932" s="10"/>
      <c r="M932" s="427">
        <v>931</v>
      </c>
      <c r="N932" s="13" t="str">
        <f t="shared" ca="1" si="29"/>
        <v>CLOSED</v>
      </c>
    </row>
    <row r="933" spans="1:14" ht="43.2" x14ac:dyDescent="0.3">
      <c r="A933" s="9" t="s">
        <v>186</v>
      </c>
      <c r="B933" s="95">
        <f>VLOOKUP(Table27[[#This Row],[Location 
(drop-down)]],'List source'!D$2:E$61,2,FALSE)</f>
        <v>130</v>
      </c>
      <c r="C933" s="223" t="s">
        <v>2478</v>
      </c>
      <c r="D933" s="55" t="str">
        <f t="shared" si="28"/>
        <v>PTO932-130-24</v>
      </c>
      <c r="E933" s="9" t="s">
        <v>2479</v>
      </c>
      <c r="F933" s="10" t="str" cm="1">
        <f t="array" aca="1" ref="F9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33" s="10">
        <v>2.2999999999999998</v>
      </c>
      <c r="I933" s="12">
        <v>45541</v>
      </c>
      <c r="J933" s="12" t="s">
        <v>495</v>
      </c>
      <c r="K933" s="77">
        <v>45541</v>
      </c>
      <c r="L933" s="10" t="s">
        <v>673</v>
      </c>
      <c r="M933" s="427">
        <v>932</v>
      </c>
      <c r="N933" s="13" t="str">
        <f t="shared" ca="1" si="29"/>
        <v>CLOSED</v>
      </c>
    </row>
    <row r="934" spans="1:14" ht="43.2" x14ac:dyDescent="0.3">
      <c r="A934" s="9" t="s">
        <v>186</v>
      </c>
      <c r="B934" s="95">
        <f>VLOOKUP(Table27[[#This Row],[Location 
(drop-down)]],'List source'!D$2:E$61,2,FALSE)</f>
        <v>130</v>
      </c>
      <c r="C934" s="223" t="s">
        <v>2480</v>
      </c>
      <c r="D934" s="55" t="str">
        <f t="shared" si="28"/>
        <v>PTO933-130-24</v>
      </c>
      <c r="E934" s="9" t="s">
        <v>2481</v>
      </c>
      <c r="F934" s="10" t="str" cm="1">
        <f t="array" aca="1" ref="F9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4" s="10">
        <v>2.0299999999999998</v>
      </c>
      <c r="I934" s="12">
        <v>45541</v>
      </c>
      <c r="J934" s="12" t="s">
        <v>495</v>
      </c>
      <c r="K934" s="77">
        <v>45541</v>
      </c>
      <c r="L934" s="10" t="s">
        <v>673</v>
      </c>
      <c r="M934" s="427">
        <v>933</v>
      </c>
      <c r="N934" s="13" t="str">
        <f t="shared" ca="1" si="29"/>
        <v>CLOSED</v>
      </c>
    </row>
    <row r="935" spans="1:14" ht="18" x14ac:dyDescent="0.3">
      <c r="A935" s="9" t="s">
        <v>186</v>
      </c>
      <c r="B935" s="95">
        <f>VLOOKUP(Table27[[#This Row],[Location 
(drop-down)]],'List source'!D$2:E$61,2,FALSE)</f>
        <v>130</v>
      </c>
      <c r="C935" s="223" t="s">
        <v>2482</v>
      </c>
      <c r="D935" s="55" t="str">
        <f t="shared" si="28"/>
        <v>PTO934-130-24</v>
      </c>
      <c r="E935" s="9" t="s">
        <v>2483</v>
      </c>
      <c r="F935" s="10" t="str" cm="1">
        <f t="array" aca="1" ref="F9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35" s="39" t="s">
        <v>2484</v>
      </c>
      <c r="I935" s="12">
        <v>45541</v>
      </c>
      <c r="J935" s="264" t="s">
        <v>54</v>
      </c>
      <c r="K935" s="250">
        <v>45645</v>
      </c>
      <c r="L935" s="10"/>
      <c r="M935" s="427">
        <v>934</v>
      </c>
      <c r="N935" s="13" t="str">
        <f t="shared" ca="1" si="29"/>
        <v>CLOSED</v>
      </c>
    </row>
    <row r="936" spans="1:14" ht="43.2" x14ac:dyDescent="0.3">
      <c r="A936" s="9" t="s">
        <v>264</v>
      </c>
      <c r="B936" s="95">
        <f>VLOOKUP(Table27[[#This Row],[Location 
(drop-down)]],'List source'!D$2:E$61,2,FALSE)</f>
        <v>132</v>
      </c>
      <c r="C936" s="223" t="s">
        <v>2485</v>
      </c>
      <c r="D936" s="55" t="str">
        <f t="shared" si="28"/>
        <v>PTO935-132-24</v>
      </c>
      <c r="E936" s="9" t="s">
        <v>2486</v>
      </c>
      <c r="F936" s="10" t="str" cm="1">
        <f t="array" aca="1" ref="F9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936" s="10">
        <v>2.5</v>
      </c>
      <c r="I936" s="12">
        <v>45541</v>
      </c>
      <c r="J936" s="12" t="s">
        <v>495</v>
      </c>
      <c r="K936" s="77">
        <v>45541</v>
      </c>
      <c r="L936" s="10" t="s">
        <v>673</v>
      </c>
      <c r="M936" s="427">
        <v>935</v>
      </c>
      <c r="N936" s="13" t="str">
        <f t="shared" ca="1" si="29"/>
        <v>CLOSED</v>
      </c>
    </row>
    <row r="937" spans="1:14" ht="28.8" x14ac:dyDescent="0.3">
      <c r="A937" s="9" t="s">
        <v>264</v>
      </c>
      <c r="B937" s="95">
        <f>VLOOKUP(Table27[[#This Row],[Location 
(drop-down)]],'List source'!D$2:E$61,2,FALSE)</f>
        <v>132</v>
      </c>
      <c r="C937" s="223" t="s">
        <v>2487</v>
      </c>
      <c r="D937" s="55" t="str">
        <f t="shared" si="28"/>
        <v>PTO936-132-24</v>
      </c>
      <c r="E937" s="9" t="s">
        <v>2488</v>
      </c>
      <c r="F937" s="10" t="str" cm="1">
        <f t="array" aca="1" ref="F9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37" s="10">
        <v>79.91</v>
      </c>
      <c r="I937" s="12">
        <v>45541</v>
      </c>
      <c r="J937" s="12" t="s">
        <v>495</v>
      </c>
      <c r="K937" s="77">
        <v>45545</v>
      </c>
      <c r="L937" s="10" t="s">
        <v>510</v>
      </c>
      <c r="M937" s="427">
        <v>936</v>
      </c>
      <c r="N937" s="13" t="str">
        <f t="shared" ca="1" si="29"/>
        <v>CLOSED</v>
      </c>
    </row>
    <row r="938" spans="1:14" ht="28.8" x14ac:dyDescent="0.2">
      <c r="A938" s="221" t="s">
        <v>264</v>
      </c>
      <c r="B938" s="95">
        <f>VLOOKUP(Table27[[#This Row],[Location 
(drop-down)]],'List source'!D$2:E$61,2,FALSE)</f>
        <v>132</v>
      </c>
      <c r="C938" s="223" t="s">
        <v>2489</v>
      </c>
      <c r="D938" s="55" t="str">
        <f t="shared" si="28"/>
        <v>PTO937-132-24</v>
      </c>
      <c r="E938" s="9" t="s">
        <v>2490</v>
      </c>
      <c r="F938" s="10" t="str" cm="1">
        <f t="array" aca="1" ref="F9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38" s="10" t="s">
        <v>2491</v>
      </c>
      <c r="I938" s="12">
        <v>45541</v>
      </c>
      <c r="J938" s="12" t="s">
        <v>54</v>
      </c>
      <c r="K938" s="77">
        <v>45838</v>
      </c>
      <c r="L938" s="10"/>
      <c r="M938" s="427">
        <v>937</v>
      </c>
      <c r="N938" s="13" t="str">
        <f t="shared" ca="1" si="29"/>
        <v>CLOSED</v>
      </c>
    </row>
    <row r="939" spans="1:14" ht="18" x14ac:dyDescent="0.2">
      <c r="A939" s="221" t="s">
        <v>264</v>
      </c>
      <c r="B939" s="95">
        <f>VLOOKUP(Table27[[#This Row],[Location 
(drop-down)]],'List source'!D$2:E$61,2,FALSE)</f>
        <v>132</v>
      </c>
      <c r="C939" s="223" t="s">
        <v>2492</v>
      </c>
      <c r="D939" s="55" t="str">
        <f t="shared" si="28"/>
        <v>PTO938-132-24</v>
      </c>
      <c r="E939" s="9" t="s">
        <v>2493</v>
      </c>
      <c r="F939" s="10" t="str" cm="1">
        <f t="array" aca="1" ref="F9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939" s="39" t="s">
        <v>1600</v>
      </c>
      <c r="I939" s="12">
        <v>45541</v>
      </c>
      <c r="J939" s="12" t="s">
        <v>54</v>
      </c>
      <c r="K939" s="77">
        <v>45838</v>
      </c>
      <c r="L939" s="10"/>
      <c r="M939" s="427">
        <v>938</v>
      </c>
      <c r="N939" s="13" t="str">
        <f t="shared" ca="1" si="29"/>
        <v>CLOSED</v>
      </c>
    </row>
    <row r="940" spans="1:14" ht="18" x14ac:dyDescent="0.2">
      <c r="A940" s="256" t="s">
        <v>157</v>
      </c>
      <c r="B940" s="253">
        <f>VLOOKUP(Table27[[#This Row],[Location 
(drop-down)]],'List source'!D$2:E$61,2,FALSE)</f>
        <v>136</v>
      </c>
      <c r="C940" s="255" t="s">
        <v>2494</v>
      </c>
      <c r="D940" s="344" t="str">
        <f t="shared" si="28"/>
        <v>PTO939-136-24</v>
      </c>
      <c r="E940" s="9" t="s">
        <v>2495</v>
      </c>
      <c r="F940" s="10" t="str" cm="1">
        <f t="array" aca="1" ref="F9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40" s="39" t="s">
        <v>1209</v>
      </c>
      <c r="I940" s="12">
        <v>45541</v>
      </c>
      <c r="J940" s="234" t="s">
        <v>60</v>
      </c>
      <c r="K940" s="220">
        <v>45687</v>
      </c>
      <c r="L940" s="10"/>
      <c r="M940" s="427">
        <v>939</v>
      </c>
      <c r="N940" s="13" t="str">
        <f t="shared" ca="1" si="29"/>
        <v>CLOSED</v>
      </c>
    </row>
    <row r="941" spans="1:14" ht="18" x14ac:dyDescent="0.2">
      <c r="A941" s="256" t="s">
        <v>597</v>
      </c>
      <c r="B941" s="253">
        <f>VLOOKUP(Table27[[#This Row],[Location 
(drop-down)]],'List source'!D$2:E$61,2,FALSE)</f>
        <v>139</v>
      </c>
      <c r="C941" s="255" t="s">
        <v>2496</v>
      </c>
      <c r="D941" s="344" t="str">
        <f t="shared" si="28"/>
        <v>PTO940-139-24</v>
      </c>
      <c r="E941" s="9" t="s">
        <v>2497</v>
      </c>
      <c r="F941" s="10" t="str" cm="1">
        <f t="array" aca="1" ref="F9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41" s="39" t="s">
        <v>2498</v>
      </c>
      <c r="I941" s="12">
        <v>45541</v>
      </c>
      <c r="J941" s="234" t="s">
        <v>60</v>
      </c>
      <c r="K941" s="220">
        <v>45713</v>
      </c>
      <c r="L941" s="10"/>
      <c r="M941" s="427">
        <v>940</v>
      </c>
      <c r="N941" s="13" t="str">
        <f t="shared" ca="1" si="29"/>
        <v>CLOSED</v>
      </c>
    </row>
    <row r="942" spans="1:14" ht="29.1" customHeight="1" x14ac:dyDescent="0.2">
      <c r="A942" s="221" t="s">
        <v>597</v>
      </c>
      <c r="B942" s="95">
        <f>VLOOKUP(Table27[[#This Row],[Location 
(drop-down)]],'List source'!D$2:E$61,2,FALSE)</f>
        <v>139</v>
      </c>
      <c r="C942" s="223" t="s">
        <v>2499</v>
      </c>
      <c r="D942" s="55" t="str">
        <f t="shared" si="28"/>
        <v>PTO941-139-24</v>
      </c>
      <c r="E942" s="9" t="s">
        <v>2500</v>
      </c>
      <c r="F942" s="10" t="str" cm="1">
        <f t="array" aca="1" ref="F9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942" s="10">
        <v>2.8</v>
      </c>
      <c r="I942" s="12">
        <v>45541</v>
      </c>
      <c r="J942" s="12" t="s">
        <v>495</v>
      </c>
      <c r="K942" s="77">
        <v>45714</v>
      </c>
      <c r="L942" s="10" t="s">
        <v>2501</v>
      </c>
      <c r="M942" s="427">
        <v>941</v>
      </c>
      <c r="N942" s="13" t="str">
        <f t="shared" ca="1" si="29"/>
        <v>CLOSED</v>
      </c>
    </row>
    <row r="943" spans="1:14" ht="43.5" customHeight="1" x14ac:dyDescent="0.2">
      <c r="A943" s="221" t="s">
        <v>161</v>
      </c>
      <c r="B943" s="95">
        <f>VLOOKUP(Table27[[#This Row],[Location 
(drop-down)]],'List source'!D$2:E$61,2,FALSE)</f>
        <v>142</v>
      </c>
      <c r="C943" s="223" t="s">
        <v>2502</v>
      </c>
      <c r="D943" s="55" t="str">
        <f t="shared" si="28"/>
        <v>PTO942-142-24</v>
      </c>
      <c r="E943" s="9" t="s">
        <v>2503</v>
      </c>
      <c r="F943" s="10" t="str" cm="1">
        <f t="array" aca="1" ref="F9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3" s="10">
        <v>2.33</v>
      </c>
      <c r="I943" s="12">
        <v>45541</v>
      </c>
      <c r="J943" s="12" t="s">
        <v>495</v>
      </c>
      <c r="K943" s="77">
        <v>45541</v>
      </c>
      <c r="L943" s="10" t="s">
        <v>673</v>
      </c>
      <c r="M943" s="427">
        <v>942</v>
      </c>
      <c r="N943" s="13" t="str">
        <f t="shared" ca="1" si="29"/>
        <v>CLOSED</v>
      </c>
    </row>
    <row r="944" spans="1:14" ht="43.5" customHeight="1" x14ac:dyDescent="0.2">
      <c r="A944" s="221" t="s">
        <v>310</v>
      </c>
      <c r="B944" s="95">
        <f>VLOOKUP(Table27[[#This Row],[Location 
(drop-down)]],'List source'!D$2:E$61,2,FALSE)</f>
        <v>144</v>
      </c>
      <c r="C944" s="223" t="s">
        <v>2504</v>
      </c>
      <c r="D944" s="55" t="str">
        <f t="shared" si="28"/>
        <v>PTO943-144-24</v>
      </c>
      <c r="E944" s="9" t="s">
        <v>2505</v>
      </c>
      <c r="F944" s="10" t="str" cm="1">
        <f t="array" aca="1" ref="F9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944" s="39" t="s">
        <v>892</v>
      </c>
      <c r="I944" s="12">
        <v>45541</v>
      </c>
      <c r="J944" s="12" t="s">
        <v>495</v>
      </c>
      <c r="K944" s="77">
        <v>45541</v>
      </c>
      <c r="L944" s="10" t="s">
        <v>673</v>
      </c>
      <c r="M944" s="427">
        <v>943</v>
      </c>
      <c r="N944" s="13" t="str">
        <f t="shared" ca="1" si="29"/>
        <v>CLOSED</v>
      </c>
    </row>
    <row r="945" spans="1:14" ht="18" x14ac:dyDescent="0.3">
      <c r="A945" s="189" t="s">
        <v>70</v>
      </c>
      <c r="B945" s="253">
        <f>VLOOKUP(Table27[[#This Row],[Location 
(drop-down)]],'List source'!D$2:E$61,2,FALSE)</f>
        <v>146</v>
      </c>
      <c r="C945" s="255" t="s">
        <v>2506</v>
      </c>
      <c r="D945" s="344" t="str">
        <f t="shared" si="28"/>
        <v>PTO944-146-24</v>
      </c>
      <c r="E945" s="9" t="s">
        <v>2507</v>
      </c>
      <c r="F945" s="10" t="str" cm="1">
        <f t="array" aca="1" ref="F9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945" s="10">
        <v>2.08</v>
      </c>
      <c r="I945" s="12">
        <v>45541</v>
      </c>
      <c r="J945" s="234" t="s">
        <v>60</v>
      </c>
      <c r="K945" s="220">
        <v>45806</v>
      </c>
      <c r="L945" s="10"/>
      <c r="M945" s="427">
        <v>944</v>
      </c>
      <c r="N945" s="13" t="str">
        <f t="shared" ca="1" si="29"/>
        <v>CLOSED</v>
      </c>
    </row>
    <row r="946" spans="1:14" ht="43.2" x14ac:dyDescent="0.3">
      <c r="A946" s="9" t="s">
        <v>65</v>
      </c>
      <c r="B946" s="95">
        <f>VLOOKUP(Table27[[#This Row],[Location 
(drop-down)]],'List source'!D$2:E$61,2,FALSE)</f>
        <v>155</v>
      </c>
      <c r="C946" s="223" t="s">
        <v>2508</v>
      </c>
      <c r="D946" s="55" t="str">
        <f t="shared" si="28"/>
        <v>PTO945-155-24</v>
      </c>
      <c r="E946" s="9" t="s">
        <v>2479</v>
      </c>
      <c r="F946" s="10" t="str" cm="1">
        <f t="array" aca="1" ref="F9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46" s="10">
        <v>2.2999999999999998</v>
      </c>
      <c r="I946" s="12">
        <v>45541</v>
      </c>
      <c r="J946" s="12" t="s">
        <v>495</v>
      </c>
      <c r="K946" s="77">
        <v>45541</v>
      </c>
      <c r="L946" s="10" t="s">
        <v>673</v>
      </c>
      <c r="M946" s="427">
        <v>945</v>
      </c>
      <c r="N946" s="13" t="str">
        <f t="shared" ca="1" si="29"/>
        <v>CLOSED</v>
      </c>
    </row>
    <row r="947" spans="1:14" ht="28.8" x14ac:dyDescent="0.3">
      <c r="A947" s="9" t="s">
        <v>65</v>
      </c>
      <c r="B947" s="95">
        <f>VLOOKUP(Table27[[#This Row],[Location 
(drop-down)]],'List source'!D$2:E$61,2,FALSE)</f>
        <v>155</v>
      </c>
      <c r="C947" s="223" t="s">
        <v>2509</v>
      </c>
      <c r="D947" s="55" t="str">
        <f t="shared" si="28"/>
        <v>PTO946-155-24</v>
      </c>
      <c r="E947" s="9" t="s">
        <v>2510</v>
      </c>
      <c r="F947" s="10" t="str" cm="1">
        <f t="array" aca="1" ref="F9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47" s="39" t="s">
        <v>2511</v>
      </c>
      <c r="I947" s="12">
        <v>45541</v>
      </c>
      <c r="J947" s="12" t="s">
        <v>134</v>
      </c>
      <c r="K947" s="77">
        <v>45940</v>
      </c>
      <c r="L947" s="10"/>
      <c r="M947" s="427">
        <v>946</v>
      </c>
      <c r="N947" s="13" t="str">
        <f t="shared" ca="1" si="29"/>
        <v>CLOSED</v>
      </c>
    </row>
    <row r="948" spans="1:14" ht="18" x14ac:dyDescent="0.3">
      <c r="A948" s="9" t="s">
        <v>65</v>
      </c>
      <c r="B948" s="95">
        <f>VLOOKUP(Table27[[#This Row],[Location 
(drop-down)]],'List source'!D$2:E$61,2,FALSE)</f>
        <v>155</v>
      </c>
      <c r="C948" s="223" t="s">
        <v>2512</v>
      </c>
      <c r="D948" s="55" t="str">
        <f t="shared" ref="D948:D1011" si="30">"PTO" &amp; C948 &amp; "-" &amp; B948 &amp; "-" &amp; "24"</f>
        <v>PTO947-155-24</v>
      </c>
      <c r="E948" s="9" t="s">
        <v>2513</v>
      </c>
      <c r="F948" s="10" t="str" cm="1">
        <f t="array" aca="1" ref="F9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948" s="39" t="s">
        <v>1561</v>
      </c>
      <c r="I948" s="12">
        <v>45541</v>
      </c>
      <c r="J948" s="12" t="s">
        <v>182</v>
      </c>
      <c r="K948" s="77">
        <v>45711</v>
      </c>
      <c r="L948" s="10"/>
      <c r="M948" s="427">
        <v>947</v>
      </c>
      <c r="N948" s="13" t="str">
        <f t="shared" ref="N948:N1011" ca="1" si="31">IF(ISBLANK(K948), TODAY()-(I948), "CLOSED")</f>
        <v>CLOSED</v>
      </c>
    </row>
    <row r="949" spans="1:14" ht="43.2" x14ac:dyDescent="0.3">
      <c r="A949" s="9" t="s">
        <v>65</v>
      </c>
      <c r="B949" s="95">
        <f>VLOOKUP(Table27[[#This Row],[Location 
(drop-down)]],'List source'!D$2:E$61,2,FALSE)</f>
        <v>155</v>
      </c>
      <c r="C949" s="223" t="s">
        <v>2514</v>
      </c>
      <c r="D949" s="55" t="str">
        <f t="shared" si="30"/>
        <v>PTO948-155-24</v>
      </c>
      <c r="E949" s="9" t="s">
        <v>2515</v>
      </c>
      <c r="F949" s="10" t="str" cm="1">
        <f t="array" aca="1" ref="F9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49" s="39" t="s">
        <v>886</v>
      </c>
      <c r="I949" s="12">
        <v>45541</v>
      </c>
      <c r="J949" s="12" t="s">
        <v>495</v>
      </c>
      <c r="K949" s="77">
        <v>45541</v>
      </c>
      <c r="L949" s="10" t="s">
        <v>673</v>
      </c>
      <c r="M949" s="427">
        <v>948</v>
      </c>
      <c r="N949" s="13" t="str">
        <f t="shared" ca="1" si="31"/>
        <v>CLOSED</v>
      </c>
    </row>
    <row r="950" spans="1:14" ht="18" x14ac:dyDescent="0.3">
      <c r="A950" s="9" t="s">
        <v>235</v>
      </c>
      <c r="B950" s="95">
        <f>VLOOKUP(Table27[[#This Row],[Location 
(drop-down)]],'List source'!D$2:E$61,2,FALSE)</f>
        <v>160</v>
      </c>
      <c r="C950" s="223" t="s">
        <v>2516</v>
      </c>
      <c r="D950" s="55" t="str">
        <f t="shared" si="30"/>
        <v>PTO949-160-24</v>
      </c>
      <c r="E950" s="9" t="s">
        <v>2517</v>
      </c>
      <c r="F950" s="10" t="str" cm="1">
        <f t="array" aca="1" ref="F9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50" s="10">
        <v>-2.13</v>
      </c>
      <c r="I950" s="12">
        <v>45541</v>
      </c>
      <c r="J950" s="12" t="s">
        <v>182</v>
      </c>
      <c r="K950" s="77">
        <v>45713</v>
      </c>
      <c r="L950" s="10"/>
      <c r="M950" s="427">
        <v>949</v>
      </c>
      <c r="N950" s="13" t="str">
        <f t="shared" ca="1" si="31"/>
        <v>CLOSED</v>
      </c>
    </row>
    <row r="951" spans="1:14" ht="43.2" x14ac:dyDescent="0.3">
      <c r="A951" s="9" t="s">
        <v>209</v>
      </c>
      <c r="B951" s="95">
        <f>VLOOKUP(Table27[[#This Row],[Location 
(drop-down)]],'List source'!D$2:E$61,2,FALSE)</f>
        <v>165</v>
      </c>
      <c r="C951" s="223" t="s">
        <v>2518</v>
      </c>
      <c r="D951" s="55" t="str">
        <f t="shared" si="30"/>
        <v>PTO950-165-24</v>
      </c>
      <c r="E951" s="9" t="s">
        <v>2519</v>
      </c>
      <c r="F951" s="10" t="str" cm="1">
        <f t="array" aca="1" ref="F9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1" s="39" t="s">
        <v>2520</v>
      </c>
      <c r="I951" s="12">
        <v>45541</v>
      </c>
      <c r="J951" s="12" t="s">
        <v>495</v>
      </c>
      <c r="K951" s="77">
        <v>45541</v>
      </c>
      <c r="L951" s="10" t="s">
        <v>673</v>
      </c>
      <c r="M951" s="427">
        <v>950</v>
      </c>
      <c r="N951" s="13" t="str">
        <f t="shared" ca="1" si="31"/>
        <v>CLOSED</v>
      </c>
    </row>
    <row r="952" spans="1:14" ht="43.2" x14ac:dyDescent="0.3">
      <c r="A952" s="9" t="s">
        <v>57</v>
      </c>
      <c r="B952" s="95">
        <f>VLOOKUP(Table27[[#This Row],[Location 
(drop-down)]],'List source'!D$2:E$61,2,FALSE)</f>
        <v>170</v>
      </c>
      <c r="C952" s="223" t="s">
        <v>2521</v>
      </c>
      <c r="D952" s="55" t="str">
        <f t="shared" si="30"/>
        <v>PTO951-170-24</v>
      </c>
      <c r="E952" s="9" t="s">
        <v>2522</v>
      </c>
      <c r="F952" s="10" t="str" cm="1">
        <f t="array" aca="1" ref="F9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2" s="10" t="s">
        <v>2523</v>
      </c>
      <c r="I952" s="12">
        <v>45541</v>
      </c>
      <c r="J952" s="12" t="s">
        <v>495</v>
      </c>
      <c r="K952" s="77">
        <v>45541</v>
      </c>
      <c r="L952" s="10" t="s">
        <v>673</v>
      </c>
      <c r="M952" s="427">
        <v>951</v>
      </c>
      <c r="N952" s="13" t="str">
        <f t="shared" ca="1" si="31"/>
        <v>CLOSED</v>
      </c>
    </row>
    <row r="953" spans="1:14" ht="28.8" x14ac:dyDescent="0.3">
      <c r="A953" s="9" t="s">
        <v>57</v>
      </c>
      <c r="B953" s="95">
        <f>VLOOKUP(Table27[[#This Row],[Location 
(drop-down)]],'List source'!D$2:E$61,2,FALSE)</f>
        <v>170</v>
      </c>
      <c r="C953" s="223" t="s">
        <v>2524</v>
      </c>
      <c r="D953" s="55" t="str">
        <f t="shared" si="30"/>
        <v>PTO952-170-24</v>
      </c>
      <c r="E953" s="9" t="s">
        <v>2525</v>
      </c>
      <c r="F953" s="10" t="str" cm="1">
        <f t="array" aca="1" ref="F9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953" s="10">
        <v>2.67</v>
      </c>
      <c r="I953" s="12">
        <v>45541</v>
      </c>
      <c r="J953" s="12" t="s">
        <v>60</v>
      </c>
      <c r="K953" s="77">
        <v>45628</v>
      </c>
      <c r="L953" s="10"/>
      <c r="M953" s="427">
        <v>952</v>
      </c>
      <c r="N953" s="13" t="str">
        <f t="shared" ca="1" si="31"/>
        <v>CLOSED</v>
      </c>
    </row>
    <row r="954" spans="1:14" ht="28.8" x14ac:dyDescent="0.3">
      <c r="A954" s="9" t="s">
        <v>57</v>
      </c>
      <c r="B954" s="95">
        <f>VLOOKUP(Table27[[#This Row],[Location 
(drop-down)]],'List source'!D$2:E$61,2,FALSE)</f>
        <v>170</v>
      </c>
      <c r="C954" s="223" t="s">
        <v>2526</v>
      </c>
      <c r="D954" s="55" t="str">
        <f t="shared" si="30"/>
        <v>PTO953-170-24</v>
      </c>
      <c r="E954" s="9" t="s">
        <v>2527</v>
      </c>
      <c r="F954" s="10" t="str" cm="1">
        <f t="array" aca="1" ref="F9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954" s="39" t="s">
        <v>2528</v>
      </c>
      <c r="I954" s="12">
        <v>45541</v>
      </c>
      <c r="J954" s="12" t="s">
        <v>60</v>
      </c>
      <c r="K954" s="77">
        <v>45627</v>
      </c>
      <c r="L954" s="10"/>
      <c r="M954" s="427">
        <v>953</v>
      </c>
      <c r="N954" s="13" t="str">
        <f t="shared" ca="1" si="31"/>
        <v>CLOSED</v>
      </c>
    </row>
    <row r="955" spans="1:14" ht="43.2" x14ac:dyDescent="0.3">
      <c r="A955" s="9" t="s">
        <v>57</v>
      </c>
      <c r="B955" s="95">
        <f>VLOOKUP(Table27[[#This Row],[Location 
(drop-down)]],'List source'!D$2:E$61,2,FALSE)</f>
        <v>170</v>
      </c>
      <c r="C955" s="223" t="s">
        <v>2529</v>
      </c>
      <c r="D955" s="55" t="str">
        <f t="shared" si="30"/>
        <v>PTO954-170-24</v>
      </c>
      <c r="E955" s="9" t="s">
        <v>2530</v>
      </c>
      <c r="F955" s="10" t="str" cm="1">
        <f t="array" aca="1" ref="F9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955" s="39" t="s">
        <v>2531</v>
      </c>
      <c r="I955" s="12">
        <v>45541</v>
      </c>
      <c r="J955" s="12" t="s">
        <v>495</v>
      </c>
      <c r="K955" s="77">
        <v>45541</v>
      </c>
      <c r="L955" s="10" t="s">
        <v>673</v>
      </c>
      <c r="M955" s="427">
        <v>954</v>
      </c>
      <c r="N955" s="13" t="str">
        <f t="shared" ca="1" si="31"/>
        <v>CLOSED</v>
      </c>
    </row>
    <row r="956" spans="1:14" ht="43.2" x14ac:dyDescent="0.3">
      <c r="A956" s="9" t="s">
        <v>147</v>
      </c>
      <c r="B956" s="95">
        <f>VLOOKUP(Table27[[#This Row],[Location 
(drop-down)]],'List source'!D$2:E$61,2,FALSE)</f>
        <v>185</v>
      </c>
      <c r="C956" s="223" t="s">
        <v>2532</v>
      </c>
      <c r="D956" s="55" t="str">
        <f t="shared" si="30"/>
        <v>PTO955-185-24</v>
      </c>
      <c r="E956" s="9" t="s">
        <v>2473</v>
      </c>
      <c r="F956" s="10" t="str" cm="1">
        <f t="array" aca="1" ref="F9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956" s="10" t="s">
        <v>1898</v>
      </c>
      <c r="I956" s="12">
        <v>45541</v>
      </c>
      <c r="J956" s="12" t="s">
        <v>495</v>
      </c>
      <c r="K956" s="77">
        <v>45541</v>
      </c>
      <c r="L956" s="10" t="s">
        <v>673</v>
      </c>
      <c r="M956" s="427">
        <v>955</v>
      </c>
      <c r="N956" s="13" t="str">
        <f t="shared" ca="1" si="31"/>
        <v>CLOSED</v>
      </c>
    </row>
    <row r="957" spans="1:14" ht="18" x14ac:dyDescent="0.3">
      <c r="A957" s="9" t="s">
        <v>44</v>
      </c>
      <c r="B957" s="95">
        <f>VLOOKUP(Table27[[#This Row],[Location 
(drop-down)]],'List source'!D$2:E$61,2,FALSE)</f>
        <v>192</v>
      </c>
      <c r="C957" s="223" t="s">
        <v>2533</v>
      </c>
      <c r="D957" s="55" t="str">
        <f t="shared" si="30"/>
        <v>PTO956-192-24</v>
      </c>
      <c r="E957" s="9" t="s">
        <v>2534</v>
      </c>
      <c r="F957" s="10" t="str" cm="1">
        <f t="array" aca="1" ref="F9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7" s="39" t="s">
        <v>2535</v>
      </c>
      <c r="I957" s="12">
        <v>45541</v>
      </c>
      <c r="J957" s="12" t="s">
        <v>498</v>
      </c>
      <c r="K957" s="77">
        <v>45657</v>
      </c>
      <c r="L957" s="10"/>
      <c r="M957" s="427">
        <v>956</v>
      </c>
      <c r="N957" s="13" t="str">
        <f t="shared" ca="1" si="31"/>
        <v>CLOSED</v>
      </c>
    </row>
    <row r="958" spans="1:14" ht="28.8" x14ac:dyDescent="0.3">
      <c r="A958" s="9" t="s">
        <v>564</v>
      </c>
      <c r="B958" s="95">
        <f>VLOOKUP(Table27[[#This Row],[Location 
(drop-down)]],'List source'!D$2:E$61,2,FALSE)</f>
        <v>215</v>
      </c>
      <c r="C958" s="223" t="s">
        <v>2536</v>
      </c>
      <c r="D958" s="55" t="str">
        <f t="shared" si="30"/>
        <v>PTO957-215-24</v>
      </c>
      <c r="E958" s="9" t="s">
        <v>2537</v>
      </c>
      <c r="F958" s="10" t="str" cm="1">
        <f t="array" aca="1" ref="F9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58" s="10">
        <v>-3.08</v>
      </c>
      <c r="I958" s="12">
        <v>45541</v>
      </c>
      <c r="J958" s="12" t="s">
        <v>195</v>
      </c>
      <c r="K958" s="77" t="s">
        <v>114</v>
      </c>
      <c r="L958" s="2" t="s">
        <v>567</v>
      </c>
      <c r="M958" s="427">
        <v>957</v>
      </c>
      <c r="N958" s="13" t="str">
        <f t="shared" ca="1" si="31"/>
        <v>CLOSED</v>
      </c>
    </row>
    <row r="959" spans="1:14" ht="28.8" x14ac:dyDescent="0.3">
      <c r="A959" s="9" t="s">
        <v>318</v>
      </c>
      <c r="B959" s="95">
        <f>VLOOKUP(Table27[[#This Row],[Location 
(drop-down)]],'List source'!D$2:E$61,2,FALSE)</f>
        <v>115</v>
      </c>
      <c r="C959" s="223" t="s">
        <v>2538</v>
      </c>
      <c r="D959" s="55" t="str">
        <f t="shared" si="30"/>
        <v>PTO958-115-24</v>
      </c>
      <c r="E959" s="9" t="s">
        <v>2539</v>
      </c>
      <c r="F959" s="10" t="str" cm="1">
        <f t="array" aca="1" ref="F9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 &amp; Benzene</v>
      </c>
      <c r="H959" s="39" t="s">
        <v>2540</v>
      </c>
      <c r="I959" s="12">
        <v>45544</v>
      </c>
      <c r="J959" s="12" t="s">
        <v>495</v>
      </c>
      <c r="K959" s="77">
        <v>45545</v>
      </c>
      <c r="L959" s="10" t="s">
        <v>915</v>
      </c>
      <c r="M959" s="427">
        <v>958</v>
      </c>
      <c r="N959" s="13" t="str">
        <f t="shared" ca="1" si="31"/>
        <v>CLOSED</v>
      </c>
    </row>
    <row r="960" spans="1:14" ht="43.2" x14ac:dyDescent="0.3">
      <c r="A960" s="9" t="s">
        <v>186</v>
      </c>
      <c r="B960" s="95">
        <f>VLOOKUP(Table27[[#This Row],[Location 
(drop-down)]],'List source'!D$2:E$61,2,FALSE)</f>
        <v>130</v>
      </c>
      <c r="C960" s="223" t="s">
        <v>2541</v>
      </c>
      <c r="D960" s="55" t="str">
        <f t="shared" si="30"/>
        <v>PTO959-130-24</v>
      </c>
      <c r="E960" s="9" t="s">
        <v>2542</v>
      </c>
      <c r="F960" s="10" t="str" cm="1">
        <f t="array" aca="1" ref="F9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0" s="10">
        <v>2.37</v>
      </c>
      <c r="I960" s="12">
        <v>45546</v>
      </c>
      <c r="J960" s="12" t="s">
        <v>495</v>
      </c>
      <c r="K960" s="77">
        <v>45546</v>
      </c>
      <c r="L960" s="10" t="s">
        <v>673</v>
      </c>
      <c r="M960" s="427">
        <v>959</v>
      </c>
      <c r="N960" s="13" t="str">
        <f t="shared" ca="1" si="31"/>
        <v>CLOSED</v>
      </c>
    </row>
    <row r="961" spans="1:14" ht="43.2" x14ac:dyDescent="0.3">
      <c r="A961" s="9" t="s">
        <v>21</v>
      </c>
      <c r="B961" s="95">
        <f>VLOOKUP(Table27[[#This Row],[Location 
(drop-down)]],'List source'!D$2:E$61,2,FALSE)</f>
        <v>131</v>
      </c>
      <c r="C961" s="223" t="s">
        <v>2543</v>
      </c>
      <c r="D961" s="55" t="str">
        <f t="shared" si="30"/>
        <v>PTO960-131-24</v>
      </c>
      <c r="E961" s="9" t="s">
        <v>2544</v>
      </c>
      <c r="F961" s="10" t="str" cm="1">
        <f t="array" aca="1" ref="F9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1" s="10">
        <v>2.1</v>
      </c>
      <c r="I961" s="12">
        <v>45546</v>
      </c>
      <c r="J961" s="12" t="s">
        <v>495</v>
      </c>
      <c r="K961" s="77">
        <v>45546</v>
      </c>
      <c r="L961" s="10" t="s">
        <v>673</v>
      </c>
      <c r="M961" s="427">
        <v>960</v>
      </c>
      <c r="N961" s="13" t="str">
        <f t="shared" ca="1" si="31"/>
        <v>CLOSED</v>
      </c>
    </row>
    <row r="962" spans="1:14" ht="28.8" x14ac:dyDescent="0.3">
      <c r="A962" s="9" t="s">
        <v>264</v>
      </c>
      <c r="B962" s="95">
        <f>VLOOKUP(Table27[[#This Row],[Location 
(drop-down)]],'List source'!D$2:E$61,2,FALSE)</f>
        <v>132</v>
      </c>
      <c r="C962" s="223" t="s">
        <v>2545</v>
      </c>
      <c r="D962" s="55" t="str">
        <f t="shared" si="30"/>
        <v>PTO961-132-24</v>
      </c>
      <c r="E962" s="9" t="s">
        <v>2546</v>
      </c>
      <c r="F962" s="10" t="str" cm="1">
        <f t="array" aca="1" ref="F9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Aromatics &amp; Total Aromatics</v>
      </c>
      <c r="H962" s="39" t="s">
        <v>2547</v>
      </c>
      <c r="I962" s="12">
        <v>45546</v>
      </c>
      <c r="J962" s="12" t="s">
        <v>54</v>
      </c>
      <c r="K962" s="77">
        <v>45767</v>
      </c>
      <c r="L962" s="10"/>
      <c r="M962" s="427">
        <v>961</v>
      </c>
      <c r="N962" s="13" t="str">
        <f t="shared" ca="1" si="31"/>
        <v>CLOSED</v>
      </c>
    </row>
    <row r="963" spans="1:14" ht="28.8" x14ac:dyDescent="0.3">
      <c r="A963" s="9" t="s">
        <v>264</v>
      </c>
      <c r="B963" s="95">
        <f>VLOOKUP(Table27[[#This Row],[Location 
(drop-down)]],'List source'!D$2:E$61,2,FALSE)</f>
        <v>132</v>
      </c>
      <c r="C963" s="223" t="s">
        <v>2548</v>
      </c>
      <c r="D963" s="55" t="str">
        <f t="shared" si="30"/>
        <v>PTO962-132-24</v>
      </c>
      <c r="E963" s="9" t="s">
        <v>2549</v>
      </c>
      <c r="F963" s="10" t="str" cm="1">
        <f t="array" aca="1" ref="F9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3" s="39" t="s">
        <v>2550</v>
      </c>
      <c r="I963" s="12">
        <v>45546</v>
      </c>
      <c r="J963" s="12" t="s">
        <v>495</v>
      </c>
      <c r="K963" s="77">
        <v>45679</v>
      </c>
      <c r="L963" s="10" t="s">
        <v>510</v>
      </c>
      <c r="M963" s="427">
        <v>962</v>
      </c>
      <c r="N963" s="13" t="str">
        <f t="shared" ca="1" si="31"/>
        <v>CLOSED</v>
      </c>
    </row>
    <row r="964" spans="1:14" ht="43.2" x14ac:dyDescent="0.3">
      <c r="A964" s="9" t="s">
        <v>264</v>
      </c>
      <c r="B964" s="95">
        <f>VLOOKUP(Table27[[#This Row],[Location 
(drop-down)]],'List source'!D$2:E$61,2,FALSE)</f>
        <v>132</v>
      </c>
      <c r="C964" s="223" t="s">
        <v>2551</v>
      </c>
      <c r="D964" s="55" t="str">
        <f t="shared" si="30"/>
        <v>PTO963-132-24</v>
      </c>
      <c r="E964" s="9" t="s">
        <v>2552</v>
      </c>
      <c r="F964" s="10" t="str" cm="1">
        <f t="array" aca="1" ref="F9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64" s="10" t="s">
        <v>2553</v>
      </c>
      <c r="I964" s="12">
        <v>45546</v>
      </c>
      <c r="J964" s="12" t="s">
        <v>495</v>
      </c>
      <c r="K964" s="77">
        <v>45546</v>
      </c>
      <c r="L964" s="10" t="s">
        <v>673</v>
      </c>
      <c r="M964" s="427">
        <v>963</v>
      </c>
      <c r="N964" s="13" t="str">
        <f t="shared" ca="1" si="31"/>
        <v>CLOSED</v>
      </c>
    </row>
    <row r="965" spans="1:14" ht="18" x14ac:dyDescent="0.3">
      <c r="A965" s="189" t="s">
        <v>597</v>
      </c>
      <c r="B965" s="253">
        <f>VLOOKUP(Table27[[#This Row],[Location 
(drop-down)]],'List source'!D$2:E$61,2,FALSE)</f>
        <v>139</v>
      </c>
      <c r="C965" s="255" t="s">
        <v>2554</v>
      </c>
      <c r="D965" s="344" t="str">
        <f t="shared" si="30"/>
        <v>PTO964-139-24</v>
      </c>
      <c r="E965" s="9" t="s">
        <v>2555</v>
      </c>
      <c r="F965" s="10" t="str" cm="1">
        <f t="array" aca="1" ref="F9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5" s="39" t="s">
        <v>749</v>
      </c>
      <c r="I965" s="12">
        <v>45546</v>
      </c>
      <c r="J965" s="234" t="s">
        <v>60</v>
      </c>
      <c r="K965" s="220">
        <v>45713</v>
      </c>
      <c r="L965" s="10"/>
      <c r="M965" s="427">
        <v>964</v>
      </c>
      <c r="N965" s="13" t="str">
        <f t="shared" ca="1" si="31"/>
        <v>CLOSED</v>
      </c>
    </row>
    <row r="966" spans="1:14" ht="28.8" x14ac:dyDescent="0.3">
      <c r="A966" s="189" t="s">
        <v>597</v>
      </c>
      <c r="B966" s="253">
        <f>VLOOKUP(Table27[[#This Row],[Location 
(drop-down)]],'List source'!D$2:E$61,2,FALSE)</f>
        <v>139</v>
      </c>
      <c r="C966" s="255" t="s">
        <v>2556</v>
      </c>
      <c r="D966" s="344" t="str">
        <f t="shared" si="30"/>
        <v>PTO965-139-24</v>
      </c>
      <c r="E966" s="9" t="s">
        <v>2557</v>
      </c>
      <c r="F966" s="10" t="str" cm="1">
        <f t="array" aca="1" ref="F9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966" s="10">
        <v>3.22</v>
      </c>
      <c r="I966" s="12">
        <v>45546</v>
      </c>
      <c r="J966" s="234" t="s">
        <v>60</v>
      </c>
      <c r="K966" s="220">
        <v>45714</v>
      </c>
      <c r="L966" s="10"/>
      <c r="M966" s="427">
        <v>965</v>
      </c>
      <c r="N966" s="13" t="str">
        <f t="shared" ca="1" si="31"/>
        <v>CLOSED</v>
      </c>
    </row>
    <row r="967" spans="1:14" ht="43.2" x14ac:dyDescent="0.3">
      <c r="A967" s="9" t="s">
        <v>273</v>
      </c>
      <c r="B967" s="95">
        <f>VLOOKUP(Table27[[#This Row],[Location 
(drop-down)]],'List source'!D$2:E$61,2,FALSE)</f>
        <v>140</v>
      </c>
      <c r="C967" s="223" t="s">
        <v>2558</v>
      </c>
      <c r="D967" s="55" t="str">
        <f t="shared" si="30"/>
        <v>PTO966-140-24</v>
      </c>
      <c r="E967" s="9" t="s">
        <v>2559</v>
      </c>
      <c r="F967" s="10" t="str" cm="1">
        <f t="array" aca="1" ref="F9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7" s="10">
        <v>2.02</v>
      </c>
      <c r="I967" s="12">
        <v>45546</v>
      </c>
      <c r="J967" s="12" t="s">
        <v>495</v>
      </c>
      <c r="K967" s="77">
        <v>45546</v>
      </c>
      <c r="L967" s="10" t="s">
        <v>673</v>
      </c>
      <c r="M967" s="427">
        <v>966</v>
      </c>
      <c r="N967" s="13" t="str">
        <f t="shared" ca="1" si="31"/>
        <v>CLOSED</v>
      </c>
    </row>
    <row r="968" spans="1:14" ht="43.2" x14ac:dyDescent="0.3">
      <c r="A968" s="9" t="s">
        <v>29</v>
      </c>
      <c r="B968" s="95">
        <f>VLOOKUP(Table27[[#This Row],[Location 
(drop-down)]],'List source'!D$2:E$61,2,FALSE)</f>
        <v>141</v>
      </c>
      <c r="C968" s="223" t="s">
        <v>2560</v>
      </c>
      <c r="D968" s="55" t="str">
        <f t="shared" si="30"/>
        <v>PTO967-141-24</v>
      </c>
      <c r="E968" s="9" t="s">
        <v>2561</v>
      </c>
      <c r="F968" s="10" t="str" cm="1">
        <f t="array" aca="1" ref="F9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8" s="10" t="s">
        <v>2562</v>
      </c>
      <c r="I968" s="12">
        <v>45546</v>
      </c>
      <c r="J968" s="12" t="s">
        <v>495</v>
      </c>
      <c r="K968" s="77">
        <v>45546</v>
      </c>
      <c r="L968" s="10" t="s">
        <v>673</v>
      </c>
      <c r="M968" s="427">
        <v>967</v>
      </c>
      <c r="N968" s="13" t="str">
        <f t="shared" ca="1" si="31"/>
        <v>CLOSED</v>
      </c>
    </row>
    <row r="969" spans="1:14" ht="43.2" x14ac:dyDescent="0.3">
      <c r="A969" s="9" t="s">
        <v>161</v>
      </c>
      <c r="B969" s="95">
        <f>VLOOKUP(Table27[[#This Row],[Location 
(drop-down)]],'List source'!D$2:E$61,2,FALSE)</f>
        <v>142</v>
      </c>
      <c r="C969" s="223" t="s">
        <v>2563</v>
      </c>
      <c r="D969" s="55" t="str">
        <f t="shared" si="30"/>
        <v>PTO968-142-24</v>
      </c>
      <c r="E969" s="9" t="s">
        <v>2564</v>
      </c>
      <c r="F969" s="10" t="str" cm="1">
        <f t="array" aca="1" ref="F9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69" s="10">
        <v>2.2599999999999998</v>
      </c>
      <c r="I969" s="12">
        <v>45546</v>
      </c>
      <c r="J969" s="12" t="s">
        <v>495</v>
      </c>
      <c r="K969" s="77">
        <v>45546</v>
      </c>
      <c r="L969" s="10" t="s">
        <v>673</v>
      </c>
      <c r="M969" s="427">
        <v>968</v>
      </c>
      <c r="N969" s="13" t="str">
        <f t="shared" ca="1" si="31"/>
        <v>CLOSED</v>
      </c>
    </row>
    <row r="970" spans="1:14" ht="43.2" x14ac:dyDescent="0.3">
      <c r="A970" s="9" t="s">
        <v>70</v>
      </c>
      <c r="B970" s="95">
        <f>VLOOKUP(Table27[[#This Row],[Location 
(drop-down)]],'List source'!D$2:E$61,2,FALSE)</f>
        <v>146</v>
      </c>
      <c r="C970" s="223" t="s">
        <v>2565</v>
      </c>
      <c r="D970" s="55" t="str">
        <f t="shared" si="30"/>
        <v>PTO969-146-24</v>
      </c>
      <c r="E970" s="9" t="s">
        <v>2566</v>
      </c>
      <c r="F970" s="10" t="str" cm="1">
        <f t="array" aca="1" ref="F9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70" s="10">
        <v>2.88</v>
      </c>
      <c r="I970" s="12">
        <v>45546</v>
      </c>
      <c r="J970" s="12" t="s">
        <v>495</v>
      </c>
      <c r="K970" s="77">
        <v>45546</v>
      </c>
      <c r="L970" s="10" t="s">
        <v>673</v>
      </c>
      <c r="M970" s="427">
        <v>969</v>
      </c>
      <c r="N970" s="13" t="str">
        <f t="shared" ca="1" si="31"/>
        <v>CLOSED</v>
      </c>
    </row>
    <row r="971" spans="1:14" ht="43.2" x14ac:dyDescent="0.3">
      <c r="A971" s="9" t="s">
        <v>70</v>
      </c>
      <c r="B971" s="95">
        <f>VLOOKUP(Table27[[#This Row],[Location 
(drop-down)]],'List source'!D$2:E$61,2,FALSE)</f>
        <v>146</v>
      </c>
      <c r="C971" s="223" t="s">
        <v>2567</v>
      </c>
      <c r="D971" s="55" t="str">
        <f t="shared" si="30"/>
        <v>PTO970-146-24</v>
      </c>
      <c r="E971" s="9" t="s">
        <v>2568</v>
      </c>
      <c r="F971" s="10" t="str" cm="1">
        <f t="array" aca="1" ref="F9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71" s="10" t="s">
        <v>2569</v>
      </c>
      <c r="I971" s="12">
        <v>45546</v>
      </c>
      <c r="J971" s="12" t="s">
        <v>495</v>
      </c>
      <c r="K971" s="77">
        <v>45546</v>
      </c>
      <c r="L971" s="10" t="s">
        <v>673</v>
      </c>
      <c r="M971" s="427">
        <v>970</v>
      </c>
      <c r="N971" s="13" t="str">
        <f t="shared" ca="1" si="31"/>
        <v>CLOSED</v>
      </c>
    </row>
    <row r="972" spans="1:14" ht="28.8" x14ac:dyDescent="0.3">
      <c r="A972" s="189" t="s">
        <v>70</v>
      </c>
      <c r="B972" s="253">
        <f>VLOOKUP(Table27[[#This Row],[Location 
(drop-down)]],'List source'!D$2:E$61,2,FALSE)</f>
        <v>146</v>
      </c>
      <c r="C972" s="255" t="s">
        <v>2570</v>
      </c>
      <c r="D972" s="344" t="str">
        <f t="shared" si="30"/>
        <v>PTO971-146-24</v>
      </c>
      <c r="E972" s="9" t="s">
        <v>2571</v>
      </c>
      <c r="F972" s="10" t="str" cm="1">
        <f t="array" aca="1" ref="F9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972" s="39" t="s">
        <v>2572</v>
      </c>
      <c r="I972" s="12">
        <v>45546</v>
      </c>
      <c r="J972" s="234" t="s">
        <v>60</v>
      </c>
      <c r="K972" s="220">
        <v>45882</v>
      </c>
      <c r="L972" s="10"/>
      <c r="M972" s="427">
        <v>971</v>
      </c>
      <c r="N972" s="13" t="str">
        <f t="shared" ca="1" si="31"/>
        <v>CLOSED</v>
      </c>
    </row>
    <row r="973" spans="1:14" ht="43.2" x14ac:dyDescent="0.3">
      <c r="A973" s="9" t="s">
        <v>86</v>
      </c>
      <c r="B973" s="95">
        <f>VLOOKUP(Table27[[#This Row],[Location 
(drop-down)]],'List source'!D$2:E$61,2,FALSE)</f>
        <v>150</v>
      </c>
      <c r="C973" s="223" t="s">
        <v>2573</v>
      </c>
      <c r="D973" s="55" t="str">
        <f t="shared" si="30"/>
        <v>PTO972-150-24</v>
      </c>
      <c r="E973" s="9" t="s">
        <v>2574</v>
      </c>
      <c r="F973" s="10" t="str" cm="1">
        <f t="array" aca="1" ref="F9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73" s="10">
        <v>2.16</v>
      </c>
      <c r="I973" s="12">
        <v>45546</v>
      </c>
      <c r="J973" s="12" t="s">
        <v>495</v>
      </c>
      <c r="K973" s="77">
        <v>45546</v>
      </c>
      <c r="L973" s="10" t="s">
        <v>673</v>
      </c>
      <c r="M973" s="427">
        <v>972</v>
      </c>
      <c r="N973" s="13" t="str">
        <f t="shared" ca="1" si="31"/>
        <v>CLOSED</v>
      </c>
    </row>
    <row r="974" spans="1:14" ht="28.8" x14ac:dyDescent="0.3">
      <c r="A974" s="9" t="s">
        <v>65</v>
      </c>
      <c r="B974" s="95">
        <f>VLOOKUP(Table27[[#This Row],[Location 
(drop-down)]],'List source'!D$2:E$61,2,FALSE)</f>
        <v>155</v>
      </c>
      <c r="C974" s="223" t="s">
        <v>2575</v>
      </c>
      <c r="D974" s="55" t="str">
        <f t="shared" si="30"/>
        <v>PTO973-155-24</v>
      </c>
      <c r="E974" s="9" t="s">
        <v>2576</v>
      </c>
      <c r="F974" s="10" t="str" cm="1">
        <f t="array" aca="1" ref="F9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 &amp; Benzene</v>
      </c>
      <c r="H974" s="10" t="s">
        <v>2577</v>
      </c>
      <c r="I974" s="12">
        <v>45546</v>
      </c>
      <c r="J974" s="12" t="s">
        <v>134</v>
      </c>
      <c r="K974" s="77">
        <v>45698</v>
      </c>
      <c r="L974" s="10"/>
      <c r="M974" s="427">
        <v>973</v>
      </c>
      <c r="N974" s="13" t="str">
        <f t="shared" ca="1" si="31"/>
        <v>CLOSED</v>
      </c>
    </row>
    <row r="975" spans="1:14" ht="18" x14ac:dyDescent="0.3">
      <c r="A975" s="239" t="s">
        <v>235</v>
      </c>
      <c r="B975" s="328">
        <f>VLOOKUP(Table27[[#This Row],[Location 
(drop-down)]],'List source'!D$2:E$61,2,FALSE)</f>
        <v>160</v>
      </c>
      <c r="C975" s="294" t="s">
        <v>2578</v>
      </c>
      <c r="D975" s="345" t="str">
        <f t="shared" si="30"/>
        <v>PTO974-160-24</v>
      </c>
      <c r="E975" s="239" t="s">
        <v>2579</v>
      </c>
      <c r="F975" s="245" t="str" cm="1">
        <f t="array" aca="1" ref="F9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5"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D287 - API Gravity</v>
      </c>
      <c r="H975" s="245">
        <v>2.34</v>
      </c>
      <c r="I975" s="246">
        <v>45546</v>
      </c>
      <c r="J975" s="246" t="s">
        <v>438</v>
      </c>
      <c r="K975" s="247">
        <v>45750</v>
      </c>
      <c r="L975" s="10"/>
      <c r="M975" s="427">
        <v>974</v>
      </c>
      <c r="N975" s="13" t="str">
        <f t="shared" ca="1" si="31"/>
        <v>CLOSED</v>
      </c>
    </row>
    <row r="976" spans="1:14" ht="43.2" x14ac:dyDescent="0.3">
      <c r="A976" s="9" t="s">
        <v>235</v>
      </c>
      <c r="B976" s="95">
        <f>VLOOKUP(Table27[[#This Row],[Location 
(drop-down)]],'List source'!D$2:E$61,2,FALSE)</f>
        <v>160</v>
      </c>
      <c r="C976" s="223" t="s">
        <v>2580</v>
      </c>
      <c r="D976" s="55" t="str">
        <f t="shared" si="30"/>
        <v>PTO975-160-24</v>
      </c>
      <c r="E976" s="9" t="s">
        <v>2574</v>
      </c>
      <c r="F976" s="10" t="str" cm="1">
        <f t="array" aca="1" ref="F9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76" s="10">
        <v>2.27</v>
      </c>
      <c r="I976" s="12">
        <v>45546</v>
      </c>
      <c r="J976" s="12" t="s">
        <v>495</v>
      </c>
      <c r="K976" s="77">
        <v>45546</v>
      </c>
      <c r="L976" s="10" t="s">
        <v>673</v>
      </c>
      <c r="M976" s="427">
        <v>975</v>
      </c>
      <c r="N976" s="13" t="str">
        <f t="shared" ca="1" si="31"/>
        <v>CLOSED</v>
      </c>
    </row>
    <row r="977" spans="1:14" ht="43.2" x14ac:dyDescent="0.3">
      <c r="A977" s="9" t="s">
        <v>235</v>
      </c>
      <c r="B977" s="95">
        <f>VLOOKUP(Table27[[#This Row],[Location 
(drop-down)]],'List source'!D$2:E$61,2,FALSE)</f>
        <v>160</v>
      </c>
      <c r="C977" s="223" t="s">
        <v>2581</v>
      </c>
      <c r="D977" s="55" t="str">
        <f t="shared" si="30"/>
        <v>PTO976-160-24</v>
      </c>
      <c r="E977" s="9" t="s">
        <v>2552</v>
      </c>
      <c r="F977" s="10" t="str" cm="1">
        <f t="array" aca="1" ref="F9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977" s="39" t="s">
        <v>2582</v>
      </c>
      <c r="I977" s="12">
        <v>45546</v>
      </c>
      <c r="J977" s="12" t="s">
        <v>495</v>
      </c>
      <c r="K977" s="77">
        <v>45546</v>
      </c>
      <c r="L977" s="10" t="s">
        <v>673</v>
      </c>
      <c r="M977" s="427">
        <v>976</v>
      </c>
      <c r="N977" s="13" t="str">
        <f t="shared" ca="1" si="31"/>
        <v>CLOSED</v>
      </c>
    </row>
    <row r="978" spans="1:14" ht="43.2" x14ac:dyDescent="0.3">
      <c r="A978" s="9" t="s">
        <v>209</v>
      </c>
      <c r="B978" s="95">
        <f>VLOOKUP(Table27[[#This Row],[Location 
(drop-down)]],'List source'!D$2:E$61,2,FALSE)</f>
        <v>165</v>
      </c>
      <c r="C978" s="223" t="s">
        <v>2583</v>
      </c>
      <c r="D978" s="55" t="str">
        <f t="shared" si="30"/>
        <v>PTO977-165-24</v>
      </c>
      <c r="E978" s="9" t="s">
        <v>2566</v>
      </c>
      <c r="F978" s="10" t="str" cm="1">
        <f t="array" aca="1" ref="F9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978" s="10">
        <v>2.63</v>
      </c>
      <c r="I978" s="12">
        <v>45546</v>
      </c>
      <c r="J978" s="12" t="s">
        <v>495</v>
      </c>
      <c r="K978" s="77">
        <v>45546</v>
      </c>
      <c r="L978" s="10" t="s">
        <v>673</v>
      </c>
      <c r="M978" s="427">
        <v>977</v>
      </c>
      <c r="N978" s="13" t="str">
        <f t="shared" ca="1" si="31"/>
        <v>CLOSED</v>
      </c>
    </row>
    <row r="979" spans="1:14" ht="28.8" x14ac:dyDescent="0.3">
      <c r="A979" s="239" t="s">
        <v>209</v>
      </c>
      <c r="B979" s="328">
        <f>VLOOKUP(Table27[[#This Row],[Location 
(drop-down)]],'List source'!D$2:E$61,2,FALSE)</f>
        <v>165</v>
      </c>
      <c r="C979" s="294" t="s">
        <v>2584</v>
      </c>
      <c r="D979" s="345" t="str">
        <f t="shared" si="30"/>
        <v>PTO978-165-24</v>
      </c>
      <c r="E979" s="239" t="s">
        <v>2585</v>
      </c>
      <c r="F979" s="245" t="str" cm="1">
        <f t="array" aca="1" ref="F9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79"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79" s="245" t="s">
        <v>2586</v>
      </c>
      <c r="I979" s="246">
        <v>45546</v>
      </c>
      <c r="J979" s="246" t="s">
        <v>438</v>
      </c>
      <c r="K979" s="247">
        <v>45791</v>
      </c>
      <c r="L979" s="10"/>
      <c r="M979" s="427">
        <v>978</v>
      </c>
      <c r="N979" s="13" t="str">
        <f t="shared" ca="1" si="31"/>
        <v>CLOSED</v>
      </c>
    </row>
    <row r="980" spans="1:14" ht="18" x14ac:dyDescent="0.3">
      <c r="A980" s="9" t="s">
        <v>57</v>
      </c>
      <c r="B980" s="95">
        <f>VLOOKUP(Table27[[#This Row],[Location 
(drop-down)]],'List source'!D$2:E$61,2,FALSE)</f>
        <v>170</v>
      </c>
      <c r="C980" s="223" t="s">
        <v>2587</v>
      </c>
      <c r="D980" s="55" t="str">
        <f t="shared" si="30"/>
        <v>PTO979-170-24</v>
      </c>
      <c r="E980" s="9" t="s">
        <v>2588</v>
      </c>
      <c r="F980" s="10" t="str" cm="1">
        <f t="array" aca="1" ref="F9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 xml:space="preserve">D5580 - C9+ Aromatics </v>
      </c>
      <c r="H980" s="10">
        <v>3.06</v>
      </c>
      <c r="I980" s="12">
        <v>45546</v>
      </c>
      <c r="J980" s="12" t="s">
        <v>60</v>
      </c>
      <c r="K980" s="77">
        <v>45628</v>
      </c>
      <c r="L980" s="10"/>
      <c r="M980" s="427">
        <v>979</v>
      </c>
      <c r="N980" s="13" t="str">
        <f t="shared" ca="1" si="31"/>
        <v>CLOSED</v>
      </c>
    </row>
    <row r="981" spans="1:14" ht="43.2" x14ac:dyDescent="0.3">
      <c r="A981" s="9" t="s">
        <v>57</v>
      </c>
      <c r="B981" s="95">
        <f>VLOOKUP(Table27[[#This Row],[Location 
(drop-down)]],'List source'!D$2:E$61,2,FALSE)</f>
        <v>170</v>
      </c>
      <c r="C981" s="223" t="s">
        <v>2589</v>
      </c>
      <c r="D981" s="55" t="str">
        <f t="shared" si="30"/>
        <v>PTO980-170-24</v>
      </c>
      <c r="E981" s="9" t="s">
        <v>2590</v>
      </c>
      <c r="F981" s="10" t="str" cm="1">
        <f t="array" aca="1" ref="F9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981" s="10">
        <v>2.61</v>
      </c>
      <c r="I981" s="12">
        <v>45546</v>
      </c>
      <c r="J981" s="12" t="s">
        <v>495</v>
      </c>
      <c r="K981" s="77">
        <v>45546</v>
      </c>
      <c r="L981" s="10" t="s">
        <v>673</v>
      </c>
      <c r="M981" s="427">
        <v>980</v>
      </c>
      <c r="N981" s="13" t="str">
        <f t="shared" ca="1" si="31"/>
        <v>CLOSED</v>
      </c>
    </row>
    <row r="982" spans="1:14" ht="18" x14ac:dyDescent="0.3">
      <c r="A982" s="9" t="s">
        <v>57</v>
      </c>
      <c r="B982" s="95">
        <f>VLOOKUP(Table27[[#This Row],[Location 
(drop-down)]],'List source'!D$2:E$61,2,FALSE)</f>
        <v>170</v>
      </c>
      <c r="C982" s="223" t="s">
        <v>2591</v>
      </c>
      <c r="D982" s="55" t="str">
        <f t="shared" si="30"/>
        <v>PTO981-170-24</v>
      </c>
      <c r="E982" s="9" t="s">
        <v>2592</v>
      </c>
      <c r="F982" s="10" t="str" cm="1">
        <f t="array" aca="1" ref="F9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982" s="10">
        <v>4.33</v>
      </c>
      <c r="I982" s="12">
        <v>45546</v>
      </c>
      <c r="J982" s="12" t="s">
        <v>60</v>
      </c>
      <c r="K982" s="77">
        <v>45645</v>
      </c>
      <c r="L982" s="10"/>
      <c r="M982" s="427">
        <v>981</v>
      </c>
      <c r="N982" s="13" t="str">
        <f t="shared" ca="1" si="31"/>
        <v>CLOSED</v>
      </c>
    </row>
    <row r="983" spans="1:14" ht="18" x14ac:dyDescent="0.3">
      <c r="A983" s="9" t="s">
        <v>147</v>
      </c>
      <c r="B983" s="95">
        <f>VLOOKUP(Table27[[#This Row],[Location 
(drop-down)]],'List source'!D$2:E$61,2,FALSE)</f>
        <v>185</v>
      </c>
      <c r="C983" s="223" t="s">
        <v>2593</v>
      </c>
      <c r="D983" s="55" t="str">
        <f t="shared" si="30"/>
        <v>PTO982-185-24</v>
      </c>
      <c r="E983" s="9" t="s">
        <v>2594</v>
      </c>
      <c r="F983" s="10" t="str" cm="1">
        <f t="array" aca="1" ref="F9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83" s="10">
        <v>3.27</v>
      </c>
      <c r="I983" s="12">
        <v>45546</v>
      </c>
      <c r="J983" s="12" t="s">
        <v>195</v>
      </c>
      <c r="K983" s="77">
        <v>45588</v>
      </c>
      <c r="L983" s="10"/>
      <c r="M983" s="427">
        <v>982</v>
      </c>
      <c r="N983" s="13" t="str">
        <f t="shared" ca="1" si="31"/>
        <v>CLOSED</v>
      </c>
    </row>
    <row r="984" spans="1:14" ht="43.2" x14ac:dyDescent="0.3">
      <c r="A984" s="9" t="s">
        <v>44</v>
      </c>
      <c r="B984" s="95">
        <f>VLOOKUP(Table27[[#This Row],[Location 
(drop-down)]],'List source'!D$2:E$61,2,FALSE)</f>
        <v>192</v>
      </c>
      <c r="C984" s="223" t="s">
        <v>2595</v>
      </c>
      <c r="D984" s="55" t="str">
        <f t="shared" si="30"/>
        <v>PTO983-192-24</v>
      </c>
      <c r="E984" s="9" t="s">
        <v>2596</v>
      </c>
      <c r="F984" s="10" t="str" cm="1">
        <f t="array" aca="1" ref="F9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Benzene</v>
      </c>
      <c r="H984" s="10">
        <v>2.86</v>
      </c>
      <c r="I984" s="12">
        <v>45546</v>
      </c>
      <c r="J984" s="12" t="s">
        <v>495</v>
      </c>
      <c r="K984" s="77">
        <v>45546</v>
      </c>
      <c r="L984" s="10" t="s">
        <v>673</v>
      </c>
      <c r="M984" s="427">
        <v>983</v>
      </c>
      <c r="N984" s="13" t="str">
        <f t="shared" ca="1" si="31"/>
        <v>CLOSED</v>
      </c>
    </row>
    <row r="985" spans="1:14" ht="43.2" x14ac:dyDescent="0.3">
      <c r="A985" s="9" t="s">
        <v>44</v>
      </c>
      <c r="B985" s="95">
        <f>VLOOKUP(Table27[[#This Row],[Location 
(drop-down)]],'List source'!D$2:E$61,2,FALSE)</f>
        <v>192</v>
      </c>
      <c r="C985" s="223" t="s">
        <v>2597</v>
      </c>
      <c r="D985" s="55" t="str">
        <f t="shared" si="30"/>
        <v>PTO984-192-24</v>
      </c>
      <c r="E985" s="9" t="s">
        <v>2559</v>
      </c>
      <c r="F985" s="10" t="str" cm="1">
        <f t="array" aca="1" ref="F9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85" s="39" t="s">
        <v>2598</v>
      </c>
      <c r="I985" s="12">
        <v>45546</v>
      </c>
      <c r="J985" s="12" t="s">
        <v>495</v>
      </c>
      <c r="K985" s="77">
        <v>45546</v>
      </c>
      <c r="L985" s="10" t="s">
        <v>673</v>
      </c>
      <c r="M985" s="427">
        <v>984</v>
      </c>
      <c r="N985" s="13" t="str">
        <f t="shared" ca="1" si="31"/>
        <v>CLOSED</v>
      </c>
    </row>
    <row r="986" spans="1:14" ht="43.2" x14ac:dyDescent="0.3">
      <c r="A986" s="9" t="s">
        <v>564</v>
      </c>
      <c r="B986" s="95">
        <f>VLOOKUP(Table27[[#This Row],[Location 
(drop-down)]],'List source'!D$2:E$61,2,FALSE)</f>
        <v>215</v>
      </c>
      <c r="C986" s="223" t="s">
        <v>2599</v>
      </c>
      <c r="D986" s="55" t="str">
        <f t="shared" si="30"/>
        <v>PTO985-215-24</v>
      </c>
      <c r="E986" s="9" t="s">
        <v>2600</v>
      </c>
      <c r="F986" s="10" t="str" cm="1">
        <f t="array" aca="1" ref="F9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9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86" s="10">
        <v>2.12</v>
      </c>
      <c r="I986" s="12">
        <v>45546</v>
      </c>
      <c r="J986" s="12" t="s">
        <v>495</v>
      </c>
      <c r="K986" s="77">
        <v>45546</v>
      </c>
      <c r="L986" s="10" t="s">
        <v>673</v>
      </c>
      <c r="M986" s="427">
        <v>985</v>
      </c>
      <c r="N986" s="13" t="str">
        <f t="shared" ca="1" si="31"/>
        <v>CLOSED</v>
      </c>
    </row>
    <row r="987" spans="1:14" ht="43.2" x14ac:dyDescent="0.3">
      <c r="A987" s="9" t="s">
        <v>44</v>
      </c>
      <c r="B987" s="95">
        <f>VLOOKUP(Table27[[#This Row],[Location 
(drop-down)]],'List source'!D$2:E$61,2,FALSE)</f>
        <v>192</v>
      </c>
      <c r="C987" s="223" t="s">
        <v>2601</v>
      </c>
      <c r="D987" s="55" t="str">
        <f t="shared" si="30"/>
        <v>PTO986-192-24</v>
      </c>
      <c r="E987" s="9" t="s">
        <v>2602</v>
      </c>
      <c r="F987" s="10" t="s">
        <v>918</v>
      </c>
      <c r="G9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987" s="10" t="s">
        <v>2603</v>
      </c>
      <c r="I987" s="12">
        <v>45546</v>
      </c>
      <c r="J987" s="12" t="s">
        <v>495</v>
      </c>
      <c r="K987" s="77">
        <v>45546</v>
      </c>
      <c r="L987" s="10" t="s">
        <v>673</v>
      </c>
      <c r="M987" s="427">
        <v>986</v>
      </c>
      <c r="N987" s="13" t="str">
        <f t="shared" ca="1" si="31"/>
        <v>CLOSED</v>
      </c>
    </row>
    <row r="988" spans="1:14" ht="28.8" x14ac:dyDescent="0.3">
      <c r="A988" s="9" t="s">
        <v>44</v>
      </c>
      <c r="B988" s="95">
        <f>VLOOKUP(Table27[[#This Row],[Location 
(drop-down)]],'List source'!D$2:E$61,2,FALSE)</f>
        <v>192</v>
      </c>
      <c r="C988" s="223" t="s">
        <v>2604</v>
      </c>
      <c r="D988" s="55" t="str">
        <f t="shared" si="30"/>
        <v>PTO987-192-24</v>
      </c>
      <c r="E988" s="9" t="s">
        <v>2605</v>
      </c>
      <c r="F988" s="10" t="s">
        <v>918</v>
      </c>
      <c r="G9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988" s="10">
        <v>4.7699999999999996</v>
      </c>
      <c r="I988" s="12">
        <v>45547</v>
      </c>
      <c r="J988" s="12" t="s">
        <v>498</v>
      </c>
      <c r="K988" s="77">
        <v>45587</v>
      </c>
      <c r="L988" s="10"/>
      <c r="M988" s="427">
        <v>987</v>
      </c>
      <c r="N988" s="13" t="str">
        <f t="shared" ca="1" si="31"/>
        <v>CLOSED</v>
      </c>
    </row>
    <row r="989" spans="1:14" ht="28.8" x14ac:dyDescent="0.3">
      <c r="A989" s="9" t="s">
        <v>44</v>
      </c>
      <c r="B989" s="95">
        <f>VLOOKUP(Table27[[#This Row],[Location 
(drop-down)]],'List source'!D$2:E$61,2,FALSE)</f>
        <v>192</v>
      </c>
      <c r="C989" s="223" t="s">
        <v>2606</v>
      </c>
      <c r="D989" s="55" t="str">
        <f t="shared" si="30"/>
        <v>PTO988-192-24</v>
      </c>
      <c r="E989" s="9" t="s">
        <v>2607</v>
      </c>
      <c r="F989" s="10" t="str" cm="1">
        <f t="array" aca="1" ref="F9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9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89" s="39" t="s">
        <v>2608</v>
      </c>
      <c r="I989" s="12">
        <v>45547</v>
      </c>
      <c r="J989" s="12" t="s">
        <v>495</v>
      </c>
      <c r="K989" s="77">
        <v>45547</v>
      </c>
      <c r="L989" s="10" t="s">
        <v>915</v>
      </c>
      <c r="M989" s="427">
        <v>988</v>
      </c>
      <c r="N989" s="13" t="str">
        <f t="shared" ca="1" si="31"/>
        <v>CLOSED</v>
      </c>
    </row>
    <row r="990" spans="1:14" ht="18" x14ac:dyDescent="0.3">
      <c r="A990" s="9" t="s">
        <v>138</v>
      </c>
      <c r="B990" s="95">
        <f>VLOOKUP(Table27[[#This Row],[Location 
(drop-down)]],'List source'!D$2:E$61,2,FALSE)</f>
        <v>110</v>
      </c>
      <c r="C990" s="223" t="s">
        <v>2609</v>
      </c>
      <c r="D990" s="55" t="str">
        <f t="shared" si="30"/>
        <v>PTO989-110-24</v>
      </c>
      <c r="E990" s="9" t="s">
        <v>2610</v>
      </c>
      <c r="F990" s="10" t="s">
        <v>918</v>
      </c>
      <c r="G9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D5773 - Cloud Point</v>
      </c>
      <c r="H990" s="10">
        <v>2.2599999999999998</v>
      </c>
      <c r="I990" s="12">
        <v>45548</v>
      </c>
      <c r="J990" s="12" t="s">
        <v>498</v>
      </c>
      <c r="K990" s="77">
        <v>45945</v>
      </c>
      <c r="L990" s="10"/>
      <c r="M990" s="427">
        <v>989</v>
      </c>
      <c r="N990" s="13" t="str">
        <f t="shared" ca="1" si="31"/>
        <v>CLOSED</v>
      </c>
    </row>
    <row r="991" spans="1:14" ht="28.8" x14ac:dyDescent="0.3">
      <c r="A991" s="9" t="s">
        <v>126</v>
      </c>
      <c r="B991" s="95">
        <f>VLOOKUP(Table27[[#This Row],[Location 
(drop-down)]],'List source'!D$2:E$61,2,FALSE)</f>
        <v>125</v>
      </c>
      <c r="C991" s="223" t="s">
        <v>2611</v>
      </c>
      <c r="D991" s="55" t="str">
        <f t="shared" si="30"/>
        <v>PTO990-125-24</v>
      </c>
      <c r="E991" s="9" t="s">
        <v>2612</v>
      </c>
      <c r="F991" s="10" t="s">
        <v>918</v>
      </c>
      <c r="G9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91" s="10" t="s">
        <v>529</v>
      </c>
      <c r="I991" s="12">
        <v>45548</v>
      </c>
      <c r="J991" s="12" t="s">
        <v>495</v>
      </c>
      <c r="K991" s="77">
        <v>45548</v>
      </c>
      <c r="L991" s="10" t="s">
        <v>915</v>
      </c>
      <c r="M991" s="427">
        <v>990</v>
      </c>
      <c r="N991" s="13" t="str">
        <f t="shared" ca="1" si="31"/>
        <v>CLOSED</v>
      </c>
    </row>
    <row r="992" spans="1:14" ht="28.8" x14ac:dyDescent="0.3">
      <c r="A992" s="9" t="s">
        <v>126</v>
      </c>
      <c r="B992" s="95">
        <f>VLOOKUP(Table27[[#This Row],[Location 
(drop-down)]],'List source'!D$2:E$61,2,FALSE)</f>
        <v>125</v>
      </c>
      <c r="C992" s="223" t="s">
        <v>2613</v>
      </c>
      <c r="D992" s="55" t="str">
        <f t="shared" si="30"/>
        <v>PTO991-125-24</v>
      </c>
      <c r="E992" s="9" t="s">
        <v>2614</v>
      </c>
      <c r="F992" s="10" t="s">
        <v>918</v>
      </c>
      <c r="G9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992" s="10">
        <v>51.18</v>
      </c>
      <c r="I992" s="12">
        <v>45548</v>
      </c>
      <c r="J992" s="12" t="s">
        <v>495</v>
      </c>
      <c r="K992" s="77">
        <v>45548</v>
      </c>
      <c r="L992" s="10" t="s">
        <v>510</v>
      </c>
      <c r="M992" s="427">
        <v>991</v>
      </c>
      <c r="N992" s="13" t="str">
        <f t="shared" ca="1" si="31"/>
        <v>CLOSED</v>
      </c>
    </row>
    <row r="993" spans="1:14" ht="28.8" x14ac:dyDescent="0.3">
      <c r="A993" s="9" t="s">
        <v>126</v>
      </c>
      <c r="B993" s="95">
        <f>VLOOKUP(Table27[[#This Row],[Location 
(drop-down)]],'List source'!D$2:E$61,2,FALSE)</f>
        <v>125</v>
      </c>
      <c r="C993" s="223" t="s">
        <v>2615</v>
      </c>
      <c r="D993" s="55" t="str">
        <f t="shared" si="30"/>
        <v>PTO992-125-24</v>
      </c>
      <c r="E993" s="9" t="s">
        <v>2616</v>
      </c>
      <c r="F993" s="10" t="s">
        <v>918</v>
      </c>
      <c r="G9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993" s="10">
        <v>2.2999999999999998</v>
      </c>
      <c r="I993" s="12">
        <v>45548</v>
      </c>
      <c r="J993" s="12" t="s">
        <v>195</v>
      </c>
      <c r="K993" s="77">
        <v>45589</v>
      </c>
      <c r="L993" s="10"/>
      <c r="M993" s="427">
        <v>992</v>
      </c>
      <c r="N993" s="13" t="str">
        <f t="shared" ca="1" si="31"/>
        <v>CLOSED</v>
      </c>
    </row>
    <row r="994" spans="1:14" ht="18" x14ac:dyDescent="0.3">
      <c r="A994" s="9" t="s">
        <v>153</v>
      </c>
      <c r="B994" s="95">
        <f>VLOOKUP(Table27[[#This Row],[Location 
(drop-down)]],'List source'!D$2:E$61,2,FALSE)</f>
        <v>126</v>
      </c>
      <c r="C994" s="223" t="s">
        <v>2617</v>
      </c>
      <c r="D994" s="55" t="str">
        <f t="shared" si="30"/>
        <v>PTO993-126-24</v>
      </c>
      <c r="E994" s="9" t="s">
        <v>2618</v>
      </c>
      <c r="F994" s="10" t="s">
        <v>918</v>
      </c>
      <c r="G9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94" s="10">
        <v>-49.88</v>
      </c>
      <c r="I994" s="12">
        <v>45548</v>
      </c>
      <c r="J994" s="12" t="s">
        <v>495</v>
      </c>
      <c r="K994" s="77">
        <v>45548</v>
      </c>
      <c r="L994" s="10" t="s">
        <v>510</v>
      </c>
      <c r="M994" s="427">
        <v>993</v>
      </c>
      <c r="N994" s="13" t="str">
        <f t="shared" ca="1" si="31"/>
        <v>CLOSED</v>
      </c>
    </row>
    <row r="995" spans="1:14" ht="28.8" x14ac:dyDescent="0.3">
      <c r="A995" s="9" t="s">
        <v>39</v>
      </c>
      <c r="B995" s="95">
        <f>VLOOKUP(Table27[[#This Row],[Location 
(drop-down)]],'List source'!D$2:E$61,2,FALSE)</f>
        <v>127</v>
      </c>
      <c r="C995" s="223" t="s">
        <v>2619</v>
      </c>
      <c r="D995" s="55" t="str">
        <f t="shared" si="30"/>
        <v>PTO994-127-24</v>
      </c>
      <c r="E995" s="9" t="s">
        <v>2620</v>
      </c>
      <c r="F995" s="10" t="s">
        <v>918</v>
      </c>
      <c r="G995" s="9" t="s">
        <v>2621</v>
      </c>
      <c r="H995" s="10"/>
      <c r="I995" s="12">
        <v>45548</v>
      </c>
      <c r="J995" s="12" t="s">
        <v>495</v>
      </c>
      <c r="K995" s="77">
        <v>45548</v>
      </c>
      <c r="L995" s="10" t="s">
        <v>915</v>
      </c>
      <c r="M995" s="427">
        <v>994</v>
      </c>
      <c r="N995" s="13" t="str">
        <f t="shared" ca="1" si="31"/>
        <v>CLOSED</v>
      </c>
    </row>
    <row r="996" spans="1:14" ht="28.8" x14ac:dyDescent="0.3">
      <c r="A996" s="9" t="s">
        <v>186</v>
      </c>
      <c r="B996" s="95">
        <f>VLOOKUP(Table27[[#This Row],[Location 
(drop-down)]],'List source'!D$2:E$61,2,FALSE)</f>
        <v>130</v>
      </c>
      <c r="C996" s="223" t="s">
        <v>2622</v>
      </c>
      <c r="D996" s="55" t="str">
        <f t="shared" si="30"/>
        <v>PTO995-130-24</v>
      </c>
      <c r="E996" s="9" t="s">
        <v>2623</v>
      </c>
      <c r="F996" s="10" t="s">
        <v>918</v>
      </c>
      <c r="G9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996" s="10"/>
      <c r="I996" s="12">
        <v>45548</v>
      </c>
      <c r="J996" s="12" t="s">
        <v>495</v>
      </c>
      <c r="K996" s="77">
        <v>45548</v>
      </c>
      <c r="L996" s="10" t="s">
        <v>915</v>
      </c>
      <c r="M996" s="427">
        <v>995</v>
      </c>
      <c r="N996" s="13" t="str">
        <f t="shared" ca="1" si="31"/>
        <v>CLOSED</v>
      </c>
    </row>
    <row r="997" spans="1:14" ht="28.8" x14ac:dyDescent="0.3">
      <c r="A997" s="9" t="s">
        <v>186</v>
      </c>
      <c r="B997" s="95">
        <f>VLOOKUP(Table27[[#This Row],[Location 
(drop-down)]],'List source'!D$2:E$61,2,FALSE)</f>
        <v>130</v>
      </c>
      <c r="C997" s="223" t="s">
        <v>2624</v>
      </c>
      <c r="D997" s="55" t="str">
        <f t="shared" si="30"/>
        <v>PTO996-130-24</v>
      </c>
      <c r="E997" s="9" t="s">
        <v>2625</v>
      </c>
      <c r="F997" s="10" t="s">
        <v>918</v>
      </c>
      <c r="G9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997" s="10"/>
      <c r="I997" s="12">
        <v>45548</v>
      </c>
      <c r="J997" s="12" t="s">
        <v>495</v>
      </c>
      <c r="K997" s="77">
        <v>45548</v>
      </c>
      <c r="L997" s="10" t="s">
        <v>915</v>
      </c>
      <c r="M997" s="427">
        <v>996</v>
      </c>
      <c r="N997" s="13" t="str">
        <f t="shared" ca="1" si="31"/>
        <v>CLOSED</v>
      </c>
    </row>
    <row r="998" spans="1:14" ht="28.8" x14ac:dyDescent="0.3">
      <c r="A998" s="9" t="s">
        <v>186</v>
      </c>
      <c r="B998" s="95">
        <f>VLOOKUP(Table27[[#This Row],[Location 
(drop-down)]],'List source'!D$2:E$61,2,FALSE)</f>
        <v>130</v>
      </c>
      <c r="C998" s="223" t="s">
        <v>2626</v>
      </c>
      <c r="D998" s="55" t="str">
        <f t="shared" si="30"/>
        <v>PTO997-130-24</v>
      </c>
      <c r="E998" s="9" t="s">
        <v>2627</v>
      </c>
      <c r="F998" s="10" t="s">
        <v>918</v>
      </c>
      <c r="G9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998" s="39" t="s">
        <v>2413</v>
      </c>
      <c r="I998" s="12">
        <v>45548</v>
      </c>
      <c r="J998" s="12" t="s">
        <v>182</v>
      </c>
      <c r="K998" s="77">
        <v>45587</v>
      </c>
      <c r="L998" s="10"/>
      <c r="M998" s="427">
        <v>997</v>
      </c>
      <c r="N998" s="13" t="str">
        <f t="shared" ca="1" si="31"/>
        <v>CLOSED</v>
      </c>
    </row>
    <row r="999" spans="1:14" ht="18" x14ac:dyDescent="0.3">
      <c r="A999" s="235" t="s">
        <v>186</v>
      </c>
      <c r="B999" s="327">
        <f>VLOOKUP(Table27[[#This Row],[Location 
(drop-down)]],'List source'!D$2:E$61,2,FALSE)</f>
        <v>130</v>
      </c>
      <c r="C999" s="330" t="s">
        <v>2628</v>
      </c>
      <c r="D999" s="343" t="str">
        <f t="shared" si="30"/>
        <v>PTO998-130-24</v>
      </c>
      <c r="E999" s="9" t="s">
        <v>2629</v>
      </c>
      <c r="F999" s="10" t="s">
        <v>918</v>
      </c>
      <c r="G9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999" s="10">
        <v>11.51</v>
      </c>
      <c r="I999" s="12">
        <v>45548</v>
      </c>
      <c r="J999" s="264" t="s">
        <v>54</v>
      </c>
      <c r="K999" s="250">
        <v>45764</v>
      </c>
      <c r="L999" s="10"/>
      <c r="M999" s="427">
        <v>998</v>
      </c>
      <c r="N999" s="13" t="str">
        <f t="shared" ca="1" si="31"/>
        <v>CLOSED</v>
      </c>
    </row>
    <row r="1000" spans="1:14" ht="28.8" x14ac:dyDescent="0.3">
      <c r="A1000" s="9" t="s">
        <v>186</v>
      </c>
      <c r="B1000" s="95">
        <f>VLOOKUP(Table27[[#This Row],[Location 
(drop-down)]],'List source'!D$2:E$61,2,FALSE)</f>
        <v>130</v>
      </c>
      <c r="C1000" s="223" t="s">
        <v>2630</v>
      </c>
      <c r="D1000" s="55" t="str">
        <f t="shared" si="30"/>
        <v>PTO999-130-24</v>
      </c>
      <c r="E1000" s="9" t="s">
        <v>2631</v>
      </c>
      <c r="F1000" s="10" t="s">
        <v>918</v>
      </c>
      <c r="G10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000" s="10">
        <v>8.0500000000000007</v>
      </c>
      <c r="I1000" s="12">
        <v>45548</v>
      </c>
      <c r="J1000" s="12" t="s">
        <v>182</v>
      </c>
      <c r="K1000" s="77">
        <v>45768</v>
      </c>
      <c r="L1000" s="10"/>
      <c r="M1000" s="427">
        <v>999</v>
      </c>
      <c r="N1000" s="13" t="str">
        <f t="shared" ca="1" si="31"/>
        <v>CLOSED</v>
      </c>
    </row>
    <row r="1001" spans="1:14" ht="43.2" x14ac:dyDescent="0.3">
      <c r="A1001" s="9" t="s">
        <v>264</v>
      </c>
      <c r="B1001" s="13">
        <f>VLOOKUP(Table27[[#This Row],[Location 
(drop-down)]],'List source'!D$2:E$61,2,FALSE)</f>
        <v>132</v>
      </c>
      <c r="C1001" s="223" t="s">
        <v>2632</v>
      </c>
      <c r="D1001" s="13" t="str">
        <f t="shared" si="30"/>
        <v>PTO1000-132-24</v>
      </c>
      <c r="E1001" s="9" t="s">
        <v>2633</v>
      </c>
      <c r="F1001" s="10" t="s">
        <v>2029</v>
      </c>
      <c r="G10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01" s="39">
        <v>-2.19</v>
      </c>
      <c r="I1001" s="12">
        <v>45551</v>
      </c>
      <c r="J1001" s="12" t="s">
        <v>495</v>
      </c>
      <c r="K1001" s="77">
        <v>45551</v>
      </c>
      <c r="L1001" s="10" t="s">
        <v>673</v>
      </c>
      <c r="M1001" s="427">
        <v>1000</v>
      </c>
      <c r="N1001" s="13" t="str">
        <f t="shared" ca="1" si="31"/>
        <v>CLOSED</v>
      </c>
    </row>
    <row r="1002" spans="1:14" ht="43.2" x14ac:dyDescent="0.3">
      <c r="A1002" s="9" t="s">
        <v>261</v>
      </c>
      <c r="B1002" s="13">
        <f>VLOOKUP(Table27[[#This Row],[Location 
(drop-down)]],'List source'!D$2:E$61,2,FALSE)</f>
        <v>210</v>
      </c>
      <c r="C1002" s="223" t="s">
        <v>2634</v>
      </c>
      <c r="D1002" s="13" t="str">
        <f t="shared" si="30"/>
        <v>PTO1001-210-24</v>
      </c>
      <c r="E1002" s="9" t="s">
        <v>2635</v>
      </c>
      <c r="F1002" s="10" t="str" cm="1">
        <f t="array" aca="1" ref="F10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002" s="9" t="s">
        <v>2636</v>
      </c>
      <c r="H1002" s="10">
        <v>-2.39</v>
      </c>
      <c r="I1002" s="12">
        <v>45555</v>
      </c>
      <c r="J1002" s="12" t="s">
        <v>495</v>
      </c>
      <c r="K1002" s="77">
        <v>45555</v>
      </c>
      <c r="L1002" s="10" t="s">
        <v>673</v>
      </c>
      <c r="M1002" s="427">
        <v>1001</v>
      </c>
      <c r="N1002" s="13" t="str">
        <f t="shared" ca="1" si="31"/>
        <v>CLOSED</v>
      </c>
    </row>
    <row r="1003" spans="1:14" ht="28.8" x14ac:dyDescent="0.3">
      <c r="A1003" s="9" t="s">
        <v>21</v>
      </c>
      <c r="B1003" s="13">
        <f>VLOOKUP(Table27[[#This Row],[Location 
(drop-down)]],'List source'!D$2:E$61,2,FALSE)</f>
        <v>131</v>
      </c>
      <c r="C1003" s="223" t="s">
        <v>2637</v>
      </c>
      <c r="D1003" s="13" t="str">
        <f t="shared" si="30"/>
        <v>PTO1002-131-24</v>
      </c>
      <c r="E1003" s="9" t="s">
        <v>2638</v>
      </c>
      <c r="F1003" s="10" t="s">
        <v>918</v>
      </c>
      <c r="G10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03" s="39" t="s">
        <v>2358</v>
      </c>
      <c r="I1003" s="12">
        <v>45582</v>
      </c>
      <c r="J1003" s="12" t="s">
        <v>182</v>
      </c>
      <c r="K1003" s="77">
        <v>45607</v>
      </c>
      <c r="L1003" s="10"/>
      <c r="M1003" s="427">
        <v>1002</v>
      </c>
      <c r="N1003" s="13" t="str">
        <f t="shared" ca="1" si="31"/>
        <v>CLOSED</v>
      </c>
    </row>
    <row r="1004" spans="1:14" ht="28.8" x14ac:dyDescent="0.3">
      <c r="A1004" s="9" t="s">
        <v>264</v>
      </c>
      <c r="B1004" s="13">
        <f>VLOOKUP(Table27[[#This Row],[Location 
(drop-down)]],'List source'!D$2:E$61,2,FALSE)</f>
        <v>132</v>
      </c>
      <c r="C1004" s="223" t="s">
        <v>2639</v>
      </c>
      <c r="D1004" s="13" t="str">
        <f t="shared" si="30"/>
        <v>PTO1003-132-24</v>
      </c>
      <c r="E1004" s="9" t="s">
        <v>2640</v>
      </c>
      <c r="F1004" s="10" t="s">
        <v>918</v>
      </c>
      <c r="G10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004" s="10">
        <v>4.25</v>
      </c>
      <c r="I1004" s="12">
        <v>45582</v>
      </c>
      <c r="J1004" s="12" t="s">
        <v>2641</v>
      </c>
      <c r="K1004" s="77">
        <v>45784</v>
      </c>
      <c r="L1004" s="10"/>
      <c r="M1004" s="427">
        <v>1003</v>
      </c>
      <c r="N1004" s="13" t="str">
        <f t="shared" ca="1" si="31"/>
        <v>CLOSED</v>
      </c>
    </row>
    <row r="1005" spans="1:14" ht="28.8" x14ac:dyDescent="0.3">
      <c r="A1005" s="189" t="s">
        <v>157</v>
      </c>
      <c r="B1005" s="217">
        <f>VLOOKUP(Table27[[#This Row],[Location 
(drop-down)]],'List source'!D$2:E$61,2,FALSE)</f>
        <v>136</v>
      </c>
      <c r="C1005" s="255" t="s">
        <v>2642</v>
      </c>
      <c r="D1005" s="217" t="str">
        <f t="shared" si="30"/>
        <v>PTO1004-136-24</v>
      </c>
      <c r="E1005" s="9" t="s">
        <v>2643</v>
      </c>
      <c r="F1005" s="10" t="s">
        <v>918</v>
      </c>
      <c r="G10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05" s="39" t="s">
        <v>2644</v>
      </c>
      <c r="I1005" s="12">
        <v>45582</v>
      </c>
      <c r="J1005" s="234" t="s">
        <v>60</v>
      </c>
      <c r="K1005" s="220">
        <v>45797</v>
      </c>
      <c r="L1005" s="10"/>
      <c r="M1005" s="427">
        <v>1004</v>
      </c>
      <c r="N1005" s="13" t="str">
        <f t="shared" ca="1" si="31"/>
        <v>CLOSED</v>
      </c>
    </row>
    <row r="1006" spans="1:14" x14ac:dyDescent="0.3">
      <c r="A1006" s="272" t="s">
        <v>145</v>
      </c>
      <c r="B1006" s="273">
        <f>VLOOKUP(Table27[[#This Row],[Location 
(drop-down)]],'List source'!D$2:E$61,2,FALSE)</f>
        <v>145</v>
      </c>
      <c r="C1006" s="333" t="s">
        <v>2645</v>
      </c>
      <c r="D1006" s="273" t="str">
        <f t="shared" si="30"/>
        <v>PTO1005-145-24</v>
      </c>
      <c r="E1006" s="272" t="s">
        <v>2610</v>
      </c>
      <c r="F1006" s="277" t="s">
        <v>918</v>
      </c>
      <c r="G1006"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D5773 - Cloud Point</v>
      </c>
      <c r="H1006" s="277">
        <v>2.2599999999999998</v>
      </c>
      <c r="I1006" s="279">
        <v>45582</v>
      </c>
      <c r="J1006" s="279" t="s">
        <v>182</v>
      </c>
      <c r="K1006" s="280">
        <v>45687</v>
      </c>
      <c r="L1006" s="10"/>
      <c r="M1006" s="427">
        <v>1005</v>
      </c>
      <c r="N1006" s="13" t="str">
        <f t="shared" ca="1" si="31"/>
        <v>CLOSED</v>
      </c>
    </row>
    <row r="1007" spans="1:14" ht="43.2" x14ac:dyDescent="0.3">
      <c r="A1007" s="9" t="s">
        <v>70</v>
      </c>
      <c r="B1007" s="13">
        <f>VLOOKUP(Table27[[#This Row],[Location 
(drop-down)]],'List source'!D$2:E$61,2,FALSE)</f>
        <v>146</v>
      </c>
      <c r="C1007" s="223" t="s">
        <v>2646</v>
      </c>
      <c r="D1007" s="13" t="str">
        <f t="shared" si="30"/>
        <v>PTO1006-146-24</v>
      </c>
      <c r="E1007" s="9" t="s">
        <v>2647</v>
      </c>
      <c r="F1007" s="10" t="s">
        <v>918</v>
      </c>
      <c r="G10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07" s="39" t="s">
        <v>2648</v>
      </c>
      <c r="I1007" s="12">
        <v>45582</v>
      </c>
      <c r="J1007" s="12" t="s">
        <v>495</v>
      </c>
      <c r="K1007" s="77">
        <v>45582</v>
      </c>
      <c r="L1007" s="10" t="s">
        <v>673</v>
      </c>
      <c r="M1007" s="427">
        <v>1006</v>
      </c>
      <c r="N1007" s="13" t="str">
        <f t="shared" ca="1" si="31"/>
        <v>CLOSED</v>
      </c>
    </row>
    <row r="1008" spans="1:14" ht="43.2" x14ac:dyDescent="0.3">
      <c r="A1008" s="9" t="s">
        <v>65</v>
      </c>
      <c r="B1008" s="13">
        <f>VLOOKUP(Table27[[#This Row],[Location 
(drop-down)]],'List source'!D$2:E$61,2,FALSE)</f>
        <v>155</v>
      </c>
      <c r="C1008" s="223" t="s">
        <v>2649</v>
      </c>
      <c r="D1008" s="13" t="str">
        <f t="shared" si="30"/>
        <v>PTO1007-155-24</v>
      </c>
      <c r="E1008" s="9" t="s">
        <v>2650</v>
      </c>
      <c r="F1008" s="10" t="s">
        <v>918</v>
      </c>
      <c r="G10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D6371 - Cold Filter Plugging Point</v>
      </c>
      <c r="H1008" s="10">
        <v>2.2000000000000002</v>
      </c>
      <c r="I1008" s="12">
        <v>45582</v>
      </c>
      <c r="J1008" s="12" t="s">
        <v>495</v>
      </c>
      <c r="K1008" s="77">
        <v>45582</v>
      </c>
      <c r="L1008" s="10" t="s">
        <v>673</v>
      </c>
      <c r="M1008" s="427">
        <v>1007</v>
      </c>
      <c r="N1008" s="13" t="str">
        <f t="shared" ca="1" si="31"/>
        <v>CLOSED</v>
      </c>
    </row>
    <row r="1009" spans="1:14" ht="28.8" x14ac:dyDescent="0.3">
      <c r="A1009" s="9" t="s">
        <v>65</v>
      </c>
      <c r="B1009" s="13">
        <f>VLOOKUP(Table27[[#This Row],[Location 
(drop-down)]],'List source'!D$2:E$61,2,FALSE)</f>
        <v>155</v>
      </c>
      <c r="C1009" s="223" t="s">
        <v>2651</v>
      </c>
      <c r="D1009" s="13" t="str">
        <f t="shared" si="30"/>
        <v>PTO1008-155-24</v>
      </c>
      <c r="E1009" s="9" t="s">
        <v>2652</v>
      </c>
      <c r="F1009" s="10" t="s">
        <v>918</v>
      </c>
      <c r="G10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09" s="39" t="s">
        <v>2653</v>
      </c>
      <c r="I1009" s="12">
        <v>45582</v>
      </c>
      <c r="J1009" s="12" t="s">
        <v>134</v>
      </c>
      <c r="K1009" s="77">
        <v>45749</v>
      </c>
      <c r="L1009" s="10"/>
      <c r="M1009" s="427">
        <v>1008</v>
      </c>
      <c r="N1009" s="13" t="str">
        <f t="shared" ca="1" si="31"/>
        <v>CLOSED</v>
      </c>
    </row>
    <row r="1010" spans="1:14" ht="28.8" x14ac:dyDescent="0.3">
      <c r="A1010" s="239" t="s">
        <v>65</v>
      </c>
      <c r="B1010" s="240">
        <f>VLOOKUP(Table27[[#This Row],[Location 
(drop-down)]],'List source'!D$2:E$61,2,FALSE)</f>
        <v>155</v>
      </c>
      <c r="C1010" s="294" t="s">
        <v>2654</v>
      </c>
      <c r="D1010" s="240" t="str">
        <f t="shared" si="30"/>
        <v>PTO1009-155-24</v>
      </c>
      <c r="E1010" s="239" t="s">
        <v>2655</v>
      </c>
      <c r="F1010" s="245" t="s">
        <v>918</v>
      </c>
      <c r="G1010"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1010" s="245">
        <v>2.16</v>
      </c>
      <c r="I1010" s="246">
        <v>45582</v>
      </c>
      <c r="J1010" s="246" t="s">
        <v>182</v>
      </c>
      <c r="K1010" s="247">
        <v>45649</v>
      </c>
      <c r="L1010" s="10"/>
      <c r="M1010" s="427">
        <v>1009</v>
      </c>
      <c r="N1010" s="13" t="str">
        <f t="shared" ca="1" si="31"/>
        <v>CLOSED</v>
      </c>
    </row>
    <row r="1011" spans="1:14" ht="18" x14ac:dyDescent="0.3">
      <c r="A1011" s="9" t="s">
        <v>35</v>
      </c>
      <c r="B1011" s="13">
        <f>VLOOKUP(Table27[[#This Row],[Location 
(drop-down)]],'List source'!D$2:E$61,2,FALSE)</f>
        <v>158</v>
      </c>
      <c r="C1011" s="223" t="s">
        <v>2656</v>
      </c>
      <c r="D1011" s="30" t="str">
        <f t="shared" si="30"/>
        <v>PTO1010-158-24</v>
      </c>
      <c r="E1011" s="9" t="s">
        <v>2657</v>
      </c>
      <c r="F1011" s="10" t="s">
        <v>918</v>
      </c>
      <c r="G10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011" s="10">
        <v>3.56</v>
      </c>
      <c r="I1011" s="12">
        <v>45582</v>
      </c>
      <c r="J1011" s="12" t="s">
        <v>134</v>
      </c>
      <c r="K1011" s="77">
        <v>45871</v>
      </c>
      <c r="L1011" s="10"/>
      <c r="M1011" s="427">
        <v>1010</v>
      </c>
      <c r="N1011" s="13" t="str">
        <f t="shared" ca="1" si="31"/>
        <v>CLOSED</v>
      </c>
    </row>
    <row r="1012" spans="1:14" x14ac:dyDescent="0.3">
      <c r="A1012" s="9" t="s">
        <v>35</v>
      </c>
      <c r="B1012" s="13">
        <f>VLOOKUP(Table27[[#This Row],[Location 
(drop-down)]],'List source'!D$2:E$61,2,FALSE)</f>
        <v>158</v>
      </c>
      <c r="C1012" s="223" t="s">
        <v>2658</v>
      </c>
      <c r="D1012" s="13" t="str">
        <f t="shared" ref="D1012:D1075" si="32">"PTO" &amp; C1012 &amp; "-" &amp; B1012 &amp; "-" &amp; "24"</f>
        <v>PTO1011-158-24</v>
      </c>
      <c r="E1012" s="9" t="s">
        <v>2659</v>
      </c>
      <c r="F1012" s="10" t="s">
        <v>918</v>
      </c>
      <c r="G10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12" s="10">
        <v>3.6</v>
      </c>
      <c r="I1012" s="12">
        <v>45582</v>
      </c>
      <c r="J1012" s="12" t="s">
        <v>134</v>
      </c>
      <c r="K1012" s="77">
        <v>45687</v>
      </c>
      <c r="L1012" s="10"/>
      <c r="M1012" s="427">
        <v>1011</v>
      </c>
      <c r="N1012" s="13" t="str">
        <f t="shared" ref="N1012:N1075" ca="1" si="33">IF(ISBLANK(K1012), TODAY()-(I1012), "CLOSED")</f>
        <v>CLOSED</v>
      </c>
    </row>
    <row r="1013" spans="1:14" ht="28.8" x14ac:dyDescent="0.3">
      <c r="A1013" s="239" t="s">
        <v>235</v>
      </c>
      <c r="B1013" s="240">
        <f>VLOOKUP(Table27[[#This Row],[Location 
(drop-down)]],'List source'!D$2:E$61,2,FALSE)</f>
        <v>160</v>
      </c>
      <c r="C1013" s="294" t="s">
        <v>2660</v>
      </c>
      <c r="D1013" s="240" t="str">
        <f t="shared" si="32"/>
        <v>PTO1012-160-24</v>
      </c>
      <c r="E1013" s="239" t="s">
        <v>2661</v>
      </c>
      <c r="F1013" s="245" t="s">
        <v>918</v>
      </c>
      <c r="G1013"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1013" s="296" t="s">
        <v>2662</v>
      </c>
      <c r="I1013" s="246">
        <v>45582</v>
      </c>
      <c r="J1013" s="246" t="s">
        <v>182</v>
      </c>
      <c r="K1013" s="247">
        <v>45748</v>
      </c>
      <c r="L1013" s="10"/>
      <c r="M1013" s="427">
        <v>1012</v>
      </c>
      <c r="N1013" s="13" t="str">
        <f t="shared" ca="1" si="33"/>
        <v>CLOSED</v>
      </c>
    </row>
    <row r="1014" spans="1:14" ht="28.8" x14ac:dyDescent="0.3">
      <c r="A1014" s="9" t="s">
        <v>209</v>
      </c>
      <c r="B1014" s="13">
        <f>VLOOKUP(Table27[[#This Row],[Location 
(drop-down)]],'List source'!D$2:E$61,2,FALSE)</f>
        <v>165</v>
      </c>
      <c r="C1014" s="223" t="s">
        <v>2663</v>
      </c>
      <c r="D1014" s="13" t="str">
        <f t="shared" si="32"/>
        <v>PTO1013-165-24</v>
      </c>
      <c r="E1014" s="9" t="s">
        <v>2664</v>
      </c>
      <c r="F1014" s="10" t="s">
        <v>918</v>
      </c>
      <c r="G10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014" s="10">
        <v>3.27</v>
      </c>
      <c r="I1014" s="12">
        <v>45582</v>
      </c>
      <c r="J1014" s="12" t="s">
        <v>182</v>
      </c>
      <c r="K1014" s="77">
        <v>45835</v>
      </c>
      <c r="L1014" s="10"/>
      <c r="M1014" s="427">
        <v>1013</v>
      </c>
      <c r="N1014" s="13" t="str">
        <f t="shared" ca="1" si="33"/>
        <v>CLOSED</v>
      </c>
    </row>
    <row r="1015" spans="1:14" ht="28.8" x14ac:dyDescent="0.3">
      <c r="A1015" s="235" t="s">
        <v>209</v>
      </c>
      <c r="B1015" s="236">
        <f>VLOOKUP(Table27[[#This Row],[Location 
(drop-down)]],'List source'!D$2:E$61,2,FALSE)</f>
        <v>165</v>
      </c>
      <c r="C1015" s="330" t="s">
        <v>2665</v>
      </c>
      <c r="D1015" s="236" t="str">
        <f t="shared" si="32"/>
        <v>PTO1014-165-24</v>
      </c>
      <c r="E1015" s="235" t="s">
        <v>2666</v>
      </c>
      <c r="F1015" s="263" t="s">
        <v>918</v>
      </c>
      <c r="G1015"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1015" s="263">
        <v>-2.2000000000000002</v>
      </c>
      <c r="I1015" s="264">
        <v>45582</v>
      </c>
      <c r="J1015" s="264" t="s">
        <v>182</v>
      </c>
      <c r="K1015" s="250">
        <v>45791</v>
      </c>
      <c r="L1015" s="10"/>
      <c r="M1015" s="427">
        <v>1014</v>
      </c>
      <c r="N1015" s="13" t="str">
        <f t="shared" ca="1" si="33"/>
        <v>CLOSED</v>
      </c>
    </row>
    <row r="1016" spans="1:14" ht="43.2" x14ac:dyDescent="0.3">
      <c r="A1016" s="9" t="s">
        <v>57</v>
      </c>
      <c r="B1016" s="13">
        <f>VLOOKUP(Table27[[#This Row],[Location 
(drop-down)]],'List source'!D$2:E$61,2,FALSE)</f>
        <v>170</v>
      </c>
      <c r="C1016" s="223" t="s">
        <v>2667</v>
      </c>
      <c r="D1016" s="13" t="str">
        <f t="shared" si="32"/>
        <v>PTO1015-170-24</v>
      </c>
      <c r="E1016" s="9" t="s">
        <v>2668</v>
      </c>
      <c r="F1016" s="10" t="s">
        <v>918</v>
      </c>
      <c r="G10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1016" s="10">
        <v>2.78</v>
      </c>
      <c r="I1016" s="12">
        <v>45582</v>
      </c>
      <c r="J1016" s="12" t="s">
        <v>495</v>
      </c>
      <c r="K1016" s="77">
        <v>45582</v>
      </c>
      <c r="L1016" s="10" t="s">
        <v>673</v>
      </c>
      <c r="M1016" s="427">
        <v>1015</v>
      </c>
      <c r="N1016" s="13" t="str">
        <f t="shared" ca="1" si="33"/>
        <v>CLOSED</v>
      </c>
    </row>
    <row r="1017" spans="1:14" ht="43.2" x14ac:dyDescent="0.3">
      <c r="A1017" s="9" t="s">
        <v>57</v>
      </c>
      <c r="B1017" s="13">
        <f>VLOOKUP(Table27[[#This Row],[Location 
(drop-down)]],'List source'!D$2:E$61,2,FALSE)</f>
        <v>170</v>
      </c>
      <c r="C1017" s="223" t="s">
        <v>2669</v>
      </c>
      <c r="D1017" s="13" t="str">
        <f t="shared" si="32"/>
        <v>PTO1016-170-24</v>
      </c>
      <c r="E1017" s="9" t="s">
        <v>2670</v>
      </c>
      <c r="F1017" s="10" t="s">
        <v>918</v>
      </c>
      <c r="G10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1017" s="10">
        <v>2.9</v>
      </c>
      <c r="I1017" s="12">
        <v>45582</v>
      </c>
      <c r="J1017" s="12" t="s">
        <v>495</v>
      </c>
      <c r="K1017" s="77">
        <v>45582</v>
      </c>
      <c r="L1017" s="10" t="s">
        <v>673</v>
      </c>
      <c r="M1017" s="427">
        <v>1016</v>
      </c>
      <c r="N1017" s="13" t="str">
        <f t="shared" ca="1" si="33"/>
        <v>CLOSED</v>
      </c>
    </row>
    <row r="1018" spans="1:14" ht="28.8" x14ac:dyDescent="0.3">
      <c r="A1018" s="189" t="s">
        <v>57</v>
      </c>
      <c r="B1018" s="217">
        <f>VLOOKUP(Table27[[#This Row],[Location 
(drop-down)]],'List source'!D$2:E$61,2,FALSE)</f>
        <v>170</v>
      </c>
      <c r="C1018" s="255" t="s">
        <v>2671</v>
      </c>
      <c r="D1018" s="217" t="str">
        <f t="shared" si="32"/>
        <v>PTO1017-170-24</v>
      </c>
      <c r="E1018" s="9" t="s">
        <v>2672</v>
      </c>
      <c r="F1018" s="10" t="s">
        <v>918</v>
      </c>
      <c r="G10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18" s="39" t="s">
        <v>2673</v>
      </c>
      <c r="I1018" s="12">
        <v>45582</v>
      </c>
      <c r="J1018" s="234" t="s">
        <v>60</v>
      </c>
      <c r="K1018" s="220">
        <v>45754</v>
      </c>
      <c r="L1018" s="10"/>
      <c r="M1018" s="427">
        <v>1017</v>
      </c>
      <c r="N1018" s="13" t="str">
        <f t="shared" ca="1" si="33"/>
        <v>CLOSED</v>
      </c>
    </row>
    <row r="1019" spans="1:14" ht="28.8" x14ac:dyDescent="0.3">
      <c r="A1019" s="189" t="s">
        <v>57</v>
      </c>
      <c r="B1019" s="217">
        <f>VLOOKUP(Table27[[#This Row],[Location 
(drop-down)]],'List source'!D$2:E$61,2,FALSE)</f>
        <v>170</v>
      </c>
      <c r="C1019" s="255" t="s">
        <v>2674</v>
      </c>
      <c r="D1019" s="217" t="str">
        <f t="shared" si="32"/>
        <v>PTO1018-170-24</v>
      </c>
      <c r="E1019" s="9" t="s">
        <v>2675</v>
      </c>
      <c r="F1019" s="10" t="s">
        <v>918</v>
      </c>
      <c r="G10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D6591 - HC Type</v>
      </c>
      <c r="H1019" s="10" t="s">
        <v>2676</v>
      </c>
      <c r="I1019" s="12">
        <v>45582</v>
      </c>
      <c r="J1019" s="234" t="s">
        <v>60</v>
      </c>
      <c r="K1019" s="220">
        <v>45758</v>
      </c>
      <c r="L1019" s="10"/>
      <c r="M1019" s="427">
        <v>1018</v>
      </c>
      <c r="N1019" s="13" t="str">
        <f t="shared" ca="1" si="33"/>
        <v>CLOSED</v>
      </c>
    </row>
    <row r="1020" spans="1:14" x14ac:dyDescent="0.3">
      <c r="A1020" s="9" t="s">
        <v>325</v>
      </c>
      <c r="B1020" s="13">
        <f>VLOOKUP(Table27[[#This Row],[Location 
(drop-down)]],'List source'!D$2:E$61,2,FALSE)</f>
        <v>180</v>
      </c>
      <c r="C1020" s="223" t="s">
        <v>2677</v>
      </c>
      <c r="D1020" s="13" t="str">
        <f t="shared" si="32"/>
        <v>PTO1019-180-24</v>
      </c>
      <c r="E1020" s="9" t="s">
        <v>2678</v>
      </c>
      <c r="F1020" s="10" t="s">
        <v>918</v>
      </c>
      <c r="G10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20" s="39" t="s">
        <v>1605</v>
      </c>
      <c r="I1020" s="12">
        <v>45582</v>
      </c>
      <c r="J1020" s="12" t="s">
        <v>495</v>
      </c>
      <c r="K1020" s="77">
        <v>45582</v>
      </c>
      <c r="L1020" s="10" t="s">
        <v>510</v>
      </c>
      <c r="M1020" s="427">
        <v>1019</v>
      </c>
      <c r="N1020" s="13" t="str">
        <f t="shared" ca="1" si="33"/>
        <v>CLOSED</v>
      </c>
    </row>
    <row r="1021" spans="1:14" x14ac:dyDescent="0.3">
      <c r="A1021" s="9" t="s">
        <v>75</v>
      </c>
      <c r="B1021" s="13">
        <f>VLOOKUP(Table27[[#This Row],[Location 
(drop-down)]],'List source'!D$2:E$61,2,FALSE)</f>
        <v>190</v>
      </c>
      <c r="C1021" s="223" t="s">
        <v>2679</v>
      </c>
      <c r="D1021" s="13" t="str">
        <f t="shared" si="32"/>
        <v>PTO1020-190-24</v>
      </c>
      <c r="E1021" s="9" t="s">
        <v>2680</v>
      </c>
      <c r="F1021" s="10" t="s">
        <v>918</v>
      </c>
      <c r="G10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1021" s="10">
        <v>2.5</v>
      </c>
      <c r="I1021" s="12">
        <v>45582</v>
      </c>
      <c r="J1021" s="12" t="s">
        <v>60</v>
      </c>
      <c r="K1021" s="77">
        <v>45610</v>
      </c>
      <c r="L1021" s="10"/>
      <c r="M1021" s="427">
        <v>1020</v>
      </c>
      <c r="N1021" s="13" t="str">
        <f t="shared" ca="1" si="33"/>
        <v>CLOSED</v>
      </c>
    </row>
    <row r="1022" spans="1:14" ht="28.8" x14ac:dyDescent="0.3">
      <c r="A1022" s="9" t="s">
        <v>75</v>
      </c>
      <c r="B1022" s="13">
        <f>VLOOKUP(Table27[[#This Row],[Location 
(drop-down)]],'List source'!D$2:E$61,2,FALSE)</f>
        <v>190</v>
      </c>
      <c r="C1022" s="223" t="s">
        <v>2681</v>
      </c>
      <c r="D1022" s="13" t="str">
        <f t="shared" si="32"/>
        <v>PTO1021-190-24</v>
      </c>
      <c r="E1022" s="9" t="s">
        <v>2682</v>
      </c>
      <c r="F1022" s="10" t="s">
        <v>918</v>
      </c>
      <c r="G10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1022" s="10">
        <v>4.84</v>
      </c>
      <c r="I1022" s="12">
        <v>45582</v>
      </c>
      <c r="J1022" s="12" t="s">
        <v>60</v>
      </c>
      <c r="K1022" s="77">
        <v>45610</v>
      </c>
      <c r="L1022" s="10"/>
      <c r="M1022" s="427">
        <v>1021</v>
      </c>
      <c r="N1022" s="13" t="str">
        <f t="shared" ca="1" si="33"/>
        <v>CLOSED</v>
      </c>
    </row>
    <row r="1023" spans="1:14" ht="43.2" x14ac:dyDescent="0.3">
      <c r="A1023" s="9" t="s">
        <v>288</v>
      </c>
      <c r="B1023" s="13">
        <f>VLOOKUP(Table27[[#This Row],[Location 
(drop-down)]],'List source'!D$2:E$61,2,FALSE)</f>
        <v>197</v>
      </c>
      <c r="C1023" s="223" t="s">
        <v>2683</v>
      </c>
      <c r="D1023" s="13" t="str">
        <f t="shared" si="32"/>
        <v>PTO1022-197-24</v>
      </c>
      <c r="E1023" s="9" t="s">
        <v>2684</v>
      </c>
      <c r="F1023" s="10" t="s">
        <v>918</v>
      </c>
      <c r="G10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23" s="39" t="s">
        <v>2449</v>
      </c>
      <c r="I1023" s="12">
        <v>45582</v>
      </c>
      <c r="J1023" s="12" t="s">
        <v>495</v>
      </c>
      <c r="K1023" s="77">
        <v>45582</v>
      </c>
      <c r="L1023" s="10" t="s">
        <v>673</v>
      </c>
      <c r="M1023" s="427">
        <v>1022</v>
      </c>
      <c r="N1023" s="13" t="str">
        <f t="shared" ca="1" si="33"/>
        <v>CLOSED</v>
      </c>
    </row>
    <row r="1024" spans="1:14" ht="28.8" x14ac:dyDescent="0.3">
      <c r="A1024" s="9" t="s">
        <v>288</v>
      </c>
      <c r="B1024" s="13">
        <f>VLOOKUP(Table27[[#This Row],[Location 
(drop-down)]],'List source'!D$2:E$61,2,FALSE)</f>
        <v>197</v>
      </c>
      <c r="C1024" s="223" t="s">
        <v>2685</v>
      </c>
      <c r="D1024" s="13" t="str">
        <f t="shared" si="32"/>
        <v>PTO1023-197-24</v>
      </c>
      <c r="E1024" s="9" t="s">
        <v>2686</v>
      </c>
      <c r="F1024" s="10" t="s">
        <v>918</v>
      </c>
      <c r="G10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24" s="39" t="s">
        <v>2687</v>
      </c>
      <c r="I1024" s="12">
        <v>45582</v>
      </c>
      <c r="J1024" s="12" t="s">
        <v>41</v>
      </c>
      <c r="K1024" s="77">
        <v>45708</v>
      </c>
      <c r="L1024" s="10"/>
      <c r="M1024" s="427">
        <v>1023</v>
      </c>
      <c r="N1024" s="13" t="str">
        <f t="shared" ca="1" si="33"/>
        <v>CLOSED</v>
      </c>
    </row>
    <row r="1025" spans="1:14" x14ac:dyDescent="0.3">
      <c r="A1025" s="9" t="s">
        <v>288</v>
      </c>
      <c r="B1025" s="13">
        <f>VLOOKUP(Table27[[#This Row],[Location 
(drop-down)]],'List source'!D$2:E$61,2,FALSE)</f>
        <v>197</v>
      </c>
      <c r="C1025" s="223" t="s">
        <v>2688</v>
      </c>
      <c r="D1025" s="13" t="str">
        <f t="shared" si="32"/>
        <v>PTO1024-197-24</v>
      </c>
      <c r="E1025" s="9" t="s">
        <v>2689</v>
      </c>
      <c r="F1025" s="10" t="s">
        <v>918</v>
      </c>
      <c r="G10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025" s="10">
        <v>23.54</v>
      </c>
      <c r="I1025" s="12">
        <v>45582</v>
      </c>
      <c r="J1025" s="12" t="s">
        <v>41</v>
      </c>
      <c r="K1025" s="77">
        <v>45650</v>
      </c>
      <c r="L1025" s="10"/>
      <c r="M1025" s="427">
        <v>1024</v>
      </c>
      <c r="N1025" s="13" t="str">
        <f t="shared" ca="1" si="33"/>
        <v>CLOSED</v>
      </c>
    </row>
    <row r="1026" spans="1:14" ht="28.8" x14ac:dyDescent="0.3">
      <c r="A1026" s="9" t="s">
        <v>288</v>
      </c>
      <c r="B1026" s="13">
        <f>VLOOKUP(Table27[[#This Row],[Location 
(drop-down)]],'List source'!D$2:E$61,2,FALSE)</f>
        <v>197</v>
      </c>
      <c r="C1026" s="223" t="s">
        <v>2690</v>
      </c>
      <c r="D1026" s="13" t="str">
        <f t="shared" si="32"/>
        <v>PTO1025-197-24</v>
      </c>
      <c r="E1026" s="9" t="s">
        <v>2691</v>
      </c>
      <c r="F1026" s="10" t="s">
        <v>918</v>
      </c>
      <c r="G10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026" s="39" t="s">
        <v>1519</v>
      </c>
      <c r="I1026" s="12">
        <v>45582</v>
      </c>
      <c r="J1026" s="12" t="s">
        <v>495</v>
      </c>
      <c r="K1026" s="77">
        <v>45582</v>
      </c>
      <c r="L1026" s="10" t="s">
        <v>510</v>
      </c>
      <c r="M1026" s="427">
        <v>1025</v>
      </c>
      <c r="N1026" s="13" t="str">
        <f t="shared" ca="1" si="33"/>
        <v>CLOSED</v>
      </c>
    </row>
    <row r="1027" spans="1:14" x14ac:dyDescent="0.3">
      <c r="A1027" s="9" t="s">
        <v>166</v>
      </c>
      <c r="B1027" s="13">
        <f>VLOOKUP(Table27[[#This Row],[Location 
(drop-down)]],'List source'!D$2:E$61,2,FALSE)</f>
        <v>198</v>
      </c>
      <c r="C1027" s="223" t="s">
        <v>2692</v>
      </c>
      <c r="D1027" s="13" t="str">
        <f t="shared" si="32"/>
        <v>PTO1026-198-24</v>
      </c>
      <c r="E1027" s="9" t="s">
        <v>2693</v>
      </c>
      <c r="F1027" s="10" t="s">
        <v>918</v>
      </c>
      <c r="G10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D6217 - Particulates</v>
      </c>
      <c r="H1027" s="10">
        <v>2.17</v>
      </c>
      <c r="I1027" s="12">
        <v>45582</v>
      </c>
      <c r="J1027" s="12" t="s">
        <v>495</v>
      </c>
      <c r="K1027" s="77">
        <v>45583</v>
      </c>
      <c r="L1027" s="10" t="s">
        <v>510</v>
      </c>
      <c r="M1027" s="427">
        <v>1026</v>
      </c>
      <c r="N1027" s="13" t="str">
        <f t="shared" ca="1" si="33"/>
        <v>CLOSED</v>
      </c>
    </row>
    <row r="1028" spans="1:14" ht="28.8" x14ac:dyDescent="0.3">
      <c r="A1028" s="9" t="s">
        <v>564</v>
      </c>
      <c r="B1028" s="13">
        <f>VLOOKUP(Table27[[#This Row],[Location 
(drop-down)]],'List source'!D$2:E$61,2,FALSE)</f>
        <v>215</v>
      </c>
      <c r="C1028" s="223" t="s">
        <v>2694</v>
      </c>
      <c r="D1028" s="13" t="str">
        <f t="shared" si="32"/>
        <v>PTO1027-215-24</v>
      </c>
      <c r="E1028" s="9" t="s">
        <v>2695</v>
      </c>
      <c r="F1028" s="10" t="s">
        <v>918</v>
      </c>
      <c r="G10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D240 - Heat of Combustion</v>
      </c>
      <c r="H1028" s="10">
        <v>3.07</v>
      </c>
      <c r="I1028" s="12">
        <v>45582</v>
      </c>
      <c r="J1028" s="12" t="s">
        <v>195</v>
      </c>
      <c r="K1028" s="77" t="s">
        <v>114</v>
      </c>
      <c r="L1028" s="2" t="s">
        <v>567</v>
      </c>
      <c r="M1028" s="427">
        <v>1027</v>
      </c>
      <c r="N1028" s="13" t="str">
        <f t="shared" ca="1" si="33"/>
        <v>CLOSED</v>
      </c>
    </row>
    <row r="1029" spans="1:14" ht="28.8" x14ac:dyDescent="0.3">
      <c r="A1029" s="9" t="s">
        <v>564</v>
      </c>
      <c r="B1029" s="13">
        <f>VLOOKUP(Table27[[#This Row],[Location 
(drop-down)]],'List source'!D$2:E$61,2,FALSE)</f>
        <v>215</v>
      </c>
      <c r="C1029" s="223" t="s">
        <v>2696</v>
      </c>
      <c r="D1029" s="13" t="str">
        <f t="shared" si="32"/>
        <v>PTO1028-215-24</v>
      </c>
      <c r="E1029" s="9" t="s">
        <v>2697</v>
      </c>
      <c r="F1029" s="10" t="s">
        <v>918</v>
      </c>
      <c r="G10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D6079 - Lubricity</v>
      </c>
      <c r="H1029" s="39" t="s">
        <v>2698</v>
      </c>
      <c r="I1029" s="12">
        <v>45582</v>
      </c>
      <c r="J1029" s="12" t="s">
        <v>195</v>
      </c>
      <c r="K1029" s="77" t="s">
        <v>114</v>
      </c>
      <c r="L1029" s="2" t="s">
        <v>567</v>
      </c>
      <c r="M1029" s="427">
        <v>1028</v>
      </c>
      <c r="N1029" s="13" t="str">
        <f t="shared" ca="1" si="33"/>
        <v>CLOSED</v>
      </c>
    </row>
    <row r="1030" spans="1:14" ht="28.8" x14ac:dyDescent="0.3">
      <c r="A1030" s="9" t="s">
        <v>564</v>
      </c>
      <c r="B1030" s="13">
        <f>VLOOKUP(Table27[[#This Row],[Location 
(drop-down)]],'List source'!D$2:E$61,2,FALSE)</f>
        <v>215</v>
      </c>
      <c r="C1030" s="223" t="s">
        <v>2699</v>
      </c>
      <c r="D1030" s="13" t="str">
        <f t="shared" si="32"/>
        <v>PTO1029-215-24</v>
      </c>
      <c r="E1030" s="9" t="s">
        <v>2700</v>
      </c>
      <c r="F1030" s="10" t="s">
        <v>918</v>
      </c>
      <c r="G10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030" s="10">
        <v>2.2999999999999998</v>
      </c>
      <c r="I1030" s="12">
        <v>45582</v>
      </c>
      <c r="J1030" s="12" t="s">
        <v>195</v>
      </c>
      <c r="K1030" s="77" t="s">
        <v>114</v>
      </c>
      <c r="L1030" s="2" t="s">
        <v>567</v>
      </c>
      <c r="M1030" s="427">
        <v>1029</v>
      </c>
      <c r="N1030" s="13" t="str">
        <f t="shared" ca="1" si="33"/>
        <v>CLOSED</v>
      </c>
    </row>
    <row r="1031" spans="1:14" ht="43.2" x14ac:dyDescent="0.3">
      <c r="A1031" s="9" t="s">
        <v>186</v>
      </c>
      <c r="B1031" s="13">
        <f>VLOOKUP(Table27[[#This Row],[Location 
(drop-down)]],'List source'!D$2:E$61,2,FALSE)</f>
        <v>130</v>
      </c>
      <c r="C1031" s="223" t="s">
        <v>2701</v>
      </c>
      <c r="D1031" s="13" t="str">
        <f t="shared" si="32"/>
        <v>PTO1030-130-24</v>
      </c>
      <c r="E1031" s="9" t="s">
        <v>2702</v>
      </c>
      <c r="F1031" s="10" t="s">
        <v>2036</v>
      </c>
      <c r="G1031" s="9" t="s">
        <v>607</v>
      </c>
      <c r="H1031" s="10">
        <v>2.09</v>
      </c>
      <c r="I1031" s="12">
        <v>45582</v>
      </c>
      <c r="J1031" s="12" t="s">
        <v>495</v>
      </c>
      <c r="K1031" s="77">
        <v>45582</v>
      </c>
      <c r="L1031" s="10" t="s">
        <v>673</v>
      </c>
      <c r="M1031" s="427">
        <v>1030</v>
      </c>
      <c r="N1031" s="13" t="str">
        <f t="shared" ca="1" si="33"/>
        <v>CLOSED</v>
      </c>
    </row>
    <row r="1032" spans="1:14" x14ac:dyDescent="0.3">
      <c r="A1032" s="9" t="s">
        <v>21</v>
      </c>
      <c r="B1032" s="13">
        <f>VLOOKUP(Table27[[#This Row],[Location 
(drop-down)]],'List source'!D$2:E$61,2,FALSE)</f>
        <v>131</v>
      </c>
      <c r="C1032" s="223" t="s">
        <v>2703</v>
      </c>
      <c r="D1032" s="13" t="str">
        <f t="shared" si="32"/>
        <v>PTO1031-131-24</v>
      </c>
      <c r="E1032" s="9" t="s">
        <v>2704</v>
      </c>
      <c r="F1032" s="10" t="s">
        <v>2036</v>
      </c>
      <c r="G10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1032" s="10">
        <v>2.33</v>
      </c>
      <c r="I1032" s="12">
        <v>45582</v>
      </c>
      <c r="J1032" s="12" t="s">
        <v>495</v>
      </c>
      <c r="K1032" s="77">
        <v>45582</v>
      </c>
      <c r="L1032" s="10" t="s">
        <v>510</v>
      </c>
      <c r="M1032" s="427">
        <v>1031</v>
      </c>
      <c r="N1032" s="13" t="str">
        <f t="shared" ca="1" si="33"/>
        <v>CLOSED</v>
      </c>
    </row>
    <row r="1033" spans="1:14" x14ac:dyDescent="0.3">
      <c r="A1033" s="9" t="s">
        <v>264</v>
      </c>
      <c r="B1033" s="13">
        <f>VLOOKUP(Table27[[#This Row],[Location 
(drop-down)]],'List source'!D$2:E$61,2,FALSE)</f>
        <v>132</v>
      </c>
      <c r="C1033" s="223" t="s">
        <v>2705</v>
      </c>
      <c r="D1033" s="13" t="str">
        <f t="shared" si="32"/>
        <v>PTO1032-132-24</v>
      </c>
      <c r="E1033" s="9" t="s">
        <v>2706</v>
      </c>
      <c r="F1033" s="10" t="s">
        <v>2036</v>
      </c>
      <c r="G10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Motor Octane Number</v>
      </c>
      <c r="H1033" s="10">
        <v>2.15</v>
      </c>
      <c r="I1033" s="12">
        <v>45582</v>
      </c>
      <c r="J1033" s="12" t="s">
        <v>54</v>
      </c>
      <c r="K1033" s="77">
        <v>45783</v>
      </c>
      <c r="L1033" s="10"/>
      <c r="M1033" s="427">
        <v>1032</v>
      </c>
      <c r="N1033" s="13" t="str">
        <f t="shared" ca="1" si="33"/>
        <v>CLOSED</v>
      </c>
    </row>
    <row r="1034" spans="1:14" ht="18" x14ac:dyDescent="0.3">
      <c r="A1034" s="9" t="s">
        <v>35</v>
      </c>
      <c r="B1034" s="13">
        <f>VLOOKUP(Table27[[#This Row],[Location 
(drop-down)]],'List source'!D$2:E$61,2,FALSE)</f>
        <v>158</v>
      </c>
      <c r="C1034" s="223" t="s">
        <v>2707</v>
      </c>
      <c r="D1034" s="30" t="str">
        <f t="shared" si="32"/>
        <v>PTO1033-158-24</v>
      </c>
      <c r="E1034" s="9" t="s">
        <v>2708</v>
      </c>
      <c r="F1034" s="10" t="s">
        <v>876</v>
      </c>
      <c r="G10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Research Octane Number</v>
      </c>
      <c r="H1034" s="39" t="s">
        <v>2709</v>
      </c>
      <c r="I1034" s="12">
        <v>45582</v>
      </c>
      <c r="J1034" s="12" t="s">
        <v>182</v>
      </c>
      <c r="K1034" s="77">
        <v>45818</v>
      </c>
      <c r="L1034" s="10"/>
      <c r="M1034" s="427">
        <v>1033</v>
      </c>
      <c r="N1034" s="13" t="str">
        <f t="shared" ca="1" si="33"/>
        <v>CLOSED</v>
      </c>
    </row>
    <row r="1035" spans="1:14" ht="28.8" x14ac:dyDescent="0.3">
      <c r="A1035" s="9" t="s">
        <v>288</v>
      </c>
      <c r="B1035" s="13">
        <f>VLOOKUP(Table27[[#This Row],[Location 
(drop-down)]],'List source'!D$2:E$61,2,FALSE)</f>
        <v>197</v>
      </c>
      <c r="C1035" s="223" t="s">
        <v>2710</v>
      </c>
      <c r="D1035" s="13" t="str">
        <f t="shared" si="32"/>
        <v>PTO1034-197-24</v>
      </c>
      <c r="E1035" s="9" t="s">
        <v>2711</v>
      </c>
      <c r="F1035" s="10" t="s">
        <v>2712</v>
      </c>
      <c r="G10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35" s="39" t="s">
        <v>2713</v>
      </c>
      <c r="I1035" s="12">
        <v>45593</v>
      </c>
      <c r="J1035" s="12" t="s">
        <v>41</v>
      </c>
      <c r="K1035" s="77">
        <v>45708</v>
      </c>
      <c r="L1035" s="10"/>
      <c r="M1035" s="427">
        <v>1034</v>
      </c>
      <c r="N1035" s="13" t="str">
        <f t="shared" ca="1" si="33"/>
        <v>CLOSED</v>
      </c>
    </row>
    <row r="1036" spans="1:14" s="308" customFormat="1" x14ac:dyDescent="0.3">
      <c r="A1036" s="235" t="s">
        <v>288</v>
      </c>
      <c r="B1036" s="236">
        <f>VLOOKUP(Table27[[#This Row],[Location 
(drop-down)]],'List source'!D$2:E$61,2,FALSE)</f>
        <v>197</v>
      </c>
      <c r="C1036" s="330" t="s">
        <v>2714</v>
      </c>
      <c r="D1036" s="236" t="str">
        <f t="shared" si="32"/>
        <v>PTO1035-197-24</v>
      </c>
      <c r="E1036" s="235" t="s">
        <v>2715</v>
      </c>
      <c r="F1036" s="263" t="s">
        <v>2712</v>
      </c>
      <c r="G1036"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Can/CGSB-3.0 No. 14.3 - Aromatics</v>
      </c>
      <c r="H1036" s="266" t="s">
        <v>2716</v>
      </c>
      <c r="I1036" s="264">
        <v>45593</v>
      </c>
      <c r="J1036" s="264" t="s">
        <v>41</v>
      </c>
      <c r="K1036" s="250">
        <v>45672</v>
      </c>
      <c r="L1036" s="263"/>
      <c r="M1036" s="430">
        <v>1035</v>
      </c>
      <c r="N1036" s="13" t="str">
        <f t="shared" ca="1" si="33"/>
        <v>CLOSED</v>
      </c>
    </row>
    <row r="1037" spans="1:14" x14ac:dyDescent="0.3">
      <c r="A1037" s="9" t="s">
        <v>288</v>
      </c>
      <c r="B1037" s="13">
        <f>VLOOKUP(Table27[[#This Row],[Location 
(drop-down)]],'List source'!D$2:E$61,2,FALSE)</f>
        <v>197</v>
      </c>
      <c r="C1037" s="223" t="s">
        <v>2717</v>
      </c>
      <c r="D1037" s="13" t="str">
        <f t="shared" si="32"/>
        <v>PTO1036-197-24</v>
      </c>
      <c r="E1037" s="9" t="s">
        <v>2718</v>
      </c>
      <c r="F1037" s="10" t="s">
        <v>2712</v>
      </c>
      <c r="G10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D381 - Gum</v>
      </c>
      <c r="H1037" s="10">
        <v>2.09</v>
      </c>
      <c r="I1037" s="12">
        <v>45593</v>
      </c>
      <c r="J1037" s="12" t="s">
        <v>49</v>
      </c>
      <c r="K1037" s="77">
        <v>45645</v>
      </c>
      <c r="L1037" s="10"/>
      <c r="M1037" s="427">
        <v>1036</v>
      </c>
      <c r="N1037" s="13" t="str">
        <f t="shared" ca="1" si="33"/>
        <v>CLOSED</v>
      </c>
    </row>
    <row r="1038" spans="1:14" x14ac:dyDescent="0.3">
      <c r="A1038" s="9" t="s">
        <v>288</v>
      </c>
      <c r="B1038" s="13">
        <f>VLOOKUP(Table27[[#This Row],[Location 
(drop-down)]],'List source'!D$2:E$61,2,FALSE)</f>
        <v>197</v>
      </c>
      <c r="C1038" s="223" t="s">
        <v>2719</v>
      </c>
      <c r="D1038" s="13" t="str">
        <f t="shared" si="32"/>
        <v>PTO1037-197-24</v>
      </c>
      <c r="E1038" s="9" t="s">
        <v>2720</v>
      </c>
      <c r="F1038" s="10" t="s">
        <v>2712</v>
      </c>
      <c r="G10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038" s="39" t="s">
        <v>686</v>
      </c>
      <c r="I1038" s="12">
        <v>45593</v>
      </c>
      <c r="J1038" s="12" t="s">
        <v>49</v>
      </c>
      <c r="K1038" s="77">
        <v>45645</v>
      </c>
      <c r="L1038" s="10"/>
      <c r="M1038" s="427">
        <v>1037</v>
      </c>
      <c r="N1038" s="13" t="str">
        <f t="shared" ca="1" si="33"/>
        <v>CLOSED</v>
      </c>
    </row>
    <row r="1039" spans="1:14" x14ac:dyDescent="0.3">
      <c r="A1039" s="9" t="s">
        <v>166</v>
      </c>
      <c r="B1039" s="13">
        <f>VLOOKUP(Table27[[#This Row],[Location 
(drop-down)]],'List source'!D$2:E$61,2,FALSE)</f>
        <v>198</v>
      </c>
      <c r="C1039" s="223" t="s">
        <v>2721</v>
      </c>
      <c r="D1039" s="13" t="str">
        <f t="shared" si="32"/>
        <v>PTO1038-198-24</v>
      </c>
      <c r="E1039" s="9" t="s">
        <v>2722</v>
      </c>
      <c r="F1039" s="10" t="s">
        <v>2712</v>
      </c>
      <c r="G10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Aromatics (Corrected)</v>
      </c>
      <c r="H1039" s="10">
        <v>5.71</v>
      </c>
      <c r="I1039" s="12">
        <v>45614</v>
      </c>
      <c r="J1039" s="12" t="s">
        <v>41</v>
      </c>
      <c r="K1039" s="77">
        <v>45639</v>
      </c>
      <c r="L1039" s="10"/>
      <c r="M1039" s="427">
        <v>1038</v>
      </c>
      <c r="N1039" s="13" t="str">
        <f t="shared" ca="1" si="33"/>
        <v>CLOSED</v>
      </c>
    </row>
    <row r="1040" spans="1:14" x14ac:dyDescent="0.3">
      <c r="A1040" s="272" t="s">
        <v>273</v>
      </c>
      <c r="B1040" s="273">
        <f>VLOOKUP(Table27[[#This Row],[Location 
(drop-down)]],'List source'!D$2:E$61,2,FALSE)</f>
        <v>140</v>
      </c>
      <c r="C1040" s="333" t="s">
        <v>2723</v>
      </c>
      <c r="D1040" s="273" t="str">
        <f t="shared" si="32"/>
        <v>PTO1039-140-24</v>
      </c>
      <c r="E1040" s="272" t="s">
        <v>2724</v>
      </c>
      <c r="F1040" s="277" t="s">
        <v>918</v>
      </c>
      <c r="G1040"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040" s="277">
        <v>-2.23</v>
      </c>
      <c r="I1040" s="279">
        <v>45642</v>
      </c>
      <c r="J1040" s="279" t="s">
        <v>182</v>
      </c>
      <c r="K1040" s="280">
        <v>45665</v>
      </c>
      <c r="L1040" s="277"/>
      <c r="M1040" s="427">
        <v>1039</v>
      </c>
      <c r="N1040" s="13" t="str">
        <f t="shared" ca="1" si="33"/>
        <v>CLOSED</v>
      </c>
    </row>
    <row r="1041" spans="1:14" x14ac:dyDescent="0.3">
      <c r="A1041" s="235" t="s">
        <v>29</v>
      </c>
      <c r="B1041" s="236">
        <f>VLOOKUP(Table27[[#This Row],[Location 
(drop-down)]],'List source'!D$2:E$61,2,FALSE)</f>
        <v>141</v>
      </c>
      <c r="C1041" s="330" t="s">
        <v>2725</v>
      </c>
      <c r="D1041" s="236" t="str">
        <f t="shared" si="32"/>
        <v>PTO1040-141-24</v>
      </c>
      <c r="E1041" s="235" t="s">
        <v>2726</v>
      </c>
      <c r="F1041" s="263" t="s">
        <v>918</v>
      </c>
      <c r="G1041"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41" s="263">
        <v>2.87</v>
      </c>
      <c r="I1041" s="264">
        <v>45593</v>
      </c>
      <c r="J1041" s="264" t="s">
        <v>182</v>
      </c>
      <c r="K1041" s="250">
        <v>45649</v>
      </c>
      <c r="L1041" s="10"/>
      <c r="M1041" s="427">
        <v>1040</v>
      </c>
      <c r="N1041" s="13" t="str">
        <f t="shared" ca="1" si="33"/>
        <v>CLOSED</v>
      </c>
    </row>
    <row r="1042" spans="1:14" x14ac:dyDescent="0.3">
      <c r="A1042" s="189" t="s">
        <v>318</v>
      </c>
      <c r="B1042" s="217">
        <f>VLOOKUP(Table27[[#This Row],[Location 
(drop-down)]],'List source'!D$2:E$61,2,FALSE)</f>
        <v>115</v>
      </c>
      <c r="C1042" s="255" t="s">
        <v>2727</v>
      </c>
      <c r="D1042" s="217" t="str">
        <f t="shared" si="32"/>
        <v>PTO1334-115-24</v>
      </c>
      <c r="E1042" s="9" t="s">
        <v>2728</v>
      </c>
      <c r="F1042" s="10" t="str" cm="1">
        <f t="array" aca="1" ref="F10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0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042" s="39" t="s">
        <v>2729</v>
      </c>
      <c r="I1042" s="12">
        <v>45657</v>
      </c>
      <c r="J1042" s="234" t="s">
        <v>60</v>
      </c>
      <c r="K1042" s="220">
        <v>45995</v>
      </c>
      <c r="L1042" s="10"/>
      <c r="M1042" s="427">
        <v>1334</v>
      </c>
      <c r="N1042" s="13" t="str">
        <f t="shared" ca="1" si="33"/>
        <v>CLOSED</v>
      </c>
    </row>
    <row r="1043" spans="1:14" x14ac:dyDescent="0.3">
      <c r="A1043" s="9" t="s">
        <v>65</v>
      </c>
      <c r="B1043" s="13">
        <f>VLOOKUP(Table27[[#This Row],[Location 
(drop-down)]],'List source'!D$2:E$60,2,FALSE)</f>
        <v>155</v>
      </c>
      <c r="C1043" s="223" t="s">
        <v>2730</v>
      </c>
      <c r="D1043" s="11" t="str">
        <f t="shared" si="32"/>
        <v>PTO563-155-24</v>
      </c>
      <c r="E1043" s="9" t="s">
        <v>2731</v>
      </c>
      <c r="F1043" s="10" t="str" cm="1">
        <f t="array" aca="1" ref="F10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43" s="10">
        <v>2.74</v>
      </c>
      <c r="I1043" s="12">
        <v>45435</v>
      </c>
      <c r="J1043" s="12" t="s">
        <v>182</v>
      </c>
      <c r="K1043" s="77">
        <v>46030</v>
      </c>
      <c r="L1043" s="10"/>
      <c r="M1043" s="427">
        <v>563</v>
      </c>
      <c r="N1043" s="13" t="str">
        <f t="shared" ca="1" si="33"/>
        <v>CLOSED</v>
      </c>
    </row>
    <row r="1044" spans="1:14" ht="43.2" x14ac:dyDescent="0.3">
      <c r="A1044" s="9" t="s">
        <v>126</v>
      </c>
      <c r="B1044" s="13">
        <f>VLOOKUP(Table27[[#This Row],[Location 
(drop-down)]],'List source'!D$2:E$61,2,FALSE)</f>
        <v>125</v>
      </c>
      <c r="C1044" s="223" t="s">
        <v>2732</v>
      </c>
      <c r="D1044" s="13" t="str">
        <f t="shared" si="32"/>
        <v>PTO1043-125-24</v>
      </c>
      <c r="E1044" s="9" t="s">
        <v>2733</v>
      </c>
      <c r="F1044" s="10" t="str" cm="1">
        <f t="array" aca="1" ref="F10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044" s="10">
        <v>2.2400000000000002</v>
      </c>
      <c r="I1044" s="12">
        <v>45593</v>
      </c>
      <c r="J1044" s="12" t="s">
        <v>495</v>
      </c>
      <c r="K1044" s="77">
        <v>45593</v>
      </c>
      <c r="L1044" s="10" t="s">
        <v>496</v>
      </c>
      <c r="M1044" s="427">
        <v>1043</v>
      </c>
      <c r="N1044" s="13" t="str">
        <f t="shared" ca="1" si="33"/>
        <v>CLOSED</v>
      </c>
    </row>
    <row r="1045" spans="1:14" ht="43.2" x14ac:dyDescent="0.3">
      <c r="A1045" s="9" t="s">
        <v>126</v>
      </c>
      <c r="B1045" s="13">
        <f>VLOOKUP(Table27[[#This Row],[Location 
(drop-down)]],'List source'!D$2:E$61,2,FALSE)</f>
        <v>125</v>
      </c>
      <c r="C1045" s="223" t="s">
        <v>2734</v>
      </c>
      <c r="D1045" s="13" t="str">
        <f t="shared" si="32"/>
        <v>PTO1044-125-24</v>
      </c>
      <c r="E1045" s="9" t="s">
        <v>2735</v>
      </c>
      <c r="F1045" s="10" t="str" cm="1">
        <f t="array" aca="1" ref="F10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45" s="39" t="s">
        <v>2687</v>
      </c>
      <c r="I1045" s="12">
        <v>45593</v>
      </c>
      <c r="J1045" s="12" t="s">
        <v>495</v>
      </c>
      <c r="K1045" s="77">
        <v>45593</v>
      </c>
      <c r="L1045" s="10" t="s">
        <v>496</v>
      </c>
      <c r="M1045" s="427">
        <v>1044</v>
      </c>
      <c r="N1045" s="13" t="str">
        <f t="shared" ca="1" si="33"/>
        <v>CLOSED</v>
      </c>
    </row>
    <row r="1046" spans="1:14" ht="43.2" x14ac:dyDescent="0.3">
      <c r="A1046" s="9" t="s">
        <v>39</v>
      </c>
      <c r="B1046" s="13">
        <f>VLOOKUP(Table27[[#This Row],[Location 
(drop-down)]],'List source'!D$2:E$61,2,FALSE)</f>
        <v>127</v>
      </c>
      <c r="C1046" s="223" t="s">
        <v>2736</v>
      </c>
      <c r="D1046" s="13" t="str">
        <f t="shared" si="32"/>
        <v>PTO1045-127-24</v>
      </c>
      <c r="E1046" s="9" t="s">
        <v>2737</v>
      </c>
      <c r="F1046" s="10" t="str" cm="1">
        <f t="array" aca="1" ref="F10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1046" s="10">
        <v>2.0099999999999998</v>
      </c>
      <c r="I1046" s="12">
        <v>45593</v>
      </c>
      <c r="J1046" s="12" t="s">
        <v>495</v>
      </c>
      <c r="K1046" s="77">
        <v>45593</v>
      </c>
      <c r="L1046" s="10" t="s">
        <v>496</v>
      </c>
      <c r="M1046" s="427">
        <v>1045</v>
      </c>
      <c r="N1046" s="13" t="str">
        <f t="shared" ca="1" si="33"/>
        <v>CLOSED</v>
      </c>
    </row>
    <row r="1047" spans="1:14" x14ac:dyDescent="0.3">
      <c r="A1047" s="9" t="s">
        <v>21</v>
      </c>
      <c r="B1047" s="13">
        <f>VLOOKUP(Table27[[#This Row],[Location 
(drop-down)]],'List source'!D$2:E$61,2,FALSE)</f>
        <v>131</v>
      </c>
      <c r="C1047" s="223" t="s">
        <v>2738</v>
      </c>
      <c r="D1047" s="13" t="str">
        <f t="shared" si="32"/>
        <v>PTO1046-131-24</v>
      </c>
      <c r="E1047" s="9" t="s">
        <v>2739</v>
      </c>
      <c r="F1047" s="10" t="str" cm="1">
        <f t="array" aca="1" ref="F10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47" s="39" t="s">
        <v>2740</v>
      </c>
      <c r="I1047" s="12">
        <v>45593</v>
      </c>
      <c r="J1047" s="12" t="s">
        <v>182</v>
      </c>
      <c r="K1047" s="77">
        <v>45607</v>
      </c>
      <c r="L1047" s="10"/>
      <c r="M1047" s="427">
        <v>1046</v>
      </c>
      <c r="N1047" s="13" t="str">
        <f t="shared" ca="1" si="33"/>
        <v>CLOSED</v>
      </c>
    </row>
    <row r="1048" spans="1:14" ht="43.2" x14ac:dyDescent="0.3">
      <c r="A1048" s="9" t="s">
        <v>21</v>
      </c>
      <c r="B1048" s="13">
        <f>VLOOKUP(Table27[[#This Row],[Location 
(drop-down)]],'List source'!D$2:E$61,2,FALSE)</f>
        <v>131</v>
      </c>
      <c r="C1048" s="223" t="s">
        <v>2741</v>
      </c>
      <c r="D1048" s="13" t="str">
        <f t="shared" si="32"/>
        <v>PTO1047-131-24</v>
      </c>
      <c r="E1048" s="9" t="s">
        <v>2742</v>
      </c>
      <c r="F1048" s="10" t="str" cm="1">
        <f t="array" aca="1" ref="F10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048" s="10">
        <v>-2.11</v>
      </c>
      <c r="I1048" s="12">
        <v>45593</v>
      </c>
      <c r="J1048" s="12" t="s">
        <v>495</v>
      </c>
      <c r="K1048" s="77">
        <v>45593</v>
      </c>
      <c r="L1048" s="10" t="s">
        <v>496</v>
      </c>
      <c r="M1048" s="427">
        <v>1047</v>
      </c>
      <c r="N1048" s="13" t="str">
        <f t="shared" ca="1" si="33"/>
        <v>CLOSED</v>
      </c>
    </row>
    <row r="1049" spans="1:14" x14ac:dyDescent="0.3">
      <c r="A1049" s="9" t="s">
        <v>145</v>
      </c>
      <c r="B1049" s="13">
        <f>VLOOKUP(Table27[[#This Row],[Location 
(drop-down)]],'List source'!D$2:E$61,2,FALSE)</f>
        <v>145</v>
      </c>
      <c r="C1049" s="223" t="s">
        <v>2743</v>
      </c>
      <c r="D1049" s="13" t="str">
        <f t="shared" si="32"/>
        <v>PTO1048-145-24</v>
      </c>
      <c r="E1049" s="9" t="s">
        <v>2744</v>
      </c>
      <c r="F1049" s="10" t="str" cm="1">
        <f t="array" aca="1" ref="F10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49" s="39" t="s">
        <v>2745</v>
      </c>
      <c r="I1049" s="12">
        <v>45593</v>
      </c>
      <c r="J1049" s="12" t="s">
        <v>495</v>
      </c>
      <c r="K1049" s="77">
        <v>45593</v>
      </c>
      <c r="L1049" s="355" t="s">
        <v>673</v>
      </c>
      <c r="M1049" s="427">
        <v>1048</v>
      </c>
      <c r="N1049" s="13" t="str">
        <f t="shared" ca="1" si="33"/>
        <v>CLOSED</v>
      </c>
    </row>
    <row r="1050" spans="1:14" x14ac:dyDescent="0.3">
      <c r="A1050" s="9" t="s">
        <v>35</v>
      </c>
      <c r="B1050" s="13">
        <f>VLOOKUP(Table27[[#This Row],[Location 
(drop-down)]],'List source'!D$2:E$61,2,FALSE)</f>
        <v>158</v>
      </c>
      <c r="C1050" s="223" t="s">
        <v>2746</v>
      </c>
      <c r="D1050" s="13" t="str">
        <f t="shared" si="32"/>
        <v>PTO1049-158-24</v>
      </c>
      <c r="E1050" s="9" t="s">
        <v>2747</v>
      </c>
      <c r="F1050" s="10" t="str" cm="1">
        <f t="array" aca="1" ref="F10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1050" s="10">
        <v>176.47</v>
      </c>
      <c r="I1050" s="12">
        <v>45593</v>
      </c>
      <c r="J1050" s="12" t="s">
        <v>495</v>
      </c>
      <c r="K1050" s="77">
        <v>45593</v>
      </c>
      <c r="L1050" s="10" t="s">
        <v>510</v>
      </c>
      <c r="M1050" s="427">
        <v>1049</v>
      </c>
      <c r="N1050" s="13" t="str">
        <f t="shared" ca="1" si="33"/>
        <v>CLOSED</v>
      </c>
    </row>
    <row r="1051" spans="1:14" ht="28.8" x14ac:dyDescent="0.3">
      <c r="A1051" s="9" t="s">
        <v>35</v>
      </c>
      <c r="B1051" s="13">
        <f>VLOOKUP(Table27[[#This Row],[Location 
(drop-down)]],'List source'!D$2:E$61,2,FALSE)</f>
        <v>158</v>
      </c>
      <c r="C1051" s="223" t="s">
        <v>2748</v>
      </c>
      <c r="D1051" s="13" t="str">
        <f t="shared" si="32"/>
        <v>PTO1050-158-24</v>
      </c>
      <c r="E1051" s="9" t="s">
        <v>2749</v>
      </c>
      <c r="F1051" s="10" t="str" cm="1">
        <f t="array" aca="1" ref="F10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51" s="10" t="s">
        <v>2750</v>
      </c>
      <c r="I1051" s="12">
        <v>45593</v>
      </c>
      <c r="J1051" s="12" t="s">
        <v>2231</v>
      </c>
      <c r="K1051" s="77">
        <v>45728</v>
      </c>
      <c r="L1051" s="10" t="s">
        <v>510</v>
      </c>
      <c r="M1051" s="427">
        <v>1050</v>
      </c>
      <c r="N1051" s="13" t="str">
        <f t="shared" ca="1" si="33"/>
        <v>CLOSED</v>
      </c>
    </row>
    <row r="1052" spans="1:14" ht="28.8" x14ac:dyDescent="0.3">
      <c r="A1052" s="9" t="s">
        <v>35</v>
      </c>
      <c r="B1052" s="13">
        <f>VLOOKUP(Table27[[#This Row],[Location 
(drop-down)]],'List source'!D$2:E$61,2,FALSE)</f>
        <v>158</v>
      </c>
      <c r="C1052" s="223" t="s">
        <v>2751</v>
      </c>
      <c r="D1052" s="13" t="str">
        <f t="shared" si="32"/>
        <v>PTO1051-158-24</v>
      </c>
      <c r="E1052" s="9" t="s">
        <v>2752</v>
      </c>
      <c r="F1052" s="10" t="str" cm="1">
        <f t="array" aca="1" ref="F10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52" s="10" t="s">
        <v>2753</v>
      </c>
      <c r="I1052" s="12">
        <v>45593</v>
      </c>
      <c r="J1052" s="12" t="s">
        <v>134</v>
      </c>
      <c r="K1052" s="77">
        <v>45698</v>
      </c>
      <c r="L1052" s="10"/>
      <c r="M1052" s="427">
        <v>1051</v>
      </c>
      <c r="N1052" s="13" t="str">
        <f t="shared" ca="1" si="33"/>
        <v>CLOSED</v>
      </c>
    </row>
    <row r="1053" spans="1:14" x14ac:dyDescent="0.3">
      <c r="A1053" s="9" t="s">
        <v>209</v>
      </c>
      <c r="B1053" s="13">
        <f>VLOOKUP(Table27[[#This Row],[Location 
(drop-down)]],'List source'!D$2:E$61,2,FALSE)</f>
        <v>165</v>
      </c>
      <c r="C1053" s="223" t="s">
        <v>2754</v>
      </c>
      <c r="D1053" s="13" t="str">
        <f t="shared" si="32"/>
        <v>PTO1052-165-24</v>
      </c>
      <c r="E1053" s="9" t="s">
        <v>2755</v>
      </c>
      <c r="F1053" s="10" t="str" cm="1">
        <f t="array" aca="1" ref="F10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53" s="39" t="s">
        <v>2756</v>
      </c>
      <c r="I1053" s="12">
        <v>45593</v>
      </c>
      <c r="J1053" s="12" t="s">
        <v>495</v>
      </c>
      <c r="K1053" s="77">
        <v>45593</v>
      </c>
      <c r="L1053" s="355" t="s">
        <v>673</v>
      </c>
      <c r="M1053" s="427">
        <v>1052</v>
      </c>
      <c r="N1053" s="13" t="str">
        <f t="shared" ca="1" si="33"/>
        <v>CLOSED</v>
      </c>
    </row>
    <row r="1054" spans="1:14" ht="28.8" x14ac:dyDescent="0.3">
      <c r="A1054" s="9" t="s">
        <v>209</v>
      </c>
      <c r="B1054" s="13">
        <f>VLOOKUP(Table27[[#This Row],[Location 
(drop-down)]],'List source'!D$2:E$61,2,FALSE)</f>
        <v>165</v>
      </c>
      <c r="C1054" s="223" t="s">
        <v>2757</v>
      </c>
      <c r="D1054" s="13" t="str">
        <f t="shared" si="32"/>
        <v>PTO1053-165-24</v>
      </c>
      <c r="E1054" s="9" t="s">
        <v>2758</v>
      </c>
      <c r="F1054" s="10" t="str" cm="1">
        <f t="array" aca="1" ref="F10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054" s="10" t="s">
        <v>2759</v>
      </c>
      <c r="I1054" s="12">
        <v>45594</v>
      </c>
      <c r="J1054" s="12" t="s">
        <v>182</v>
      </c>
      <c r="K1054" s="77">
        <v>45711</v>
      </c>
      <c r="L1054" s="10"/>
      <c r="M1054" s="427">
        <v>1053</v>
      </c>
      <c r="N1054" s="13" t="str">
        <f t="shared" ca="1" si="33"/>
        <v>CLOSED</v>
      </c>
    </row>
    <row r="1055" spans="1:14" x14ac:dyDescent="0.3">
      <c r="A1055" s="9" t="s">
        <v>209</v>
      </c>
      <c r="B1055" s="13">
        <f>VLOOKUP(Table27[[#This Row],[Location 
(drop-down)]],'List source'!D$2:E$61,2,FALSE)</f>
        <v>165</v>
      </c>
      <c r="C1055" s="223" t="s">
        <v>2760</v>
      </c>
      <c r="D1055" s="13" t="str">
        <f t="shared" si="32"/>
        <v>PTO1054-165-24</v>
      </c>
      <c r="E1055" s="9" t="s">
        <v>2761</v>
      </c>
      <c r="F1055" s="10" t="str" cm="1">
        <f t="array" aca="1" ref="F10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055" s="10">
        <v>2.12</v>
      </c>
      <c r="I1055" s="12">
        <v>45594</v>
      </c>
      <c r="J1055" s="12" t="s">
        <v>495</v>
      </c>
      <c r="K1055" s="77">
        <v>45594</v>
      </c>
      <c r="L1055" s="355" t="s">
        <v>673</v>
      </c>
      <c r="M1055" s="427">
        <v>1054</v>
      </c>
      <c r="N1055" s="13" t="str">
        <f t="shared" ca="1" si="33"/>
        <v>CLOSED</v>
      </c>
    </row>
    <row r="1056" spans="1:14" ht="28.8" x14ac:dyDescent="0.3">
      <c r="A1056" s="9" t="s">
        <v>107</v>
      </c>
      <c r="B1056" s="13">
        <f>VLOOKUP(Table27[[#This Row],[Location 
(drop-down)]],'List source'!D$2:E$61,2,FALSE)</f>
        <v>120</v>
      </c>
      <c r="C1056" s="223" t="s">
        <v>2762</v>
      </c>
      <c r="D1056" s="13" t="str">
        <f t="shared" si="32"/>
        <v>PTO1055-120-24</v>
      </c>
      <c r="E1056" s="9" t="s">
        <v>2763</v>
      </c>
      <c r="F1056" s="10" t="str" cm="1">
        <f t="array" aca="1" ref="F10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1056" s="10">
        <v>2.17</v>
      </c>
      <c r="I1056" s="12">
        <v>45594</v>
      </c>
      <c r="J1056" s="12" t="s">
        <v>182</v>
      </c>
      <c r="K1056" s="77">
        <v>45711</v>
      </c>
      <c r="L1056" s="10"/>
      <c r="M1056" s="427">
        <v>1055</v>
      </c>
      <c r="N1056" s="13" t="str">
        <f t="shared" ca="1" si="33"/>
        <v>CLOSED</v>
      </c>
    </row>
    <row r="1057" spans="1:14" ht="28.8" x14ac:dyDescent="0.3">
      <c r="A1057" s="189" t="s">
        <v>70</v>
      </c>
      <c r="B1057" s="217">
        <f>VLOOKUP(Table27[[#This Row],[Location 
(drop-down)]],'List source'!D$2:E$61,2,FALSE)</f>
        <v>146</v>
      </c>
      <c r="C1057" s="255" t="s">
        <v>2764</v>
      </c>
      <c r="D1057" s="217" t="str">
        <f t="shared" si="32"/>
        <v>PTO1056-146-24</v>
      </c>
      <c r="E1057" s="9" t="s">
        <v>2765</v>
      </c>
      <c r="F1057" s="10" t="str" cm="1">
        <f t="array" aca="1" ref="F10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057" s="39" t="s">
        <v>2766</v>
      </c>
      <c r="I1057" s="12">
        <v>45594</v>
      </c>
      <c r="J1057" s="234" t="s">
        <v>60</v>
      </c>
      <c r="K1057" s="220">
        <v>45806</v>
      </c>
      <c r="L1057" s="10"/>
      <c r="M1057" s="427">
        <v>1056</v>
      </c>
      <c r="N1057" s="13" t="str">
        <f t="shared" ca="1" si="33"/>
        <v>CLOSED</v>
      </c>
    </row>
    <row r="1058" spans="1:14" x14ac:dyDescent="0.3">
      <c r="A1058" s="257" t="s">
        <v>57</v>
      </c>
      <c r="B1058" s="217">
        <f>VLOOKUP(Table27[[#This Row],[Location 
(drop-down)]],'List source'!D$2:E$61,2,FALSE)</f>
        <v>170</v>
      </c>
      <c r="C1058" s="255" t="s">
        <v>2767</v>
      </c>
      <c r="D1058" s="217" t="str">
        <f t="shared" si="32"/>
        <v>PTO1057-170-24</v>
      </c>
      <c r="E1058" s="9" t="s">
        <v>2768</v>
      </c>
      <c r="F1058" s="10" t="str" cm="1">
        <f t="array" aca="1" ref="F10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58" s="39" t="s">
        <v>2769</v>
      </c>
      <c r="I1058" s="12">
        <v>45594</v>
      </c>
      <c r="J1058" s="234" t="s">
        <v>60</v>
      </c>
      <c r="K1058" s="220">
        <v>45688</v>
      </c>
      <c r="L1058" s="10"/>
      <c r="M1058" s="427">
        <v>1057</v>
      </c>
      <c r="N1058" s="13" t="str">
        <f t="shared" ca="1" si="33"/>
        <v>CLOSED</v>
      </c>
    </row>
    <row r="1059" spans="1:14" ht="28.8" x14ac:dyDescent="0.3">
      <c r="A1059" s="257" t="s">
        <v>57</v>
      </c>
      <c r="B1059" s="217">
        <f>VLOOKUP(Table27[[#This Row],[Location 
(drop-down)]],'List source'!D$2:E$61,2,FALSE)</f>
        <v>170</v>
      </c>
      <c r="C1059" s="255" t="s">
        <v>2770</v>
      </c>
      <c r="D1059" s="217" t="str">
        <f t="shared" si="32"/>
        <v>PTO1058-170-24</v>
      </c>
      <c r="E1059" s="9" t="s">
        <v>2771</v>
      </c>
      <c r="F1059" s="10" t="str" cm="1">
        <f t="array" aca="1" ref="F10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1059" s="10">
        <v>2.15</v>
      </c>
      <c r="I1059" s="12">
        <v>45594</v>
      </c>
      <c r="J1059" s="234" t="s">
        <v>60</v>
      </c>
      <c r="K1059" s="220">
        <v>45762</v>
      </c>
      <c r="L1059" s="10"/>
      <c r="M1059" s="427">
        <v>1058</v>
      </c>
      <c r="N1059" s="13" t="str">
        <f t="shared" ca="1" si="33"/>
        <v>CLOSED</v>
      </c>
    </row>
    <row r="1060" spans="1:14" ht="28.8" x14ac:dyDescent="0.3">
      <c r="A1060" s="84" t="s">
        <v>57</v>
      </c>
      <c r="B1060" s="13">
        <f>VLOOKUP(Table27[[#This Row],[Location 
(drop-down)]],'List source'!D$2:E$61,2,FALSE)</f>
        <v>170</v>
      </c>
      <c r="C1060" s="223" t="s">
        <v>2772</v>
      </c>
      <c r="D1060" s="13" t="str">
        <f t="shared" si="32"/>
        <v>PTO1059-170-24</v>
      </c>
      <c r="E1060" s="9" t="s">
        <v>2773</v>
      </c>
      <c r="F1060" s="10" t="str" cm="1">
        <f t="array" aca="1" ref="F10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D6730 - HC Type</v>
      </c>
      <c r="H1060" s="39" t="s">
        <v>2774</v>
      </c>
      <c r="I1060" s="12">
        <v>45594</v>
      </c>
      <c r="J1060" s="12" t="s">
        <v>495</v>
      </c>
      <c r="K1060" s="77">
        <v>45594</v>
      </c>
      <c r="L1060" s="10" t="s">
        <v>510</v>
      </c>
      <c r="M1060" s="427">
        <v>1059</v>
      </c>
      <c r="N1060" s="13" t="str">
        <f t="shared" ca="1" si="33"/>
        <v>CLOSED</v>
      </c>
    </row>
    <row r="1061" spans="1:14" ht="28.8" x14ac:dyDescent="0.3">
      <c r="A1061" s="9" t="s">
        <v>147</v>
      </c>
      <c r="B1061" s="13">
        <f>VLOOKUP(Table27[[#This Row],[Location 
(drop-down)]],'List source'!D$2:E$61,2,FALSE)</f>
        <v>185</v>
      </c>
      <c r="C1061" s="223" t="s">
        <v>2775</v>
      </c>
      <c r="D1061" s="13" t="str">
        <f t="shared" si="32"/>
        <v>PTO1060-185-24</v>
      </c>
      <c r="E1061" s="9" t="s">
        <v>2776</v>
      </c>
      <c r="F1061" s="10" t="str" cm="1">
        <f t="array" aca="1" ref="F10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061" s="10" t="s">
        <v>2777</v>
      </c>
      <c r="I1061" s="12">
        <v>45595</v>
      </c>
      <c r="J1061" s="12" t="s">
        <v>495</v>
      </c>
      <c r="K1061" s="77">
        <v>45595</v>
      </c>
      <c r="L1061" s="10" t="s">
        <v>510</v>
      </c>
      <c r="M1061" s="427">
        <v>1060</v>
      </c>
      <c r="N1061" s="13" t="str">
        <f t="shared" ca="1" si="33"/>
        <v>CLOSED</v>
      </c>
    </row>
    <row r="1062" spans="1:14" ht="28.8" x14ac:dyDescent="0.3">
      <c r="A1062" s="9" t="s">
        <v>288</v>
      </c>
      <c r="B1062" s="13">
        <f>VLOOKUP(Table27[[#This Row],[Location 
(drop-down)]],'List source'!D$2:E$61,2,FALSE)</f>
        <v>197</v>
      </c>
      <c r="C1062" s="223" t="s">
        <v>2778</v>
      </c>
      <c r="D1062" s="13" t="str">
        <f t="shared" si="32"/>
        <v>PTO1061-197-24</v>
      </c>
      <c r="E1062" s="9" t="s">
        <v>2779</v>
      </c>
      <c r="F1062" s="10" t="str" cm="1">
        <f t="array" aca="1" ref="F10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2" s="39" t="s">
        <v>2780</v>
      </c>
      <c r="I1062" s="12">
        <v>45595</v>
      </c>
      <c r="J1062" s="12" t="s">
        <v>41</v>
      </c>
      <c r="K1062" s="77">
        <v>45712</v>
      </c>
      <c r="L1062" s="10"/>
      <c r="M1062" s="427">
        <v>1061</v>
      </c>
      <c r="N1062" s="13" t="str">
        <f t="shared" ca="1" si="33"/>
        <v>CLOSED</v>
      </c>
    </row>
    <row r="1063" spans="1:14" ht="28.8" x14ac:dyDescent="0.3">
      <c r="A1063" s="9" t="s">
        <v>564</v>
      </c>
      <c r="B1063" s="13">
        <f>VLOOKUP(Table27[[#This Row],[Location 
(drop-down)]],'List source'!D$2:E$61,2,FALSE)</f>
        <v>215</v>
      </c>
      <c r="C1063" s="223" t="s">
        <v>2781</v>
      </c>
      <c r="D1063" s="13" t="str">
        <f t="shared" si="32"/>
        <v>PTO1062-215-24</v>
      </c>
      <c r="E1063" s="9" t="s">
        <v>2782</v>
      </c>
      <c r="F1063" s="10" t="str" cm="1">
        <f t="array" aca="1" ref="F10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063" s="10">
        <v>105</v>
      </c>
      <c r="I1063" s="12">
        <v>45595</v>
      </c>
      <c r="J1063" s="12" t="s">
        <v>495</v>
      </c>
      <c r="K1063" s="77">
        <v>45595</v>
      </c>
      <c r="L1063" s="10" t="s">
        <v>510</v>
      </c>
      <c r="M1063" s="427">
        <v>1062</v>
      </c>
      <c r="N1063" s="13" t="str">
        <f t="shared" ca="1" si="33"/>
        <v>CLOSED</v>
      </c>
    </row>
    <row r="1064" spans="1:14" ht="28.8" x14ac:dyDescent="0.3">
      <c r="A1064" s="9" t="s">
        <v>39</v>
      </c>
      <c r="B1064" s="13">
        <f>VLOOKUP(Table27[[#This Row],[Location 
(drop-down)]],'List source'!D$2:E$61,2,FALSE)</f>
        <v>127</v>
      </c>
      <c r="C1064" s="223" t="s">
        <v>2783</v>
      </c>
      <c r="D1064" s="13" t="str">
        <f t="shared" si="32"/>
        <v>PTO1063-127-24</v>
      </c>
      <c r="E1064" s="9" t="s">
        <v>2784</v>
      </c>
      <c r="F1064" s="10" t="str" cm="1">
        <f t="array" aca="1" ref="F10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064" s="10">
        <v>3.48</v>
      </c>
      <c r="I1064" s="12">
        <v>45595</v>
      </c>
      <c r="J1064" s="12" t="s">
        <v>498</v>
      </c>
      <c r="K1064" s="77">
        <v>45692</v>
      </c>
      <c r="L1064" s="10"/>
      <c r="M1064" s="427">
        <v>1063</v>
      </c>
      <c r="N1064" s="13" t="str">
        <f t="shared" ca="1" si="33"/>
        <v>CLOSED</v>
      </c>
    </row>
    <row r="1065" spans="1:14" x14ac:dyDescent="0.3">
      <c r="A1065" s="9" t="s">
        <v>186</v>
      </c>
      <c r="B1065" s="13">
        <f>VLOOKUP(Table27[[#This Row],[Location 
(drop-down)]],'List source'!D$2:E$61,2,FALSE)</f>
        <v>130</v>
      </c>
      <c r="C1065" s="223" t="s">
        <v>2785</v>
      </c>
      <c r="D1065" s="13" t="str">
        <f t="shared" si="32"/>
        <v>PTO1064-130-24</v>
      </c>
      <c r="E1065" s="9" t="s">
        <v>2786</v>
      </c>
      <c r="F1065" s="10" t="str" cm="1">
        <f t="array" aca="1" ref="F10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5" s="10">
        <v>3.15</v>
      </c>
      <c r="I1065" s="12">
        <v>45595</v>
      </c>
      <c r="J1065" s="12" t="s">
        <v>54</v>
      </c>
      <c r="K1065" s="77">
        <v>45750</v>
      </c>
      <c r="L1065" s="10" t="s">
        <v>510</v>
      </c>
      <c r="M1065" s="427">
        <v>1064</v>
      </c>
      <c r="N1065" s="13" t="str">
        <f t="shared" ca="1" si="33"/>
        <v>CLOSED</v>
      </c>
    </row>
    <row r="1066" spans="1:14" ht="28.8" x14ac:dyDescent="0.3">
      <c r="A1066" s="9" t="s">
        <v>186</v>
      </c>
      <c r="B1066" s="13">
        <f>VLOOKUP(Table27[[#This Row],[Location 
(drop-down)]],'List source'!D$2:E$61,2,FALSE)</f>
        <v>130</v>
      </c>
      <c r="C1066" s="223" t="s">
        <v>2787</v>
      </c>
      <c r="D1066" s="13" t="str">
        <f t="shared" si="32"/>
        <v>PTO1065-130-24</v>
      </c>
      <c r="E1066" s="9" t="s">
        <v>2788</v>
      </c>
      <c r="F1066" s="10" t="str" cm="1">
        <f t="array" aca="1" ref="F10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066" s="10" t="s">
        <v>2789</v>
      </c>
      <c r="I1066" s="12">
        <v>45595</v>
      </c>
      <c r="J1066" s="264" t="s">
        <v>54</v>
      </c>
      <c r="K1066" s="250">
        <v>45677</v>
      </c>
      <c r="L1066" s="10"/>
      <c r="M1066" s="427">
        <v>1065</v>
      </c>
      <c r="N1066" s="13" t="str">
        <f t="shared" ca="1" si="33"/>
        <v>CLOSED</v>
      </c>
    </row>
    <row r="1067" spans="1:14" ht="28.8" x14ac:dyDescent="0.3">
      <c r="A1067" s="9" t="s">
        <v>264</v>
      </c>
      <c r="B1067" s="13">
        <f>VLOOKUP(Table27[[#This Row],[Location 
(drop-down)]],'List source'!D$2:E$61,2,FALSE)</f>
        <v>132</v>
      </c>
      <c r="C1067" s="223" t="s">
        <v>2790</v>
      </c>
      <c r="D1067" s="13" t="str">
        <f t="shared" si="32"/>
        <v>PTO1066-132-24</v>
      </c>
      <c r="E1067" s="9" t="s">
        <v>2791</v>
      </c>
      <c r="F1067" s="10" t="str" cm="1">
        <f t="array" aca="1" ref="F10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67" s="10" t="s">
        <v>2792</v>
      </c>
      <c r="I1067" s="12">
        <v>45600</v>
      </c>
      <c r="J1067" s="12" t="s">
        <v>54</v>
      </c>
      <c r="K1067" s="77">
        <v>45821</v>
      </c>
      <c r="L1067" s="10"/>
      <c r="M1067" s="427">
        <v>1066</v>
      </c>
      <c r="N1067" s="13" t="str">
        <f t="shared" ca="1" si="33"/>
        <v>CLOSED</v>
      </c>
    </row>
    <row r="1068" spans="1:14" x14ac:dyDescent="0.3">
      <c r="A1068" s="189" t="s">
        <v>126</v>
      </c>
      <c r="B1068" s="217">
        <f>VLOOKUP(Table27[[#This Row],[Location 
(drop-down)]],'List source'!D$2:E$61,2,FALSE)</f>
        <v>125</v>
      </c>
      <c r="C1068" s="255" t="s">
        <v>2793</v>
      </c>
      <c r="D1068" s="217" t="str">
        <f t="shared" si="32"/>
        <v>PTO1189-125-24</v>
      </c>
      <c r="E1068" s="9" t="s">
        <v>2794</v>
      </c>
      <c r="F1068" s="10" t="str" cm="1">
        <f t="array" aca="1" ref="F10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8" s="10">
        <v>3.16</v>
      </c>
      <c r="I1068" s="12">
        <v>45646</v>
      </c>
      <c r="J1068" s="234" t="s">
        <v>195</v>
      </c>
      <c r="K1068" s="220">
        <v>46036</v>
      </c>
      <c r="L1068" s="10"/>
      <c r="M1068" s="427">
        <v>1189</v>
      </c>
      <c r="N1068" s="13" t="str">
        <f t="shared" ca="1" si="33"/>
        <v>CLOSED</v>
      </c>
    </row>
    <row r="1069" spans="1:14" x14ac:dyDescent="0.3">
      <c r="A1069" s="235" t="s">
        <v>235</v>
      </c>
      <c r="B1069" s="236">
        <f>VLOOKUP(Table27[[#This Row],[Location 
(drop-down)]],'List source'!D$2:E$61,2,FALSE)</f>
        <v>160</v>
      </c>
      <c r="C1069" s="330" t="s">
        <v>2795</v>
      </c>
      <c r="D1069" s="236" t="str">
        <f t="shared" si="32"/>
        <v>PTO1068-160-24</v>
      </c>
      <c r="E1069" s="235" t="s">
        <v>2796</v>
      </c>
      <c r="F1069" s="263" t="str" cm="1">
        <f t="array" aca="1" ref="F10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69"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69" s="263">
        <v>3.4</v>
      </c>
      <c r="I1069" s="264">
        <v>45600</v>
      </c>
      <c r="J1069" s="264" t="s">
        <v>182</v>
      </c>
      <c r="K1069" s="250">
        <v>45791</v>
      </c>
      <c r="L1069" s="10"/>
      <c r="M1069" s="427">
        <v>1068</v>
      </c>
      <c r="N1069" s="13" t="str">
        <f t="shared" ca="1" si="33"/>
        <v>CLOSED</v>
      </c>
    </row>
    <row r="1070" spans="1:14" ht="28.8" x14ac:dyDescent="0.3">
      <c r="A1070" s="235" t="s">
        <v>235</v>
      </c>
      <c r="B1070" s="236">
        <f>VLOOKUP(Table27[[#This Row],[Location 
(drop-down)]],'List source'!D$2:E$61,2,FALSE)</f>
        <v>160</v>
      </c>
      <c r="C1070" s="330" t="s">
        <v>2797</v>
      </c>
      <c r="D1070" s="236" t="str">
        <f t="shared" si="32"/>
        <v>PTO1069-160-24</v>
      </c>
      <c r="E1070" s="235" t="s">
        <v>2798</v>
      </c>
      <c r="F1070" s="263" t="str" cm="1">
        <f t="array" aca="1" ref="F10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070"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D3237 - Element</v>
      </c>
      <c r="H1070" s="263" t="s">
        <v>2799</v>
      </c>
      <c r="I1070" s="264">
        <v>45600</v>
      </c>
      <c r="J1070" s="264" t="s">
        <v>182</v>
      </c>
      <c r="K1070" s="250">
        <v>45750</v>
      </c>
      <c r="L1070" s="10"/>
      <c r="M1070" s="427">
        <v>1069</v>
      </c>
      <c r="N1070" s="13" t="str">
        <f t="shared" ca="1" si="33"/>
        <v>CLOSED</v>
      </c>
    </row>
    <row r="1071" spans="1:14" x14ac:dyDescent="0.3">
      <c r="A1071" s="9" t="s">
        <v>207</v>
      </c>
      <c r="B1071" s="13">
        <f>VLOOKUP(Table27[[#This Row],[Location 
(drop-down)]],'List source'!D$2:E$61,2,FALSE)</f>
        <v>189</v>
      </c>
      <c r="C1071" s="223" t="s">
        <v>2800</v>
      </c>
      <c r="D1071" s="13" t="str">
        <f t="shared" si="32"/>
        <v>PTO1070-189-24</v>
      </c>
      <c r="E1071" s="9" t="s">
        <v>2801</v>
      </c>
      <c r="F1071" s="10" t="s">
        <v>1860</v>
      </c>
      <c r="G10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71" s="39" t="s">
        <v>2802</v>
      </c>
      <c r="I1071" s="12">
        <v>45631</v>
      </c>
      <c r="J1071" s="12" t="s">
        <v>41</v>
      </c>
      <c r="K1071" s="77">
        <v>45642</v>
      </c>
      <c r="L1071" s="10"/>
      <c r="M1071" s="427">
        <v>1070</v>
      </c>
      <c r="N1071" s="13" t="str">
        <f t="shared" ca="1" si="33"/>
        <v>CLOSED</v>
      </c>
    </row>
    <row r="1072" spans="1:14" x14ac:dyDescent="0.3">
      <c r="A1072" s="9" t="s">
        <v>288</v>
      </c>
      <c r="B1072" s="13">
        <f>VLOOKUP(Table27[[#This Row],[Location 
(drop-down)]],'List source'!D$2:E$61,2,FALSE)</f>
        <v>197</v>
      </c>
      <c r="C1072" s="223" t="s">
        <v>2803</v>
      </c>
      <c r="D1072" s="13" t="str">
        <f t="shared" si="32"/>
        <v>PTO1071-197-24</v>
      </c>
      <c r="E1072" s="9" t="s">
        <v>2804</v>
      </c>
      <c r="F1072" s="10" t="s">
        <v>1860</v>
      </c>
      <c r="G10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D2624 - Electrical Conductivity</v>
      </c>
      <c r="H1072" s="10">
        <v>2.29</v>
      </c>
      <c r="I1072" s="12">
        <v>45631</v>
      </c>
      <c r="J1072" s="12" t="s">
        <v>41</v>
      </c>
      <c r="K1072" s="77">
        <v>45650</v>
      </c>
      <c r="L1072" s="10"/>
      <c r="M1072" s="427">
        <v>1071</v>
      </c>
      <c r="N1072" s="13" t="str">
        <f t="shared" ca="1" si="33"/>
        <v>CLOSED</v>
      </c>
    </row>
    <row r="1073" spans="1:14" x14ac:dyDescent="0.3">
      <c r="A1073" s="9" t="s">
        <v>288</v>
      </c>
      <c r="B1073" s="13">
        <f>VLOOKUP(Table27[[#This Row],[Location 
(drop-down)]],'List source'!D$2:E$61,2,FALSE)</f>
        <v>197</v>
      </c>
      <c r="C1073" s="223" t="s">
        <v>2805</v>
      </c>
      <c r="D1073" s="13" t="str">
        <f t="shared" si="32"/>
        <v>PTO1072-197-24</v>
      </c>
      <c r="E1073" s="9" t="s">
        <v>2806</v>
      </c>
      <c r="F1073" s="10" t="s">
        <v>1860</v>
      </c>
      <c r="G10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73" s="39" t="s">
        <v>2807</v>
      </c>
      <c r="I1073" s="12">
        <v>45631</v>
      </c>
      <c r="J1073" s="12" t="s">
        <v>41</v>
      </c>
      <c r="K1073" s="77">
        <v>45657</v>
      </c>
      <c r="L1073" s="10"/>
      <c r="M1073" s="427">
        <v>1072</v>
      </c>
      <c r="N1073" s="13" t="str">
        <f t="shared" ca="1" si="33"/>
        <v>CLOSED</v>
      </c>
    </row>
    <row r="1074" spans="1:14" x14ac:dyDescent="0.3">
      <c r="A1074" s="189" t="s">
        <v>318</v>
      </c>
      <c r="B1074" s="217">
        <f>VLOOKUP(Table27[[#This Row],[Location 
(drop-down)]],'List source'!D$2:E$61,2,FALSE)</f>
        <v>115</v>
      </c>
      <c r="C1074" s="255" t="s">
        <v>2808</v>
      </c>
      <c r="D1074" s="217" t="str">
        <f t="shared" si="32"/>
        <v>PTO1073-115-24</v>
      </c>
      <c r="E1074" s="9" t="s">
        <v>2809</v>
      </c>
      <c r="F1074" s="10" t="s">
        <v>898</v>
      </c>
      <c r="G10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RVP PTOT</v>
      </c>
      <c r="H1074" s="10">
        <v>2.38</v>
      </c>
      <c r="I1074" s="12">
        <v>45631</v>
      </c>
      <c r="J1074" s="234" t="s">
        <v>60</v>
      </c>
      <c r="K1074" s="220">
        <v>45692</v>
      </c>
      <c r="L1074" s="10"/>
      <c r="M1074" s="427">
        <v>1073</v>
      </c>
      <c r="N1074" s="13" t="str">
        <f t="shared" ca="1" si="33"/>
        <v>CLOSED</v>
      </c>
    </row>
    <row r="1075" spans="1:14" x14ac:dyDescent="0.3">
      <c r="A1075" s="9" t="s">
        <v>157</v>
      </c>
      <c r="B1075" s="13">
        <f>VLOOKUP(Table27[[#This Row],[Location 
(drop-down)]],'List source'!D$2:E$61,2,FALSE)</f>
        <v>136</v>
      </c>
      <c r="C1075" s="223" t="s">
        <v>2810</v>
      </c>
      <c r="D1075" s="13" t="str">
        <f t="shared" si="32"/>
        <v>PTO1074-136-24</v>
      </c>
      <c r="E1075" s="9" t="s">
        <v>2811</v>
      </c>
      <c r="F1075" s="10" t="s">
        <v>898</v>
      </c>
      <c r="G10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5" s="10">
        <v>2.31</v>
      </c>
      <c r="I1075" s="12">
        <v>45631</v>
      </c>
      <c r="J1075" s="12" t="s">
        <v>495</v>
      </c>
      <c r="K1075" s="77">
        <v>45631</v>
      </c>
      <c r="L1075" s="355" t="s">
        <v>673</v>
      </c>
      <c r="M1075" s="427">
        <v>1074</v>
      </c>
      <c r="N1075" s="13" t="str">
        <f t="shared" ca="1" si="33"/>
        <v>CLOSED</v>
      </c>
    </row>
    <row r="1076" spans="1:14" x14ac:dyDescent="0.3">
      <c r="A1076" s="9" t="s">
        <v>157</v>
      </c>
      <c r="B1076" s="13">
        <f>VLOOKUP(Table27[[#This Row],[Location 
(drop-down)]],'List source'!D$2:E$61,2,FALSE)</f>
        <v>136</v>
      </c>
      <c r="C1076" s="223" t="s">
        <v>2812</v>
      </c>
      <c r="D1076" s="13" t="str">
        <f t="shared" ref="D1076:D1139" si="34">"PTO" &amp; C1076 &amp; "-" &amp; B1076 &amp; "-" &amp; "24"</f>
        <v>PTO1075-136-24</v>
      </c>
      <c r="E1076" s="9" t="s">
        <v>2809</v>
      </c>
      <c r="F1076" s="10" t="s">
        <v>898</v>
      </c>
      <c r="G10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RVP PTOT</v>
      </c>
      <c r="H1076" s="10">
        <v>2.38</v>
      </c>
      <c r="I1076" s="12">
        <v>45631</v>
      </c>
      <c r="J1076" s="12" t="s">
        <v>495</v>
      </c>
      <c r="K1076" s="77">
        <v>45631</v>
      </c>
      <c r="L1076" s="10" t="s">
        <v>510</v>
      </c>
      <c r="M1076" s="427">
        <v>1075</v>
      </c>
      <c r="N1076" s="13" t="str">
        <f t="shared" ref="N1076:N1139" ca="1" si="35">IF(ISBLANK(K1076), TODAY()-(I1076), "CLOSED")</f>
        <v>CLOSED</v>
      </c>
    </row>
    <row r="1077" spans="1:14" x14ac:dyDescent="0.3">
      <c r="A1077" s="342" t="s">
        <v>145</v>
      </c>
      <c r="B1077" s="327">
        <f>VLOOKUP(Table27[[#This Row],[Location 
(drop-down)]],'List source'!D$2:E$61,2,FALSE)</f>
        <v>145</v>
      </c>
      <c r="C1077" s="330" t="s">
        <v>2813</v>
      </c>
      <c r="D1077" s="236" t="str">
        <f t="shared" si="34"/>
        <v>PTO1076-145-24</v>
      </c>
      <c r="E1077" s="342" t="s">
        <v>2814</v>
      </c>
      <c r="F1077" s="351" t="s">
        <v>898</v>
      </c>
      <c r="G1077" s="34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1077" s="393" t="s">
        <v>705</v>
      </c>
      <c r="I1077" s="400">
        <v>45631</v>
      </c>
      <c r="J1077" s="400" t="s">
        <v>182</v>
      </c>
      <c r="K1077" s="405">
        <v>45685</v>
      </c>
      <c r="L1077" s="98"/>
      <c r="M1077" s="429">
        <v>1076</v>
      </c>
      <c r="N1077" s="13" t="str">
        <f t="shared" ca="1" si="35"/>
        <v>CLOSED</v>
      </c>
    </row>
    <row r="1078" spans="1:14" x14ac:dyDescent="0.3">
      <c r="A1078" s="9" t="s">
        <v>70</v>
      </c>
      <c r="B1078" s="13">
        <f>VLOOKUP(Table27[[#This Row],[Location 
(drop-down)]],'List source'!D$2:E$61,2,FALSE)</f>
        <v>146</v>
      </c>
      <c r="C1078" s="223" t="s">
        <v>2815</v>
      </c>
      <c r="D1078" s="13" t="str">
        <f t="shared" si="34"/>
        <v>PTO1077-146-24</v>
      </c>
      <c r="E1078" s="9" t="s">
        <v>2816</v>
      </c>
      <c r="F1078" s="10" t="s">
        <v>898</v>
      </c>
      <c r="G10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078" s="39" t="s">
        <v>1236</v>
      </c>
      <c r="I1078" s="12">
        <v>45631</v>
      </c>
      <c r="J1078" s="12" t="s">
        <v>495</v>
      </c>
      <c r="K1078" s="77">
        <v>45631</v>
      </c>
      <c r="L1078" s="265" t="s">
        <v>673</v>
      </c>
      <c r="M1078" s="427">
        <v>1077</v>
      </c>
      <c r="N1078" s="13" t="str">
        <f t="shared" ca="1" si="35"/>
        <v>CLOSED</v>
      </c>
    </row>
    <row r="1079" spans="1:14" x14ac:dyDescent="0.3">
      <c r="A1079" s="9" t="s">
        <v>57</v>
      </c>
      <c r="B1079" s="13">
        <f>VLOOKUP(Table27[[#This Row],[Location 
(drop-down)]],'List source'!D$2:E$61,2,FALSE)</f>
        <v>170</v>
      </c>
      <c r="C1079" s="223" t="s">
        <v>2817</v>
      </c>
      <c r="D1079" s="13" t="str">
        <f t="shared" si="34"/>
        <v>PTO1078-170-24</v>
      </c>
      <c r="E1079" s="9" t="s">
        <v>2818</v>
      </c>
      <c r="F1079" s="10" t="s">
        <v>898</v>
      </c>
      <c r="G10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79" s="10">
        <v>2.5499999999999998</v>
      </c>
      <c r="I1079" s="12">
        <v>45631</v>
      </c>
      <c r="J1079" s="12" t="s">
        <v>495</v>
      </c>
      <c r="K1079" s="77">
        <v>45631</v>
      </c>
      <c r="L1079" s="265" t="s">
        <v>673</v>
      </c>
      <c r="M1079" s="427">
        <v>1078</v>
      </c>
      <c r="N1079" s="13" t="str">
        <f t="shared" ca="1" si="35"/>
        <v>CLOSED</v>
      </c>
    </row>
    <row r="1080" spans="1:14" ht="28.8" x14ac:dyDescent="0.3">
      <c r="A1080" s="9" t="s">
        <v>388</v>
      </c>
      <c r="B1080" s="13">
        <f>VLOOKUP(Table27[[#This Row],[Location 
(drop-down)]],'List source'!D$2:E$61,2,FALSE)</f>
        <v>191</v>
      </c>
      <c r="C1080" s="223" t="s">
        <v>2819</v>
      </c>
      <c r="D1080" s="13" t="str">
        <f t="shared" si="34"/>
        <v>PTO1079-191-24</v>
      </c>
      <c r="E1080" s="9" t="s">
        <v>2820</v>
      </c>
      <c r="F1080" s="10" t="s">
        <v>898</v>
      </c>
      <c r="G10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0" s="10" t="s">
        <v>2821</v>
      </c>
      <c r="I1080" s="12">
        <v>45631</v>
      </c>
      <c r="J1080" s="12" t="s">
        <v>495</v>
      </c>
      <c r="K1080" s="77">
        <v>45631</v>
      </c>
      <c r="L1080" s="265" t="s">
        <v>673</v>
      </c>
      <c r="M1080" s="427">
        <v>1079</v>
      </c>
      <c r="N1080" s="13" t="str">
        <f t="shared" ca="1" si="35"/>
        <v>CLOSED</v>
      </c>
    </row>
    <row r="1081" spans="1:14" x14ac:dyDescent="0.3">
      <c r="A1081" s="9" t="s">
        <v>207</v>
      </c>
      <c r="B1081" s="13">
        <f>VLOOKUP(Table27[[#This Row],[Location 
(drop-down)]],'List source'!D$2:E$61,2,FALSE)</f>
        <v>189</v>
      </c>
      <c r="C1081" s="223" t="s">
        <v>2822</v>
      </c>
      <c r="D1081" s="13" t="str">
        <f t="shared" si="34"/>
        <v>PTO1080-189-24</v>
      </c>
      <c r="E1081" s="9" t="s">
        <v>2823</v>
      </c>
      <c r="F1081" s="10" t="s">
        <v>2041</v>
      </c>
      <c r="G10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1" s="39" t="s">
        <v>1045</v>
      </c>
      <c r="I1081" s="12">
        <v>45635</v>
      </c>
      <c r="J1081" s="12" t="s">
        <v>495</v>
      </c>
      <c r="K1081" s="77">
        <v>45635</v>
      </c>
      <c r="L1081" s="265" t="s">
        <v>673</v>
      </c>
      <c r="M1081" s="427">
        <v>1080</v>
      </c>
      <c r="N1081" s="13" t="str">
        <f t="shared" ca="1" si="35"/>
        <v>CLOSED</v>
      </c>
    </row>
    <row r="1082" spans="1:14" ht="28.8" x14ac:dyDescent="0.3">
      <c r="A1082" s="9" t="s">
        <v>207</v>
      </c>
      <c r="B1082" s="13">
        <f>VLOOKUP(Table27[[#This Row],[Location 
(drop-down)]],'List source'!D$2:E$61,2,FALSE)</f>
        <v>189</v>
      </c>
      <c r="C1082" s="223" t="s">
        <v>2824</v>
      </c>
      <c r="D1082" s="13" t="str">
        <f t="shared" si="34"/>
        <v>PTO1081-189-24</v>
      </c>
      <c r="E1082" s="9" t="s">
        <v>2825</v>
      </c>
      <c r="F1082" s="10" t="s">
        <v>2041</v>
      </c>
      <c r="G10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D7224 - Water Separation of Kerosine-type Aviation Turbine</v>
      </c>
      <c r="H1082" s="10">
        <v>2.35</v>
      </c>
      <c r="I1082" s="12">
        <v>45635</v>
      </c>
      <c r="J1082" s="12" t="s">
        <v>495</v>
      </c>
      <c r="K1082" s="77">
        <v>45635</v>
      </c>
      <c r="L1082" s="265" t="s">
        <v>673</v>
      </c>
      <c r="M1082" s="427">
        <v>1081</v>
      </c>
      <c r="N1082" s="13" t="str">
        <f t="shared" ca="1" si="35"/>
        <v>CLOSED</v>
      </c>
    </row>
    <row r="1083" spans="1:14" x14ac:dyDescent="0.3">
      <c r="A1083" s="9" t="s">
        <v>130</v>
      </c>
      <c r="B1083" s="13">
        <f>VLOOKUP(Table27[[#This Row],[Location 
(drop-down)]],'List source'!D$2:E$61,2,FALSE)</f>
        <v>194</v>
      </c>
      <c r="C1083" s="223" t="s">
        <v>2826</v>
      </c>
      <c r="D1083" s="13" t="str">
        <f t="shared" si="34"/>
        <v>PTO1082-194-24</v>
      </c>
      <c r="E1083" s="9" t="s">
        <v>2827</v>
      </c>
      <c r="F1083" s="10" t="s">
        <v>2041</v>
      </c>
      <c r="G10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3" s="39" t="s">
        <v>2828</v>
      </c>
      <c r="I1083" s="12">
        <v>45635</v>
      </c>
      <c r="J1083" s="12" t="s">
        <v>495</v>
      </c>
      <c r="K1083" s="77">
        <v>45635</v>
      </c>
      <c r="L1083" s="10" t="s">
        <v>510</v>
      </c>
      <c r="M1083" s="427">
        <v>1082</v>
      </c>
      <c r="N1083" s="13" t="str">
        <f t="shared" ca="1" si="35"/>
        <v>CLOSED</v>
      </c>
    </row>
    <row r="1084" spans="1:14" ht="28.8" x14ac:dyDescent="0.3">
      <c r="A1084" s="9" t="s">
        <v>288</v>
      </c>
      <c r="B1084" s="13">
        <f>VLOOKUP(Table27[[#This Row],[Location 
(drop-down)]],'List source'!D$2:E$61,2,FALSE)</f>
        <v>197</v>
      </c>
      <c r="C1084" s="223" t="s">
        <v>2829</v>
      </c>
      <c r="D1084" s="13" t="str">
        <f t="shared" si="34"/>
        <v>PTO1083-197-24</v>
      </c>
      <c r="E1084" s="9" t="s">
        <v>2830</v>
      </c>
      <c r="F1084" s="10" t="s">
        <v>2041</v>
      </c>
      <c r="G10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4" s="10" t="s">
        <v>2831</v>
      </c>
      <c r="I1084" s="12">
        <v>45635</v>
      </c>
      <c r="J1084" s="12" t="s">
        <v>41</v>
      </c>
      <c r="K1084" s="77">
        <v>45725</v>
      </c>
      <c r="L1084" s="10"/>
      <c r="M1084" s="427">
        <v>1083</v>
      </c>
      <c r="N1084" s="13" t="str">
        <f t="shared" ca="1" si="35"/>
        <v>CLOSED</v>
      </c>
    </row>
    <row r="1085" spans="1:14" x14ac:dyDescent="0.3">
      <c r="A1085" s="9" t="s">
        <v>288</v>
      </c>
      <c r="B1085" s="13">
        <f>VLOOKUP(Table27[[#This Row],[Location 
(drop-down)]],'List source'!D$2:E$61,2,FALSE)</f>
        <v>197</v>
      </c>
      <c r="C1085" s="223" t="s">
        <v>2832</v>
      </c>
      <c r="D1085" s="13" t="str">
        <f t="shared" si="34"/>
        <v>PTO1084-197-24</v>
      </c>
      <c r="E1085" s="9" t="s">
        <v>2833</v>
      </c>
      <c r="F1085" s="10" t="s">
        <v>2041</v>
      </c>
      <c r="G10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85" s="10">
        <v>2.66</v>
      </c>
      <c r="I1085" s="12">
        <v>45635</v>
      </c>
      <c r="J1085" s="12" t="s">
        <v>41</v>
      </c>
      <c r="K1085" s="77">
        <v>45712</v>
      </c>
      <c r="L1085" s="10"/>
      <c r="M1085" s="427">
        <v>1084</v>
      </c>
      <c r="N1085" s="13" t="str">
        <f t="shared" ca="1" si="35"/>
        <v>CLOSED</v>
      </c>
    </row>
    <row r="1086" spans="1:14" x14ac:dyDescent="0.3">
      <c r="A1086" s="9" t="s">
        <v>288</v>
      </c>
      <c r="B1086" s="13">
        <f>VLOOKUP(Table27[[#This Row],[Location 
(drop-down)]],'List source'!D$2:E$61,2,FALSE)</f>
        <v>197</v>
      </c>
      <c r="C1086" s="223" t="s">
        <v>2834</v>
      </c>
      <c r="D1086" s="13" t="str">
        <f t="shared" si="34"/>
        <v>PTO1085-197-24</v>
      </c>
      <c r="E1086" s="9" t="s">
        <v>2835</v>
      </c>
      <c r="F1086" s="10" t="s">
        <v>2041</v>
      </c>
      <c r="G10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D5972 - Freezing Point</v>
      </c>
      <c r="H1086" s="10">
        <v>110.13</v>
      </c>
      <c r="I1086" s="12">
        <v>45635</v>
      </c>
      <c r="J1086" s="12" t="s">
        <v>23</v>
      </c>
      <c r="K1086" s="77">
        <v>45964</v>
      </c>
      <c r="L1086" s="10"/>
      <c r="M1086" s="427">
        <v>1085</v>
      </c>
      <c r="N1086" s="13" t="str">
        <f t="shared" ca="1" si="35"/>
        <v>CLOSED</v>
      </c>
    </row>
    <row r="1087" spans="1:14" x14ac:dyDescent="0.3">
      <c r="A1087" s="9" t="s">
        <v>288</v>
      </c>
      <c r="B1087" s="13">
        <f>VLOOKUP(Table27[[#This Row],[Location 
(drop-down)]],'List source'!D$2:E$61,2,FALSE)</f>
        <v>197</v>
      </c>
      <c r="C1087" s="223" t="s">
        <v>2836</v>
      </c>
      <c r="D1087" s="13" t="str">
        <f t="shared" si="34"/>
        <v>PTO1086-197-24</v>
      </c>
      <c r="E1087" s="9" t="s">
        <v>2837</v>
      </c>
      <c r="F1087" s="10" t="s">
        <v>2041</v>
      </c>
      <c r="G10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087" s="10">
        <v>-69.290000000000006</v>
      </c>
      <c r="I1087" s="12">
        <v>45635</v>
      </c>
      <c r="J1087" s="12" t="s">
        <v>41</v>
      </c>
      <c r="K1087" s="77">
        <v>45657</v>
      </c>
      <c r="L1087" s="10"/>
      <c r="M1087" s="427">
        <v>1086</v>
      </c>
      <c r="N1087" s="13" t="str">
        <f t="shared" ca="1" si="35"/>
        <v>CLOSED</v>
      </c>
    </row>
    <row r="1088" spans="1:14" ht="28.8" x14ac:dyDescent="0.3">
      <c r="A1088" s="9" t="s">
        <v>138</v>
      </c>
      <c r="B1088" s="13">
        <f>VLOOKUP(Table27[[#This Row],[Location 
(drop-down)]],'List source'!D$2:E$61,2,FALSE)</f>
        <v>110</v>
      </c>
      <c r="C1088" s="223" t="s">
        <v>2838</v>
      </c>
      <c r="D1088" s="13" t="str">
        <f t="shared" si="34"/>
        <v>PTO1087-110-24</v>
      </c>
      <c r="E1088" s="9" t="s">
        <v>2839</v>
      </c>
      <c r="F1088" s="10" t="str" cm="1">
        <f t="array" aca="1" ref="F10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088" s="10">
        <v>65.459999999999994</v>
      </c>
      <c r="I1088" s="12">
        <v>45635</v>
      </c>
      <c r="J1088" s="12" t="s">
        <v>498</v>
      </c>
      <c r="K1088" s="77">
        <v>45950</v>
      </c>
      <c r="L1088" s="10"/>
      <c r="M1088" s="427">
        <v>1087</v>
      </c>
      <c r="N1088" s="13" t="str">
        <f t="shared" ca="1" si="35"/>
        <v>CLOSED</v>
      </c>
    </row>
    <row r="1089" spans="1:14" x14ac:dyDescent="0.3">
      <c r="A1089" s="9" t="s">
        <v>65</v>
      </c>
      <c r="B1089" s="13">
        <f>VLOOKUP(Table27[[#This Row],[Location 
(drop-down)]],'List source'!D$2:E$61,2,FALSE)</f>
        <v>155</v>
      </c>
      <c r="C1089" s="223" t="s">
        <v>2840</v>
      </c>
      <c r="D1089" s="13" t="str">
        <f t="shared" si="34"/>
        <v>PTO1088-155-24</v>
      </c>
      <c r="E1089" s="9" t="s">
        <v>2841</v>
      </c>
      <c r="F1089" s="10" t="str" cm="1">
        <f t="array" aca="1" ref="F10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89" s="39" t="s">
        <v>749</v>
      </c>
      <c r="I1089" s="12">
        <v>45635</v>
      </c>
      <c r="J1089" s="12" t="s">
        <v>495</v>
      </c>
      <c r="K1089" s="77">
        <v>45635</v>
      </c>
      <c r="L1089" s="265" t="s">
        <v>673</v>
      </c>
      <c r="M1089" s="427">
        <v>1088</v>
      </c>
      <c r="N1089" s="13" t="str">
        <f t="shared" ca="1" si="35"/>
        <v>CLOSED</v>
      </c>
    </row>
    <row r="1090" spans="1:14" x14ac:dyDescent="0.3">
      <c r="A1090" s="9" t="s">
        <v>57</v>
      </c>
      <c r="B1090" s="13">
        <f>VLOOKUP(Table27[[#This Row],[Location 
(drop-down)]],'List source'!D$2:E$61,2,FALSE)</f>
        <v>170</v>
      </c>
      <c r="C1090" s="223" t="s">
        <v>2842</v>
      </c>
      <c r="D1090" s="13" t="str">
        <f t="shared" si="34"/>
        <v>PTO1089-170-24</v>
      </c>
      <c r="E1090" s="9" t="s">
        <v>2843</v>
      </c>
      <c r="F1090" s="10" t="str" cm="1">
        <f t="array" aca="1" ref="F10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090" s="10">
        <v>3.3</v>
      </c>
      <c r="I1090" s="12">
        <v>45635</v>
      </c>
      <c r="J1090" s="12" t="s">
        <v>60</v>
      </c>
      <c r="K1090" s="77">
        <v>45688</v>
      </c>
      <c r="L1090" s="10"/>
      <c r="M1090" s="427">
        <v>1089</v>
      </c>
      <c r="N1090" s="13" t="str">
        <f t="shared" ca="1" si="35"/>
        <v>CLOSED</v>
      </c>
    </row>
    <row r="1091" spans="1:14" x14ac:dyDescent="0.3">
      <c r="A1091" s="9" t="s">
        <v>57</v>
      </c>
      <c r="B1091" s="13">
        <f>VLOOKUP(Table27[[#This Row],[Location 
(drop-down)]],'List source'!D$2:E$61,2,FALSE)</f>
        <v>170</v>
      </c>
      <c r="C1091" s="223" t="s">
        <v>2844</v>
      </c>
      <c r="D1091" s="13" t="str">
        <f t="shared" si="34"/>
        <v>PTO1090-170-24</v>
      </c>
      <c r="E1091" s="9" t="s">
        <v>2845</v>
      </c>
      <c r="F1091" s="10" t="str" cm="1">
        <f t="array" aca="1" ref="F10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91" s="39" t="s">
        <v>2176</v>
      </c>
      <c r="I1091" s="12">
        <v>45635</v>
      </c>
      <c r="J1091" s="12" t="s">
        <v>495</v>
      </c>
      <c r="K1091" s="77">
        <v>45635</v>
      </c>
      <c r="L1091" s="265" t="s">
        <v>673</v>
      </c>
      <c r="M1091" s="427">
        <v>1090</v>
      </c>
      <c r="N1091" s="13" t="str">
        <f t="shared" ca="1" si="35"/>
        <v>CLOSED</v>
      </c>
    </row>
    <row r="1092" spans="1:14" ht="28.8" x14ac:dyDescent="0.3">
      <c r="A1092" s="9" t="s">
        <v>57</v>
      </c>
      <c r="B1092" s="13">
        <f>VLOOKUP(Table27[[#This Row],[Location 
(drop-down)]],'List source'!D$2:E$61,2,FALSE)</f>
        <v>170</v>
      </c>
      <c r="C1092" s="223" t="s">
        <v>2846</v>
      </c>
      <c r="D1092" s="13" t="str">
        <f t="shared" si="34"/>
        <v>PTO1091-170-24</v>
      </c>
      <c r="E1092" s="9" t="s">
        <v>2847</v>
      </c>
      <c r="F1092" s="10" t="str" cm="1">
        <f t="array" aca="1" ref="F10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092" s="10">
        <v>2.15</v>
      </c>
      <c r="I1092" s="12">
        <v>45635</v>
      </c>
      <c r="J1092" s="12" t="s">
        <v>60</v>
      </c>
      <c r="K1092" s="77">
        <v>45754</v>
      </c>
      <c r="L1092" s="10"/>
      <c r="M1092" s="427">
        <v>1091</v>
      </c>
      <c r="N1092" s="13" t="str">
        <f t="shared" ca="1" si="35"/>
        <v>CLOSED</v>
      </c>
    </row>
    <row r="1093" spans="1:14" x14ac:dyDescent="0.3">
      <c r="A1093" s="9" t="s">
        <v>261</v>
      </c>
      <c r="B1093" s="13">
        <f>VLOOKUP(Table27[[#This Row],[Location 
(drop-down)]],'List source'!D$2:E$61,2,FALSE)</f>
        <v>210</v>
      </c>
      <c r="C1093" s="223" t="s">
        <v>2848</v>
      </c>
      <c r="D1093" s="13" t="str">
        <f t="shared" si="34"/>
        <v>PTO1092-210-24</v>
      </c>
      <c r="E1093" s="9" t="s">
        <v>2849</v>
      </c>
      <c r="F1093" s="10" t="str" cm="1">
        <f t="array" aca="1" ref="F10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CET</v>
      </c>
      <c r="G10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93" s="39" t="s">
        <v>2850</v>
      </c>
      <c r="I1093" s="12">
        <v>45635</v>
      </c>
      <c r="J1093" s="12" t="s">
        <v>495</v>
      </c>
      <c r="K1093" s="77">
        <v>45635</v>
      </c>
      <c r="L1093" s="10" t="s">
        <v>510</v>
      </c>
      <c r="M1093" s="427">
        <v>1092</v>
      </c>
      <c r="N1093" s="13" t="str">
        <f t="shared" ca="1" si="35"/>
        <v>CLOSED</v>
      </c>
    </row>
    <row r="1094" spans="1:14" x14ac:dyDescent="0.3">
      <c r="A1094" s="9" t="s">
        <v>107</v>
      </c>
      <c r="B1094" s="13">
        <f>VLOOKUP(Table27[[#This Row],[Location 
(drop-down)]],'List source'!D$2:E$61,2,FALSE)</f>
        <v>120</v>
      </c>
      <c r="C1094" s="223" t="s">
        <v>2851</v>
      </c>
      <c r="D1094" s="13" t="str">
        <f t="shared" si="34"/>
        <v>PTO1093-120-24</v>
      </c>
      <c r="E1094" s="9" t="s">
        <v>2852</v>
      </c>
      <c r="F1094" s="10" t="str" cm="1">
        <f t="array" aca="1" ref="F10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94" s="39" t="s">
        <v>2853</v>
      </c>
      <c r="I1094" s="12">
        <v>45642</v>
      </c>
      <c r="J1094" s="12" t="s">
        <v>2231</v>
      </c>
      <c r="K1094" s="77">
        <v>45642</v>
      </c>
      <c r="L1094" s="265" t="s">
        <v>673</v>
      </c>
      <c r="M1094" s="427">
        <v>1093</v>
      </c>
      <c r="N1094" s="13" t="str">
        <f t="shared" ca="1" si="35"/>
        <v>CLOSED</v>
      </c>
    </row>
    <row r="1095" spans="1:14" x14ac:dyDescent="0.3">
      <c r="A1095" s="9" t="s">
        <v>126</v>
      </c>
      <c r="B1095" s="13">
        <f>VLOOKUP(Table27[[#This Row],[Location 
(drop-down)]],'List source'!D$2:E$61,2,FALSE)</f>
        <v>125</v>
      </c>
      <c r="C1095" s="223" t="s">
        <v>2854</v>
      </c>
      <c r="D1095" s="13" t="str">
        <f t="shared" si="34"/>
        <v>PTO1094-125-24</v>
      </c>
      <c r="E1095" s="9" t="s">
        <v>2855</v>
      </c>
      <c r="F1095" s="10" t="str" cm="1">
        <f t="array" aca="1" ref="F10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1095" s="39" t="s">
        <v>1209</v>
      </c>
      <c r="I1095" s="12">
        <v>45642</v>
      </c>
      <c r="J1095" s="12" t="s">
        <v>2231</v>
      </c>
      <c r="K1095" s="77">
        <v>45642</v>
      </c>
      <c r="L1095" s="265" t="s">
        <v>673</v>
      </c>
      <c r="M1095" s="427">
        <v>1094</v>
      </c>
      <c r="N1095" s="13" t="str">
        <f t="shared" ca="1" si="35"/>
        <v>CLOSED</v>
      </c>
    </row>
    <row r="1096" spans="1:14" x14ac:dyDescent="0.3">
      <c r="A1096" s="9" t="s">
        <v>153</v>
      </c>
      <c r="B1096" s="13">
        <f>VLOOKUP(Table27[[#This Row],[Location 
(drop-down)]],'List source'!D$2:E$61,2,FALSE)</f>
        <v>126</v>
      </c>
      <c r="C1096" s="223" t="s">
        <v>2856</v>
      </c>
      <c r="D1096" s="13" t="str">
        <f t="shared" si="34"/>
        <v>PTO1095-126-24</v>
      </c>
      <c r="E1096" s="9" t="s">
        <v>2857</v>
      </c>
      <c r="F1096" s="10" t="str" cm="1">
        <f t="array" aca="1" ref="F10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96" s="39" t="s">
        <v>2858</v>
      </c>
      <c r="I1096" s="12">
        <v>45642</v>
      </c>
      <c r="J1096" s="12" t="s">
        <v>2231</v>
      </c>
      <c r="K1096" s="77">
        <v>45642</v>
      </c>
      <c r="L1096" s="265" t="s">
        <v>673</v>
      </c>
      <c r="M1096" s="427">
        <v>1095</v>
      </c>
      <c r="N1096" s="13" t="str">
        <f t="shared" ca="1" si="35"/>
        <v>CLOSED</v>
      </c>
    </row>
    <row r="1097" spans="1:14" ht="28.8" x14ac:dyDescent="0.3">
      <c r="A1097" s="9" t="s">
        <v>153</v>
      </c>
      <c r="B1097" s="13">
        <f>VLOOKUP(Table27[[#This Row],[Location 
(drop-down)]],'List source'!D$2:E$61,2,FALSE)</f>
        <v>126</v>
      </c>
      <c r="C1097" s="223" t="s">
        <v>2859</v>
      </c>
      <c r="D1097" s="13" t="str">
        <f t="shared" si="34"/>
        <v>PTO1096-126-24</v>
      </c>
      <c r="E1097" s="9" t="s">
        <v>2860</v>
      </c>
      <c r="F1097" s="10" t="str" cm="1">
        <f t="array" aca="1" ref="F10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097" s="39" t="s">
        <v>2861</v>
      </c>
      <c r="I1097" s="12">
        <v>45642</v>
      </c>
      <c r="J1097" s="12" t="s">
        <v>498</v>
      </c>
      <c r="K1097" s="77">
        <v>45807</v>
      </c>
      <c r="L1097" s="10"/>
      <c r="M1097" s="427">
        <v>1096</v>
      </c>
      <c r="N1097" s="13" t="str">
        <f t="shared" ca="1" si="35"/>
        <v>CLOSED</v>
      </c>
    </row>
    <row r="1098" spans="1:14" x14ac:dyDescent="0.3">
      <c r="A1098" s="9" t="s">
        <v>39</v>
      </c>
      <c r="B1098" s="13">
        <f>VLOOKUP(Table27[[#This Row],[Location 
(drop-down)]],'List source'!D$2:E$61,2,FALSE)</f>
        <v>127</v>
      </c>
      <c r="C1098" s="223" t="s">
        <v>2862</v>
      </c>
      <c r="D1098" s="13" t="str">
        <f t="shared" si="34"/>
        <v>PTO1097-127-24</v>
      </c>
      <c r="E1098" s="9" t="s">
        <v>2863</v>
      </c>
      <c r="F1098" s="10" t="str" cm="1">
        <f t="array" aca="1" ref="F10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1098" s="39" t="s">
        <v>717</v>
      </c>
      <c r="I1098" s="12">
        <v>45642</v>
      </c>
      <c r="J1098" s="12" t="s">
        <v>2231</v>
      </c>
      <c r="K1098" s="77">
        <v>45642</v>
      </c>
      <c r="L1098" s="265" t="s">
        <v>673</v>
      </c>
      <c r="M1098" s="427">
        <v>1097</v>
      </c>
      <c r="N1098" s="13" t="str">
        <f t="shared" ca="1" si="35"/>
        <v>CLOSED</v>
      </c>
    </row>
    <row r="1099" spans="1:14" x14ac:dyDescent="0.3">
      <c r="A1099" s="9" t="s">
        <v>21</v>
      </c>
      <c r="B1099" s="13">
        <f>VLOOKUP(Table27[[#This Row],[Location 
(drop-down)]],'List source'!D$2:E$61,2,FALSE)</f>
        <v>131</v>
      </c>
      <c r="C1099" s="223" t="s">
        <v>2864</v>
      </c>
      <c r="D1099" s="13" t="str">
        <f t="shared" si="34"/>
        <v>PTO1098-131-24</v>
      </c>
      <c r="E1099" s="9" t="s">
        <v>2865</v>
      </c>
      <c r="F1099" s="10" t="str" cm="1">
        <f t="array" aca="1" ref="F10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0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099" s="10" t="s">
        <v>2866</v>
      </c>
      <c r="I1099" s="12">
        <v>45642</v>
      </c>
      <c r="J1099" s="12" t="s">
        <v>2231</v>
      </c>
      <c r="K1099" s="77">
        <v>45642</v>
      </c>
      <c r="L1099" s="265" t="s">
        <v>673</v>
      </c>
      <c r="M1099" s="427">
        <v>1098</v>
      </c>
      <c r="N1099" s="13" t="str">
        <f t="shared" ca="1" si="35"/>
        <v>CLOSED</v>
      </c>
    </row>
    <row r="1100" spans="1:14" ht="28.8" x14ac:dyDescent="0.3">
      <c r="A1100" s="9" t="s">
        <v>264</v>
      </c>
      <c r="B1100" s="13">
        <f>VLOOKUP(Table27[[#This Row],[Location 
(drop-down)]],'List source'!D$2:E$61,2,FALSE)</f>
        <v>132</v>
      </c>
      <c r="C1100" s="223" t="s">
        <v>2867</v>
      </c>
      <c r="D1100" s="13" t="str">
        <f t="shared" si="34"/>
        <v>PTO1099-132-24</v>
      </c>
      <c r="E1100" s="9" t="s">
        <v>2868</v>
      </c>
      <c r="F1100" s="10" t="str" cm="1">
        <f t="array" aca="1" ref="F11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0" s="9" t="s">
        <v>1853</v>
      </c>
      <c r="H1100" s="39" t="s">
        <v>529</v>
      </c>
      <c r="I1100" s="12">
        <v>45642</v>
      </c>
      <c r="J1100" s="12" t="s">
        <v>54</v>
      </c>
      <c r="K1100" s="77">
        <v>45769</v>
      </c>
      <c r="L1100" s="10"/>
      <c r="M1100" s="427">
        <v>1099</v>
      </c>
      <c r="N1100" s="13" t="str">
        <f t="shared" ca="1" si="35"/>
        <v>CLOSED</v>
      </c>
    </row>
    <row r="1101" spans="1:14" ht="28.8" x14ac:dyDescent="0.3">
      <c r="A1101" s="189" t="s">
        <v>264</v>
      </c>
      <c r="B1101" s="13">
        <f>VLOOKUP(Table27[[#This Row],[Location 
(drop-down)]],'List source'!D$2:E$61,2,FALSE)</f>
        <v>132</v>
      </c>
      <c r="C1101" s="223" t="s">
        <v>2869</v>
      </c>
      <c r="D1101" s="13" t="str">
        <f t="shared" si="34"/>
        <v>PTO1100-132-24</v>
      </c>
      <c r="E1101" s="9" t="s">
        <v>2870</v>
      </c>
      <c r="F1101" s="10" t="str" cm="1">
        <f t="array" aca="1" ref="F11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1" s="9" t="s">
        <v>2871</v>
      </c>
      <c r="H1101" s="10" t="s">
        <v>2872</v>
      </c>
      <c r="I1101" s="12">
        <v>45642</v>
      </c>
      <c r="J1101" s="12" t="s">
        <v>54</v>
      </c>
      <c r="K1101" s="77">
        <v>45863</v>
      </c>
      <c r="L1101" s="10"/>
      <c r="M1101" s="427">
        <v>1100</v>
      </c>
      <c r="N1101" s="13" t="str">
        <f t="shared" ca="1" si="35"/>
        <v>CLOSED</v>
      </c>
    </row>
    <row r="1102" spans="1:14" x14ac:dyDescent="0.3">
      <c r="A1102" s="9" t="s">
        <v>264</v>
      </c>
      <c r="B1102" s="13">
        <f>VLOOKUP(Table27[[#This Row],[Location 
(drop-down)]],'List source'!D$2:E$61,2,FALSE)</f>
        <v>132</v>
      </c>
      <c r="C1102" s="223" t="s">
        <v>2873</v>
      </c>
      <c r="D1102" s="13" t="str">
        <f t="shared" si="34"/>
        <v>PTO1101-132-24</v>
      </c>
      <c r="E1102" s="9" t="s">
        <v>2874</v>
      </c>
      <c r="F1102" s="10" t="str" cm="1">
        <f t="array" aca="1" ref="F11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02" s="10">
        <v>3.01</v>
      </c>
      <c r="I1102" s="12">
        <v>45642</v>
      </c>
      <c r="J1102" s="12" t="s">
        <v>54</v>
      </c>
      <c r="K1102" s="77">
        <v>45838</v>
      </c>
      <c r="L1102" s="10"/>
      <c r="M1102" s="427">
        <v>1101</v>
      </c>
      <c r="N1102" s="13" t="str">
        <f t="shared" ca="1" si="35"/>
        <v>CLOSED</v>
      </c>
    </row>
    <row r="1103" spans="1:14" ht="28.8" x14ac:dyDescent="0.3">
      <c r="A1103" s="9" t="s">
        <v>264</v>
      </c>
      <c r="B1103" s="13">
        <f>VLOOKUP(Table27[[#This Row],[Location 
(drop-down)]],'List source'!D$2:E$61,2,FALSE)</f>
        <v>132</v>
      </c>
      <c r="C1103" s="223" t="s">
        <v>2875</v>
      </c>
      <c r="D1103" s="13" t="str">
        <f t="shared" si="34"/>
        <v>PTO1102-132-24</v>
      </c>
      <c r="E1103" s="9" t="s">
        <v>2876</v>
      </c>
      <c r="F1103" s="10" t="str" cm="1">
        <f t="array" aca="1" ref="F11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03" s="10" t="s">
        <v>2877</v>
      </c>
      <c r="I1103" s="12">
        <v>45642</v>
      </c>
      <c r="J1103" s="12" t="s">
        <v>2641</v>
      </c>
      <c r="K1103" s="77">
        <v>45784</v>
      </c>
      <c r="L1103" s="10"/>
      <c r="M1103" s="427">
        <v>1102</v>
      </c>
      <c r="N1103" s="13" t="str">
        <f t="shared" ca="1" si="35"/>
        <v>CLOSED</v>
      </c>
    </row>
    <row r="1104" spans="1:14" x14ac:dyDescent="0.3">
      <c r="A1104" s="9" t="s">
        <v>310</v>
      </c>
      <c r="B1104" s="13">
        <f>VLOOKUP(Table27[[#This Row],[Location 
(drop-down)]],'List source'!D$2:E$61,2,FALSE)</f>
        <v>144</v>
      </c>
      <c r="C1104" s="223" t="s">
        <v>2878</v>
      </c>
      <c r="D1104" s="13" t="str">
        <f t="shared" si="34"/>
        <v>PTO1103-144-24</v>
      </c>
      <c r="E1104" s="9" t="s">
        <v>2879</v>
      </c>
      <c r="F1104" s="10" t="str" cm="1">
        <f t="array" aca="1" ref="F11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1104" s="10">
        <v>2.44</v>
      </c>
      <c r="I1104" s="12">
        <v>45642</v>
      </c>
      <c r="J1104" s="12" t="s">
        <v>2231</v>
      </c>
      <c r="K1104" s="77">
        <v>45642</v>
      </c>
      <c r="L1104" s="10" t="s">
        <v>510</v>
      </c>
      <c r="M1104" s="427">
        <v>1103</v>
      </c>
      <c r="N1104" s="13" t="str">
        <f t="shared" ca="1" si="35"/>
        <v>CLOSED</v>
      </c>
    </row>
    <row r="1105" spans="1:14" ht="28.8" x14ac:dyDescent="0.3">
      <c r="A1105" s="9" t="s">
        <v>70</v>
      </c>
      <c r="B1105" s="13">
        <f>VLOOKUP(Table27[[#This Row],[Location 
(drop-down)]],'List source'!D$2:E$61,2,FALSE)</f>
        <v>146</v>
      </c>
      <c r="C1105" s="223" t="s">
        <v>2880</v>
      </c>
      <c r="D1105" s="13" t="str">
        <f t="shared" si="34"/>
        <v>PTO1104-146-24</v>
      </c>
      <c r="E1105" s="9" t="s">
        <v>2881</v>
      </c>
      <c r="F1105" s="10" t="str" cm="1">
        <f t="array" aca="1" ref="F11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v>
      </c>
      <c r="H1105" s="39" t="s">
        <v>2882</v>
      </c>
      <c r="I1105" s="12">
        <v>45642</v>
      </c>
      <c r="J1105" s="12" t="s">
        <v>60</v>
      </c>
      <c r="K1105" s="77">
        <v>45806</v>
      </c>
      <c r="L1105" s="10"/>
      <c r="M1105" s="427">
        <v>1104</v>
      </c>
      <c r="N1105" s="13" t="str">
        <f t="shared" ca="1" si="35"/>
        <v>CLOSED</v>
      </c>
    </row>
    <row r="1106" spans="1:14" ht="28.8" x14ac:dyDescent="0.3">
      <c r="A1106" s="9" t="s">
        <v>86</v>
      </c>
      <c r="B1106" s="13">
        <f>VLOOKUP(Table27[[#This Row],[Location 
(drop-down)]],'List source'!D$2:E$61,2,FALSE)</f>
        <v>150</v>
      </c>
      <c r="C1106" s="223" t="s">
        <v>2883</v>
      </c>
      <c r="D1106" s="13" t="str">
        <f t="shared" si="34"/>
        <v>PTO1105-150-24</v>
      </c>
      <c r="E1106" s="9" t="s">
        <v>2884</v>
      </c>
      <c r="F1106" s="10" t="str" cm="1">
        <f t="array" aca="1" ref="F11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Toluene</v>
      </c>
      <c r="H1106" s="39" t="s">
        <v>2885</v>
      </c>
      <c r="I1106" s="12">
        <v>45642</v>
      </c>
      <c r="J1106" s="12" t="s">
        <v>134</v>
      </c>
      <c r="K1106" s="77">
        <v>45889</v>
      </c>
      <c r="L1106" s="10"/>
      <c r="M1106" s="427">
        <v>1105</v>
      </c>
      <c r="N1106" s="13" t="str">
        <f t="shared" ca="1" si="35"/>
        <v>CLOSED</v>
      </c>
    </row>
    <row r="1107" spans="1:14" ht="28.8" x14ac:dyDescent="0.3">
      <c r="A1107" s="9" t="s">
        <v>65</v>
      </c>
      <c r="B1107" s="13">
        <f>VLOOKUP(Table27[[#This Row],[Location 
(drop-down)]],'List source'!D$2:E$61,2,FALSE)</f>
        <v>155</v>
      </c>
      <c r="C1107" s="223" t="s">
        <v>2886</v>
      </c>
      <c r="D1107" s="13" t="str">
        <f t="shared" si="34"/>
        <v>PTO1106-155-24</v>
      </c>
      <c r="E1107" s="9" t="s">
        <v>2887</v>
      </c>
      <c r="F1107" s="10" t="str" cm="1">
        <f t="array" aca="1" ref="F11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07" s="10" t="s">
        <v>529</v>
      </c>
      <c r="I1107" s="12">
        <v>45642</v>
      </c>
      <c r="J1107" s="12" t="s">
        <v>134</v>
      </c>
      <c r="K1107" s="77">
        <v>45754</v>
      </c>
      <c r="L1107" s="10"/>
      <c r="M1107" s="427">
        <v>1106</v>
      </c>
      <c r="N1107" s="13" t="str">
        <f t="shared" ca="1" si="35"/>
        <v>CLOSED</v>
      </c>
    </row>
    <row r="1108" spans="1:14" ht="28.8" x14ac:dyDescent="0.3">
      <c r="A1108" s="9" t="s">
        <v>65</v>
      </c>
      <c r="B1108" s="13">
        <f>VLOOKUP(Table27[[#This Row],[Location 
(drop-down)]],'List source'!D$2:E$61,2,FALSE)</f>
        <v>155</v>
      </c>
      <c r="C1108" s="223" t="s">
        <v>2888</v>
      </c>
      <c r="D1108" s="13" t="str">
        <f t="shared" si="34"/>
        <v>PTO1107-155-24</v>
      </c>
      <c r="E1108" s="9" t="s">
        <v>2889</v>
      </c>
      <c r="F1108" s="10" t="str" cm="1">
        <f t="array" aca="1" ref="F11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08" s="10">
        <v>64.22</v>
      </c>
      <c r="I1108" s="12">
        <v>45642</v>
      </c>
      <c r="J1108" s="12" t="s">
        <v>2231</v>
      </c>
      <c r="K1108" s="77">
        <v>45643</v>
      </c>
      <c r="L1108" s="10" t="s">
        <v>510</v>
      </c>
      <c r="M1108" s="427">
        <v>1107</v>
      </c>
      <c r="N1108" s="13" t="str">
        <f t="shared" ca="1" si="35"/>
        <v>CLOSED</v>
      </c>
    </row>
    <row r="1109" spans="1:14" ht="28.8" x14ac:dyDescent="0.3">
      <c r="A1109" s="239" t="s">
        <v>235</v>
      </c>
      <c r="B1109" s="240">
        <f>VLOOKUP(Table27[[#This Row],[Location 
(drop-down)]],'List source'!D$2:E$61,2,FALSE)</f>
        <v>160</v>
      </c>
      <c r="C1109" s="294" t="s">
        <v>2890</v>
      </c>
      <c r="D1109" s="240" t="str">
        <f t="shared" si="34"/>
        <v>PTO1108-160-24</v>
      </c>
      <c r="E1109" s="239" t="s">
        <v>2891</v>
      </c>
      <c r="F1109" s="245" t="str" cm="1">
        <f t="array" aca="1" ref="F11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09"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09" s="296" t="s">
        <v>2892</v>
      </c>
      <c r="I1109" s="246">
        <v>45642</v>
      </c>
      <c r="J1109" s="246" t="s">
        <v>182</v>
      </c>
      <c r="K1109" s="247">
        <v>45768</v>
      </c>
      <c r="L1109" s="10"/>
      <c r="M1109" s="427">
        <v>1108</v>
      </c>
      <c r="N1109" s="13" t="str">
        <f t="shared" ca="1" si="35"/>
        <v>CLOSED</v>
      </c>
    </row>
    <row r="1110" spans="1:14" ht="28.8" x14ac:dyDescent="0.3">
      <c r="A1110" s="239" t="s">
        <v>235</v>
      </c>
      <c r="B1110" s="240">
        <f>VLOOKUP(Table27[[#This Row],[Location 
(drop-down)]],'List source'!D$2:E$61,2,FALSE)</f>
        <v>160</v>
      </c>
      <c r="C1110" s="294" t="s">
        <v>2893</v>
      </c>
      <c r="D1110" s="240" t="str">
        <f t="shared" si="34"/>
        <v>PTO1109-160-24</v>
      </c>
      <c r="E1110" s="239" t="s">
        <v>2894</v>
      </c>
      <c r="F1110" s="245" t="str" cm="1">
        <f t="array" aca="1" ref="F11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0"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110" s="245">
        <v>2.83</v>
      </c>
      <c r="I1110" s="246">
        <v>45642</v>
      </c>
      <c r="J1110" s="246" t="s">
        <v>182</v>
      </c>
      <c r="K1110" s="247">
        <v>45750</v>
      </c>
      <c r="L1110" s="10"/>
      <c r="M1110" s="427">
        <v>1109</v>
      </c>
      <c r="N1110" s="13" t="str">
        <f t="shared" ca="1" si="35"/>
        <v>CLOSED</v>
      </c>
    </row>
    <row r="1111" spans="1:14" x14ac:dyDescent="0.3">
      <c r="A1111" s="9" t="s">
        <v>235</v>
      </c>
      <c r="B1111" s="13">
        <f>VLOOKUP(Table27[[#This Row],[Location 
(drop-down)]],'List source'!D$2:E$61,2,FALSE)</f>
        <v>160</v>
      </c>
      <c r="C1111" s="223" t="s">
        <v>2895</v>
      </c>
      <c r="D1111" s="13" t="str">
        <f t="shared" si="34"/>
        <v>PTO1110-160-24</v>
      </c>
      <c r="E1111" s="9" t="s">
        <v>2896</v>
      </c>
      <c r="F1111" s="10" t="str" cm="1">
        <f t="array" aca="1" ref="F11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11" s="39" t="s">
        <v>2897</v>
      </c>
      <c r="I1111" s="12">
        <v>45642</v>
      </c>
      <c r="J1111" s="12" t="s">
        <v>2231</v>
      </c>
      <c r="K1111" s="77">
        <v>45642</v>
      </c>
      <c r="L1111" s="265" t="s">
        <v>673</v>
      </c>
      <c r="M1111" s="427">
        <v>1110</v>
      </c>
      <c r="N1111" s="13" t="str">
        <f t="shared" ca="1" si="35"/>
        <v>CLOSED</v>
      </c>
    </row>
    <row r="1112" spans="1:14" ht="28.8" x14ac:dyDescent="0.3">
      <c r="A1112" s="9" t="s">
        <v>209</v>
      </c>
      <c r="B1112" s="13">
        <f>VLOOKUP(Table27[[#This Row],[Location 
(drop-down)]],'List source'!D$2:E$61,2,FALSE)</f>
        <v>165</v>
      </c>
      <c r="C1112" s="223" t="s">
        <v>2898</v>
      </c>
      <c r="D1112" s="13" t="str">
        <f t="shared" si="34"/>
        <v>PTO1111-165-24</v>
      </c>
      <c r="E1112" s="9" t="s">
        <v>2899</v>
      </c>
      <c r="F1112" s="10" t="str" cm="1">
        <f t="array" aca="1" ref="F11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2" s="39" t="s">
        <v>2900</v>
      </c>
      <c r="I1112" s="12">
        <v>45642</v>
      </c>
      <c r="J1112" s="12" t="s">
        <v>2231</v>
      </c>
      <c r="K1112" s="77">
        <v>45643</v>
      </c>
      <c r="L1112" s="10" t="s">
        <v>510</v>
      </c>
      <c r="M1112" s="427">
        <v>1111</v>
      </c>
      <c r="N1112" s="13" t="str">
        <f t="shared" ca="1" si="35"/>
        <v>CLOSED</v>
      </c>
    </row>
    <row r="1113" spans="1:14" x14ac:dyDescent="0.3">
      <c r="A1113" s="189" t="s">
        <v>57</v>
      </c>
      <c r="B1113" s="217">
        <f>VLOOKUP(Table27[[#This Row],[Location 
(drop-down)]],'List source'!D$2:E$61,2,FALSE)</f>
        <v>170</v>
      </c>
      <c r="C1113" s="255" t="s">
        <v>2901</v>
      </c>
      <c r="D1113" s="217" t="str">
        <f t="shared" si="34"/>
        <v>PTO1112-170-24</v>
      </c>
      <c r="E1113" s="9" t="s">
        <v>2902</v>
      </c>
      <c r="F1113" s="10" t="str" cm="1">
        <f t="array" aca="1" ref="F11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3" s="10">
        <v>2.76</v>
      </c>
      <c r="I1113" s="12">
        <v>45642</v>
      </c>
      <c r="J1113" s="234" t="s">
        <v>60</v>
      </c>
      <c r="K1113" s="220">
        <v>45688</v>
      </c>
      <c r="L1113" s="10"/>
      <c r="M1113" s="427">
        <v>1112</v>
      </c>
      <c r="N1113" s="13" t="str">
        <f t="shared" ca="1" si="35"/>
        <v>CLOSED</v>
      </c>
    </row>
    <row r="1114" spans="1:14" ht="28.8" x14ac:dyDescent="0.3">
      <c r="A1114" s="9" t="s">
        <v>325</v>
      </c>
      <c r="B1114" s="13">
        <f>VLOOKUP(Table27[[#This Row],[Location 
(drop-down)]],'List source'!D$2:E$61,2,FALSE)</f>
        <v>180</v>
      </c>
      <c r="C1114" s="223" t="s">
        <v>2903</v>
      </c>
      <c r="D1114" s="13" t="str">
        <f t="shared" si="34"/>
        <v>PTO1113-180-24</v>
      </c>
      <c r="E1114" s="9" t="s">
        <v>2904</v>
      </c>
      <c r="F1114" s="10" t="str" cm="1">
        <f t="array" aca="1" ref="F11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14" s="39" t="s">
        <v>892</v>
      </c>
      <c r="I1114" s="12">
        <v>45642</v>
      </c>
      <c r="J1114" s="12" t="s">
        <v>49</v>
      </c>
      <c r="K1114" s="77">
        <v>45676</v>
      </c>
      <c r="L1114" s="10"/>
      <c r="M1114" s="427">
        <v>1113</v>
      </c>
      <c r="N1114" s="13" t="str">
        <f t="shared" ca="1" si="35"/>
        <v>CLOSED</v>
      </c>
    </row>
    <row r="1115" spans="1:14" x14ac:dyDescent="0.3">
      <c r="A1115" s="9" t="s">
        <v>388</v>
      </c>
      <c r="B1115" s="13">
        <f>VLOOKUP(Table27[[#This Row],[Location 
(drop-down)]],'List source'!D$2:E$61,2,FALSE)</f>
        <v>191</v>
      </c>
      <c r="C1115" s="223" t="s">
        <v>2905</v>
      </c>
      <c r="D1115" s="13" t="str">
        <f t="shared" si="34"/>
        <v>PTO1114-191-24</v>
      </c>
      <c r="E1115" s="9" t="s">
        <v>2906</v>
      </c>
      <c r="F1115" s="10" t="str" cm="1">
        <f t="array" aca="1" ref="F11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5" s="10">
        <v>2.0299999999999998</v>
      </c>
      <c r="I1115" s="12">
        <v>45642</v>
      </c>
      <c r="J1115" s="12" t="s">
        <v>2231</v>
      </c>
      <c r="K1115" s="77">
        <v>45642</v>
      </c>
      <c r="L1115" s="265" t="s">
        <v>673</v>
      </c>
      <c r="M1115" s="427">
        <v>1114</v>
      </c>
      <c r="N1115" s="13" t="str">
        <f t="shared" ca="1" si="35"/>
        <v>CLOSED</v>
      </c>
    </row>
    <row r="1116" spans="1:14" x14ac:dyDescent="0.3">
      <c r="A1116" s="9" t="s">
        <v>261</v>
      </c>
      <c r="B1116" s="13">
        <f>VLOOKUP(Table27[[#This Row],[Location 
(drop-down)]],'List source'!D$2:E$61,2,FALSE)</f>
        <v>210</v>
      </c>
      <c r="C1116" s="223" t="s">
        <v>2907</v>
      </c>
      <c r="D1116" s="13" t="str">
        <f t="shared" si="34"/>
        <v>PTO1115-210-24</v>
      </c>
      <c r="E1116" s="9" t="s">
        <v>2908</v>
      </c>
      <c r="F1116" s="10" t="str" cm="1">
        <f t="array" aca="1" ref="F11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6" s="10" t="s">
        <v>2909</v>
      </c>
      <c r="I1116" s="12">
        <v>45642</v>
      </c>
      <c r="J1116" s="12" t="s">
        <v>2231</v>
      </c>
      <c r="K1116" s="77">
        <v>45642</v>
      </c>
      <c r="L1116" s="265" t="s">
        <v>673</v>
      </c>
      <c r="M1116" s="427">
        <v>1115</v>
      </c>
      <c r="N1116" s="13" t="str">
        <f t="shared" ca="1" si="35"/>
        <v>CLOSED</v>
      </c>
    </row>
    <row r="1117" spans="1:14" x14ac:dyDescent="0.3">
      <c r="A1117" s="9" t="s">
        <v>261</v>
      </c>
      <c r="B1117" s="13">
        <f>VLOOKUP(Table27[[#This Row],[Location 
(drop-down)]],'List source'!D$2:E$61,2,FALSE)</f>
        <v>210</v>
      </c>
      <c r="C1117" s="223" t="s">
        <v>2910</v>
      </c>
      <c r="D1117" s="13" t="str">
        <f t="shared" si="34"/>
        <v>PTO1116-210-24</v>
      </c>
      <c r="E1117" s="9" t="s">
        <v>2911</v>
      </c>
      <c r="F1117" s="10" t="str" cm="1">
        <f t="array" aca="1" ref="F11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117" s="39" t="s">
        <v>2391</v>
      </c>
      <c r="I1117" s="12">
        <v>45642</v>
      </c>
      <c r="J1117" s="12" t="s">
        <v>195</v>
      </c>
      <c r="K1117" s="77">
        <v>45785</v>
      </c>
      <c r="L1117" s="10"/>
      <c r="M1117" s="427">
        <v>1116</v>
      </c>
      <c r="N1117" s="13" t="str">
        <f t="shared" ca="1" si="35"/>
        <v>CLOSED</v>
      </c>
    </row>
    <row r="1118" spans="1:14" ht="28.8" x14ac:dyDescent="0.3">
      <c r="A1118" s="9" t="s">
        <v>261</v>
      </c>
      <c r="B1118" s="13">
        <f>VLOOKUP(Table27[[#This Row],[Location 
(drop-down)]],'List source'!D$2:E$61,2,FALSE)</f>
        <v>210</v>
      </c>
      <c r="C1118" s="223" t="s">
        <v>2912</v>
      </c>
      <c r="D1118" s="13" t="str">
        <f t="shared" si="34"/>
        <v>PTO1117-210-24</v>
      </c>
      <c r="E1118" s="9" t="s">
        <v>2913</v>
      </c>
      <c r="F1118" s="10" t="str" cm="1">
        <f t="array" aca="1" ref="F11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118" s="10">
        <v>144.63999999999999</v>
      </c>
      <c r="I1118" s="12">
        <v>45642</v>
      </c>
      <c r="J1118" s="12" t="s">
        <v>498</v>
      </c>
      <c r="K1118" s="77">
        <v>45838</v>
      </c>
      <c r="L1118" s="10"/>
      <c r="M1118" s="427">
        <v>1117</v>
      </c>
      <c r="N1118" s="13" t="str">
        <f t="shared" ca="1" si="35"/>
        <v>CLOSED</v>
      </c>
    </row>
    <row r="1119" spans="1:14" ht="28.8" x14ac:dyDescent="0.3">
      <c r="A1119" s="9" t="s">
        <v>564</v>
      </c>
      <c r="B1119" s="13">
        <f>VLOOKUP(Table27[[#This Row],[Location 
(drop-down)]],'List source'!D$2:E$61,2,FALSE)</f>
        <v>215</v>
      </c>
      <c r="C1119" s="223" t="s">
        <v>2914</v>
      </c>
      <c r="D1119" s="13" t="str">
        <f t="shared" si="34"/>
        <v>PTO1118-215-24</v>
      </c>
      <c r="E1119" s="9" t="s">
        <v>2915</v>
      </c>
      <c r="F1119" s="10" t="str" cm="1">
        <f t="array" aca="1" ref="F11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19" s="10" t="s">
        <v>2916</v>
      </c>
      <c r="I1119" s="12">
        <v>45642</v>
      </c>
      <c r="J1119" s="12" t="s">
        <v>195</v>
      </c>
      <c r="K1119" s="77" t="s">
        <v>114</v>
      </c>
      <c r="L1119" s="2" t="s">
        <v>567</v>
      </c>
      <c r="M1119" s="427">
        <v>1118</v>
      </c>
      <c r="N1119" s="13" t="str">
        <f t="shared" ca="1" si="35"/>
        <v>CLOSED</v>
      </c>
    </row>
    <row r="1120" spans="1:14" ht="28.8" x14ac:dyDescent="0.3">
      <c r="A1120" s="9" t="s">
        <v>564</v>
      </c>
      <c r="B1120" s="13">
        <f>VLOOKUP(Table27[[#This Row],[Location 
(drop-down)]],'List source'!D$2:E$61,2,FALSE)</f>
        <v>215</v>
      </c>
      <c r="C1120" s="223" t="s">
        <v>2917</v>
      </c>
      <c r="D1120" s="13" t="str">
        <f t="shared" si="34"/>
        <v>PTO1119-215-24</v>
      </c>
      <c r="E1120" s="9" t="s">
        <v>2918</v>
      </c>
      <c r="F1120" s="10" t="str" cm="1">
        <f t="array" aca="1" ref="F11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20" s="10" t="s">
        <v>2919</v>
      </c>
      <c r="I1120" s="12">
        <v>45642</v>
      </c>
      <c r="J1120" s="12" t="s">
        <v>195</v>
      </c>
      <c r="K1120" s="77" t="s">
        <v>114</v>
      </c>
      <c r="L1120" s="2" t="s">
        <v>567</v>
      </c>
      <c r="M1120" s="427">
        <v>1119</v>
      </c>
      <c r="N1120" s="13" t="str">
        <f t="shared" ca="1" si="35"/>
        <v>CLOSED</v>
      </c>
    </row>
    <row r="1121" spans="1:14" ht="28.8" x14ac:dyDescent="0.3">
      <c r="A1121" s="9" t="s">
        <v>564</v>
      </c>
      <c r="B1121" s="13">
        <f>VLOOKUP(Table27[[#This Row],[Location 
(drop-down)]],'List source'!D$2:E$61,2,FALSE)</f>
        <v>215</v>
      </c>
      <c r="C1121" s="223" t="s">
        <v>2920</v>
      </c>
      <c r="D1121" s="13" t="str">
        <f t="shared" si="34"/>
        <v>PTO1120-215-24</v>
      </c>
      <c r="E1121" s="9" t="s">
        <v>2921</v>
      </c>
      <c r="F1121" s="10" t="str" cm="1">
        <f t="array" aca="1" ref="F11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121" s="10">
        <v>2.21</v>
      </c>
      <c r="I1121" s="12">
        <v>45642</v>
      </c>
      <c r="J1121" s="12" t="s">
        <v>195</v>
      </c>
      <c r="K1121" s="77" t="s">
        <v>114</v>
      </c>
      <c r="L1121" s="2" t="s">
        <v>567</v>
      </c>
      <c r="M1121" s="427">
        <v>1120</v>
      </c>
      <c r="N1121" s="13" t="str">
        <f t="shared" ca="1" si="35"/>
        <v>CLOSED</v>
      </c>
    </row>
    <row r="1122" spans="1:14" x14ac:dyDescent="0.3">
      <c r="A1122" s="9" t="s">
        <v>186</v>
      </c>
      <c r="B1122" s="13">
        <f>VLOOKUP(Table27[[#This Row],[Location 
(drop-down)]],'List source'!D$2:E$61,2,FALSE)</f>
        <v>130</v>
      </c>
      <c r="C1122" s="223" t="s">
        <v>2922</v>
      </c>
      <c r="D1122" s="13" t="str">
        <f t="shared" si="34"/>
        <v>PTO1121-130-24</v>
      </c>
      <c r="E1122" s="9" t="s">
        <v>2923</v>
      </c>
      <c r="F1122" s="10" t="s">
        <v>2036</v>
      </c>
      <c r="G1122" s="9" t="s">
        <v>607</v>
      </c>
      <c r="H1122" s="10">
        <v>2.15</v>
      </c>
      <c r="I1122" s="12">
        <v>45642</v>
      </c>
      <c r="J1122" s="12" t="s">
        <v>2231</v>
      </c>
      <c r="K1122" s="77">
        <v>45642</v>
      </c>
      <c r="L1122" s="265" t="s">
        <v>673</v>
      </c>
      <c r="M1122" s="427">
        <v>1121</v>
      </c>
      <c r="N1122" s="13" t="str">
        <f t="shared" ca="1" si="35"/>
        <v>CLOSED</v>
      </c>
    </row>
    <row r="1123" spans="1:14" ht="43.2" x14ac:dyDescent="0.3">
      <c r="A1123" s="9" t="s">
        <v>264</v>
      </c>
      <c r="B1123" s="13">
        <f>VLOOKUP(Table27[[#This Row],[Location 
(drop-down)]],'List source'!D$2:E$61,2,FALSE)</f>
        <v>132</v>
      </c>
      <c r="C1123" s="223" t="s">
        <v>2924</v>
      </c>
      <c r="D1123" s="13" t="str">
        <f t="shared" si="34"/>
        <v>PTO1122-132-24</v>
      </c>
      <c r="E1123" s="9" t="s">
        <v>2925</v>
      </c>
      <c r="F1123" s="10" t="s">
        <v>2036</v>
      </c>
      <c r="G11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API Gravity</v>
      </c>
      <c r="H1123" s="39" t="s">
        <v>1867</v>
      </c>
      <c r="I1123" s="12">
        <v>45642</v>
      </c>
      <c r="J1123" s="12" t="s">
        <v>2231</v>
      </c>
      <c r="K1123" s="77">
        <v>45642</v>
      </c>
      <c r="L1123" s="410" t="s">
        <v>673</v>
      </c>
      <c r="M1123" s="427">
        <v>1122</v>
      </c>
      <c r="N1123" s="13" t="str">
        <f t="shared" ca="1" si="35"/>
        <v>CLOSED</v>
      </c>
    </row>
    <row r="1124" spans="1:14" x14ac:dyDescent="0.3">
      <c r="A1124" s="9" t="s">
        <v>264</v>
      </c>
      <c r="B1124" s="13">
        <f>VLOOKUP(Table27[[#This Row],[Location 
(drop-down)]],'List source'!D$2:E$61,2,FALSE)</f>
        <v>132</v>
      </c>
      <c r="C1124" s="223" t="s">
        <v>2926</v>
      </c>
      <c r="D1124" s="13" t="str">
        <f t="shared" si="34"/>
        <v>PTO1123-132-24</v>
      </c>
      <c r="E1124" s="9" t="s">
        <v>2927</v>
      </c>
      <c r="F1124" s="10" t="s">
        <v>2036</v>
      </c>
      <c r="G11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24" s="10">
        <v>-10.82</v>
      </c>
      <c r="I1124" s="12">
        <v>45642</v>
      </c>
      <c r="J1124" s="12" t="s">
        <v>54</v>
      </c>
      <c r="K1124" s="77">
        <v>45708</v>
      </c>
      <c r="L1124" s="10"/>
      <c r="M1124" s="427">
        <v>1123</v>
      </c>
      <c r="N1124" s="13" t="str">
        <f t="shared" ca="1" si="35"/>
        <v>CLOSED</v>
      </c>
    </row>
    <row r="1125" spans="1:14" x14ac:dyDescent="0.3">
      <c r="A1125" s="9" t="s">
        <v>318</v>
      </c>
      <c r="B1125" s="13">
        <f>VLOOKUP(Table27[[#This Row],[Location 
(drop-down)]],'List source'!D$2:E$61,2,FALSE)</f>
        <v>115</v>
      </c>
      <c r="C1125" s="223" t="s">
        <v>2928</v>
      </c>
      <c r="D1125" s="13" t="str">
        <f t="shared" si="34"/>
        <v>PTO1124-115-24</v>
      </c>
      <c r="E1125" s="9" t="s">
        <v>2929</v>
      </c>
      <c r="F1125" s="10" t="s">
        <v>876</v>
      </c>
      <c r="G11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25" s="39" t="s">
        <v>2930</v>
      </c>
      <c r="I1125" s="12">
        <v>45642</v>
      </c>
      <c r="J1125" s="12" t="s">
        <v>495</v>
      </c>
      <c r="K1125" s="77">
        <v>45644</v>
      </c>
      <c r="L1125" s="10" t="s">
        <v>510</v>
      </c>
      <c r="M1125" s="427">
        <v>1124</v>
      </c>
      <c r="N1125" s="13" t="str">
        <f t="shared" ca="1" si="35"/>
        <v>CLOSED</v>
      </c>
    </row>
    <row r="1126" spans="1:14" x14ac:dyDescent="0.3">
      <c r="A1126" s="9" t="s">
        <v>86</v>
      </c>
      <c r="B1126" s="13">
        <f>VLOOKUP(Table27[[#This Row],[Location 
(drop-down)]],'List source'!D$2:E$61,2,FALSE)</f>
        <v>150</v>
      </c>
      <c r="C1126" s="223" t="s">
        <v>2931</v>
      </c>
      <c r="D1126" s="13" t="str">
        <f t="shared" si="34"/>
        <v>PTO1125-150-24</v>
      </c>
      <c r="E1126" s="9" t="s">
        <v>2932</v>
      </c>
      <c r="F1126" s="10" t="s">
        <v>876</v>
      </c>
      <c r="G1126" s="9" t="s">
        <v>607</v>
      </c>
      <c r="H1126" s="39" t="s">
        <v>2098</v>
      </c>
      <c r="I1126" s="12">
        <v>45642</v>
      </c>
      <c r="J1126" s="12" t="s">
        <v>2231</v>
      </c>
      <c r="K1126" s="77">
        <v>45642</v>
      </c>
      <c r="L1126" s="265" t="s">
        <v>673</v>
      </c>
      <c r="M1126" s="427">
        <v>1125</v>
      </c>
      <c r="N1126" s="13" t="str">
        <f t="shared" ca="1" si="35"/>
        <v>CLOSED</v>
      </c>
    </row>
    <row r="1127" spans="1:14" x14ac:dyDescent="0.3">
      <c r="A1127" s="9" t="s">
        <v>207</v>
      </c>
      <c r="B1127" s="13">
        <f>VLOOKUP(Table27[[#This Row],[Location 
(drop-down)]],'List source'!D$2:E$61,2,FALSE)</f>
        <v>189</v>
      </c>
      <c r="C1127" s="223" t="s">
        <v>2933</v>
      </c>
      <c r="D1127" s="13" t="str">
        <f t="shared" si="34"/>
        <v>PTO1126-189-24</v>
      </c>
      <c r="E1127" s="9" t="s">
        <v>2934</v>
      </c>
      <c r="F1127" s="10" t="s">
        <v>1860</v>
      </c>
      <c r="G11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27" s="10">
        <v>2.2400000000000002</v>
      </c>
      <c r="I1127" s="12">
        <v>45642</v>
      </c>
      <c r="J1127" s="12" t="s">
        <v>2231</v>
      </c>
      <c r="K1127" s="77">
        <v>45642</v>
      </c>
      <c r="L1127" s="265" t="s">
        <v>673</v>
      </c>
      <c r="M1127" s="427">
        <v>1126</v>
      </c>
      <c r="N1127" s="13" t="str">
        <f t="shared" ca="1" si="35"/>
        <v>CLOSED</v>
      </c>
    </row>
    <row r="1128" spans="1:14" x14ac:dyDescent="0.3">
      <c r="A1128" s="9" t="s">
        <v>288</v>
      </c>
      <c r="B1128" s="13">
        <f>VLOOKUP(Table27[[#This Row],[Location 
(drop-down)]],'List source'!D$2:E$61,2,FALSE)</f>
        <v>197</v>
      </c>
      <c r="C1128" s="223" t="s">
        <v>2935</v>
      </c>
      <c r="D1128" s="13" t="str">
        <f t="shared" si="34"/>
        <v>PTO1127-197-24</v>
      </c>
      <c r="E1128" s="9" t="s">
        <v>2936</v>
      </c>
      <c r="F1128" s="10" t="s">
        <v>1860</v>
      </c>
      <c r="G11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D611 - Aniline Point</v>
      </c>
      <c r="H1128" s="10">
        <v>2.2599999999999998</v>
      </c>
      <c r="I1128" s="12">
        <v>45642</v>
      </c>
      <c r="J1128" s="12" t="s">
        <v>41</v>
      </c>
      <c r="K1128" s="77">
        <v>45725</v>
      </c>
      <c r="L1128" s="10"/>
      <c r="M1128" s="427">
        <v>1127</v>
      </c>
      <c r="N1128" s="13" t="str">
        <f t="shared" ca="1" si="35"/>
        <v>CLOSED</v>
      </c>
    </row>
    <row r="1129" spans="1:14" x14ac:dyDescent="0.3">
      <c r="A1129" s="9" t="s">
        <v>29</v>
      </c>
      <c r="B1129" s="13">
        <f>VLOOKUP(Table27[[#This Row],[Location 
(drop-down)]],'List source'!D$2:E$61,2,FALSE)</f>
        <v>141</v>
      </c>
      <c r="C1129" s="223" t="s">
        <v>2937</v>
      </c>
      <c r="D1129" s="13" t="str">
        <f t="shared" si="34"/>
        <v>PTO1128-141-24</v>
      </c>
      <c r="E1129" s="9" t="s">
        <v>2938</v>
      </c>
      <c r="F1129" s="10" t="s">
        <v>898</v>
      </c>
      <c r="G11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29" s="10">
        <v>2.02</v>
      </c>
      <c r="I1129" s="12">
        <v>45642</v>
      </c>
      <c r="J1129" s="12" t="s">
        <v>2231</v>
      </c>
      <c r="K1129" s="77">
        <v>45642</v>
      </c>
      <c r="L1129" s="265" t="s">
        <v>673</v>
      </c>
      <c r="M1129" s="427">
        <v>1128</v>
      </c>
      <c r="N1129" s="13" t="str">
        <f t="shared" ca="1" si="35"/>
        <v>CLOSED</v>
      </c>
    </row>
    <row r="1130" spans="1:14" x14ac:dyDescent="0.3">
      <c r="A1130" s="9" t="s">
        <v>70</v>
      </c>
      <c r="B1130" s="13">
        <f>VLOOKUP(Table27[[#This Row],[Location 
(drop-down)]],'List source'!D$2:E$61,2,FALSE)</f>
        <v>146</v>
      </c>
      <c r="C1130" s="223" t="s">
        <v>2939</v>
      </c>
      <c r="D1130" s="13" t="str">
        <f t="shared" si="34"/>
        <v>PTO1129-146-24</v>
      </c>
      <c r="E1130" s="9" t="s">
        <v>2940</v>
      </c>
      <c r="F1130" s="10" t="s">
        <v>898</v>
      </c>
      <c r="G11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30" s="10">
        <v>2.61</v>
      </c>
      <c r="I1130" s="12">
        <v>45642</v>
      </c>
      <c r="J1130" s="12" t="s">
        <v>2231</v>
      </c>
      <c r="K1130" s="77">
        <v>45642</v>
      </c>
      <c r="L1130" s="265" t="s">
        <v>673</v>
      </c>
      <c r="M1130" s="427">
        <v>1129</v>
      </c>
      <c r="N1130" s="13" t="str">
        <f t="shared" ca="1" si="35"/>
        <v>CLOSED</v>
      </c>
    </row>
    <row r="1131" spans="1:14" ht="28.8" x14ac:dyDescent="0.3">
      <c r="A1131" s="189" t="s">
        <v>70</v>
      </c>
      <c r="B1131" s="217">
        <f>VLOOKUP(Table27[[#This Row],[Location 
(drop-down)]],'List source'!D$2:E$61,2,FALSE)</f>
        <v>146</v>
      </c>
      <c r="C1131" s="255" t="s">
        <v>2941</v>
      </c>
      <c r="D1131" s="217" t="str">
        <f t="shared" si="34"/>
        <v>PTO1130-146-24</v>
      </c>
      <c r="E1131" s="9" t="s">
        <v>2942</v>
      </c>
      <c r="F1131" s="10" t="s">
        <v>898</v>
      </c>
      <c r="G11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Types</v>
      </c>
      <c r="H1131" s="39" t="s">
        <v>2943</v>
      </c>
      <c r="I1131" s="12">
        <v>45642</v>
      </c>
      <c r="J1131" s="234" t="s">
        <v>60</v>
      </c>
      <c r="K1131" s="220">
        <v>45882</v>
      </c>
      <c r="L1131" s="10"/>
      <c r="M1131" s="427">
        <v>1130</v>
      </c>
      <c r="N1131" s="13" t="str">
        <f t="shared" ca="1" si="35"/>
        <v>CLOSED</v>
      </c>
    </row>
    <row r="1132" spans="1:14" ht="28.8" x14ac:dyDescent="0.3">
      <c r="A1132" s="9" t="s">
        <v>57</v>
      </c>
      <c r="B1132" s="13">
        <f>VLOOKUP(Table27[[#This Row],[Location 
(drop-down)]],'List source'!D$2:E$61,2,FALSE)</f>
        <v>170</v>
      </c>
      <c r="C1132" s="223" t="s">
        <v>2944</v>
      </c>
      <c r="D1132" s="13" t="str">
        <f t="shared" si="34"/>
        <v>PTO1131-170-24</v>
      </c>
      <c r="E1132" s="9" t="s">
        <v>2945</v>
      </c>
      <c r="F1132" s="10" t="s">
        <v>898</v>
      </c>
      <c r="G11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32" s="39" t="s">
        <v>2946</v>
      </c>
      <c r="I1132" s="12">
        <v>45642</v>
      </c>
      <c r="J1132" s="12" t="s">
        <v>2231</v>
      </c>
      <c r="K1132" s="77">
        <v>45652</v>
      </c>
      <c r="L1132" s="10" t="s">
        <v>510</v>
      </c>
      <c r="M1132" s="427">
        <v>1131</v>
      </c>
      <c r="N1132" s="13" t="str">
        <f t="shared" ca="1" si="35"/>
        <v>CLOSED</v>
      </c>
    </row>
    <row r="1133" spans="1:14" x14ac:dyDescent="0.3">
      <c r="A1133" s="9" t="s">
        <v>57</v>
      </c>
      <c r="B1133" s="13">
        <f>VLOOKUP(Table27[[#This Row],[Location 
(drop-down)]],'List source'!D$2:E$61,2,FALSE)</f>
        <v>170</v>
      </c>
      <c r="C1133" s="223" t="s">
        <v>2947</v>
      </c>
      <c r="D1133" s="13" t="str">
        <f t="shared" si="34"/>
        <v>PTO1132-170-24</v>
      </c>
      <c r="E1133" s="9" t="s">
        <v>2948</v>
      </c>
      <c r="F1133" s="10" t="s">
        <v>898</v>
      </c>
      <c r="G11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HC Type</v>
      </c>
      <c r="H1133" s="10">
        <v>2.06</v>
      </c>
      <c r="I1133" s="12">
        <v>45642</v>
      </c>
      <c r="J1133" s="12" t="s">
        <v>2231</v>
      </c>
      <c r="K1133" s="77">
        <v>45642</v>
      </c>
      <c r="L1133" s="265" t="s">
        <v>673</v>
      </c>
      <c r="M1133" s="427">
        <v>1132</v>
      </c>
      <c r="N1133" s="13" t="str">
        <f t="shared" ca="1" si="35"/>
        <v>CLOSED</v>
      </c>
    </row>
    <row r="1134" spans="1:14" x14ac:dyDescent="0.3">
      <c r="A1134" s="9" t="s">
        <v>388</v>
      </c>
      <c r="B1134" s="13">
        <f>VLOOKUP(Table27[[#This Row],[Location 
(drop-down)]],'List source'!D$2:E$61,2,FALSE)</f>
        <v>191</v>
      </c>
      <c r="C1134" s="223" t="s">
        <v>2949</v>
      </c>
      <c r="D1134" s="13" t="str">
        <f t="shared" si="34"/>
        <v>PTO1133-191-24</v>
      </c>
      <c r="E1134" s="9" t="s">
        <v>2950</v>
      </c>
      <c r="F1134" s="10" t="s">
        <v>898</v>
      </c>
      <c r="G11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34" s="10">
        <v>11.34</v>
      </c>
      <c r="I1134" s="12">
        <v>45642</v>
      </c>
      <c r="J1134" s="12" t="s">
        <v>2231</v>
      </c>
      <c r="K1134" s="77">
        <v>45644</v>
      </c>
      <c r="L1134" s="10" t="s">
        <v>510</v>
      </c>
      <c r="M1134" s="427">
        <v>1133</v>
      </c>
      <c r="N1134" s="13" t="str">
        <f t="shared" ca="1" si="35"/>
        <v>CLOSED</v>
      </c>
    </row>
    <row r="1135" spans="1:14" x14ac:dyDescent="0.3">
      <c r="A1135" s="9" t="s">
        <v>107</v>
      </c>
      <c r="B1135" s="13">
        <f>VLOOKUP(Table27[[#This Row],[Location 
(drop-down)]],'List source'!D$2:E$61,2,FALSE)</f>
        <v>120</v>
      </c>
      <c r="C1135" s="223" t="s">
        <v>2951</v>
      </c>
      <c r="D1135" s="13" t="str">
        <f t="shared" si="34"/>
        <v>PTO1134-120-24</v>
      </c>
      <c r="E1135" s="9" t="s">
        <v>2952</v>
      </c>
      <c r="F1135" s="10" t="str" cm="1">
        <f t="array" aca="1" ref="F11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1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D5443 - HC Type</v>
      </c>
      <c r="H1135" s="39" t="s">
        <v>2648</v>
      </c>
      <c r="I1135" s="12">
        <v>45642</v>
      </c>
      <c r="J1135" s="12" t="s">
        <v>2231</v>
      </c>
      <c r="K1135" s="77">
        <v>45642</v>
      </c>
      <c r="L1135" s="265" t="s">
        <v>673</v>
      </c>
      <c r="M1135" s="427">
        <v>1134</v>
      </c>
      <c r="N1135" s="13" t="str">
        <f t="shared" ca="1" si="35"/>
        <v>CLOSED</v>
      </c>
    </row>
    <row r="1136" spans="1:14" x14ac:dyDescent="0.3">
      <c r="A1136" s="9" t="s">
        <v>325</v>
      </c>
      <c r="B1136" s="13">
        <f>VLOOKUP(Table27[[#This Row],[Location 
(drop-down)]],'List source'!D$2:E$61,2,FALSE)</f>
        <v>180</v>
      </c>
      <c r="C1136" s="223" t="s">
        <v>2953</v>
      </c>
      <c r="D1136" s="13" t="str">
        <f t="shared" si="34"/>
        <v>PTO1135-180-24</v>
      </c>
      <c r="E1136" s="9" t="s">
        <v>2954</v>
      </c>
      <c r="F1136" s="10" t="str" cm="1">
        <f t="array" aca="1" ref="F11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NP</v>
      </c>
      <c r="G11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136" s="39" t="s">
        <v>2687</v>
      </c>
      <c r="I1136" s="12">
        <v>45642</v>
      </c>
      <c r="J1136" s="12" t="s">
        <v>2231</v>
      </c>
      <c r="K1136" s="77">
        <v>45642</v>
      </c>
      <c r="L1136" s="265" t="s">
        <v>673</v>
      </c>
      <c r="M1136" s="427">
        <v>1135</v>
      </c>
      <c r="N1136" s="13" t="str">
        <f t="shared" ca="1" si="35"/>
        <v>CLOSED</v>
      </c>
    </row>
    <row r="1137" spans="1:14" ht="28.8" x14ac:dyDescent="0.3">
      <c r="A1137" s="9" t="s">
        <v>318</v>
      </c>
      <c r="B1137" s="13">
        <f>VLOOKUP(Table27[[#This Row],[Location 
(drop-down)]],'List source'!D$2:E$61,2,FALSE)</f>
        <v>115</v>
      </c>
      <c r="C1137" s="223" t="s">
        <v>2955</v>
      </c>
      <c r="D1137" s="13" t="str">
        <f t="shared" si="34"/>
        <v>PTO1136-115-24</v>
      </c>
      <c r="E1137" s="9" t="s">
        <v>2956</v>
      </c>
      <c r="F1137" s="10" t="str" cm="1">
        <f t="array" aca="1" ref="F11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1137" s="10">
        <v>6.53</v>
      </c>
      <c r="I1137" s="12">
        <v>45643</v>
      </c>
      <c r="J1137" s="12" t="s">
        <v>495</v>
      </c>
      <c r="K1137" s="77">
        <v>45643</v>
      </c>
      <c r="L1137" s="10" t="s">
        <v>510</v>
      </c>
      <c r="M1137" s="427">
        <v>1136</v>
      </c>
      <c r="N1137" s="13" t="str">
        <f t="shared" ca="1" si="35"/>
        <v>CLOSED</v>
      </c>
    </row>
    <row r="1138" spans="1:14" ht="28.8" x14ac:dyDescent="0.3">
      <c r="A1138" s="9" t="s">
        <v>107</v>
      </c>
      <c r="B1138" s="13">
        <f>VLOOKUP(Table27[[#This Row],[Location 
(drop-down)]],'List source'!D$2:E$61,2,FALSE)</f>
        <v>120</v>
      </c>
      <c r="C1138" s="223" t="s">
        <v>2957</v>
      </c>
      <c r="D1138" s="13" t="str">
        <f t="shared" si="34"/>
        <v>PTO1137-120-24</v>
      </c>
      <c r="E1138" s="9" t="s">
        <v>2958</v>
      </c>
      <c r="F1138" s="10" t="str" cm="1">
        <f t="array" aca="1" ref="F11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38" s="39" t="s">
        <v>2959</v>
      </c>
      <c r="I1138" s="12">
        <v>45643</v>
      </c>
      <c r="J1138" s="12" t="s">
        <v>495</v>
      </c>
      <c r="K1138" s="77">
        <v>45643</v>
      </c>
      <c r="L1138" s="10" t="s">
        <v>510</v>
      </c>
      <c r="M1138" s="427">
        <v>1137</v>
      </c>
      <c r="N1138" s="13" t="str">
        <f t="shared" ca="1" si="35"/>
        <v>CLOSED</v>
      </c>
    </row>
    <row r="1139" spans="1:14" ht="28.8" x14ac:dyDescent="0.3">
      <c r="A1139" s="9" t="s">
        <v>153</v>
      </c>
      <c r="B1139" s="13">
        <f>VLOOKUP(Table27[[#This Row],[Location 
(drop-down)]],'List source'!D$2:E$61,2,FALSE)</f>
        <v>126</v>
      </c>
      <c r="C1139" s="223" t="s">
        <v>2960</v>
      </c>
      <c r="D1139" s="13" t="str">
        <f t="shared" si="34"/>
        <v>PTO1138-126-24</v>
      </c>
      <c r="E1139" s="9" t="s">
        <v>2961</v>
      </c>
      <c r="F1139" s="10" t="str" cm="1">
        <f t="array" aca="1" ref="F11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39" s="10" t="s">
        <v>529</v>
      </c>
      <c r="I1139" s="12">
        <v>45643</v>
      </c>
      <c r="J1139" s="12" t="s">
        <v>495</v>
      </c>
      <c r="K1139" s="77">
        <v>45643</v>
      </c>
      <c r="L1139" s="10" t="s">
        <v>510</v>
      </c>
      <c r="M1139" s="427">
        <v>1138</v>
      </c>
      <c r="N1139" s="13" t="str">
        <f t="shared" ca="1" si="35"/>
        <v>CLOSED</v>
      </c>
    </row>
    <row r="1140" spans="1:14" ht="28.8" x14ac:dyDescent="0.3">
      <c r="A1140" s="9" t="s">
        <v>153</v>
      </c>
      <c r="B1140" s="13">
        <f>VLOOKUP(Table27[[#This Row],[Location 
(drop-down)]],'List source'!D$2:E$61,2,FALSE)</f>
        <v>126</v>
      </c>
      <c r="C1140" s="223" t="s">
        <v>2962</v>
      </c>
      <c r="D1140" s="13" t="str">
        <f t="shared" ref="D1140:D1203" si="36">"PTO" &amp; C1140 &amp; "-" &amp; B1140 &amp; "-" &amp; "24"</f>
        <v>PTO1139-126-24</v>
      </c>
      <c r="E1140" s="9" t="s">
        <v>2963</v>
      </c>
      <c r="F1140" s="10" t="str" cm="1">
        <f t="array" aca="1" ref="F11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40" s="10">
        <v>2.99</v>
      </c>
      <c r="I1140" s="12">
        <v>45643</v>
      </c>
      <c r="J1140" s="12" t="s">
        <v>195</v>
      </c>
      <c r="K1140" s="77">
        <v>45931</v>
      </c>
      <c r="L1140" s="10"/>
      <c r="M1140" s="427">
        <v>1139</v>
      </c>
      <c r="N1140" s="13" t="str">
        <f t="shared" ref="N1140:N1203" ca="1" si="37">IF(ISBLANK(K1140), TODAY()-(I1140), "CLOSED")</f>
        <v>CLOSED</v>
      </c>
    </row>
    <row r="1141" spans="1:14" ht="28.8" x14ac:dyDescent="0.3">
      <c r="A1141" s="9" t="s">
        <v>153</v>
      </c>
      <c r="B1141" s="13">
        <f>VLOOKUP(Table27[[#This Row],[Location 
(drop-down)]],'List source'!D$2:E$61,2,FALSE)</f>
        <v>126</v>
      </c>
      <c r="C1141" s="223" t="s">
        <v>2964</v>
      </c>
      <c r="D1141" s="13" t="str">
        <f t="shared" si="36"/>
        <v>PTO1140-126-24</v>
      </c>
      <c r="E1141" s="9" t="s">
        <v>2965</v>
      </c>
      <c r="F1141" s="10" t="str" cm="1">
        <f t="array" aca="1" ref="F11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41" s="10">
        <v>2.68</v>
      </c>
      <c r="I1141" s="12">
        <v>45643</v>
      </c>
      <c r="J1141" s="12" t="s">
        <v>498</v>
      </c>
      <c r="K1141" s="77">
        <v>45742</v>
      </c>
      <c r="L1141" s="10"/>
      <c r="M1141" s="427">
        <v>1140</v>
      </c>
      <c r="N1141" s="13" t="str">
        <f t="shared" ca="1" si="37"/>
        <v>CLOSED</v>
      </c>
    </row>
    <row r="1142" spans="1:14" x14ac:dyDescent="0.3">
      <c r="A1142" s="9" t="s">
        <v>39</v>
      </c>
      <c r="B1142" s="13">
        <f>VLOOKUP(Table27[[#This Row],[Location 
(drop-down)]],'List source'!D$2:E$61,2,FALSE)</f>
        <v>127</v>
      </c>
      <c r="C1142" s="223" t="s">
        <v>2966</v>
      </c>
      <c r="D1142" s="13" t="str">
        <f t="shared" si="36"/>
        <v>PTO1141-127-24</v>
      </c>
      <c r="E1142" s="9" t="s">
        <v>2967</v>
      </c>
      <c r="F1142" s="10" t="str" cm="1">
        <f t="array" aca="1" ref="F11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Aromatics</v>
      </c>
      <c r="H1142" s="39" t="s">
        <v>1605</v>
      </c>
      <c r="I1142" s="12">
        <v>45643</v>
      </c>
      <c r="J1142" s="12" t="s">
        <v>2231</v>
      </c>
      <c r="K1142" s="77">
        <v>45643</v>
      </c>
      <c r="L1142" s="265" t="s">
        <v>673</v>
      </c>
      <c r="M1142" s="427">
        <v>1141</v>
      </c>
      <c r="N1142" s="13" t="str">
        <f t="shared" ca="1" si="37"/>
        <v>CLOSED</v>
      </c>
    </row>
    <row r="1143" spans="1:14" x14ac:dyDescent="0.3">
      <c r="A1143" s="9" t="s">
        <v>39</v>
      </c>
      <c r="B1143" s="13">
        <f>VLOOKUP(Table27[[#This Row],[Location 
(drop-down)]],'List source'!D$2:E$61,2,FALSE)</f>
        <v>127</v>
      </c>
      <c r="C1143" s="223" t="s">
        <v>2968</v>
      </c>
      <c r="D1143" s="13" t="str">
        <f t="shared" si="36"/>
        <v>PTO1142-127-24</v>
      </c>
      <c r="E1143" s="9" t="s">
        <v>2969</v>
      </c>
      <c r="F1143" s="10" t="str" cm="1">
        <f t="array" aca="1" ref="F11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3" s="39" t="s">
        <v>2970</v>
      </c>
      <c r="I1143" s="12">
        <v>45643</v>
      </c>
      <c r="J1143" s="12" t="s">
        <v>2231</v>
      </c>
      <c r="K1143" s="77">
        <v>45643</v>
      </c>
      <c r="L1143" s="265" t="s">
        <v>673</v>
      </c>
      <c r="M1143" s="427">
        <v>1142</v>
      </c>
      <c r="N1143" s="13" t="str">
        <f t="shared" ca="1" si="37"/>
        <v>CLOSED</v>
      </c>
    </row>
    <row r="1144" spans="1:14" ht="28.8" x14ac:dyDescent="0.3">
      <c r="A1144" s="239" t="s">
        <v>186</v>
      </c>
      <c r="B1144" s="240">
        <f>VLOOKUP(Table27[[#This Row],[Location 
(drop-down)]],'List source'!D$2:E$61,2,FALSE)</f>
        <v>130</v>
      </c>
      <c r="C1144" s="294" t="s">
        <v>2971</v>
      </c>
      <c r="D1144" s="240" t="str">
        <f t="shared" si="36"/>
        <v>PTO1143-130-24</v>
      </c>
      <c r="E1144" s="239" t="s">
        <v>2972</v>
      </c>
      <c r="F1144" s="245" t="str" cm="1">
        <f t="array" aca="1" ref="F11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4"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44" s="296" t="s">
        <v>2973</v>
      </c>
      <c r="I1144" s="246">
        <v>45643</v>
      </c>
      <c r="J1144" s="246" t="s">
        <v>2231</v>
      </c>
      <c r="K1144" s="247">
        <v>45685</v>
      </c>
      <c r="L1144" s="245" t="s">
        <v>510</v>
      </c>
      <c r="M1144" s="427">
        <v>1143</v>
      </c>
      <c r="N1144" s="13" t="str">
        <f t="shared" ca="1" si="37"/>
        <v>CLOSED</v>
      </c>
    </row>
    <row r="1145" spans="1:14" x14ac:dyDescent="0.3">
      <c r="A1145" s="9" t="s">
        <v>21</v>
      </c>
      <c r="B1145" s="13">
        <f>VLOOKUP(Table27[[#This Row],[Location 
(drop-down)]],'List source'!D$2:E$61,2,FALSE)</f>
        <v>131</v>
      </c>
      <c r="C1145" s="223" t="s">
        <v>2974</v>
      </c>
      <c r="D1145" s="13" t="str">
        <f t="shared" si="36"/>
        <v>PTO1144-131-24</v>
      </c>
      <c r="E1145" s="9" t="s">
        <v>2975</v>
      </c>
      <c r="F1145" s="10" t="str" cm="1">
        <f t="array" aca="1" ref="F11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45" s="10">
        <v>25.72</v>
      </c>
      <c r="I1145" s="12">
        <v>45643</v>
      </c>
      <c r="J1145" s="12" t="s">
        <v>54</v>
      </c>
      <c r="K1145" s="77">
        <v>45653</v>
      </c>
      <c r="L1145" s="10"/>
      <c r="M1145" s="427">
        <v>1144</v>
      </c>
      <c r="N1145" s="13" t="str">
        <f t="shared" ca="1" si="37"/>
        <v>CLOSED</v>
      </c>
    </row>
    <row r="1146" spans="1:14" x14ac:dyDescent="0.3">
      <c r="A1146" s="9" t="s">
        <v>21</v>
      </c>
      <c r="B1146" s="13">
        <f>VLOOKUP(Table27[[#This Row],[Location 
(drop-down)]],'List source'!D$2:E$61,2,FALSE)</f>
        <v>131</v>
      </c>
      <c r="C1146" s="223" t="s">
        <v>2976</v>
      </c>
      <c r="D1146" s="13" t="str">
        <f t="shared" si="36"/>
        <v>PTO1145-131-24</v>
      </c>
      <c r="E1146" s="9" t="s">
        <v>2977</v>
      </c>
      <c r="F1146" s="10" t="str" cm="1">
        <f t="array" aca="1" ref="F11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6" s="10" t="s">
        <v>2978</v>
      </c>
      <c r="I1146" s="12">
        <v>45643</v>
      </c>
      <c r="J1146" s="12" t="s">
        <v>2231</v>
      </c>
      <c r="K1146" s="77">
        <v>45643</v>
      </c>
      <c r="L1146" s="265" t="s">
        <v>673</v>
      </c>
      <c r="M1146" s="427">
        <v>1145</v>
      </c>
      <c r="N1146" s="13" t="str">
        <f t="shared" ca="1" si="37"/>
        <v>CLOSED</v>
      </c>
    </row>
    <row r="1147" spans="1:14" x14ac:dyDescent="0.3">
      <c r="A1147" s="9" t="s">
        <v>161</v>
      </c>
      <c r="B1147" s="13">
        <f>VLOOKUP(Table27[[#This Row],[Location 
(drop-down)]],'List source'!D$2:E$61,2,FALSE)</f>
        <v>142</v>
      </c>
      <c r="C1147" s="223" t="s">
        <v>2979</v>
      </c>
      <c r="D1147" s="13" t="str">
        <f t="shared" si="36"/>
        <v>PTO1146-142-24</v>
      </c>
      <c r="E1147" s="9" t="s">
        <v>2980</v>
      </c>
      <c r="F1147" s="10" t="str" cm="1">
        <f t="array" aca="1" ref="F11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7" s="39" t="s">
        <v>749</v>
      </c>
      <c r="I1147" s="12">
        <v>45643</v>
      </c>
      <c r="J1147" s="12" t="s">
        <v>2231</v>
      </c>
      <c r="K1147" s="77">
        <v>45643</v>
      </c>
      <c r="L1147" s="265" t="s">
        <v>673</v>
      </c>
      <c r="M1147" s="427">
        <v>1146</v>
      </c>
      <c r="N1147" s="13" t="str">
        <f t="shared" ca="1" si="37"/>
        <v>CLOSED</v>
      </c>
    </row>
    <row r="1148" spans="1:14" ht="28.8" x14ac:dyDescent="0.3">
      <c r="A1148" s="189" t="s">
        <v>70</v>
      </c>
      <c r="B1148" s="217">
        <f>VLOOKUP(Table27[[#This Row],[Location 
(drop-down)]],'List source'!D$2:E$61,2,FALSE)</f>
        <v>146</v>
      </c>
      <c r="C1148" s="255" t="s">
        <v>2981</v>
      </c>
      <c r="D1148" s="217" t="str">
        <f t="shared" si="36"/>
        <v>PTO1147-146-24</v>
      </c>
      <c r="E1148" s="9" t="s">
        <v>2982</v>
      </c>
      <c r="F1148" s="10" t="str" cm="1">
        <f t="array" aca="1" ref="F11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48" s="10" t="s">
        <v>2983</v>
      </c>
      <c r="I1148" s="12">
        <v>45643</v>
      </c>
      <c r="J1148" s="234" t="s">
        <v>60</v>
      </c>
      <c r="K1148" s="220">
        <v>45882</v>
      </c>
      <c r="L1148" s="10"/>
      <c r="M1148" s="427">
        <v>1147</v>
      </c>
      <c r="N1148" s="13" t="str">
        <f t="shared" ca="1" si="37"/>
        <v>CLOSED</v>
      </c>
    </row>
    <row r="1149" spans="1:14" x14ac:dyDescent="0.3">
      <c r="A1149" s="9" t="s">
        <v>86</v>
      </c>
      <c r="B1149" s="13">
        <f>VLOOKUP(Table27[[#This Row],[Location 
(drop-down)]],'List source'!D$2:E$61,2,FALSE)</f>
        <v>150</v>
      </c>
      <c r="C1149" s="223" t="s">
        <v>2984</v>
      </c>
      <c r="D1149" s="13" t="str">
        <f t="shared" si="36"/>
        <v>PTO1148-150-24</v>
      </c>
      <c r="E1149" s="9" t="s">
        <v>2985</v>
      </c>
      <c r="F1149" s="10" t="str" cm="1">
        <f t="array" aca="1" ref="F11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49" s="10">
        <v>2.15</v>
      </c>
      <c r="I1149" s="12">
        <v>45643</v>
      </c>
      <c r="J1149" s="12" t="s">
        <v>2231</v>
      </c>
      <c r="K1149" s="77">
        <v>45643</v>
      </c>
      <c r="L1149" s="265" t="s">
        <v>673</v>
      </c>
      <c r="M1149" s="427">
        <v>1148</v>
      </c>
      <c r="N1149" s="13" t="str">
        <f t="shared" ca="1" si="37"/>
        <v>CLOSED</v>
      </c>
    </row>
    <row r="1150" spans="1:14" ht="28.8" x14ac:dyDescent="0.3">
      <c r="A1150" s="9" t="s">
        <v>65</v>
      </c>
      <c r="B1150" s="13">
        <f>VLOOKUP(Table27[[#This Row],[Location 
(drop-down)]],'List source'!D$2:E$61,2,FALSE)</f>
        <v>155</v>
      </c>
      <c r="C1150" s="223" t="s">
        <v>2986</v>
      </c>
      <c r="D1150" s="13" t="str">
        <f t="shared" si="36"/>
        <v>PTO1149-155-24</v>
      </c>
      <c r="E1150" s="9" t="s">
        <v>2987</v>
      </c>
      <c r="F1150" s="10" t="str" cm="1">
        <f t="array" aca="1" ref="F11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D3606 - Benzene &amp; Toluene</v>
      </c>
      <c r="H1150" s="39" t="s">
        <v>2988</v>
      </c>
      <c r="I1150" s="12">
        <v>45643</v>
      </c>
      <c r="J1150" s="12" t="s">
        <v>182</v>
      </c>
      <c r="K1150" s="77">
        <v>45869</v>
      </c>
      <c r="L1150" s="10"/>
      <c r="M1150" s="427">
        <v>1149</v>
      </c>
      <c r="N1150" s="13" t="str">
        <f t="shared" ca="1" si="37"/>
        <v>CLOSED</v>
      </c>
    </row>
    <row r="1151" spans="1:14" x14ac:dyDescent="0.3">
      <c r="A1151" s="9" t="s">
        <v>65</v>
      </c>
      <c r="B1151" s="13">
        <f>VLOOKUP(Table27[[#This Row],[Location 
(drop-down)]],'List source'!D$2:E$61,2,FALSE)</f>
        <v>155</v>
      </c>
      <c r="C1151" s="223" t="s">
        <v>2989</v>
      </c>
      <c r="D1151" s="13" t="str">
        <f t="shared" si="36"/>
        <v>PTO1150-155-24</v>
      </c>
      <c r="E1151" s="9" t="s">
        <v>2990</v>
      </c>
      <c r="F1151" s="10" t="str" cm="1">
        <f t="array" aca="1" ref="F11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1" s="39" t="s">
        <v>2991</v>
      </c>
      <c r="I1151" s="12">
        <v>45643</v>
      </c>
      <c r="J1151" s="12" t="s">
        <v>2231</v>
      </c>
      <c r="K1151" s="77">
        <v>45643</v>
      </c>
      <c r="L1151" s="265" t="s">
        <v>673</v>
      </c>
      <c r="M1151" s="427">
        <v>1150</v>
      </c>
      <c r="N1151" s="13" t="str">
        <f t="shared" ca="1" si="37"/>
        <v>CLOSED</v>
      </c>
    </row>
    <row r="1152" spans="1:14" ht="28.8" x14ac:dyDescent="0.3">
      <c r="A1152" s="9" t="s">
        <v>65</v>
      </c>
      <c r="B1152" s="13">
        <f>VLOOKUP(Table27[[#This Row],[Location 
(drop-down)]],'List source'!D$2:E$61,2,FALSE)</f>
        <v>155</v>
      </c>
      <c r="C1152" s="223" t="s">
        <v>2992</v>
      </c>
      <c r="D1152" s="13" t="str">
        <f t="shared" si="36"/>
        <v>PTO1151-155-24</v>
      </c>
      <c r="E1152" s="9" t="s">
        <v>2993</v>
      </c>
      <c r="F1152" s="10" t="str" cm="1">
        <f t="array" aca="1" ref="F11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52" s="10">
        <v>91.64</v>
      </c>
      <c r="I1152" s="12">
        <v>45643</v>
      </c>
      <c r="J1152" s="12" t="s">
        <v>495</v>
      </c>
      <c r="K1152" s="77">
        <v>45643</v>
      </c>
      <c r="L1152" s="10" t="s">
        <v>510</v>
      </c>
      <c r="M1152" s="427">
        <v>1151</v>
      </c>
      <c r="N1152" s="13" t="str">
        <f t="shared" ca="1" si="37"/>
        <v>CLOSED</v>
      </c>
    </row>
    <row r="1153" spans="1:14" ht="28.8" x14ac:dyDescent="0.3">
      <c r="A1153" s="9" t="s">
        <v>209</v>
      </c>
      <c r="B1153" s="13">
        <f>VLOOKUP(Table27[[#This Row],[Location 
(drop-down)]],'List source'!D$2:E$61,2,FALSE)</f>
        <v>165</v>
      </c>
      <c r="C1153" s="223" t="s">
        <v>2994</v>
      </c>
      <c r="D1153" s="13" t="str">
        <f t="shared" si="36"/>
        <v>PTO1152-165-24</v>
      </c>
      <c r="E1153" s="9" t="s">
        <v>2995</v>
      </c>
      <c r="F1153" s="10" t="str" cm="1">
        <f t="array" aca="1" ref="F11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3" s="39" t="s">
        <v>2996</v>
      </c>
      <c r="I1153" s="12">
        <v>45643</v>
      </c>
      <c r="J1153" s="12" t="s">
        <v>134</v>
      </c>
      <c r="K1153" s="77">
        <v>45895</v>
      </c>
      <c r="L1153" s="10"/>
      <c r="M1153" s="427">
        <v>1152</v>
      </c>
      <c r="N1153" s="13" t="str">
        <f t="shared" ca="1" si="37"/>
        <v>CLOSED</v>
      </c>
    </row>
    <row r="1154" spans="1:14" ht="28.8" x14ac:dyDescent="0.3">
      <c r="A1154" s="9" t="s">
        <v>209</v>
      </c>
      <c r="B1154" s="13">
        <f>VLOOKUP(Table27[[#This Row],[Location 
(drop-down)]],'List source'!D$2:E$61,2,FALSE)</f>
        <v>165</v>
      </c>
      <c r="C1154" s="223" t="s">
        <v>2997</v>
      </c>
      <c r="D1154" s="13" t="str">
        <f t="shared" si="36"/>
        <v>PTO1153-165-24</v>
      </c>
      <c r="E1154" s="9" t="s">
        <v>2998</v>
      </c>
      <c r="F1154" s="10" t="str" cm="1">
        <f t="array" aca="1" ref="F11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1154" s="39" t="s">
        <v>2999</v>
      </c>
      <c r="I1154" s="12">
        <v>45643</v>
      </c>
      <c r="J1154" s="12" t="s">
        <v>182</v>
      </c>
      <c r="K1154" s="77">
        <v>45824</v>
      </c>
      <c r="L1154" s="10"/>
      <c r="M1154" s="427">
        <v>1153</v>
      </c>
      <c r="N1154" s="13" t="str">
        <f t="shared" ca="1" si="37"/>
        <v>CLOSED</v>
      </c>
    </row>
    <row r="1155" spans="1:14" x14ac:dyDescent="0.3">
      <c r="A1155" s="9" t="s">
        <v>209</v>
      </c>
      <c r="B1155" s="13">
        <f>VLOOKUP(Table27[[#This Row],[Location 
(drop-down)]],'List source'!D$2:E$61,2,FALSE)</f>
        <v>165</v>
      </c>
      <c r="C1155" s="223" t="s">
        <v>3000</v>
      </c>
      <c r="D1155" s="13" t="str">
        <f t="shared" si="36"/>
        <v>PTO1154-165-24</v>
      </c>
      <c r="E1155" s="9" t="s">
        <v>3001</v>
      </c>
      <c r="F1155" s="10" t="str" cm="1">
        <f t="array" aca="1" ref="F11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55" s="39" t="s">
        <v>3002</v>
      </c>
      <c r="I1155" s="12">
        <v>45643</v>
      </c>
      <c r="J1155" s="12" t="s">
        <v>495</v>
      </c>
      <c r="K1155" s="77">
        <v>45643</v>
      </c>
      <c r="L1155" s="265" t="s">
        <v>673</v>
      </c>
      <c r="M1155" s="427">
        <v>1154</v>
      </c>
      <c r="N1155" s="13" t="str">
        <f t="shared" ca="1" si="37"/>
        <v>CLOSED</v>
      </c>
    </row>
    <row r="1156" spans="1:14" x14ac:dyDescent="0.3">
      <c r="A1156" s="9" t="s">
        <v>57</v>
      </c>
      <c r="B1156" s="13">
        <f>VLOOKUP(Table27[[#This Row],[Location 
(drop-down)]],'List source'!D$2:E$61,2,FALSE)</f>
        <v>170</v>
      </c>
      <c r="C1156" s="223" t="s">
        <v>3003</v>
      </c>
      <c r="D1156" s="13" t="str">
        <f t="shared" si="36"/>
        <v>PTO1155-170-24</v>
      </c>
      <c r="E1156" s="9" t="s">
        <v>3004</v>
      </c>
      <c r="F1156" s="10" t="str" cm="1">
        <f t="array" aca="1" ref="F11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56" s="39" t="s">
        <v>3005</v>
      </c>
      <c r="I1156" s="12">
        <v>45643</v>
      </c>
      <c r="J1156" s="12" t="s">
        <v>495</v>
      </c>
      <c r="K1156" s="77">
        <v>45643</v>
      </c>
      <c r="L1156" s="265" t="s">
        <v>673</v>
      </c>
      <c r="M1156" s="427">
        <v>1155</v>
      </c>
      <c r="N1156" s="13" t="str">
        <f t="shared" ca="1" si="37"/>
        <v>CLOSED</v>
      </c>
    </row>
    <row r="1157" spans="1:14" x14ac:dyDescent="0.3">
      <c r="A1157" s="9" t="s">
        <v>57</v>
      </c>
      <c r="B1157" s="13">
        <f>VLOOKUP(Table27[[#This Row],[Location 
(drop-down)]],'List source'!D$2:E$61,2,FALSE)</f>
        <v>170</v>
      </c>
      <c r="C1157" s="223" t="s">
        <v>3006</v>
      </c>
      <c r="D1157" s="13" t="str">
        <f t="shared" si="36"/>
        <v>PTO1156-170-24</v>
      </c>
      <c r="E1157" s="9" t="s">
        <v>3007</v>
      </c>
      <c r="F1157" s="10" t="str" cm="1">
        <f t="array" aca="1" ref="F11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57" s="10" t="s">
        <v>3008</v>
      </c>
      <c r="I1157" s="12">
        <v>45643</v>
      </c>
      <c r="J1157" s="12" t="s">
        <v>495</v>
      </c>
      <c r="K1157" s="77">
        <v>45643</v>
      </c>
      <c r="L1157" s="265" t="s">
        <v>673</v>
      </c>
      <c r="M1157" s="427">
        <v>1156</v>
      </c>
      <c r="N1157" s="13" t="str">
        <f t="shared" ca="1" si="37"/>
        <v>CLOSED</v>
      </c>
    </row>
    <row r="1158" spans="1:14" ht="28.8" x14ac:dyDescent="0.3">
      <c r="A1158" s="189" t="s">
        <v>57</v>
      </c>
      <c r="B1158" s="217">
        <f>VLOOKUP(Table27[[#This Row],[Location 
(drop-down)]],'List source'!D$2:E$61,2,FALSE)</f>
        <v>170</v>
      </c>
      <c r="C1158" s="255" t="s">
        <v>3009</v>
      </c>
      <c r="D1158" s="217" t="str">
        <f t="shared" si="36"/>
        <v>PTO1157-170-24</v>
      </c>
      <c r="E1158" s="9" t="s">
        <v>3010</v>
      </c>
      <c r="F1158" s="10" t="str" cm="1">
        <f t="array" aca="1" ref="F11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1158" s="10">
        <v>2.0299999999999998</v>
      </c>
      <c r="I1158" s="12">
        <v>45643</v>
      </c>
      <c r="J1158" s="234" t="s">
        <v>60</v>
      </c>
      <c r="K1158" s="220">
        <v>45694</v>
      </c>
      <c r="L1158" s="10"/>
      <c r="M1158" s="427">
        <v>1157</v>
      </c>
      <c r="N1158" s="13" t="str">
        <f t="shared" ca="1" si="37"/>
        <v>CLOSED</v>
      </c>
    </row>
    <row r="1159" spans="1:14" x14ac:dyDescent="0.3">
      <c r="A1159" s="9" t="s">
        <v>57</v>
      </c>
      <c r="B1159" s="13">
        <f>VLOOKUP(Table27[[#This Row],[Location 
(drop-down)]],'List source'!D$2:E$61,2,FALSE)</f>
        <v>170</v>
      </c>
      <c r="C1159" s="223" t="s">
        <v>3011</v>
      </c>
      <c r="D1159" s="13" t="str">
        <f t="shared" si="36"/>
        <v>PTO1158-170-24</v>
      </c>
      <c r="E1159" s="9" t="s">
        <v>3012</v>
      </c>
      <c r="F1159" s="10" t="str" cm="1">
        <f t="array" aca="1" ref="F11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159" s="39" t="s">
        <v>1034</v>
      </c>
      <c r="I1159" s="12">
        <v>45643</v>
      </c>
      <c r="J1159" s="12" t="s">
        <v>495</v>
      </c>
      <c r="K1159" s="77">
        <v>45643</v>
      </c>
      <c r="L1159" s="265" t="s">
        <v>673</v>
      </c>
      <c r="M1159" s="427">
        <v>1158</v>
      </c>
      <c r="N1159" s="13" t="str">
        <f t="shared" ca="1" si="37"/>
        <v>CLOSED</v>
      </c>
    </row>
    <row r="1160" spans="1:14" x14ac:dyDescent="0.3">
      <c r="A1160" s="189" t="s">
        <v>388</v>
      </c>
      <c r="B1160" s="217">
        <f>VLOOKUP(Table27[[#This Row],[Location 
(drop-down)]],'List source'!D$2:E$61,2,FALSE)</f>
        <v>191</v>
      </c>
      <c r="C1160" s="255" t="s">
        <v>3013</v>
      </c>
      <c r="D1160" s="217" t="str">
        <f t="shared" si="36"/>
        <v>PTO1159-191-24</v>
      </c>
      <c r="E1160" s="9" t="s">
        <v>3014</v>
      </c>
      <c r="F1160" s="10" t="str" cm="1">
        <f t="array" aca="1" ref="F11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60" s="10">
        <v>3.27</v>
      </c>
      <c r="I1160" s="12">
        <v>45643</v>
      </c>
      <c r="J1160" s="234" t="s">
        <v>60</v>
      </c>
      <c r="K1160" s="220">
        <v>45688</v>
      </c>
      <c r="L1160" s="10"/>
      <c r="M1160" s="427">
        <v>1159</v>
      </c>
      <c r="N1160" s="13" t="str">
        <f t="shared" ca="1" si="37"/>
        <v>CLOSED</v>
      </c>
    </row>
    <row r="1161" spans="1:14" x14ac:dyDescent="0.3">
      <c r="A1161" s="9" t="s">
        <v>44</v>
      </c>
      <c r="B1161" s="13">
        <f>VLOOKUP(Table27[[#This Row],[Location 
(drop-down)]],'List source'!D$2:E$61,2,FALSE)</f>
        <v>192</v>
      </c>
      <c r="C1161" s="223" t="s">
        <v>3015</v>
      </c>
      <c r="D1161" s="13" t="str">
        <f t="shared" si="36"/>
        <v>PTO1160-192-24</v>
      </c>
      <c r="E1161" s="9" t="s">
        <v>3016</v>
      </c>
      <c r="F1161" s="10" t="str" cm="1">
        <f t="array" aca="1" ref="F11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61" s="39" t="s">
        <v>2999</v>
      </c>
      <c r="I1161" s="12">
        <v>45643</v>
      </c>
      <c r="J1161" s="12" t="s">
        <v>495</v>
      </c>
      <c r="K1161" s="77">
        <v>45643</v>
      </c>
      <c r="L1161" s="265" t="s">
        <v>673</v>
      </c>
      <c r="M1161" s="427">
        <v>1160</v>
      </c>
      <c r="N1161" s="13" t="str">
        <f t="shared" ca="1" si="37"/>
        <v>CLOSED</v>
      </c>
    </row>
    <row r="1162" spans="1:14" x14ac:dyDescent="0.3">
      <c r="A1162" s="9" t="s">
        <v>261</v>
      </c>
      <c r="B1162" s="13">
        <f>VLOOKUP(Table27[[#This Row],[Location 
(drop-down)]],'List source'!D$2:E$61,2,FALSE)</f>
        <v>210</v>
      </c>
      <c r="C1162" s="223" t="s">
        <v>3017</v>
      </c>
      <c r="D1162" s="13" t="str">
        <f t="shared" si="36"/>
        <v>PTO1161-210-24</v>
      </c>
      <c r="E1162" s="9" t="s">
        <v>3018</v>
      </c>
      <c r="F1162" s="10" t="str" cm="1">
        <f t="array" aca="1" ref="F11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62" s="10">
        <v>2477420.37</v>
      </c>
      <c r="I1162" s="12">
        <v>45643</v>
      </c>
      <c r="J1162" s="12" t="s">
        <v>195</v>
      </c>
      <c r="K1162" s="77">
        <v>45784</v>
      </c>
      <c r="L1162" s="10"/>
      <c r="M1162" s="427">
        <v>1161</v>
      </c>
      <c r="N1162" s="13" t="str">
        <f t="shared" ca="1" si="37"/>
        <v>CLOSED</v>
      </c>
    </row>
    <row r="1163" spans="1:14" x14ac:dyDescent="0.3">
      <c r="A1163" s="9" t="s">
        <v>564</v>
      </c>
      <c r="B1163" s="13">
        <f>VLOOKUP(Table27[[#This Row],[Location 
(drop-down)]],'List source'!D$2:E$61,2,FALSE)</f>
        <v>215</v>
      </c>
      <c r="C1163" s="223" t="s">
        <v>3019</v>
      </c>
      <c r="D1163" s="13" t="str">
        <f t="shared" si="36"/>
        <v>PTO1162-215-24</v>
      </c>
      <c r="E1163" s="9" t="s">
        <v>3020</v>
      </c>
      <c r="F1163" s="10" t="str" cm="1">
        <f t="array" aca="1" ref="F11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163" s="10">
        <v>2.89</v>
      </c>
      <c r="I1163" s="12">
        <v>45643</v>
      </c>
      <c r="J1163" s="12" t="s">
        <v>495</v>
      </c>
      <c r="K1163" s="77">
        <v>45643</v>
      </c>
      <c r="L1163" s="265" t="s">
        <v>673</v>
      </c>
      <c r="M1163" s="427">
        <v>1162</v>
      </c>
      <c r="N1163" s="13" t="str">
        <f t="shared" ca="1" si="37"/>
        <v>CLOSED</v>
      </c>
    </row>
    <row r="1164" spans="1:14" x14ac:dyDescent="0.3">
      <c r="A1164" s="9" t="s">
        <v>564</v>
      </c>
      <c r="B1164" s="13">
        <f>VLOOKUP(Table27[[#This Row],[Location 
(drop-down)]],'List source'!D$2:E$61,2,FALSE)</f>
        <v>215</v>
      </c>
      <c r="C1164" s="223" t="s">
        <v>3021</v>
      </c>
      <c r="D1164" s="13" t="str">
        <f t="shared" si="36"/>
        <v>PTO1163-215-24</v>
      </c>
      <c r="E1164" s="9" t="s">
        <v>3022</v>
      </c>
      <c r="F1164" s="10" t="str" cm="1">
        <f t="array" aca="1" ref="F11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64" s="10">
        <v>2.4</v>
      </c>
      <c r="I1164" s="12">
        <v>45643</v>
      </c>
      <c r="J1164" s="12" t="s">
        <v>495</v>
      </c>
      <c r="K1164" s="77">
        <v>45643</v>
      </c>
      <c r="L1164" s="265" t="s">
        <v>673</v>
      </c>
      <c r="M1164" s="427">
        <v>1163</v>
      </c>
      <c r="N1164" s="13" t="str">
        <f t="shared" ca="1" si="37"/>
        <v>CLOSED</v>
      </c>
    </row>
    <row r="1165" spans="1:14" x14ac:dyDescent="0.3">
      <c r="A1165" s="9" t="s">
        <v>564</v>
      </c>
      <c r="B1165" s="13">
        <f>VLOOKUP(Table27[[#This Row],[Location 
(drop-down)]],'List source'!D$2:E$61,2,FALSE)</f>
        <v>215</v>
      </c>
      <c r="C1165" s="223" t="s">
        <v>3023</v>
      </c>
      <c r="D1165" s="13" t="str">
        <f t="shared" si="36"/>
        <v>PTO1164-215-24</v>
      </c>
      <c r="E1165" s="9" t="s">
        <v>3024</v>
      </c>
      <c r="F1165" s="10" t="str" cm="1">
        <f t="array" aca="1" ref="F11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65" s="10">
        <v>2.2000000000000002</v>
      </c>
      <c r="I1165" s="12">
        <v>45643</v>
      </c>
      <c r="J1165" s="12" t="s">
        <v>495</v>
      </c>
      <c r="K1165" s="77">
        <v>45643</v>
      </c>
      <c r="L1165" s="265" t="s">
        <v>673</v>
      </c>
      <c r="M1165" s="427">
        <v>1164</v>
      </c>
      <c r="N1165" s="13" t="str">
        <f t="shared" ca="1" si="37"/>
        <v>CLOSED</v>
      </c>
    </row>
    <row r="1166" spans="1:14" ht="28.8" x14ac:dyDescent="0.3">
      <c r="A1166" s="189" t="s">
        <v>239</v>
      </c>
      <c r="B1166" s="217">
        <f>VLOOKUP(Table27[[#This Row],[Location 
(drop-down)]],'List source'!D$2:E$61,2,FALSE)</f>
        <v>116</v>
      </c>
      <c r="C1166" s="255" t="s">
        <v>3025</v>
      </c>
      <c r="D1166" s="217" t="str">
        <f t="shared" si="36"/>
        <v>PTO1165-116-24</v>
      </c>
      <c r="E1166" s="9" t="s">
        <v>3026</v>
      </c>
      <c r="F1166" s="10" t="s">
        <v>918</v>
      </c>
      <c r="G11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166" s="10">
        <v>3.67</v>
      </c>
      <c r="I1166" s="12">
        <v>45644</v>
      </c>
      <c r="J1166" s="234" t="s">
        <v>60</v>
      </c>
      <c r="K1166" s="220">
        <v>45688</v>
      </c>
      <c r="L1166" s="10"/>
      <c r="M1166" s="427">
        <v>1165</v>
      </c>
      <c r="N1166" s="13" t="str">
        <f t="shared" ca="1" si="37"/>
        <v>CLOSED</v>
      </c>
    </row>
    <row r="1167" spans="1:14" x14ac:dyDescent="0.3">
      <c r="A1167" s="9" t="s">
        <v>239</v>
      </c>
      <c r="B1167" s="13">
        <f>VLOOKUP(Table27[[#This Row],[Location 
(drop-down)]],'List source'!D$2:E$61,2,FALSE)</f>
        <v>116</v>
      </c>
      <c r="C1167" s="223" t="s">
        <v>3027</v>
      </c>
      <c r="D1167" s="13" t="str">
        <f t="shared" si="36"/>
        <v>PTO1166-116-24</v>
      </c>
      <c r="E1167" s="9" t="s">
        <v>3028</v>
      </c>
      <c r="F1167" s="10" t="s">
        <v>918</v>
      </c>
      <c r="G11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67" s="39" t="s">
        <v>1364</v>
      </c>
      <c r="I1167" s="12">
        <v>45644</v>
      </c>
      <c r="J1167" s="12" t="s">
        <v>495</v>
      </c>
      <c r="K1167" s="77">
        <v>45644</v>
      </c>
      <c r="L1167" s="10" t="s">
        <v>510</v>
      </c>
      <c r="M1167" s="427">
        <v>1166</v>
      </c>
      <c r="N1167" s="13" t="str">
        <f t="shared" ca="1" si="37"/>
        <v>CLOSED</v>
      </c>
    </row>
    <row r="1168" spans="1:14" x14ac:dyDescent="0.3">
      <c r="A1168" s="9" t="s">
        <v>86</v>
      </c>
      <c r="B1168" s="13">
        <f>VLOOKUP(Table27[[#This Row],[Location 
(drop-down)]],'List source'!D$2:E$61,2,FALSE)</f>
        <v>150</v>
      </c>
      <c r="C1168" s="223" t="s">
        <v>3029</v>
      </c>
      <c r="D1168" s="13" t="str">
        <f t="shared" si="36"/>
        <v>PTO1167-150-24</v>
      </c>
      <c r="E1168" s="9" t="s">
        <v>3030</v>
      </c>
      <c r="F1168" s="10" t="s">
        <v>918</v>
      </c>
      <c r="G11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168" s="10">
        <v>2.36</v>
      </c>
      <c r="I1168" s="12">
        <v>45644</v>
      </c>
      <c r="J1168" s="12" t="s">
        <v>495</v>
      </c>
      <c r="K1168" s="77">
        <v>45644</v>
      </c>
      <c r="L1168" s="265" t="s">
        <v>673</v>
      </c>
      <c r="M1168" s="427">
        <v>1167</v>
      </c>
      <c r="N1168" s="13" t="str">
        <f t="shared" ca="1" si="37"/>
        <v>CLOSED</v>
      </c>
    </row>
    <row r="1169" spans="1:14" ht="28.8" x14ac:dyDescent="0.3">
      <c r="A1169" s="9" t="s">
        <v>86</v>
      </c>
      <c r="B1169" s="13">
        <f>VLOOKUP(Table27[[#This Row],[Location 
(drop-down)]],'List source'!D$2:E$61,2,FALSE)</f>
        <v>150</v>
      </c>
      <c r="C1169" s="223" t="s">
        <v>3031</v>
      </c>
      <c r="D1169" s="13" t="str">
        <f t="shared" si="36"/>
        <v>PTO1168-150-24</v>
      </c>
      <c r="E1169" s="9" t="s">
        <v>3032</v>
      </c>
      <c r="F1169" s="10" t="s">
        <v>918</v>
      </c>
      <c r="G11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1169" s="39" t="s">
        <v>3033</v>
      </c>
      <c r="I1169" s="12">
        <v>45644</v>
      </c>
      <c r="J1169" s="12" t="s">
        <v>134</v>
      </c>
      <c r="K1169" s="77">
        <v>45916</v>
      </c>
      <c r="L1169" s="10"/>
      <c r="M1169" s="427">
        <v>1168</v>
      </c>
      <c r="N1169" s="13" t="str">
        <f t="shared" ca="1" si="37"/>
        <v>CLOSED</v>
      </c>
    </row>
    <row r="1170" spans="1:14" x14ac:dyDescent="0.3">
      <c r="A1170" s="9" t="s">
        <v>65</v>
      </c>
      <c r="B1170" s="13">
        <f>VLOOKUP(Table27[[#This Row],[Location 
(drop-down)]],'List source'!D$2:E$61,2,FALSE)</f>
        <v>155</v>
      </c>
      <c r="C1170" s="223" t="s">
        <v>3034</v>
      </c>
      <c r="D1170" s="13" t="str">
        <f t="shared" si="36"/>
        <v>PTO1169-155-24</v>
      </c>
      <c r="E1170" s="9" t="s">
        <v>3035</v>
      </c>
      <c r="F1170" s="10" t="s">
        <v>918</v>
      </c>
      <c r="G11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1170" s="10">
        <v>2.4</v>
      </c>
      <c r="I1170" s="12">
        <v>45644</v>
      </c>
      <c r="J1170" s="12" t="s">
        <v>134</v>
      </c>
      <c r="K1170" s="77">
        <v>45761</v>
      </c>
      <c r="L1170" s="10"/>
      <c r="M1170" s="427">
        <v>1169</v>
      </c>
      <c r="N1170" s="13" t="str">
        <f t="shared" ca="1" si="37"/>
        <v>CLOSED</v>
      </c>
    </row>
    <row r="1171" spans="1:14" x14ac:dyDescent="0.3">
      <c r="A1171" s="9" t="s">
        <v>65</v>
      </c>
      <c r="B1171" s="13">
        <f>VLOOKUP(Table27[[#This Row],[Location 
(drop-down)]],'List source'!D$2:E$61,2,FALSE)</f>
        <v>155</v>
      </c>
      <c r="C1171" s="223" t="s">
        <v>3036</v>
      </c>
      <c r="D1171" s="13" t="str">
        <f t="shared" si="36"/>
        <v>PTO1170-155-24</v>
      </c>
      <c r="E1171" s="9" t="s">
        <v>3037</v>
      </c>
      <c r="F1171" s="10" t="s">
        <v>918</v>
      </c>
      <c r="G11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71" s="10">
        <v>31.16</v>
      </c>
      <c r="I1171" s="12">
        <v>45644</v>
      </c>
      <c r="J1171" s="12" t="s">
        <v>495</v>
      </c>
      <c r="K1171" s="77">
        <v>45644</v>
      </c>
      <c r="L1171" s="10" t="s">
        <v>510</v>
      </c>
      <c r="M1171" s="427">
        <v>1170</v>
      </c>
      <c r="N1171" s="13" t="str">
        <f t="shared" ca="1" si="37"/>
        <v>CLOSED</v>
      </c>
    </row>
    <row r="1172" spans="1:14" x14ac:dyDescent="0.3">
      <c r="A1172" s="9" t="s">
        <v>209</v>
      </c>
      <c r="B1172" s="13">
        <f>VLOOKUP(Table27[[#This Row],[Location 
(drop-down)]],'List source'!D$2:E$60,2,FALSE)</f>
        <v>165</v>
      </c>
      <c r="C1172" s="223" t="s">
        <v>3038</v>
      </c>
      <c r="D1172" s="13" t="str">
        <f t="shared" si="36"/>
        <v>PTO913-165-24</v>
      </c>
      <c r="E1172" s="9" t="s">
        <v>3039</v>
      </c>
      <c r="F1172" s="10" t="str" cm="1">
        <f t="array" aca="1" ref="F11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172" s="10">
        <v>4.16</v>
      </c>
      <c r="I1172" s="12">
        <v>45540</v>
      </c>
      <c r="J1172" s="12" t="s">
        <v>182</v>
      </c>
      <c r="K1172" s="77">
        <v>46043</v>
      </c>
      <c r="L1172" s="10"/>
      <c r="M1172" s="427">
        <v>913</v>
      </c>
      <c r="N1172" s="13" t="str">
        <f t="shared" ca="1" si="37"/>
        <v>CLOSED</v>
      </c>
    </row>
    <row r="1173" spans="1:14" x14ac:dyDescent="0.3">
      <c r="A1173" s="9" t="s">
        <v>325</v>
      </c>
      <c r="B1173" s="13">
        <f>VLOOKUP(Table27[[#This Row],[Location 
(drop-down)]],'List source'!D$2:E$61,2,FALSE)</f>
        <v>180</v>
      </c>
      <c r="C1173" s="223" t="s">
        <v>3040</v>
      </c>
      <c r="D1173" s="13" t="str">
        <f t="shared" si="36"/>
        <v>PTO1172-180-24</v>
      </c>
      <c r="E1173" s="9" t="s">
        <v>3041</v>
      </c>
      <c r="F1173" s="10" t="s">
        <v>918</v>
      </c>
      <c r="G11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73" s="39" t="s">
        <v>705</v>
      </c>
      <c r="I1173" s="12">
        <v>45644</v>
      </c>
      <c r="J1173" s="12" t="s">
        <v>41</v>
      </c>
      <c r="K1173" s="77">
        <v>45931</v>
      </c>
      <c r="L1173" s="10"/>
      <c r="M1173" s="427">
        <v>1172</v>
      </c>
      <c r="N1173" s="13" t="str">
        <f t="shared" ca="1" si="37"/>
        <v>CLOSED</v>
      </c>
    </row>
    <row r="1174" spans="1:14" x14ac:dyDescent="0.3">
      <c r="A1174" s="9" t="s">
        <v>207</v>
      </c>
      <c r="B1174" s="13">
        <f>VLOOKUP(Table27[[#This Row],[Location 
(drop-down)]],'List source'!D$2:E$61,2,FALSE)</f>
        <v>189</v>
      </c>
      <c r="C1174" s="223" t="s">
        <v>3042</v>
      </c>
      <c r="D1174" s="13" t="str">
        <f t="shared" si="36"/>
        <v>PTO1173-189-24</v>
      </c>
      <c r="E1174" s="84" t="s">
        <v>3043</v>
      </c>
      <c r="F1174" s="10" t="s">
        <v>918</v>
      </c>
      <c r="G11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D240 - Heat of Combustion</v>
      </c>
      <c r="H1174" s="10">
        <v>71971.48</v>
      </c>
      <c r="I1174" s="12">
        <v>45644</v>
      </c>
      <c r="J1174" s="12" t="s">
        <v>495</v>
      </c>
      <c r="K1174" s="77">
        <v>45644</v>
      </c>
      <c r="L1174" s="10" t="s">
        <v>510</v>
      </c>
      <c r="M1174" s="427">
        <v>1173</v>
      </c>
      <c r="N1174" s="13" t="str">
        <f t="shared" ca="1" si="37"/>
        <v>CLOSED</v>
      </c>
    </row>
    <row r="1175" spans="1:14" x14ac:dyDescent="0.3">
      <c r="A1175" s="9" t="s">
        <v>264</v>
      </c>
      <c r="B1175" s="13">
        <f>VLOOKUP(Table27[[#This Row],[Location 
(drop-down)]],'List source'!D$2:E$61,2,FALSE)</f>
        <v>132</v>
      </c>
      <c r="C1175" s="223" t="s">
        <v>3044</v>
      </c>
      <c r="D1175" s="13" t="str">
        <f t="shared" si="36"/>
        <v>PTO1174-132-24</v>
      </c>
      <c r="E1175" s="9" t="s">
        <v>3045</v>
      </c>
      <c r="F1175" s="10" t="s">
        <v>2029</v>
      </c>
      <c r="G11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Gravity</v>
      </c>
      <c r="H1175" s="39" t="s">
        <v>749</v>
      </c>
      <c r="I1175" s="12">
        <v>45644</v>
      </c>
      <c r="J1175" s="12" t="s">
        <v>495</v>
      </c>
      <c r="K1175" s="77">
        <v>45644</v>
      </c>
      <c r="L1175" s="265" t="s">
        <v>673</v>
      </c>
      <c r="M1175" s="427">
        <v>1174</v>
      </c>
      <c r="N1175" s="13" t="str">
        <f t="shared" ca="1" si="37"/>
        <v>CLOSED</v>
      </c>
    </row>
    <row r="1176" spans="1:14" x14ac:dyDescent="0.3">
      <c r="A1176" s="9" t="s">
        <v>264</v>
      </c>
      <c r="B1176" s="13">
        <f>VLOOKUP(Table27[[#This Row],[Location 
(drop-down)]],'List source'!D$2:E$61,2,FALSE)</f>
        <v>132</v>
      </c>
      <c r="C1176" s="223" t="s">
        <v>3046</v>
      </c>
      <c r="D1176" s="13" t="str">
        <f t="shared" si="36"/>
        <v>PTO1175-132-24</v>
      </c>
      <c r="E1176" s="9" t="s">
        <v>3047</v>
      </c>
      <c r="F1176" s="10" t="s">
        <v>2029</v>
      </c>
      <c r="G11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176" s="39" t="s">
        <v>1561</v>
      </c>
      <c r="I1176" s="12">
        <v>45644</v>
      </c>
      <c r="J1176" s="12" t="s">
        <v>495</v>
      </c>
      <c r="K1176" s="77">
        <v>45644</v>
      </c>
      <c r="L1176" s="265" t="s">
        <v>673</v>
      </c>
      <c r="M1176" s="427">
        <v>1175</v>
      </c>
      <c r="N1176" s="13" t="str">
        <f t="shared" ca="1" si="37"/>
        <v>CLOSED</v>
      </c>
    </row>
    <row r="1177" spans="1:14" x14ac:dyDescent="0.3">
      <c r="A1177" s="9" t="s">
        <v>207</v>
      </c>
      <c r="B1177" s="13">
        <f>VLOOKUP(Table27[[#This Row],[Location 
(drop-down)]],'List source'!D$2:E$61,2,FALSE)</f>
        <v>189</v>
      </c>
      <c r="C1177" s="223" t="s">
        <v>3048</v>
      </c>
      <c r="D1177" s="13" t="str">
        <f t="shared" si="36"/>
        <v>PTO1176-189-24</v>
      </c>
      <c r="E1177" s="9" t="s">
        <v>3049</v>
      </c>
      <c r="F1177" s="10" t="s">
        <v>2041</v>
      </c>
      <c r="G11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Naphthalenes</v>
      </c>
      <c r="H1177" s="39" t="s">
        <v>1034</v>
      </c>
      <c r="I1177" s="12">
        <v>45645</v>
      </c>
      <c r="J1177" s="12" t="s">
        <v>495</v>
      </c>
      <c r="K1177" s="77">
        <v>45645</v>
      </c>
      <c r="L1177" s="265" t="s">
        <v>673</v>
      </c>
      <c r="M1177" s="427">
        <v>1176</v>
      </c>
      <c r="N1177" s="13" t="str">
        <f t="shared" ca="1" si="37"/>
        <v>CLOSED</v>
      </c>
    </row>
    <row r="1178" spans="1:14" x14ac:dyDescent="0.3">
      <c r="A1178" s="189" t="s">
        <v>288</v>
      </c>
      <c r="B1178" s="217">
        <f>VLOOKUP(Table27[[#This Row],[Location 
(drop-down)]],'List source'!D$2:E$61,2,FALSE)</f>
        <v>197</v>
      </c>
      <c r="C1178" s="255" t="s">
        <v>3050</v>
      </c>
      <c r="D1178" s="217" t="str">
        <f t="shared" si="36"/>
        <v>PTO1177-197-24</v>
      </c>
      <c r="E1178" s="9" t="s">
        <v>3051</v>
      </c>
      <c r="F1178" s="10" t="s">
        <v>2041</v>
      </c>
      <c r="G11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178" s="10">
        <v>2.73</v>
      </c>
      <c r="I1178" s="12">
        <v>45645</v>
      </c>
      <c r="J1178" s="234" t="s">
        <v>495</v>
      </c>
      <c r="K1178" s="220">
        <v>45645</v>
      </c>
      <c r="L1178" s="265" t="s">
        <v>673</v>
      </c>
      <c r="M1178" s="427">
        <v>1177</v>
      </c>
      <c r="N1178" s="13" t="str">
        <f t="shared" ca="1" si="37"/>
        <v>CLOSED</v>
      </c>
    </row>
    <row r="1179" spans="1:14" x14ac:dyDescent="0.3">
      <c r="A1179" s="9" t="s">
        <v>65</v>
      </c>
      <c r="B1179" s="13">
        <f>VLOOKUP(Table27[[#This Row],[Location 
(drop-down)]],'List source'!D$2:E$61,2,FALSE)</f>
        <v>155</v>
      </c>
      <c r="C1179" s="223" t="s">
        <v>3052</v>
      </c>
      <c r="D1179" s="13" t="str">
        <f t="shared" si="36"/>
        <v>PTO1178-155-24</v>
      </c>
      <c r="E1179" s="9" t="s">
        <v>3053</v>
      </c>
      <c r="F1179" s="10" t="str" cm="1">
        <f t="array" aca="1" ref="F11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1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D7423 - Oxygenates by GC-FID</v>
      </c>
      <c r="H1179" s="10">
        <v>0.1</v>
      </c>
      <c r="I1179" s="12">
        <v>45645</v>
      </c>
      <c r="J1179" s="12" t="s">
        <v>495</v>
      </c>
      <c r="K1179" s="77">
        <v>45645</v>
      </c>
      <c r="L1179" s="265" t="s">
        <v>673</v>
      </c>
      <c r="M1179" s="427">
        <v>1178</v>
      </c>
      <c r="N1179" s="13" t="str">
        <f t="shared" ca="1" si="37"/>
        <v>CLOSED</v>
      </c>
    </row>
    <row r="1180" spans="1:14" x14ac:dyDescent="0.3">
      <c r="A1180" s="9" t="s">
        <v>418</v>
      </c>
      <c r="B1180" s="13">
        <f>VLOOKUP(Table27[[#This Row],[Location 
(drop-down)]],'List source'!D$2:E$61,2,FALSE)</f>
        <v>179</v>
      </c>
      <c r="C1180" s="223" t="s">
        <v>3054</v>
      </c>
      <c r="D1180" s="13" t="str">
        <f t="shared" si="36"/>
        <v>PTO1179-179-24</v>
      </c>
      <c r="E1180" s="9" t="s">
        <v>3055</v>
      </c>
      <c r="F1180" s="10" t="str" cm="1">
        <f t="array" aca="1" ref="F11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1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1180" s="10">
        <v>4.25</v>
      </c>
      <c r="I1180" s="12">
        <v>45645</v>
      </c>
      <c r="J1180" s="12" t="s">
        <v>41</v>
      </c>
      <c r="K1180" s="77">
        <v>45768</v>
      </c>
      <c r="L1180" s="10"/>
      <c r="M1180" s="427">
        <v>1179</v>
      </c>
      <c r="N1180" s="13" t="str">
        <f t="shared" ca="1" si="37"/>
        <v>CLOSED</v>
      </c>
    </row>
    <row r="1181" spans="1:14" x14ac:dyDescent="0.3">
      <c r="A1181" s="235" t="s">
        <v>75</v>
      </c>
      <c r="B1181" s="236">
        <f>VLOOKUP(Table27[[#This Row],[Location 
(drop-down)]],'List source'!D$2:E$61,2,FALSE)</f>
        <v>190</v>
      </c>
      <c r="C1181" s="330" t="s">
        <v>3056</v>
      </c>
      <c r="D1181" s="236" t="str">
        <f t="shared" si="36"/>
        <v>PTO1180-190-24</v>
      </c>
      <c r="E1181" s="9" t="s">
        <v>3057</v>
      </c>
      <c r="F1181" s="10" t="str" cm="1">
        <f t="array" aca="1" ref="F11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LPG</v>
      </c>
      <c r="G11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D2163 - Hydrocarbons</v>
      </c>
      <c r="H1181" s="10">
        <v>9.3000000000000007</v>
      </c>
      <c r="I1181" s="12">
        <v>45645</v>
      </c>
      <c r="J1181" s="12" t="s">
        <v>60</v>
      </c>
      <c r="K1181" s="77">
        <v>45665</v>
      </c>
      <c r="L1181" s="10"/>
      <c r="M1181" s="427">
        <v>1180</v>
      </c>
      <c r="N1181" s="13" t="str">
        <f t="shared" ca="1" si="37"/>
        <v>CLOSED</v>
      </c>
    </row>
    <row r="1182" spans="1:14" x14ac:dyDescent="0.3">
      <c r="A1182" s="189" t="s">
        <v>57</v>
      </c>
      <c r="B1182" s="217">
        <f>VLOOKUP(Table27[[#This Row],[Location 
(drop-down)]],'List source'!D$2:E$61,2,FALSE)</f>
        <v>170</v>
      </c>
      <c r="C1182" s="255" t="s">
        <v>3058</v>
      </c>
      <c r="D1182" s="217" t="str">
        <f t="shared" si="36"/>
        <v>PTO1181-170-24</v>
      </c>
      <c r="E1182" s="9" t="s">
        <v>3059</v>
      </c>
      <c r="F1182" s="10" t="str" cm="1">
        <f t="array" aca="1" ref="F11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1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D1159 - Bromine Number</v>
      </c>
      <c r="H1182" s="10">
        <v>5.13</v>
      </c>
      <c r="I1182" s="12">
        <v>45645</v>
      </c>
      <c r="J1182" s="234" t="s">
        <v>60</v>
      </c>
      <c r="K1182" s="220">
        <v>45761</v>
      </c>
      <c r="L1182" s="10"/>
      <c r="M1182" s="427">
        <v>1181</v>
      </c>
      <c r="N1182" s="13" t="str">
        <f t="shared" ca="1" si="37"/>
        <v>CLOSED</v>
      </c>
    </row>
    <row r="1183" spans="1:14" ht="28.8" x14ac:dyDescent="0.3">
      <c r="A1183" s="189" t="s">
        <v>57</v>
      </c>
      <c r="B1183" s="217">
        <f>VLOOKUP(Table27[[#This Row],[Location 
(drop-down)]],'List source'!D$2:E$61,2,FALSE)</f>
        <v>170</v>
      </c>
      <c r="C1183" s="255" t="s">
        <v>3060</v>
      </c>
      <c r="D1183" s="217" t="str">
        <f t="shared" si="36"/>
        <v>PTO1182-170-24</v>
      </c>
      <c r="E1183" s="9" t="s">
        <v>3061</v>
      </c>
      <c r="F1183" s="10" t="str" cm="1">
        <f t="array" aca="1" ref="F11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1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1183" s="10">
        <v>47.83</v>
      </c>
      <c r="I1183" s="12">
        <v>45645</v>
      </c>
      <c r="J1183" s="234" t="s">
        <v>60</v>
      </c>
      <c r="K1183" s="220">
        <v>45754</v>
      </c>
      <c r="L1183" s="10"/>
      <c r="M1183" s="427">
        <v>1182</v>
      </c>
      <c r="N1183" s="13" t="str">
        <f t="shared" ca="1" si="37"/>
        <v>CLOSED</v>
      </c>
    </row>
    <row r="1184" spans="1:14" ht="28.8" x14ac:dyDescent="0.3">
      <c r="A1184" s="189" t="s">
        <v>325</v>
      </c>
      <c r="B1184" s="217">
        <f>VLOOKUP(Table27[[#This Row],[Location 
(drop-down)]],'List source'!D$2:E$61,2,FALSE)</f>
        <v>180</v>
      </c>
      <c r="C1184" s="255" t="s">
        <v>3062</v>
      </c>
      <c r="D1184" s="217" t="str">
        <f t="shared" si="36"/>
        <v>PTO1171-180-24</v>
      </c>
      <c r="E1184" s="9" t="s">
        <v>3063</v>
      </c>
      <c r="F1184" s="10" t="s">
        <v>918</v>
      </c>
      <c r="G11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184" s="10">
        <v>2.1800000000000002</v>
      </c>
      <c r="I1184" s="12">
        <v>45644</v>
      </c>
      <c r="J1184" s="234"/>
      <c r="K1184" s="220"/>
      <c r="L1184" s="10"/>
      <c r="M1184" s="427">
        <v>1171</v>
      </c>
      <c r="N1184" s="13">
        <f t="shared" ca="1" si="37"/>
        <v>421</v>
      </c>
    </row>
    <row r="1185" spans="1:14" x14ac:dyDescent="0.3">
      <c r="A1185" s="9" t="s">
        <v>325</v>
      </c>
      <c r="B1185" s="13">
        <f>VLOOKUP(Table27[[#This Row],[Location 
(drop-down)]],'List source'!D$2:E$61,2,FALSE)</f>
        <v>180</v>
      </c>
      <c r="C1185" s="223" t="s">
        <v>3064</v>
      </c>
      <c r="D1185" s="13" t="str">
        <f t="shared" si="36"/>
        <v>PTO1184-180-24</v>
      </c>
      <c r="E1185" s="9" t="s">
        <v>3065</v>
      </c>
      <c r="F1185" s="10" t="str" cm="1">
        <f t="array" aca="1" ref="F11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1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D1159 - Bromine Number</v>
      </c>
      <c r="H1185" s="10">
        <v>2.14</v>
      </c>
      <c r="I1185" s="12">
        <v>45645</v>
      </c>
      <c r="J1185" s="12" t="s">
        <v>495</v>
      </c>
      <c r="K1185" s="77">
        <v>45645</v>
      </c>
      <c r="L1185" s="265" t="s">
        <v>673</v>
      </c>
      <c r="M1185" s="427">
        <v>1184</v>
      </c>
      <c r="N1185" s="13" t="str">
        <f t="shared" ca="1" si="37"/>
        <v>CLOSED</v>
      </c>
    </row>
    <row r="1186" spans="1:14" ht="28.8" x14ac:dyDescent="0.3">
      <c r="A1186" s="189" t="s">
        <v>325</v>
      </c>
      <c r="B1186" s="217">
        <f>VLOOKUP(Table27[[#This Row],[Location 
(drop-down)]],'List source'!D$2:E$61,2,FALSE)</f>
        <v>180</v>
      </c>
      <c r="C1186" s="255" t="s">
        <v>3066</v>
      </c>
      <c r="D1186" s="217" t="str">
        <f t="shared" si="36"/>
        <v>PTO1183-180-24</v>
      </c>
      <c r="E1186" s="9" t="s">
        <v>3067</v>
      </c>
      <c r="F1186" s="10" t="str" cm="1">
        <f t="array" aca="1" ref="F11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1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Distribution</v>
      </c>
      <c r="H1186" s="10" t="s">
        <v>3068</v>
      </c>
      <c r="I1186" s="12">
        <v>45645</v>
      </c>
      <c r="J1186" s="234"/>
      <c r="K1186" s="220"/>
      <c r="L1186" s="10"/>
      <c r="M1186" s="427">
        <v>1183</v>
      </c>
      <c r="N1186" s="13">
        <f t="shared" ca="1" si="37"/>
        <v>420</v>
      </c>
    </row>
    <row r="1187" spans="1:14" ht="28.8" x14ac:dyDescent="0.3">
      <c r="A1187" s="9" t="s">
        <v>207</v>
      </c>
      <c r="B1187" s="13">
        <f>VLOOKUP(Table27[[#This Row],[Location 
(drop-down)]],'List source'!D$2:E$61,2,FALSE)</f>
        <v>189</v>
      </c>
      <c r="C1187" s="223" t="s">
        <v>3069</v>
      </c>
      <c r="D1187" s="13" t="str">
        <f t="shared" si="36"/>
        <v>PTO1186-189-24</v>
      </c>
      <c r="E1187" s="9" t="s">
        <v>3070</v>
      </c>
      <c r="F1187" s="10" t="s">
        <v>1860</v>
      </c>
      <c r="G11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87" s="39" t="s">
        <v>3071</v>
      </c>
      <c r="I1187" s="12">
        <v>45645</v>
      </c>
      <c r="J1187" s="12" t="s">
        <v>495</v>
      </c>
      <c r="K1187" s="77">
        <v>45645</v>
      </c>
      <c r="L1187" s="10" t="s">
        <v>3072</v>
      </c>
      <c r="M1187" s="427">
        <v>1186</v>
      </c>
      <c r="N1187" s="13" t="str">
        <f t="shared" ca="1" si="37"/>
        <v>CLOSED</v>
      </c>
    </row>
    <row r="1188" spans="1:14" x14ac:dyDescent="0.3">
      <c r="A1188" s="9" t="s">
        <v>288</v>
      </c>
      <c r="B1188" s="13">
        <f>VLOOKUP(Table27[[#This Row],[Location 
(drop-down)]],'List source'!D$2:E$61,2,FALSE)</f>
        <v>197</v>
      </c>
      <c r="C1188" s="223" t="s">
        <v>3073</v>
      </c>
      <c r="D1188" s="13" t="str">
        <f t="shared" si="36"/>
        <v>PTO1187-197-24</v>
      </c>
      <c r="E1188" s="9" t="s">
        <v>3074</v>
      </c>
      <c r="F1188" s="10" t="s">
        <v>1860</v>
      </c>
      <c r="G11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88" s="39" t="s">
        <v>3075</v>
      </c>
      <c r="I1188" s="12">
        <v>45645</v>
      </c>
      <c r="J1188" s="12" t="s">
        <v>41</v>
      </c>
      <c r="K1188" s="77">
        <v>45866</v>
      </c>
      <c r="L1188" s="10"/>
      <c r="M1188" s="427">
        <v>1187</v>
      </c>
      <c r="N1188" s="13" t="str">
        <f t="shared" ca="1" si="37"/>
        <v>CLOSED</v>
      </c>
    </row>
    <row r="1189" spans="1:14" x14ac:dyDescent="0.3">
      <c r="A1189" s="189" t="s">
        <v>325</v>
      </c>
      <c r="B1189" s="217">
        <f>VLOOKUP(Table27[[#This Row],[Location 
(drop-down)]],'List source'!D$2:E$61,2,FALSE)</f>
        <v>180</v>
      </c>
      <c r="C1189" s="255" t="s">
        <v>3076</v>
      </c>
      <c r="D1189" s="217" t="str">
        <f t="shared" si="36"/>
        <v>PTO1185-180-24</v>
      </c>
      <c r="E1189" s="9" t="s">
        <v>3077</v>
      </c>
      <c r="F1189" s="10" t="str" cm="1">
        <f t="array" aca="1" ref="F11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GGO</v>
      </c>
      <c r="G11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Upper Pour Point</v>
      </c>
      <c r="H1189" s="39" t="s">
        <v>1545</v>
      </c>
      <c r="I1189" s="12">
        <v>45645</v>
      </c>
      <c r="J1189" s="234"/>
      <c r="K1189" s="220"/>
      <c r="L1189" s="10"/>
      <c r="M1189" s="427">
        <v>1185</v>
      </c>
      <c r="N1189" s="13">
        <f t="shared" ca="1" si="37"/>
        <v>420</v>
      </c>
    </row>
    <row r="1190" spans="1:14" ht="28.8" x14ac:dyDescent="0.3">
      <c r="A1190" s="9" t="s">
        <v>288</v>
      </c>
      <c r="B1190" s="13">
        <f>VLOOKUP(Table27[[#This Row],[Location 
(drop-down)]],'List source'!D$2:E$61,2,FALSE)</f>
        <v>197</v>
      </c>
      <c r="C1190" s="223" t="s">
        <v>3078</v>
      </c>
      <c r="D1190" s="13" t="str">
        <f t="shared" si="36"/>
        <v>PTO1316-197-24</v>
      </c>
      <c r="E1190" s="9" t="s">
        <v>3079</v>
      </c>
      <c r="F1190" s="10" t="str" cm="1">
        <f t="array" aca="1" ref="F11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1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190" s="39" t="s">
        <v>3080</v>
      </c>
      <c r="I1190" s="12">
        <v>45657</v>
      </c>
      <c r="J1190" s="12" t="s">
        <v>23</v>
      </c>
      <c r="K1190" s="77">
        <v>46036</v>
      </c>
      <c r="L1190" s="10"/>
      <c r="M1190" s="427">
        <v>1316</v>
      </c>
      <c r="N1190" s="13" t="str">
        <f t="shared" ca="1" si="37"/>
        <v>CLOSED</v>
      </c>
    </row>
    <row r="1191" spans="1:14" ht="28.8" x14ac:dyDescent="0.3">
      <c r="A1191" s="9" t="s">
        <v>107</v>
      </c>
      <c r="B1191" s="13">
        <f>VLOOKUP(Table27[[#This Row],[Location 
(drop-down)]],'List source'!D$2:E$61,2,FALSE)</f>
        <v>120</v>
      </c>
      <c r="C1191" s="223" t="s">
        <v>3081</v>
      </c>
      <c r="D1191" s="13" t="str">
        <f t="shared" si="36"/>
        <v>PTO1190-120-24</v>
      </c>
      <c r="E1191" s="9" t="s">
        <v>3082</v>
      </c>
      <c r="F1191" s="10" t="str" cm="1">
        <f t="array" aca="1" ref="F11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91" s="10">
        <v>44.1</v>
      </c>
      <c r="I1191" s="12">
        <v>45646</v>
      </c>
      <c r="J1191" s="12" t="s">
        <v>495</v>
      </c>
      <c r="K1191" s="77">
        <v>45646</v>
      </c>
      <c r="L1191" s="10" t="s">
        <v>510</v>
      </c>
      <c r="M1191" s="427">
        <v>1190</v>
      </c>
      <c r="N1191" s="13" t="str">
        <f t="shared" ca="1" si="37"/>
        <v>CLOSED</v>
      </c>
    </row>
    <row r="1192" spans="1:14" ht="28.8" x14ac:dyDescent="0.3">
      <c r="A1192" s="9" t="s">
        <v>107</v>
      </c>
      <c r="B1192" s="13">
        <f>VLOOKUP(Table27[[#This Row],[Location 
(drop-down)]],'List source'!D$2:E$61,2,FALSE)</f>
        <v>120</v>
      </c>
      <c r="C1192" s="223" t="s">
        <v>3083</v>
      </c>
      <c r="D1192" s="13" t="str">
        <f t="shared" si="36"/>
        <v>PTO1191-120-24</v>
      </c>
      <c r="E1192" s="9" t="s">
        <v>3084</v>
      </c>
      <c r="F1192" s="10" t="str" cm="1">
        <f t="array" aca="1" ref="F11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D8071 - HC Type</v>
      </c>
      <c r="H1192" s="10">
        <v>2783.33</v>
      </c>
      <c r="I1192" s="12">
        <v>45646</v>
      </c>
      <c r="J1192" s="12" t="s">
        <v>495</v>
      </c>
      <c r="K1192" s="77">
        <v>45293</v>
      </c>
      <c r="L1192" s="10" t="s">
        <v>510</v>
      </c>
      <c r="M1192" s="427">
        <v>1191</v>
      </c>
      <c r="N1192" s="13" t="str">
        <f t="shared" ca="1" si="37"/>
        <v>CLOSED</v>
      </c>
    </row>
    <row r="1193" spans="1:14" ht="28.8" x14ac:dyDescent="0.3">
      <c r="A1193" s="9" t="s">
        <v>107</v>
      </c>
      <c r="B1193" s="13">
        <f>VLOOKUP(Table27[[#This Row],[Location 
(drop-down)]],'List source'!D$2:E$61,2,FALSE)</f>
        <v>120</v>
      </c>
      <c r="C1193" s="223" t="s">
        <v>3085</v>
      </c>
      <c r="D1193" s="13" t="str">
        <f t="shared" si="36"/>
        <v>PTO1192-120-24</v>
      </c>
      <c r="E1193" s="9" t="s">
        <v>3086</v>
      </c>
      <c r="F1193" s="10" t="str" cm="1">
        <f t="array" aca="1" ref="F11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D5191-22 &amp; -20 - Vapor Pressure</v>
      </c>
      <c r="H1193" s="39" t="s">
        <v>3087</v>
      </c>
      <c r="I1193" s="12">
        <v>45646</v>
      </c>
      <c r="J1193" s="12" t="s">
        <v>495</v>
      </c>
      <c r="K1193" s="77">
        <v>45646</v>
      </c>
      <c r="L1193" s="10" t="s">
        <v>510</v>
      </c>
      <c r="M1193" s="427">
        <v>1192</v>
      </c>
      <c r="N1193" s="13" t="str">
        <f t="shared" ca="1" si="37"/>
        <v>CLOSED</v>
      </c>
    </row>
    <row r="1194" spans="1:14" x14ac:dyDescent="0.3">
      <c r="A1194" s="9" t="s">
        <v>65</v>
      </c>
      <c r="B1194" s="13">
        <f>VLOOKUP(Table27[[#This Row],[Location 
(drop-down)]],'List source'!D$2:E$61,2,FALSE)</f>
        <v>155</v>
      </c>
      <c r="C1194" s="223" t="s">
        <v>3088</v>
      </c>
      <c r="D1194" s="13" t="str">
        <f t="shared" si="36"/>
        <v>PTO1193-155-24</v>
      </c>
      <c r="E1194" s="9" t="s">
        <v>3089</v>
      </c>
      <c r="F1194" s="10" t="str" cm="1">
        <f t="array" aca="1" ref="F11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94" s="10">
        <v>4.6500000000000004</v>
      </c>
      <c r="I1194" s="12">
        <v>45646</v>
      </c>
      <c r="J1194" s="12" t="s">
        <v>495</v>
      </c>
      <c r="K1194" s="77">
        <v>45646</v>
      </c>
      <c r="L1194" s="10" t="s">
        <v>510</v>
      </c>
      <c r="M1194" s="427">
        <v>1193</v>
      </c>
      <c r="N1194" s="13" t="str">
        <f t="shared" ca="1" si="37"/>
        <v>CLOSED</v>
      </c>
    </row>
    <row r="1195" spans="1:14" ht="28.8" x14ac:dyDescent="0.3">
      <c r="A1195" s="9" t="s">
        <v>261</v>
      </c>
      <c r="B1195" s="13">
        <f>VLOOKUP(Table27[[#This Row],[Location 
(drop-down)]],'List source'!D$2:E$61,2,FALSE)</f>
        <v>210</v>
      </c>
      <c r="C1195" s="223" t="s">
        <v>3090</v>
      </c>
      <c r="D1195" s="13" t="str">
        <f t="shared" si="36"/>
        <v>PTO1194-210-24</v>
      </c>
      <c r="E1195" s="9" t="s">
        <v>3091</v>
      </c>
      <c r="F1195" s="10" t="str" cm="1">
        <f t="array" aca="1" ref="F11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195" s="39" t="s">
        <v>3092</v>
      </c>
      <c r="I1195" s="12">
        <v>45646</v>
      </c>
      <c r="J1195" s="12" t="s">
        <v>495</v>
      </c>
      <c r="K1195" s="77">
        <v>45646</v>
      </c>
      <c r="L1195" s="10" t="s">
        <v>510</v>
      </c>
      <c r="M1195" s="427">
        <v>1194</v>
      </c>
      <c r="N1195" s="13" t="str">
        <f t="shared" ca="1" si="37"/>
        <v>CLOSED</v>
      </c>
    </row>
    <row r="1196" spans="1:14" ht="43.2" x14ac:dyDescent="0.3">
      <c r="A1196" s="9" t="s">
        <v>261</v>
      </c>
      <c r="B1196" s="13">
        <f>VLOOKUP(Table27[[#This Row],[Location 
(drop-down)]],'List source'!D$2:E$61,2,FALSE)</f>
        <v>210</v>
      </c>
      <c r="C1196" s="223" t="s">
        <v>3093</v>
      </c>
      <c r="D1196" s="13" t="str">
        <f t="shared" si="36"/>
        <v>PTO1195-210-24</v>
      </c>
      <c r="E1196" s="9" t="s">
        <v>3094</v>
      </c>
      <c r="F1196" s="10" t="str" cm="1">
        <f t="array" aca="1" ref="F11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196" s="10" t="s">
        <v>3095</v>
      </c>
      <c r="I1196" s="12">
        <v>45646</v>
      </c>
      <c r="J1196" s="12" t="s">
        <v>498</v>
      </c>
      <c r="K1196" s="77">
        <v>45838</v>
      </c>
      <c r="L1196" s="10"/>
      <c r="M1196" s="427">
        <v>1195</v>
      </c>
      <c r="N1196" s="13" t="str">
        <f t="shared" ca="1" si="37"/>
        <v>CLOSED</v>
      </c>
    </row>
    <row r="1197" spans="1:14" ht="28.8" x14ac:dyDescent="0.3">
      <c r="A1197" s="9" t="s">
        <v>261</v>
      </c>
      <c r="B1197" s="13">
        <f>VLOOKUP(Table27[[#This Row],[Location 
(drop-down)]],'List source'!D$2:E$61,2,FALSE)</f>
        <v>210</v>
      </c>
      <c r="C1197" s="223" t="s">
        <v>3096</v>
      </c>
      <c r="D1197" s="13" t="str">
        <f t="shared" si="36"/>
        <v>PTO1196-210-24</v>
      </c>
      <c r="E1197" s="9" t="s">
        <v>3097</v>
      </c>
      <c r="F1197" s="10" t="str" cm="1">
        <f t="array" aca="1" ref="F11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197" s="39" t="s">
        <v>3098</v>
      </c>
      <c r="I1197" s="12">
        <v>45646</v>
      </c>
      <c r="J1197" s="12" t="s">
        <v>498</v>
      </c>
      <c r="K1197" s="77">
        <v>45838</v>
      </c>
      <c r="L1197" s="10"/>
      <c r="M1197" s="427">
        <v>1196</v>
      </c>
      <c r="N1197" s="13" t="str">
        <f t="shared" ca="1" si="37"/>
        <v>CLOSED</v>
      </c>
    </row>
    <row r="1198" spans="1:14" ht="28.8" x14ac:dyDescent="0.3">
      <c r="A1198" s="9" t="s">
        <v>261</v>
      </c>
      <c r="B1198" s="13">
        <f>VLOOKUP(Table27[[#This Row],[Location 
(drop-down)]],'List source'!D$2:E$61,2,FALSE)</f>
        <v>210</v>
      </c>
      <c r="C1198" s="223" t="s">
        <v>3099</v>
      </c>
      <c r="D1198" s="13" t="str">
        <f t="shared" si="36"/>
        <v>PTO1197-210-24</v>
      </c>
      <c r="E1198" s="9" t="s">
        <v>3100</v>
      </c>
      <c r="F1198" s="10" t="str" cm="1">
        <f t="array" aca="1" ref="F11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198" s="10" t="s">
        <v>3101</v>
      </c>
      <c r="I1198" s="12">
        <v>45646</v>
      </c>
      <c r="J1198" s="12" t="s">
        <v>495</v>
      </c>
      <c r="K1198" s="77">
        <v>45646</v>
      </c>
      <c r="L1198" s="10" t="s">
        <v>510</v>
      </c>
      <c r="M1198" s="427">
        <v>1197</v>
      </c>
      <c r="N1198" s="13" t="str">
        <f t="shared" ca="1" si="37"/>
        <v>CLOSED</v>
      </c>
    </row>
    <row r="1199" spans="1:14" x14ac:dyDescent="0.3">
      <c r="A1199" s="94" t="s">
        <v>261</v>
      </c>
      <c r="B1199" s="95">
        <f>VLOOKUP(Table27[[#This Row],[Location 
(drop-down)]],'List source'!D$2:E$61,2,FALSE)</f>
        <v>210</v>
      </c>
      <c r="C1199" s="223" t="s">
        <v>3102</v>
      </c>
      <c r="D1199" s="13" t="str">
        <f t="shared" si="36"/>
        <v>PTO1198-210-24</v>
      </c>
      <c r="E1199" s="94" t="s">
        <v>3103</v>
      </c>
      <c r="F1199" s="98" t="str" cm="1">
        <f t="array" aca="1" ref="F11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199"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199" s="200" t="s">
        <v>3104</v>
      </c>
      <c r="I1199" s="96">
        <v>45646</v>
      </c>
      <c r="J1199" s="96" t="s">
        <v>195</v>
      </c>
      <c r="K1199" s="97">
        <v>45785</v>
      </c>
      <c r="L1199" s="98"/>
      <c r="M1199" s="429">
        <v>1198</v>
      </c>
      <c r="N1199" s="13" t="str">
        <f t="shared" ca="1" si="37"/>
        <v>CLOSED</v>
      </c>
    </row>
    <row r="1200" spans="1:14" x14ac:dyDescent="0.3">
      <c r="A1200" s="9" t="s">
        <v>126</v>
      </c>
      <c r="B1200" s="13">
        <f>VLOOKUP(Table27[[#This Row],[Location 
(drop-down)]],'List source'!D$2:E$61,2,FALSE)</f>
        <v>125</v>
      </c>
      <c r="C1200" s="223" t="s">
        <v>3105</v>
      </c>
      <c r="D1200" s="13" t="str">
        <f t="shared" si="36"/>
        <v>PTO1199-125-24</v>
      </c>
      <c r="E1200" s="84" t="s">
        <v>3106</v>
      </c>
      <c r="F1200" s="10" t="s">
        <v>918</v>
      </c>
      <c r="G12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00" s="10" t="s">
        <v>529</v>
      </c>
      <c r="I1200" s="12">
        <v>45646</v>
      </c>
      <c r="J1200" s="12" t="s">
        <v>495</v>
      </c>
      <c r="K1200" s="77">
        <v>45646</v>
      </c>
      <c r="L1200" s="10" t="s">
        <v>510</v>
      </c>
      <c r="M1200" s="427">
        <v>1199</v>
      </c>
      <c r="N1200" s="13" t="str">
        <f t="shared" ca="1" si="37"/>
        <v>CLOSED</v>
      </c>
    </row>
    <row r="1201" spans="1:14" x14ac:dyDescent="0.3">
      <c r="A1201" s="9" t="s">
        <v>126</v>
      </c>
      <c r="B1201" s="13">
        <f>VLOOKUP(Table27[[#This Row],[Location 
(drop-down)]],'List source'!D$2:E$61,2,FALSE)</f>
        <v>125</v>
      </c>
      <c r="C1201" s="223" t="s">
        <v>3107</v>
      </c>
      <c r="D1201" s="13" t="str">
        <f t="shared" si="36"/>
        <v>PTO1200-125-24</v>
      </c>
      <c r="E1201" s="9" t="s">
        <v>3108</v>
      </c>
      <c r="F1201" s="10" t="s">
        <v>918</v>
      </c>
      <c r="G12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1201" s="39" t="s">
        <v>681</v>
      </c>
      <c r="I1201" s="12">
        <v>45646</v>
      </c>
      <c r="J1201" s="12" t="s">
        <v>195</v>
      </c>
      <c r="K1201" s="77">
        <v>45838</v>
      </c>
      <c r="L1201" s="10"/>
      <c r="M1201" s="427">
        <v>1200</v>
      </c>
      <c r="N1201" s="13" t="str">
        <f t="shared" ca="1" si="37"/>
        <v>CLOSED</v>
      </c>
    </row>
    <row r="1202" spans="1:14" x14ac:dyDescent="0.3">
      <c r="A1202" s="9" t="s">
        <v>126</v>
      </c>
      <c r="B1202" s="13">
        <f>VLOOKUP(Table27[[#This Row],[Location 
(drop-down)]],'List source'!D$2:E$61,2,FALSE)</f>
        <v>125</v>
      </c>
      <c r="C1202" s="223" t="s">
        <v>3109</v>
      </c>
      <c r="D1202" s="13" t="str">
        <f t="shared" si="36"/>
        <v>PTO1201-125-24</v>
      </c>
      <c r="E1202" s="9" t="s">
        <v>3110</v>
      </c>
      <c r="F1202" s="10" t="s">
        <v>918</v>
      </c>
      <c r="G12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D5949 - Pour Point</v>
      </c>
      <c r="H1202" s="39" t="s">
        <v>3111</v>
      </c>
      <c r="I1202" s="12">
        <v>45646</v>
      </c>
      <c r="J1202" s="12" t="s">
        <v>195</v>
      </c>
      <c r="K1202" s="77">
        <v>45838</v>
      </c>
      <c r="L1202" s="10"/>
      <c r="M1202" s="427">
        <v>1201</v>
      </c>
      <c r="N1202" s="13" t="str">
        <f t="shared" ca="1" si="37"/>
        <v>CLOSED</v>
      </c>
    </row>
    <row r="1203" spans="1:14" x14ac:dyDescent="0.3">
      <c r="A1203" s="9" t="s">
        <v>126</v>
      </c>
      <c r="B1203" s="13">
        <f>VLOOKUP(Table27[[#This Row],[Location 
(drop-down)]],'List source'!D$2:E$61,2,FALSE)</f>
        <v>125</v>
      </c>
      <c r="C1203" s="223" t="s">
        <v>3112</v>
      </c>
      <c r="D1203" s="13" t="str">
        <f t="shared" si="36"/>
        <v>PTO1202-125-24</v>
      </c>
      <c r="E1203" s="9" t="s">
        <v>3113</v>
      </c>
      <c r="F1203" s="10" t="s">
        <v>918</v>
      </c>
      <c r="G12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03" s="39" t="s">
        <v>705</v>
      </c>
      <c r="I1203" s="12">
        <v>45646</v>
      </c>
      <c r="J1203" s="12" t="s">
        <v>195</v>
      </c>
      <c r="K1203" s="77">
        <v>45839</v>
      </c>
      <c r="L1203" s="10"/>
      <c r="M1203" s="427">
        <v>1202</v>
      </c>
      <c r="N1203" s="13" t="str">
        <f t="shared" ca="1" si="37"/>
        <v>CLOSED</v>
      </c>
    </row>
    <row r="1204" spans="1:14" x14ac:dyDescent="0.3">
      <c r="A1204" s="9" t="s">
        <v>261</v>
      </c>
      <c r="B1204" s="13">
        <f>VLOOKUP(Table27[[#This Row],[Location 
(drop-down)]],'List source'!D$2:E$61,2,FALSE)</f>
        <v>210</v>
      </c>
      <c r="C1204" s="223" t="s">
        <v>3114</v>
      </c>
      <c r="D1204" s="13" t="str">
        <f t="shared" ref="D1204:D1267" si="38">"PTO" &amp; C1204 &amp; "-" &amp; B1204 &amp; "-" &amp; "24"</f>
        <v>PTO1203-210-24</v>
      </c>
      <c r="E1204" s="84" t="s">
        <v>3115</v>
      </c>
      <c r="F1204" s="10" t="s">
        <v>918</v>
      </c>
      <c r="G12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204" s="10">
        <v>3.29</v>
      </c>
      <c r="I1204" s="12">
        <v>45875</v>
      </c>
      <c r="J1204" s="12" t="s">
        <v>195</v>
      </c>
      <c r="K1204" s="77">
        <v>45875</v>
      </c>
      <c r="L1204" s="10"/>
      <c r="M1204" s="427">
        <v>1203</v>
      </c>
      <c r="N1204" s="13" t="str">
        <f t="shared" ref="N1204:N1267" ca="1" si="39">IF(ISBLANK(K1204), TODAY()-(I1204), "CLOSED")</f>
        <v>CLOSED</v>
      </c>
    </row>
    <row r="1205" spans="1:14" x14ac:dyDescent="0.3">
      <c r="A1205" s="9" t="s">
        <v>261</v>
      </c>
      <c r="B1205" s="13">
        <f>VLOOKUP(Table27[[#This Row],[Location 
(drop-down)]],'List source'!D$2:E$61,2,FALSE)</f>
        <v>210</v>
      </c>
      <c r="C1205" s="223" t="s">
        <v>3116</v>
      </c>
      <c r="D1205" s="13" t="str">
        <f t="shared" si="38"/>
        <v>PTO1204-210-24</v>
      </c>
      <c r="E1205" s="84" t="s">
        <v>3117</v>
      </c>
      <c r="F1205" s="10" t="s">
        <v>918</v>
      </c>
      <c r="G12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205" s="10">
        <v>3.28</v>
      </c>
      <c r="I1205" s="12">
        <v>45646</v>
      </c>
      <c r="J1205" s="12" t="s">
        <v>195</v>
      </c>
      <c r="K1205" s="77">
        <v>45784</v>
      </c>
      <c r="L1205" s="10"/>
      <c r="M1205" s="427">
        <v>1204</v>
      </c>
      <c r="N1205" s="13" t="str">
        <f t="shared" ca="1" si="39"/>
        <v>CLOSED</v>
      </c>
    </row>
    <row r="1206" spans="1:14" x14ac:dyDescent="0.3">
      <c r="A1206" s="9" t="s">
        <v>261</v>
      </c>
      <c r="B1206" s="13">
        <f>VLOOKUP(Table27[[#This Row],[Location 
(drop-down)]],'List source'!D$2:E$61,2,FALSE)</f>
        <v>210</v>
      </c>
      <c r="C1206" s="223" t="s">
        <v>3118</v>
      </c>
      <c r="D1206" s="13" t="str">
        <f t="shared" si="38"/>
        <v>PTO1205-210-24</v>
      </c>
      <c r="E1206" s="84" t="s">
        <v>3119</v>
      </c>
      <c r="F1206" s="10" t="s">
        <v>918</v>
      </c>
      <c r="G12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06" s="10">
        <v>5.67</v>
      </c>
      <c r="I1206" s="12">
        <v>45646</v>
      </c>
      <c r="J1206" s="12" t="s">
        <v>195</v>
      </c>
      <c r="K1206" s="77">
        <v>45879</v>
      </c>
      <c r="L1206" s="10"/>
      <c r="M1206" s="427">
        <v>1205</v>
      </c>
      <c r="N1206" s="13" t="str">
        <f t="shared" ca="1" si="39"/>
        <v>CLOSED</v>
      </c>
    </row>
    <row r="1207" spans="1:14" x14ac:dyDescent="0.3">
      <c r="A1207" s="9" t="s">
        <v>564</v>
      </c>
      <c r="B1207" s="13">
        <f>VLOOKUP(Table27[[#This Row],[Location 
(drop-down)]],'List source'!D$2:E$61,2,FALSE)</f>
        <v>215</v>
      </c>
      <c r="C1207" s="223" t="s">
        <v>3120</v>
      </c>
      <c r="D1207" s="13" t="str">
        <f t="shared" si="38"/>
        <v>PTO1206-215-24</v>
      </c>
      <c r="E1207" s="9" t="s">
        <v>3121</v>
      </c>
      <c r="F1207" s="10" t="s">
        <v>918</v>
      </c>
      <c r="G1207" s="9" t="s">
        <v>3122</v>
      </c>
      <c r="H1207" s="10">
        <v>2.4700000000000002</v>
      </c>
      <c r="I1207" s="12">
        <v>45646</v>
      </c>
      <c r="J1207" s="12" t="s">
        <v>495</v>
      </c>
      <c r="K1207" s="77">
        <v>45646</v>
      </c>
      <c r="L1207" s="265" t="s">
        <v>673</v>
      </c>
      <c r="M1207" s="427">
        <v>1206</v>
      </c>
      <c r="N1207" s="13" t="str">
        <f t="shared" ca="1" si="39"/>
        <v>CLOSED</v>
      </c>
    </row>
    <row r="1208" spans="1:14" x14ac:dyDescent="0.3">
      <c r="A1208" s="9" t="s">
        <v>186</v>
      </c>
      <c r="B1208" s="13">
        <f>VLOOKUP(Table27[[#This Row],[Location 
(drop-down)]],'List source'!D$2:E$61,2,FALSE)</f>
        <v>130</v>
      </c>
      <c r="C1208" s="223" t="s">
        <v>3123</v>
      </c>
      <c r="D1208" s="13" t="str">
        <f t="shared" si="38"/>
        <v>PTO1207-130-24</v>
      </c>
      <c r="E1208" s="9" t="s">
        <v>3124</v>
      </c>
      <c r="F1208" s="10" t="s">
        <v>918</v>
      </c>
      <c r="G12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D5762 - Nitrogen</v>
      </c>
      <c r="H1208" s="39" t="s">
        <v>1561</v>
      </c>
      <c r="I1208" s="12">
        <v>45649</v>
      </c>
      <c r="J1208" s="12" t="s">
        <v>495</v>
      </c>
      <c r="K1208" s="77">
        <v>45646</v>
      </c>
      <c r="L1208" s="265" t="s">
        <v>673</v>
      </c>
      <c r="M1208" s="427">
        <v>1207</v>
      </c>
      <c r="N1208" s="13" t="str">
        <f t="shared" ca="1" si="39"/>
        <v>CLOSED</v>
      </c>
    </row>
    <row r="1209" spans="1:14" x14ac:dyDescent="0.3">
      <c r="A1209" s="9" t="s">
        <v>264</v>
      </c>
      <c r="B1209" s="13">
        <f>VLOOKUP(Table27[[#This Row],[Location 
(drop-down)]],'List source'!D$2:E$61,2,FALSE)</f>
        <v>132</v>
      </c>
      <c r="C1209" s="223" t="s">
        <v>3125</v>
      </c>
      <c r="D1209" s="13" t="str">
        <f t="shared" si="38"/>
        <v>PTO1208-132-24</v>
      </c>
      <c r="E1209" s="9" t="s">
        <v>3126</v>
      </c>
      <c r="F1209" s="10" t="s">
        <v>918</v>
      </c>
      <c r="G12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D2500 - Cloud Point</v>
      </c>
      <c r="H1209" s="10">
        <v>3.6</v>
      </c>
      <c r="I1209" s="12">
        <v>45649</v>
      </c>
      <c r="J1209" s="12" t="s">
        <v>54</v>
      </c>
      <c r="K1209" s="77">
        <v>45919</v>
      </c>
      <c r="L1209" s="10"/>
      <c r="M1209" s="427">
        <v>1208</v>
      </c>
      <c r="N1209" s="13" t="str">
        <f t="shared" ca="1" si="39"/>
        <v>CLOSED</v>
      </c>
    </row>
    <row r="1210" spans="1:14" x14ac:dyDescent="0.3">
      <c r="A1210" s="9" t="s">
        <v>264</v>
      </c>
      <c r="B1210" s="13">
        <f>VLOOKUP(Table27[[#This Row],[Location 
(drop-down)]],'List source'!D$2:E$61,2,FALSE)</f>
        <v>132</v>
      </c>
      <c r="C1210" s="223" t="s">
        <v>3127</v>
      </c>
      <c r="D1210" s="13" t="str">
        <f t="shared" si="38"/>
        <v>PTO1209-132-24</v>
      </c>
      <c r="E1210" s="9" t="s">
        <v>3128</v>
      </c>
      <c r="F1210" s="10" t="s">
        <v>918</v>
      </c>
      <c r="G12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210" s="39" t="s">
        <v>3129</v>
      </c>
      <c r="I1210" s="12">
        <v>45649</v>
      </c>
      <c r="J1210" s="12" t="s">
        <v>495</v>
      </c>
      <c r="K1210" s="77">
        <v>45649</v>
      </c>
      <c r="L1210" s="10" t="s">
        <v>510</v>
      </c>
      <c r="M1210" s="427">
        <v>1209</v>
      </c>
      <c r="N1210" s="13" t="str">
        <f t="shared" ca="1" si="39"/>
        <v>CLOSED</v>
      </c>
    </row>
    <row r="1211" spans="1:14" x14ac:dyDescent="0.3">
      <c r="A1211" s="9" t="s">
        <v>264</v>
      </c>
      <c r="B1211" s="13">
        <f>VLOOKUP(Table27[[#This Row],[Location 
(drop-down)]],'List source'!D$2:E$61,2,FALSE)</f>
        <v>132</v>
      </c>
      <c r="C1211" s="223" t="s">
        <v>3130</v>
      </c>
      <c r="D1211" s="13" t="str">
        <f t="shared" si="38"/>
        <v>PTO1210-132-24</v>
      </c>
      <c r="E1211" s="9" t="s">
        <v>3131</v>
      </c>
      <c r="F1211" s="10" t="s">
        <v>918</v>
      </c>
      <c r="G12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11" s="39" t="s">
        <v>3132</v>
      </c>
      <c r="I1211" s="12">
        <v>45649</v>
      </c>
      <c r="J1211" s="12" t="s">
        <v>495</v>
      </c>
      <c r="K1211" s="77">
        <v>45649</v>
      </c>
      <c r="L1211" s="10" t="s">
        <v>510</v>
      </c>
      <c r="M1211" s="427">
        <v>1210</v>
      </c>
      <c r="N1211" s="13" t="str">
        <f t="shared" ca="1" si="39"/>
        <v>CLOSED</v>
      </c>
    </row>
    <row r="1212" spans="1:14" x14ac:dyDescent="0.3">
      <c r="A1212" s="9" t="s">
        <v>264</v>
      </c>
      <c r="B1212" s="13">
        <f>VLOOKUP(Table27[[#This Row],[Location 
(drop-down)]],'List source'!D$2:E$61,2,FALSE)</f>
        <v>132</v>
      </c>
      <c r="C1212" s="223" t="s">
        <v>3133</v>
      </c>
      <c r="D1212" s="13" t="str">
        <f t="shared" si="38"/>
        <v>PTO1211-132-24</v>
      </c>
      <c r="E1212" s="9" t="s">
        <v>3134</v>
      </c>
      <c r="F1212" s="10" t="s">
        <v>918</v>
      </c>
      <c r="G12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D97 - Pour Point</v>
      </c>
      <c r="H1212" s="39" t="s">
        <v>3033</v>
      </c>
      <c r="I1212" s="12">
        <v>45649</v>
      </c>
      <c r="J1212" s="12" t="s">
        <v>49</v>
      </c>
      <c r="K1212" s="77">
        <v>45898</v>
      </c>
      <c r="L1212" s="10"/>
      <c r="M1212" s="427">
        <v>1211</v>
      </c>
      <c r="N1212" s="13" t="str">
        <f t="shared" ca="1" si="39"/>
        <v>CLOSED</v>
      </c>
    </row>
    <row r="1213" spans="1:14" x14ac:dyDescent="0.3">
      <c r="A1213" s="9" t="s">
        <v>264</v>
      </c>
      <c r="B1213" s="13">
        <f>VLOOKUP(Table27[[#This Row],[Location 
(drop-down)]],'List source'!D$2:E$61,2,FALSE)</f>
        <v>132</v>
      </c>
      <c r="C1213" s="223" t="s">
        <v>3135</v>
      </c>
      <c r="D1213" s="13" t="str">
        <f t="shared" si="38"/>
        <v>PTO1212-132-24</v>
      </c>
      <c r="E1213" s="9" t="s">
        <v>3136</v>
      </c>
      <c r="F1213" s="10" t="s">
        <v>918</v>
      </c>
      <c r="G12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13" s="39" t="s">
        <v>3137</v>
      </c>
      <c r="I1213" s="12">
        <v>45649</v>
      </c>
      <c r="J1213" s="12" t="s">
        <v>54</v>
      </c>
      <c r="K1213" s="77">
        <v>45740</v>
      </c>
      <c r="L1213" s="10"/>
      <c r="M1213" s="427">
        <v>1212</v>
      </c>
      <c r="N1213" s="13" t="str">
        <f t="shared" ca="1" si="39"/>
        <v>CLOSED</v>
      </c>
    </row>
    <row r="1214" spans="1:14" x14ac:dyDescent="0.3">
      <c r="A1214" s="9" t="s">
        <v>70</v>
      </c>
      <c r="B1214" s="13">
        <f>VLOOKUP(Table27[[#This Row],[Location 
(drop-down)]],'List source'!D$2:E$61,2,FALSE)</f>
        <v>146</v>
      </c>
      <c r="C1214" s="223" t="s">
        <v>3138</v>
      </c>
      <c r="D1214" s="13" t="str">
        <f t="shared" si="38"/>
        <v>PTO1213-146-24</v>
      </c>
      <c r="E1214" s="9" t="s">
        <v>3139</v>
      </c>
      <c r="F1214" s="10" t="s">
        <v>918</v>
      </c>
      <c r="G12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214" s="10">
        <v>2.13</v>
      </c>
      <c r="I1214" s="12">
        <v>45649</v>
      </c>
      <c r="J1214" s="12" t="s">
        <v>495</v>
      </c>
      <c r="K1214" s="77">
        <v>45649</v>
      </c>
      <c r="L1214" s="265" t="s">
        <v>673</v>
      </c>
      <c r="M1214" s="427">
        <v>1213</v>
      </c>
      <c r="N1214" s="13" t="str">
        <f t="shared" ca="1" si="39"/>
        <v>CLOSED</v>
      </c>
    </row>
    <row r="1215" spans="1:14" ht="28.8" x14ac:dyDescent="0.3">
      <c r="A1215" s="9" t="s">
        <v>209</v>
      </c>
      <c r="B1215" s="13">
        <f>VLOOKUP(Table27[[#This Row],[Location 
(drop-down)]],'List source'!D$2:E$61,2,FALSE)</f>
        <v>165</v>
      </c>
      <c r="C1215" s="223" t="s">
        <v>3140</v>
      </c>
      <c r="D1215" s="13" t="str">
        <f t="shared" si="38"/>
        <v>PTO1214-165-24</v>
      </c>
      <c r="E1215" s="9" t="s">
        <v>3141</v>
      </c>
      <c r="F1215" s="10" t="s">
        <v>918</v>
      </c>
      <c r="G12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215" s="10">
        <v>5.12</v>
      </c>
      <c r="I1215" s="12">
        <v>45649</v>
      </c>
      <c r="J1215" s="12" t="s">
        <v>182</v>
      </c>
      <c r="K1215" s="77">
        <v>45835</v>
      </c>
      <c r="L1215" s="10"/>
      <c r="M1215" s="427">
        <v>1214</v>
      </c>
      <c r="N1215" s="13" t="str">
        <f t="shared" ca="1" si="39"/>
        <v>CLOSED</v>
      </c>
    </row>
    <row r="1216" spans="1:14" x14ac:dyDescent="0.3">
      <c r="A1216" s="9" t="s">
        <v>209</v>
      </c>
      <c r="B1216" s="13">
        <f>VLOOKUP(Table27[[#This Row],[Location 
(drop-down)]],'List source'!D$2:E$61,2,FALSE)</f>
        <v>165</v>
      </c>
      <c r="C1216" s="223" t="s">
        <v>3142</v>
      </c>
      <c r="D1216" s="13" t="str">
        <f t="shared" si="38"/>
        <v>PTO1215-165-24</v>
      </c>
      <c r="E1216" s="9" t="s">
        <v>3143</v>
      </c>
      <c r="F1216" s="10" t="s">
        <v>918</v>
      </c>
      <c r="G12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D189 - Carbon Residue</v>
      </c>
      <c r="H1216" s="10">
        <v>3.29</v>
      </c>
      <c r="I1216" s="12">
        <v>45649</v>
      </c>
      <c r="J1216" s="12" t="s">
        <v>182</v>
      </c>
      <c r="K1216" s="77">
        <v>45824</v>
      </c>
      <c r="L1216" s="10"/>
      <c r="M1216" s="427">
        <v>1215</v>
      </c>
      <c r="N1216" s="13" t="str">
        <f t="shared" ca="1" si="39"/>
        <v>CLOSED</v>
      </c>
    </row>
    <row r="1217" spans="1:14" x14ac:dyDescent="0.3">
      <c r="A1217" s="9" t="s">
        <v>209</v>
      </c>
      <c r="B1217" s="13">
        <f>VLOOKUP(Table27[[#This Row],[Location 
(drop-down)]],'List source'!D$2:E$61,2,FALSE)</f>
        <v>165</v>
      </c>
      <c r="C1217" s="223" t="s">
        <v>3144</v>
      </c>
      <c r="D1217" s="13" t="str">
        <f t="shared" si="38"/>
        <v>PTO1216-165-24</v>
      </c>
      <c r="E1217" s="9" t="s">
        <v>3145</v>
      </c>
      <c r="F1217" s="10" t="s">
        <v>918</v>
      </c>
      <c r="G12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1217" s="10">
        <v>2.4500000000000002</v>
      </c>
      <c r="I1217" s="12">
        <v>45649</v>
      </c>
      <c r="J1217" s="12" t="s">
        <v>495</v>
      </c>
      <c r="K1217" s="77">
        <v>45649</v>
      </c>
      <c r="L1217" s="265" t="s">
        <v>673</v>
      </c>
      <c r="M1217" s="427">
        <v>1216</v>
      </c>
      <c r="N1217" s="13" t="str">
        <f t="shared" ca="1" si="39"/>
        <v>CLOSED</v>
      </c>
    </row>
    <row r="1218" spans="1:14" ht="28.8" x14ac:dyDescent="0.3">
      <c r="A1218" s="9" t="s">
        <v>209</v>
      </c>
      <c r="B1218" s="13">
        <f>VLOOKUP(Table27[[#This Row],[Location 
(drop-down)]],'List source'!D$2:E$61,2,FALSE)</f>
        <v>165</v>
      </c>
      <c r="C1218" s="223" t="s">
        <v>3146</v>
      </c>
      <c r="D1218" s="13" t="str">
        <f t="shared" si="38"/>
        <v>PTO1217-165-24</v>
      </c>
      <c r="E1218" s="9" t="s">
        <v>3147</v>
      </c>
      <c r="F1218" s="10" t="s">
        <v>918</v>
      </c>
      <c r="G12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1218" s="39" t="s">
        <v>1534</v>
      </c>
      <c r="I1218" s="12">
        <v>45649</v>
      </c>
      <c r="J1218" s="12" t="s">
        <v>182</v>
      </c>
      <c r="K1218" s="77">
        <v>45838</v>
      </c>
      <c r="L1218" s="10"/>
      <c r="M1218" s="427">
        <v>1217</v>
      </c>
      <c r="N1218" s="13" t="str">
        <f t="shared" ca="1" si="39"/>
        <v>CLOSED</v>
      </c>
    </row>
    <row r="1219" spans="1:14" x14ac:dyDescent="0.3">
      <c r="A1219" s="9" t="s">
        <v>209</v>
      </c>
      <c r="B1219" s="13">
        <f>VLOOKUP(Table27[[#This Row],[Location 
(drop-down)]],'List source'!D$2:E$61,2,FALSE)</f>
        <v>165</v>
      </c>
      <c r="C1219" s="223" t="s">
        <v>3148</v>
      </c>
      <c r="D1219" s="13" t="str">
        <f t="shared" si="38"/>
        <v>PTO1218-165-24</v>
      </c>
      <c r="E1219" s="9" t="s">
        <v>3149</v>
      </c>
      <c r="F1219" s="10" t="s">
        <v>918</v>
      </c>
      <c r="G121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19" s="10">
        <v>3.97</v>
      </c>
      <c r="I1219" s="12">
        <v>45649</v>
      </c>
      <c r="J1219" s="12" t="s">
        <v>182</v>
      </c>
      <c r="K1219" s="77">
        <v>45824</v>
      </c>
      <c r="L1219" s="10"/>
      <c r="M1219" s="427">
        <v>1218</v>
      </c>
      <c r="N1219" s="13" t="str">
        <f t="shared" ca="1" si="39"/>
        <v>CLOSED</v>
      </c>
    </row>
    <row r="1220" spans="1:14" x14ac:dyDescent="0.3">
      <c r="A1220" s="9" t="s">
        <v>57</v>
      </c>
      <c r="B1220" s="13">
        <f>VLOOKUP(Table27[[#This Row],[Location 
(drop-down)]],'List source'!D$2:E$61,2,FALSE)</f>
        <v>170</v>
      </c>
      <c r="C1220" s="223" t="s">
        <v>3150</v>
      </c>
      <c r="D1220" s="13" t="str">
        <f t="shared" si="38"/>
        <v>PTO1219-170-24</v>
      </c>
      <c r="E1220" s="9" t="s">
        <v>3151</v>
      </c>
      <c r="F1220" s="10" t="s">
        <v>918</v>
      </c>
      <c r="G12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D5186 - HC Type</v>
      </c>
      <c r="H1220" s="39" t="s">
        <v>895</v>
      </c>
      <c r="I1220" s="12">
        <v>45649</v>
      </c>
      <c r="J1220" s="12" t="s">
        <v>495</v>
      </c>
      <c r="K1220" s="77">
        <v>45649</v>
      </c>
      <c r="L1220" s="265" t="s">
        <v>673</v>
      </c>
      <c r="M1220" s="427">
        <v>1219</v>
      </c>
      <c r="N1220" s="13" t="str">
        <f t="shared" ca="1" si="39"/>
        <v>CLOSED</v>
      </c>
    </row>
    <row r="1221" spans="1:14" x14ac:dyDescent="0.3">
      <c r="A1221" s="9" t="s">
        <v>75</v>
      </c>
      <c r="B1221" s="13">
        <f>VLOOKUP(Table27[[#This Row],[Location 
(drop-down)]],'List source'!D$2:E$61,2,FALSE)</f>
        <v>190</v>
      </c>
      <c r="C1221" s="223" t="s">
        <v>3152</v>
      </c>
      <c r="D1221" s="13" t="str">
        <f t="shared" si="38"/>
        <v>PTO1220-190-24</v>
      </c>
      <c r="E1221" s="9" t="s">
        <v>3153</v>
      </c>
      <c r="F1221" s="10" t="s">
        <v>918</v>
      </c>
      <c r="G12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221" s="39" t="s">
        <v>1550</v>
      </c>
      <c r="I1221" s="12">
        <v>45649</v>
      </c>
      <c r="J1221" s="12" t="s">
        <v>495</v>
      </c>
      <c r="K1221" s="77">
        <v>45649</v>
      </c>
      <c r="L1221" s="265" t="s">
        <v>673</v>
      </c>
      <c r="M1221" s="427">
        <v>1220</v>
      </c>
      <c r="N1221" s="13" t="str">
        <f t="shared" ca="1" si="39"/>
        <v>CLOSED</v>
      </c>
    </row>
    <row r="1222" spans="1:14" x14ac:dyDescent="0.3">
      <c r="A1222" s="9" t="s">
        <v>75</v>
      </c>
      <c r="B1222" s="13">
        <f>VLOOKUP(Table27[[#This Row],[Location 
(drop-down)]],'List source'!D$2:E$61,2,FALSE)</f>
        <v>190</v>
      </c>
      <c r="C1222" s="223" t="s">
        <v>3154</v>
      </c>
      <c r="D1222" s="13" t="str">
        <f t="shared" si="38"/>
        <v>PTO1221-190-24</v>
      </c>
      <c r="E1222" s="9" t="s">
        <v>3139</v>
      </c>
      <c r="F1222" s="10" t="s">
        <v>918</v>
      </c>
      <c r="G12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222" s="39" t="s">
        <v>1534</v>
      </c>
      <c r="I1222" s="12">
        <v>45649</v>
      </c>
      <c r="J1222" s="12" t="s">
        <v>495</v>
      </c>
      <c r="K1222" s="77">
        <v>45649</v>
      </c>
      <c r="L1222" s="265" t="s">
        <v>673</v>
      </c>
      <c r="M1222" s="427">
        <v>1221</v>
      </c>
      <c r="N1222" s="13" t="str">
        <f t="shared" ca="1" si="39"/>
        <v>CLOSED</v>
      </c>
    </row>
    <row r="1223" spans="1:14" x14ac:dyDescent="0.3">
      <c r="A1223" s="9" t="s">
        <v>388</v>
      </c>
      <c r="B1223" s="13">
        <f>VLOOKUP(Table27[[#This Row],[Location 
(drop-down)]],'List source'!D$2:E$61,2,FALSE)</f>
        <v>191</v>
      </c>
      <c r="C1223" s="223" t="s">
        <v>3155</v>
      </c>
      <c r="D1223" s="13" t="str">
        <f t="shared" si="38"/>
        <v>PTO1222-191-24</v>
      </c>
      <c r="E1223" s="9" t="s">
        <v>3156</v>
      </c>
      <c r="F1223" s="10" t="s">
        <v>918</v>
      </c>
      <c r="G12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23" s="39" t="s">
        <v>892</v>
      </c>
      <c r="I1223" s="12">
        <v>45649</v>
      </c>
      <c r="J1223" s="12" t="s">
        <v>495</v>
      </c>
      <c r="K1223" s="77">
        <v>45649</v>
      </c>
      <c r="L1223" s="265" t="s">
        <v>673</v>
      </c>
      <c r="M1223" s="427">
        <v>1222</v>
      </c>
      <c r="N1223" s="13" t="str">
        <f t="shared" ca="1" si="39"/>
        <v>CLOSED</v>
      </c>
    </row>
    <row r="1224" spans="1:14" ht="28.8" x14ac:dyDescent="0.3">
      <c r="A1224" s="9" t="s">
        <v>209</v>
      </c>
      <c r="B1224" s="13">
        <f>VLOOKUP(Table27[[#This Row],[Location 
(drop-down)]],'List source'!D$2:E$61,2,FALSE)</f>
        <v>165</v>
      </c>
      <c r="C1224" s="223" t="s">
        <v>3157</v>
      </c>
      <c r="D1224" s="13" t="str">
        <f t="shared" si="38"/>
        <v>PTO1223-165-24</v>
      </c>
      <c r="E1224" s="9" t="s">
        <v>3158</v>
      </c>
      <c r="F1224" s="10" t="str" cm="1">
        <f t="array" aca="1" ref="F12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24" s="39" t="s">
        <v>3159</v>
      </c>
      <c r="I1224" s="12">
        <v>45649</v>
      </c>
      <c r="J1224" s="12" t="s">
        <v>134</v>
      </c>
      <c r="K1224" s="77">
        <v>45895</v>
      </c>
      <c r="L1224" s="10"/>
      <c r="M1224" s="427">
        <v>1223</v>
      </c>
      <c r="N1224" s="13" t="str">
        <f t="shared" ca="1" si="39"/>
        <v>CLOSED</v>
      </c>
    </row>
    <row r="1225" spans="1:14" ht="28.8" x14ac:dyDescent="0.3">
      <c r="A1225" s="9" t="s">
        <v>209</v>
      </c>
      <c r="B1225" s="13">
        <f>VLOOKUP(Table27[[#This Row],[Location 
(drop-down)]],'List source'!D$2:E$61,2,FALSE)</f>
        <v>165</v>
      </c>
      <c r="C1225" s="223" t="s">
        <v>3160</v>
      </c>
      <c r="D1225" s="13" t="str">
        <f t="shared" si="38"/>
        <v>PTO1224-165-24</v>
      </c>
      <c r="E1225" s="9" t="s">
        <v>3161</v>
      </c>
      <c r="F1225" s="10" t="str" cm="1">
        <f t="array" aca="1" ref="F12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D6839 - HC Type/Oxy</v>
      </c>
      <c r="H1225" s="10">
        <v>10.16</v>
      </c>
      <c r="I1225" s="12">
        <v>45649</v>
      </c>
      <c r="J1225" s="12" t="s">
        <v>182</v>
      </c>
      <c r="K1225" s="77">
        <v>45839</v>
      </c>
      <c r="L1225" s="10"/>
      <c r="M1225" s="427">
        <v>1224</v>
      </c>
      <c r="N1225" s="13" t="str">
        <f t="shared" ca="1" si="39"/>
        <v>CLOSED</v>
      </c>
    </row>
    <row r="1226" spans="1:14" x14ac:dyDescent="0.3">
      <c r="A1226" s="9" t="s">
        <v>209</v>
      </c>
      <c r="B1226" s="13">
        <f>VLOOKUP(Table27[[#This Row],[Location 
(drop-down)]],'List source'!D$2:E$61,2,FALSE)</f>
        <v>165</v>
      </c>
      <c r="C1226" s="223" t="s">
        <v>3162</v>
      </c>
      <c r="D1226" s="13" t="str">
        <f t="shared" si="38"/>
        <v>PTO1225-165-24</v>
      </c>
      <c r="E1226" s="9" t="s">
        <v>3163</v>
      </c>
      <c r="F1226" s="10" t="str" cm="1">
        <f t="array" aca="1" ref="F12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26" s="39" t="s">
        <v>705</v>
      </c>
      <c r="I1226" s="12">
        <v>45649</v>
      </c>
      <c r="J1226" s="12" t="s">
        <v>495</v>
      </c>
      <c r="K1226" s="77">
        <v>45649</v>
      </c>
      <c r="L1226" s="265" t="s">
        <v>673</v>
      </c>
      <c r="M1226" s="427">
        <v>1225</v>
      </c>
      <c r="N1226" s="13" t="str">
        <f t="shared" ca="1" si="39"/>
        <v>CLOSED</v>
      </c>
    </row>
    <row r="1227" spans="1:14" ht="28.8" x14ac:dyDescent="0.3">
      <c r="A1227" s="9" t="s">
        <v>318</v>
      </c>
      <c r="B1227" s="13">
        <f>VLOOKUP(Table27[[#This Row],[Location 
(drop-down)]],'List source'!D$2:E$61,2,FALSE)</f>
        <v>115</v>
      </c>
      <c r="C1227" s="223" t="s">
        <v>3164</v>
      </c>
      <c r="D1227" s="13" t="str">
        <f t="shared" si="38"/>
        <v>PTO1226-115-24</v>
      </c>
      <c r="E1227" s="9" t="s">
        <v>3106</v>
      </c>
      <c r="F1227" s="10" t="s">
        <v>918</v>
      </c>
      <c r="G12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27" s="10" t="s">
        <v>529</v>
      </c>
      <c r="I1227" s="12">
        <v>45652</v>
      </c>
      <c r="J1227" s="12" t="s">
        <v>495</v>
      </c>
      <c r="K1227" s="77">
        <v>45652</v>
      </c>
      <c r="L1227" s="10" t="s">
        <v>915</v>
      </c>
      <c r="M1227" s="427">
        <v>1226</v>
      </c>
      <c r="N1227" s="13" t="str">
        <f t="shared" ca="1" si="39"/>
        <v>CLOSED</v>
      </c>
    </row>
    <row r="1228" spans="1:14" x14ac:dyDescent="0.3">
      <c r="A1228" s="9" t="s">
        <v>153</v>
      </c>
      <c r="B1228" s="13">
        <f>VLOOKUP(Table27[[#This Row],[Location 
(drop-down)]],'List source'!D$2:E$61,2,FALSE)</f>
        <v>126</v>
      </c>
      <c r="C1228" s="223" t="s">
        <v>3165</v>
      </c>
      <c r="D1228" s="13" t="str">
        <f t="shared" si="38"/>
        <v>PTO1227-126-24</v>
      </c>
      <c r="E1228" s="9" t="s">
        <v>3166</v>
      </c>
      <c r="F1228" s="10" t="s">
        <v>918</v>
      </c>
      <c r="G122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28" s="39" t="s">
        <v>1605</v>
      </c>
      <c r="I1228" s="12">
        <v>45652</v>
      </c>
      <c r="J1228" s="12" t="s">
        <v>495</v>
      </c>
      <c r="K1228" s="77">
        <v>45664</v>
      </c>
      <c r="L1228" s="10" t="s">
        <v>510</v>
      </c>
      <c r="M1228" s="427">
        <v>1227</v>
      </c>
      <c r="N1228" s="13" t="str">
        <f t="shared" ca="1" si="39"/>
        <v>CLOSED</v>
      </c>
    </row>
    <row r="1229" spans="1:14" ht="28.8" x14ac:dyDescent="0.3">
      <c r="A1229" s="9" t="s">
        <v>21</v>
      </c>
      <c r="B1229" s="13">
        <f>VLOOKUP(Table27[[#This Row],[Location 
(drop-down)]],'List source'!D$2:E$61,2,FALSE)</f>
        <v>131</v>
      </c>
      <c r="C1229" s="223" t="s">
        <v>3167</v>
      </c>
      <c r="D1229" s="13" t="str">
        <f t="shared" si="38"/>
        <v>PTO1228-131-24</v>
      </c>
      <c r="E1229" s="9" t="s">
        <v>3168</v>
      </c>
      <c r="F1229" s="10" t="s">
        <v>918</v>
      </c>
      <c r="G122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D4629 - Nitrogen</v>
      </c>
      <c r="H1229" s="39" t="s">
        <v>745</v>
      </c>
      <c r="I1229" s="12">
        <v>45652</v>
      </c>
      <c r="J1229" s="12" t="s">
        <v>54</v>
      </c>
      <c r="K1229" s="77">
        <v>45694</v>
      </c>
      <c r="L1229" s="10"/>
      <c r="M1229" s="427">
        <v>1228</v>
      </c>
      <c r="N1229" s="13" t="str">
        <f t="shared" ca="1" si="39"/>
        <v>CLOSED</v>
      </c>
    </row>
    <row r="1230" spans="1:14" x14ac:dyDescent="0.3">
      <c r="A1230" s="9" t="s">
        <v>21</v>
      </c>
      <c r="B1230" s="13">
        <f>VLOOKUP(Table27[[#This Row],[Location 
(drop-down)]],'List source'!D$2:E$61,2,FALSE)</f>
        <v>131</v>
      </c>
      <c r="C1230" s="223" t="s">
        <v>3169</v>
      </c>
      <c r="D1230" s="13" t="str">
        <f t="shared" si="38"/>
        <v>PTO1229-131-24</v>
      </c>
      <c r="E1230" s="9" t="s">
        <v>3170</v>
      </c>
      <c r="F1230" s="10" t="s">
        <v>918</v>
      </c>
      <c r="G12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30" s="10">
        <v>3.16</v>
      </c>
      <c r="I1230" s="12">
        <v>45652</v>
      </c>
      <c r="J1230" s="12" t="s">
        <v>54</v>
      </c>
      <c r="K1230" s="77">
        <v>45692</v>
      </c>
      <c r="L1230" s="10"/>
      <c r="M1230" s="427">
        <v>1229</v>
      </c>
      <c r="N1230" s="13" t="str">
        <f t="shared" ca="1" si="39"/>
        <v>CLOSED</v>
      </c>
    </row>
    <row r="1231" spans="1:14" ht="18" x14ac:dyDescent="0.3">
      <c r="A1231" s="9" t="s">
        <v>35</v>
      </c>
      <c r="B1231" s="13">
        <f>VLOOKUP(Table27[[#This Row],[Location 
(drop-down)]],'List source'!D$2:E$61,2,FALSE)</f>
        <v>158</v>
      </c>
      <c r="C1231" s="223" t="s">
        <v>3171</v>
      </c>
      <c r="D1231" s="30" t="str">
        <f t="shared" si="38"/>
        <v>PTO1230-158-24</v>
      </c>
      <c r="E1231" s="9" t="s">
        <v>3172</v>
      </c>
      <c r="F1231" s="10" t="s">
        <v>918</v>
      </c>
      <c r="G123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 by WDXRF</v>
      </c>
      <c r="H1231" s="10">
        <v>2.5299999999999998</v>
      </c>
      <c r="I1231" s="12">
        <v>45652</v>
      </c>
      <c r="J1231" s="12" t="s">
        <v>134</v>
      </c>
      <c r="K1231" s="77">
        <v>45871</v>
      </c>
      <c r="L1231" s="10"/>
      <c r="M1231" s="427">
        <v>1230</v>
      </c>
      <c r="N1231" s="13" t="str">
        <f t="shared" ca="1" si="39"/>
        <v>CLOSED</v>
      </c>
    </row>
    <row r="1232" spans="1:14" ht="28.8" x14ac:dyDescent="0.3">
      <c r="A1232" s="9" t="s">
        <v>235</v>
      </c>
      <c r="B1232" s="13">
        <f>VLOOKUP(Table27[[#This Row],[Location 
(drop-down)]],'List source'!D$2:E$61,2,FALSE)</f>
        <v>160</v>
      </c>
      <c r="C1232" s="223" t="s">
        <v>3173</v>
      </c>
      <c r="D1232" s="13" t="str">
        <f t="shared" si="38"/>
        <v>PTO1231-160-24</v>
      </c>
      <c r="E1232" s="9" t="s">
        <v>3174</v>
      </c>
      <c r="F1232" s="10" t="s">
        <v>918</v>
      </c>
      <c r="G123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232" s="10">
        <v>3.01</v>
      </c>
      <c r="I1232" s="12">
        <v>45652</v>
      </c>
      <c r="J1232" s="12" t="s">
        <v>182</v>
      </c>
      <c r="K1232" s="77">
        <v>45761</v>
      </c>
      <c r="L1232" s="10"/>
      <c r="M1232" s="427">
        <v>1231</v>
      </c>
      <c r="N1232" s="13" t="str">
        <f t="shared" ca="1" si="39"/>
        <v>CLOSED</v>
      </c>
    </row>
    <row r="1233" spans="1:14" ht="28.8" x14ac:dyDescent="0.3">
      <c r="A1233" s="235" t="s">
        <v>235</v>
      </c>
      <c r="B1233" s="236">
        <f>VLOOKUP(Table27[[#This Row],[Location 
(drop-down)]],'List source'!D$2:E$61,2,FALSE)</f>
        <v>160</v>
      </c>
      <c r="C1233" s="330" t="s">
        <v>3175</v>
      </c>
      <c r="D1233" s="236" t="str">
        <f t="shared" si="38"/>
        <v>PTO1232-160-24</v>
      </c>
      <c r="E1233" s="235" t="s">
        <v>3176</v>
      </c>
      <c r="F1233" s="263" t="s">
        <v>918</v>
      </c>
      <c r="G123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D6468 - Stability</v>
      </c>
      <c r="H1233" s="266" t="s">
        <v>3177</v>
      </c>
      <c r="I1233" s="264">
        <v>45652</v>
      </c>
      <c r="J1233" s="264" t="s">
        <v>182</v>
      </c>
      <c r="K1233" s="250">
        <v>45748</v>
      </c>
      <c r="L1233" s="263"/>
      <c r="M1233" s="427">
        <v>1232</v>
      </c>
      <c r="N1233" s="13" t="str">
        <f t="shared" ca="1" si="39"/>
        <v>CLOSED</v>
      </c>
    </row>
    <row r="1234" spans="1:14" x14ac:dyDescent="0.3">
      <c r="A1234" s="235" t="s">
        <v>235</v>
      </c>
      <c r="B1234" s="236">
        <f>VLOOKUP(Table27[[#This Row],[Location 
(drop-down)]],'List source'!D$2:E$61,2,FALSE)</f>
        <v>160</v>
      </c>
      <c r="C1234" s="330" t="s">
        <v>3178</v>
      </c>
      <c r="D1234" s="236" t="str">
        <f t="shared" si="38"/>
        <v>PTO1233-160-24</v>
      </c>
      <c r="E1234" s="235" t="s">
        <v>3179</v>
      </c>
      <c r="F1234" s="263" t="s">
        <v>918</v>
      </c>
      <c r="G1234"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234" s="263">
        <v>3.19</v>
      </c>
      <c r="I1234" s="264">
        <v>45652</v>
      </c>
      <c r="J1234" s="264" t="s">
        <v>182</v>
      </c>
      <c r="K1234" s="250">
        <v>45772</v>
      </c>
      <c r="L1234" s="10"/>
      <c r="M1234" s="427">
        <v>1233</v>
      </c>
      <c r="N1234" s="13" t="str">
        <f t="shared" ca="1" si="39"/>
        <v>CLOSED</v>
      </c>
    </row>
    <row r="1235" spans="1:14" x14ac:dyDescent="0.3">
      <c r="A1235" s="189" t="s">
        <v>57</v>
      </c>
      <c r="B1235" s="217">
        <f>VLOOKUP(Table27[[#This Row],[Location 
(drop-down)]],'List source'!D$2:E$61,2,FALSE)</f>
        <v>170</v>
      </c>
      <c r="C1235" s="255" t="s">
        <v>3180</v>
      </c>
      <c r="D1235" s="217" t="str">
        <f t="shared" si="38"/>
        <v>PTO1234-170-24</v>
      </c>
      <c r="E1235" s="9" t="s">
        <v>3181</v>
      </c>
      <c r="F1235" s="10" t="s">
        <v>918</v>
      </c>
      <c r="G12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D524 - Carbon Residue</v>
      </c>
      <c r="H1235" s="39" t="s">
        <v>1550</v>
      </c>
      <c r="I1235" s="12">
        <v>45652</v>
      </c>
      <c r="J1235" s="234" t="s">
        <v>60</v>
      </c>
      <c r="K1235" s="220">
        <v>45758</v>
      </c>
      <c r="L1235" s="10"/>
      <c r="M1235" s="427">
        <v>1234</v>
      </c>
      <c r="N1235" s="13" t="str">
        <f t="shared" ca="1" si="39"/>
        <v>CLOSED</v>
      </c>
    </row>
    <row r="1236" spans="1:14" ht="28.8" x14ac:dyDescent="0.3">
      <c r="A1236" s="189" t="s">
        <v>57</v>
      </c>
      <c r="B1236" s="217">
        <f>VLOOKUP(Table27[[#This Row],[Location 
(drop-down)]],'List source'!D$2:E$61,2,FALSE)</f>
        <v>170</v>
      </c>
      <c r="C1236" s="255" t="s">
        <v>3182</v>
      </c>
      <c r="D1236" s="217" t="str">
        <f t="shared" si="38"/>
        <v>PTO1235-170-24</v>
      </c>
      <c r="E1236" s="9" t="s">
        <v>3183</v>
      </c>
      <c r="F1236" s="10" t="s">
        <v>918</v>
      </c>
      <c r="G12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36" s="10" t="s">
        <v>3184</v>
      </c>
      <c r="I1236" s="12">
        <v>45652</v>
      </c>
      <c r="J1236" s="234" t="s">
        <v>60</v>
      </c>
      <c r="K1236" s="220">
        <v>45754</v>
      </c>
      <c r="L1236" s="10"/>
      <c r="M1236" s="427">
        <v>1235</v>
      </c>
      <c r="N1236" s="13" t="str">
        <f t="shared" ca="1" si="39"/>
        <v>CLOSED</v>
      </c>
    </row>
    <row r="1237" spans="1:14" ht="28.8" x14ac:dyDescent="0.3">
      <c r="A1237" s="189" t="s">
        <v>57</v>
      </c>
      <c r="B1237" s="217">
        <f>VLOOKUP(Table27[[#This Row],[Location 
(drop-down)]],'List source'!D$2:E$61,2,FALSE)</f>
        <v>170</v>
      </c>
      <c r="C1237" s="255" t="s">
        <v>3185</v>
      </c>
      <c r="D1237" s="217" t="str">
        <f t="shared" si="38"/>
        <v>PTO1236-170-24</v>
      </c>
      <c r="E1237" s="9" t="s">
        <v>3186</v>
      </c>
      <c r="F1237" s="10" t="s">
        <v>918</v>
      </c>
      <c r="G12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D6591 - HC Type</v>
      </c>
      <c r="H1237" s="10" t="s">
        <v>3187</v>
      </c>
      <c r="I1237" s="12">
        <v>45652</v>
      </c>
      <c r="J1237" s="234" t="s">
        <v>60</v>
      </c>
      <c r="K1237" s="220">
        <v>46052</v>
      </c>
      <c r="L1237" s="10"/>
      <c r="M1237" s="427">
        <v>1236</v>
      </c>
      <c r="N1237" s="13" t="str">
        <f t="shared" ca="1" si="39"/>
        <v>CLOSED</v>
      </c>
    </row>
    <row r="1238" spans="1:14" x14ac:dyDescent="0.3">
      <c r="A1238" s="189" t="s">
        <v>57</v>
      </c>
      <c r="B1238" s="217">
        <f>VLOOKUP(Table27[[#This Row],[Location 
(drop-down)]],'List source'!D$2:E$61,2,FALSE)</f>
        <v>170</v>
      </c>
      <c r="C1238" s="255" t="s">
        <v>3188</v>
      </c>
      <c r="D1238" s="217" t="str">
        <f t="shared" si="38"/>
        <v>PTO1237-170-24</v>
      </c>
      <c r="E1238" s="9" t="s">
        <v>3189</v>
      </c>
      <c r="F1238" s="10" t="s">
        <v>918</v>
      </c>
      <c r="G12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238" s="39" t="s">
        <v>2709</v>
      </c>
      <c r="I1238" s="12">
        <v>45652</v>
      </c>
      <c r="J1238" s="234" t="s">
        <v>60</v>
      </c>
      <c r="K1238" s="220">
        <v>45758</v>
      </c>
      <c r="L1238" s="10"/>
      <c r="M1238" s="427">
        <v>1237</v>
      </c>
      <c r="N1238" s="13" t="str">
        <f t="shared" ca="1" si="39"/>
        <v>CLOSED</v>
      </c>
    </row>
    <row r="1239" spans="1:14" ht="28.8" x14ac:dyDescent="0.3">
      <c r="A1239" s="189" t="s">
        <v>57</v>
      </c>
      <c r="B1239" s="217">
        <f>VLOOKUP(Table27[[#This Row],[Location 
(drop-down)]],'List source'!D$2:E$61,2,FALSE)</f>
        <v>170</v>
      </c>
      <c r="C1239" s="255" t="s">
        <v>3190</v>
      </c>
      <c r="D1239" s="217" t="str">
        <f t="shared" si="38"/>
        <v>PTO1238-170-24</v>
      </c>
      <c r="E1239" s="9" t="s">
        <v>3191</v>
      </c>
      <c r="F1239" s="10" t="s">
        <v>918</v>
      </c>
      <c r="G12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1239" s="39" t="s">
        <v>717</v>
      </c>
      <c r="I1239" s="12">
        <v>45652</v>
      </c>
      <c r="J1239" s="234" t="s">
        <v>60</v>
      </c>
      <c r="K1239" s="220">
        <v>45758</v>
      </c>
      <c r="L1239" s="10"/>
      <c r="M1239" s="427">
        <v>1238</v>
      </c>
      <c r="N1239" s="13" t="str">
        <f t="shared" ca="1" si="39"/>
        <v>CLOSED</v>
      </c>
    </row>
    <row r="1240" spans="1:14" ht="28.8" x14ac:dyDescent="0.3">
      <c r="A1240" s="189" t="s">
        <v>388</v>
      </c>
      <c r="B1240" s="217">
        <f>VLOOKUP(Table27[[#This Row],[Location 
(drop-down)]],'List source'!D$2:E$61,2,FALSE)</f>
        <v>191</v>
      </c>
      <c r="C1240" s="255" t="s">
        <v>3192</v>
      </c>
      <c r="D1240" s="217" t="str">
        <f t="shared" si="38"/>
        <v>PTO1239-191-24</v>
      </c>
      <c r="E1240" s="9" t="s">
        <v>3193</v>
      </c>
      <c r="F1240" s="10" t="str" cm="1">
        <f t="array" aca="1" ref="F12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40" s="39" t="s">
        <v>3194</v>
      </c>
      <c r="I1240" s="12">
        <v>45653</v>
      </c>
      <c r="J1240" s="234" t="s">
        <v>60</v>
      </c>
      <c r="K1240" s="220">
        <v>45757</v>
      </c>
      <c r="L1240" s="10"/>
      <c r="M1240" s="427">
        <v>1239</v>
      </c>
      <c r="N1240" s="13" t="str">
        <f t="shared" ca="1" si="39"/>
        <v>CLOSED</v>
      </c>
    </row>
    <row r="1241" spans="1:14" x14ac:dyDescent="0.3">
      <c r="A1241" s="9" t="s">
        <v>388</v>
      </c>
      <c r="B1241" s="13">
        <f>VLOOKUP(Table27[[#This Row],[Location 
(drop-down)]],'List source'!D$2:E$61,2,FALSE)</f>
        <v>191</v>
      </c>
      <c r="C1241" s="223" t="s">
        <v>3195</v>
      </c>
      <c r="D1241" s="13" t="str">
        <f t="shared" si="38"/>
        <v>PTO1240-191-24</v>
      </c>
      <c r="E1241" s="9" t="s">
        <v>3196</v>
      </c>
      <c r="F1241" s="10" t="str" cm="1">
        <f t="array" aca="1" ref="F12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41" s="10" t="s">
        <v>3197</v>
      </c>
      <c r="I1241" s="12">
        <v>45653</v>
      </c>
      <c r="J1241" s="12" t="s">
        <v>495</v>
      </c>
      <c r="K1241" s="77">
        <v>45653</v>
      </c>
      <c r="L1241" s="265" t="s">
        <v>673</v>
      </c>
      <c r="M1241" s="427">
        <v>1240</v>
      </c>
      <c r="N1241" s="13" t="str">
        <f t="shared" ca="1" si="39"/>
        <v>CLOSED</v>
      </c>
    </row>
    <row r="1242" spans="1:14" x14ac:dyDescent="0.3">
      <c r="A1242" s="9" t="s">
        <v>138</v>
      </c>
      <c r="B1242" s="13">
        <f>VLOOKUP(Table27[[#This Row],[Location 
(drop-down)]],'List source'!D$2:E$61,2,FALSE)</f>
        <v>110</v>
      </c>
      <c r="C1242" s="223" t="s">
        <v>3198</v>
      </c>
      <c r="D1242" s="13" t="str">
        <f t="shared" si="38"/>
        <v>PTO1241-110-24</v>
      </c>
      <c r="E1242" s="9" t="s">
        <v>3199</v>
      </c>
      <c r="F1242" s="10" t="s">
        <v>898</v>
      </c>
      <c r="G12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GC/MS</v>
      </c>
      <c r="H1242" s="39" t="s">
        <v>1230</v>
      </c>
      <c r="I1242" s="12">
        <v>45653</v>
      </c>
      <c r="J1242" s="12" t="s">
        <v>495</v>
      </c>
      <c r="K1242" s="77">
        <v>45653</v>
      </c>
      <c r="L1242" s="265" t="s">
        <v>673</v>
      </c>
      <c r="M1242" s="427">
        <v>1241</v>
      </c>
      <c r="N1242" s="13" t="str">
        <f t="shared" ca="1" si="39"/>
        <v>CLOSED</v>
      </c>
    </row>
    <row r="1243" spans="1:14" ht="28.8" x14ac:dyDescent="0.3">
      <c r="A1243" s="189" t="s">
        <v>318</v>
      </c>
      <c r="B1243" s="217">
        <f>VLOOKUP(Table27[[#This Row],[Location 
(drop-down)]],'List source'!D$2:E$61,2,FALSE)</f>
        <v>115</v>
      </c>
      <c r="C1243" s="255" t="s">
        <v>3200</v>
      </c>
      <c r="D1243" s="217" t="str">
        <f t="shared" si="38"/>
        <v>PTO1242-115-24</v>
      </c>
      <c r="E1243" s="9" t="s">
        <v>3201</v>
      </c>
      <c r="F1243" s="10" t="s">
        <v>898</v>
      </c>
      <c r="G12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243" s="39" t="s">
        <v>3202</v>
      </c>
      <c r="I1243" s="12">
        <v>45653</v>
      </c>
      <c r="J1243" s="234" t="s">
        <v>60</v>
      </c>
      <c r="K1243" s="220">
        <v>45749</v>
      </c>
      <c r="L1243" s="10"/>
      <c r="M1243" s="427">
        <v>1242</v>
      </c>
      <c r="N1243" s="13" t="str">
        <f t="shared" ca="1" si="39"/>
        <v>CLOSED</v>
      </c>
    </row>
    <row r="1244" spans="1:14" x14ac:dyDescent="0.3">
      <c r="A1244" s="189" t="s">
        <v>318</v>
      </c>
      <c r="B1244" s="217">
        <f>VLOOKUP(Table27[[#This Row],[Location 
(drop-down)]],'List source'!D$2:E$61,2,FALSE)</f>
        <v>115</v>
      </c>
      <c r="C1244" s="255" t="s">
        <v>3203</v>
      </c>
      <c r="D1244" s="217" t="str">
        <f t="shared" si="38"/>
        <v>PTO1243-115-24</v>
      </c>
      <c r="E1244" s="9" t="s">
        <v>3204</v>
      </c>
      <c r="F1244" s="10" t="s">
        <v>898</v>
      </c>
      <c r="G12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44" s="10">
        <v>3.13</v>
      </c>
      <c r="I1244" s="12">
        <v>45653</v>
      </c>
      <c r="J1244" s="234" t="s">
        <v>60</v>
      </c>
      <c r="K1244" s="220">
        <v>45715</v>
      </c>
      <c r="L1244" s="10"/>
      <c r="M1244" s="427">
        <v>1243</v>
      </c>
      <c r="N1244" s="13" t="str">
        <f t="shared" ca="1" si="39"/>
        <v>CLOSED</v>
      </c>
    </row>
    <row r="1245" spans="1:14" x14ac:dyDescent="0.3">
      <c r="A1245" s="189" t="s">
        <v>70</v>
      </c>
      <c r="B1245" s="217">
        <f>VLOOKUP(Table27[[#This Row],[Location 
(drop-down)]],'List source'!D$2:E$61,2,FALSE)</f>
        <v>146</v>
      </c>
      <c r="C1245" s="255" t="s">
        <v>3205</v>
      </c>
      <c r="D1245" s="217" t="str">
        <f t="shared" si="38"/>
        <v>PTO1244-146-24</v>
      </c>
      <c r="E1245" s="9" t="s">
        <v>3206</v>
      </c>
      <c r="F1245" s="10" t="s">
        <v>898</v>
      </c>
      <c r="G12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45" s="39" t="s">
        <v>2802</v>
      </c>
      <c r="I1245" s="12">
        <v>45653</v>
      </c>
      <c r="J1245" s="234" t="s">
        <v>60</v>
      </c>
      <c r="K1245" s="220">
        <v>45686</v>
      </c>
      <c r="L1245" s="10"/>
      <c r="M1245" s="427">
        <v>1244</v>
      </c>
      <c r="N1245" s="13" t="str">
        <f t="shared" ca="1" si="39"/>
        <v>CLOSED</v>
      </c>
    </row>
    <row r="1246" spans="1:14" ht="28.8" x14ac:dyDescent="0.3">
      <c r="A1246" s="189" t="s">
        <v>57</v>
      </c>
      <c r="B1246" s="217">
        <f>VLOOKUP(Table27[[#This Row],[Location 
(drop-down)]],'List source'!D$2:E$61,2,FALSE)</f>
        <v>170</v>
      </c>
      <c r="C1246" s="255" t="s">
        <v>3207</v>
      </c>
      <c r="D1246" s="217" t="str">
        <f t="shared" si="38"/>
        <v>PTO1245-170-24</v>
      </c>
      <c r="E1246" s="9" t="s">
        <v>3208</v>
      </c>
      <c r="F1246" s="10" t="s">
        <v>898</v>
      </c>
      <c r="G12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46" s="39" t="s">
        <v>3209</v>
      </c>
      <c r="I1246" s="12">
        <v>45653</v>
      </c>
      <c r="J1246" s="234" t="s">
        <v>60</v>
      </c>
      <c r="K1246" s="220">
        <v>45715</v>
      </c>
      <c r="L1246" s="10"/>
      <c r="M1246" s="427">
        <v>1245</v>
      </c>
      <c r="N1246" s="13" t="str">
        <f t="shared" ca="1" si="39"/>
        <v>CLOSED</v>
      </c>
    </row>
    <row r="1247" spans="1:14" x14ac:dyDescent="0.3">
      <c r="A1247" s="189" t="s">
        <v>388</v>
      </c>
      <c r="B1247" s="217">
        <f>VLOOKUP(Table27[[#This Row],[Location 
(drop-down)]],'List source'!D$2:E$61,2,FALSE)</f>
        <v>191</v>
      </c>
      <c r="C1247" s="255" t="s">
        <v>3210</v>
      </c>
      <c r="D1247" s="217" t="str">
        <f t="shared" si="38"/>
        <v>PTO1246-191-24</v>
      </c>
      <c r="E1247" s="9" t="s">
        <v>3211</v>
      </c>
      <c r="F1247" s="10" t="s">
        <v>898</v>
      </c>
      <c r="G12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47" s="39" t="s">
        <v>3212</v>
      </c>
      <c r="I1247" s="12">
        <v>45653</v>
      </c>
      <c r="J1247" s="234" t="s">
        <v>60</v>
      </c>
      <c r="K1247" s="220">
        <v>45757</v>
      </c>
      <c r="L1247" s="10"/>
      <c r="M1247" s="427">
        <v>1246</v>
      </c>
      <c r="N1247" s="13" t="str">
        <f t="shared" ca="1" si="39"/>
        <v>CLOSED</v>
      </c>
    </row>
    <row r="1248" spans="1:14" x14ac:dyDescent="0.3">
      <c r="A1248" s="9" t="s">
        <v>388</v>
      </c>
      <c r="B1248" s="13">
        <f>VLOOKUP(Table27[[#This Row],[Location 
(drop-down)]],'List source'!D$2:E$61,2,FALSE)</f>
        <v>191</v>
      </c>
      <c r="C1248" s="223" t="s">
        <v>3213</v>
      </c>
      <c r="D1248" s="13" t="str">
        <f t="shared" si="38"/>
        <v>PTO1247-191-24</v>
      </c>
      <c r="E1248" s="9" t="s">
        <v>3199</v>
      </c>
      <c r="F1248" s="10" t="s">
        <v>898</v>
      </c>
      <c r="G12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GC/MS</v>
      </c>
      <c r="H1248" s="10">
        <v>2.02</v>
      </c>
      <c r="I1248" s="12">
        <v>45653</v>
      </c>
      <c r="J1248" s="12" t="s">
        <v>495</v>
      </c>
      <c r="K1248" s="77">
        <v>45653</v>
      </c>
      <c r="L1248" s="265" t="s">
        <v>673</v>
      </c>
      <c r="M1248" s="427">
        <v>1247</v>
      </c>
      <c r="N1248" s="13" t="str">
        <f t="shared" ca="1" si="39"/>
        <v>CLOSED</v>
      </c>
    </row>
    <row r="1249" spans="1:14" ht="29.1" customHeight="1" x14ac:dyDescent="0.3">
      <c r="A1249" s="9" t="s">
        <v>21</v>
      </c>
      <c r="B1249" s="13">
        <f>VLOOKUP(Table27[[#This Row],[Location 
(drop-down)]],'List source'!D$2:E$61,2,FALSE)</f>
        <v>131</v>
      </c>
      <c r="C1249" s="223" t="s">
        <v>3214</v>
      </c>
      <c r="D1249" s="13" t="str">
        <f t="shared" si="38"/>
        <v>PTO1248-131-24</v>
      </c>
      <c r="E1249" s="9" t="s">
        <v>3215</v>
      </c>
      <c r="F1249" s="10" t="str" cm="1">
        <f t="array" aca="1" ref="F12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1249" s="39" t="s">
        <v>2648</v>
      </c>
      <c r="I1249" s="12">
        <v>45653</v>
      </c>
      <c r="J1249" s="12" t="s">
        <v>54</v>
      </c>
      <c r="K1249" s="77">
        <v>45792</v>
      </c>
      <c r="L1249" s="10"/>
      <c r="M1249" s="427">
        <v>1248</v>
      </c>
      <c r="N1249" s="13" t="str">
        <f t="shared" ca="1" si="39"/>
        <v>CLOSED</v>
      </c>
    </row>
    <row r="1250" spans="1:14" ht="18.600000000000001" customHeight="1" x14ac:dyDescent="0.3">
      <c r="A1250" s="9" t="s">
        <v>264</v>
      </c>
      <c r="B1250" s="13">
        <f>VLOOKUP(Table27[[#This Row],[Location 
(drop-down)]],'List source'!D$2:E$61,2,FALSE)</f>
        <v>132</v>
      </c>
      <c r="C1250" s="223" t="s">
        <v>3216</v>
      </c>
      <c r="D1250" s="13" t="str">
        <f t="shared" si="38"/>
        <v>PTO1249-132-24</v>
      </c>
      <c r="E1250" s="9" t="s">
        <v>3217</v>
      </c>
      <c r="F1250" s="10" t="str" cm="1">
        <f t="array" aca="1" ref="F12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D4928 - Water</v>
      </c>
      <c r="H1250" s="39" t="s">
        <v>2999</v>
      </c>
      <c r="I1250" s="12">
        <v>45653</v>
      </c>
      <c r="J1250" s="12" t="s">
        <v>54</v>
      </c>
      <c r="K1250" s="77">
        <v>45782</v>
      </c>
      <c r="L1250" s="10"/>
      <c r="M1250" s="427">
        <v>1249</v>
      </c>
      <c r="N1250" s="13" t="str">
        <f t="shared" ca="1" si="39"/>
        <v>CLOSED</v>
      </c>
    </row>
    <row r="1251" spans="1:14" ht="28.8" x14ac:dyDescent="0.3">
      <c r="A1251" s="235" t="s">
        <v>175</v>
      </c>
      <c r="B1251" s="236">
        <f>VLOOKUP(Table27[[#This Row],[Location 
(drop-down)]],'List source'!D$2:E$61,2,FALSE)</f>
        <v>159</v>
      </c>
      <c r="C1251" s="330" t="s">
        <v>3218</v>
      </c>
      <c r="D1251" s="236" t="str">
        <f t="shared" si="38"/>
        <v>PTO1250-159-24</v>
      </c>
      <c r="E1251" s="235" t="s">
        <v>3219</v>
      </c>
      <c r="F1251" s="263" t="str" cm="1">
        <f t="array" aca="1" ref="F12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1"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251" s="266" t="s">
        <v>3220</v>
      </c>
      <c r="I1251" s="264">
        <v>45653</v>
      </c>
      <c r="J1251" s="264" t="s">
        <v>438</v>
      </c>
      <c r="K1251" s="250">
        <v>45672</v>
      </c>
      <c r="L1251" s="10"/>
      <c r="M1251" s="427">
        <v>1250</v>
      </c>
      <c r="N1251" s="13" t="str">
        <f t="shared" ca="1" si="39"/>
        <v>CLOSED</v>
      </c>
    </row>
    <row r="1252" spans="1:14" x14ac:dyDescent="0.3">
      <c r="A1252" s="9" t="s">
        <v>57</v>
      </c>
      <c r="B1252" s="13">
        <f>VLOOKUP(Table27[[#This Row],[Location 
(drop-down)]],'List source'!D$2:E$61,2,FALSE)</f>
        <v>170</v>
      </c>
      <c r="C1252" s="223" t="s">
        <v>3221</v>
      </c>
      <c r="D1252" s="13" t="str">
        <f t="shared" si="38"/>
        <v>PTO1251-170-24</v>
      </c>
      <c r="E1252" s="9" t="s">
        <v>3222</v>
      </c>
      <c r="F1252" s="10" t="str" cm="1">
        <f t="array" aca="1" ref="F12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252" s="39" t="s">
        <v>683</v>
      </c>
      <c r="I1252" s="12">
        <v>45653</v>
      </c>
      <c r="J1252" s="12" t="s">
        <v>495</v>
      </c>
      <c r="K1252" s="77">
        <v>45653</v>
      </c>
      <c r="L1252" s="265" t="s">
        <v>673</v>
      </c>
      <c r="M1252" s="427">
        <v>1251</v>
      </c>
      <c r="N1252" s="13" t="str">
        <f t="shared" ca="1" si="39"/>
        <v>CLOSED</v>
      </c>
    </row>
    <row r="1253" spans="1:14" x14ac:dyDescent="0.3">
      <c r="A1253" s="9" t="s">
        <v>57</v>
      </c>
      <c r="B1253" s="13">
        <f>VLOOKUP(Table27[[#This Row],[Location 
(drop-down)]],'List source'!D$2:E$61,2,FALSE)</f>
        <v>170</v>
      </c>
      <c r="C1253" s="223" t="s">
        <v>3223</v>
      </c>
      <c r="D1253" s="13" t="str">
        <f t="shared" si="38"/>
        <v>PTO1252-170-24</v>
      </c>
      <c r="E1253" s="9" t="s">
        <v>3224</v>
      </c>
      <c r="F1253" s="10" t="str" cm="1">
        <f t="array" aca="1" ref="F12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1253" s="10">
        <v>619.45000000000005</v>
      </c>
      <c r="I1253" s="12">
        <v>45653</v>
      </c>
      <c r="J1253" s="234" t="s">
        <v>495</v>
      </c>
      <c r="K1253" s="220">
        <v>45653</v>
      </c>
      <c r="L1253" s="10" t="s">
        <v>3225</v>
      </c>
      <c r="M1253" s="427">
        <v>1252</v>
      </c>
      <c r="N1253" s="13" t="str">
        <f t="shared" ca="1" si="39"/>
        <v>CLOSED</v>
      </c>
    </row>
    <row r="1254" spans="1:14" x14ac:dyDescent="0.3">
      <c r="A1254" s="9" t="s">
        <v>57</v>
      </c>
      <c r="B1254" s="13">
        <f>VLOOKUP(Table27[[#This Row],[Location 
(drop-down)]],'List source'!D$2:E$61,2,FALSE)</f>
        <v>170</v>
      </c>
      <c r="C1254" s="223" t="s">
        <v>3226</v>
      </c>
      <c r="D1254" s="13" t="str">
        <f t="shared" si="38"/>
        <v>PTO1253-170-24</v>
      </c>
      <c r="E1254" s="9" t="s">
        <v>3227</v>
      </c>
      <c r="F1254" s="10" t="str" cm="1">
        <f t="array" aca="1" ref="F12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D5863 - Element</v>
      </c>
      <c r="H1254" s="10">
        <v>2.2599999999999998</v>
      </c>
      <c r="I1254" s="12">
        <v>45653</v>
      </c>
      <c r="J1254" s="12" t="s">
        <v>495</v>
      </c>
      <c r="K1254" s="77">
        <v>45653</v>
      </c>
      <c r="L1254" s="265" t="s">
        <v>673</v>
      </c>
      <c r="M1254" s="427">
        <v>1253</v>
      </c>
      <c r="N1254" s="13" t="str">
        <f t="shared" ca="1" si="39"/>
        <v>CLOSED</v>
      </c>
    </row>
    <row r="1255" spans="1:14" ht="28.8" x14ac:dyDescent="0.3">
      <c r="A1255" s="189" t="s">
        <v>57</v>
      </c>
      <c r="B1255" s="217">
        <f>VLOOKUP(Table27[[#This Row],[Location 
(drop-down)]],'List source'!D$2:E$61,2,FALSE)</f>
        <v>170</v>
      </c>
      <c r="C1255" s="255" t="s">
        <v>3228</v>
      </c>
      <c r="D1255" s="217" t="str">
        <f t="shared" si="38"/>
        <v>PTO1254-170-24</v>
      </c>
      <c r="E1255" s="9" t="s">
        <v>3229</v>
      </c>
      <c r="F1255" s="10" t="str" cm="1">
        <f t="array" aca="1" ref="F12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1255" s="39" t="s">
        <v>3230</v>
      </c>
      <c r="I1255" s="12">
        <v>45653</v>
      </c>
      <c r="J1255" s="234" t="s">
        <v>60</v>
      </c>
      <c r="K1255" s="220">
        <v>45757</v>
      </c>
      <c r="L1255" s="10"/>
      <c r="M1255" s="427">
        <v>1254</v>
      </c>
      <c r="N1255" s="13" t="str">
        <f t="shared" ca="1" si="39"/>
        <v>CLOSED</v>
      </c>
    </row>
    <row r="1256" spans="1:14" x14ac:dyDescent="0.3">
      <c r="A1256" s="189" t="s">
        <v>57</v>
      </c>
      <c r="B1256" s="217">
        <f>VLOOKUP(Table27[[#This Row],[Location 
(drop-down)]],'List source'!D$2:E$61,2,FALSE)</f>
        <v>170</v>
      </c>
      <c r="C1256" s="255" t="s">
        <v>3231</v>
      </c>
      <c r="D1256" s="217" t="str">
        <f t="shared" si="38"/>
        <v>PTO1255-170-24</v>
      </c>
      <c r="E1256" s="9" t="s">
        <v>3232</v>
      </c>
      <c r="F1256" s="10" t="str" cm="1">
        <f t="array" aca="1" ref="F12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1256" s="10">
        <v>8.08</v>
      </c>
      <c r="I1256" s="12">
        <v>45653</v>
      </c>
      <c r="J1256" s="234" t="s">
        <v>60</v>
      </c>
      <c r="K1256" s="220">
        <v>45762</v>
      </c>
      <c r="L1256" s="10"/>
      <c r="M1256" s="427">
        <v>1255</v>
      </c>
      <c r="N1256" s="13" t="str">
        <f t="shared" ca="1" si="39"/>
        <v>CLOSED</v>
      </c>
    </row>
    <row r="1257" spans="1:14" ht="43.2" x14ac:dyDescent="0.3">
      <c r="A1257" s="189" t="s">
        <v>57</v>
      </c>
      <c r="B1257" s="217">
        <f>VLOOKUP(Table27[[#This Row],[Location 
(drop-down)]],'List source'!D$2:E$61,2,FALSE)</f>
        <v>170</v>
      </c>
      <c r="C1257" s="255" t="s">
        <v>3233</v>
      </c>
      <c r="D1257" s="217" t="str">
        <f t="shared" si="38"/>
        <v>PTO1256-170-24</v>
      </c>
      <c r="E1257" s="9" t="s">
        <v>3234</v>
      </c>
      <c r="F1257" s="10" t="str" cm="1">
        <f t="array" aca="1" ref="F12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D4929 - Organic Chloride</v>
      </c>
      <c r="H1257" s="10" t="s">
        <v>3235</v>
      </c>
      <c r="I1257" s="12">
        <v>45653</v>
      </c>
      <c r="J1257" s="234" t="s">
        <v>60</v>
      </c>
      <c r="K1257" s="220">
        <v>45758</v>
      </c>
      <c r="L1257" s="10"/>
      <c r="M1257" s="427">
        <v>1256</v>
      </c>
      <c r="N1257" s="13" t="str">
        <f t="shared" ca="1" si="39"/>
        <v>CLOSED</v>
      </c>
    </row>
    <row r="1258" spans="1:14" ht="28.8" x14ac:dyDescent="0.3">
      <c r="A1258" s="189" t="s">
        <v>57</v>
      </c>
      <c r="B1258" s="217">
        <f>VLOOKUP(Table27[[#This Row],[Location 
(drop-down)]],'List source'!D$2:E$61,2,FALSE)</f>
        <v>170</v>
      </c>
      <c r="C1258" s="255" t="s">
        <v>3236</v>
      </c>
      <c r="D1258" s="217" t="str">
        <f t="shared" si="38"/>
        <v>PTO1257-170-24</v>
      </c>
      <c r="E1258" s="9" t="s">
        <v>3237</v>
      </c>
      <c r="F1258" s="10" t="str" cm="1">
        <f t="array" aca="1" ref="F12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1258" s="10">
        <v>6.41</v>
      </c>
      <c r="I1258" s="12">
        <v>45653</v>
      </c>
      <c r="J1258" s="234" t="s">
        <v>60</v>
      </c>
      <c r="K1258" s="220">
        <v>45749</v>
      </c>
      <c r="L1258" s="10"/>
      <c r="M1258" s="427">
        <v>1257</v>
      </c>
      <c r="N1258" s="13" t="str">
        <f t="shared" ca="1" si="39"/>
        <v>CLOSED</v>
      </c>
    </row>
    <row r="1259" spans="1:14" x14ac:dyDescent="0.3">
      <c r="A1259" s="9" t="s">
        <v>21</v>
      </c>
      <c r="B1259" s="13">
        <f>VLOOKUP(Table27[[#This Row],[Location 
(drop-down)]],'List source'!D$2:E$61,2,FALSE)</f>
        <v>131</v>
      </c>
      <c r="C1259" s="223" t="s">
        <v>3238</v>
      </c>
      <c r="D1259" s="13" t="str">
        <f t="shared" si="38"/>
        <v>PTO1258-131-24</v>
      </c>
      <c r="E1259" s="9" t="s">
        <v>3239</v>
      </c>
      <c r="F1259" s="10" t="str" cm="1">
        <f t="array" aca="1" ref="F12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2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Existent Sulfate</v>
      </c>
      <c r="H1259" s="10">
        <v>4.5999999999999996</v>
      </c>
      <c r="I1259" s="12">
        <v>45653</v>
      </c>
      <c r="J1259" s="12" t="s">
        <v>54</v>
      </c>
      <c r="K1259" s="77">
        <v>45792</v>
      </c>
      <c r="L1259" s="10"/>
      <c r="M1259" s="427">
        <v>1258</v>
      </c>
      <c r="N1259" s="13" t="str">
        <f t="shared" ca="1" si="39"/>
        <v>CLOSED</v>
      </c>
    </row>
    <row r="1260" spans="1:14" x14ac:dyDescent="0.3">
      <c r="A1260" s="9" t="s">
        <v>21</v>
      </c>
      <c r="B1260" s="13">
        <f>VLOOKUP(Table27[[#This Row],[Location 
(drop-down)]],'List source'!D$2:E$61,2,FALSE)</f>
        <v>131</v>
      </c>
      <c r="C1260" s="223" t="s">
        <v>3240</v>
      </c>
      <c r="D1260" s="13" t="str">
        <f t="shared" si="38"/>
        <v>PTO1259-131-24</v>
      </c>
      <c r="E1260" s="9" t="s">
        <v>3241</v>
      </c>
      <c r="F1260" s="10" t="str" cm="1">
        <f t="array" aca="1" ref="F12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2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260" s="39" t="s">
        <v>2999</v>
      </c>
      <c r="I1260" s="12">
        <v>45653</v>
      </c>
      <c r="J1260" s="12" t="s">
        <v>54</v>
      </c>
      <c r="K1260" s="77">
        <v>45792</v>
      </c>
      <c r="L1260" s="10"/>
      <c r="M1260" s="427">
        <v>1259</v>
      </c>
      <c r="N1260" s="13" t="str">
        <f t="shared" ca="1" si="39"/>
        <v>CLOSED</v>
      </c>
    </row>
    <row r="1261" spans="1:14" ht="28.8" x14ac:dyDescent="0.3">
      <c r="A1261" s="189" t="s">
        <v>318</v>
      </c>
      <c r="B1261" s="217">
        <f>VLOOKUP(Table27[[#This Row],[Location 
(drop-down)]],'List source'!D$2:E$61,2,FALSE)</f>
        <v>115</v>
      </c>
      <c r="C1261" s="255" t="s">
        <v>3242</v>
      </c>
      <c r="D1261" s="217" t="str">
        <f t="shared" si="38"/>
        <v>PTO1260-115-24</v>
      </c>
      <c r="E1261" s="9" t="s">
        <v>3243</v>
      </c>
      <c r="F1261" s="10" t="str" cm="1">
        <f t="array" aca="1" ref="F12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Total Aromatics</v>
      </c>
      <c r="H1261" s="39" t="s">
        <v>3244</v>
      </c>
      <c r="I1261" s="12">
        <v>45656</v>
      </c>
      <c r="J1261" s="234" t="s">
        <v>60</v>
      </c>
      <c r="K1261" s="220">
        <v>45785</v>
      </c>
      <c r="L1261" s="10"/>
      <c r="M1261" s="427">
        <v>1260</v>
      </c>
      <c r="N1261" s="13" t="str">
        <f t="shared" ca="1" si="39"/>
        <v>CLOSED</v>
      </c>
    </row>
    <row r="1262" spans="1:14" x14ac:dyDescent="0.3">
      <c r="A1262" s="189" t="s">
        <v>318</v>
      </c>
      <c r="B1262" s="217">
        <f>VLOOKUP(Table27[[#This Row],[Location 
(drop-down)]],'List source'!D$2:E$61,2,FALSE)</f>
        <v>115</v>
      </c>
      <c r="C1262" s="255" t="s">
        <v>3245</v>
      </c>
      <c r="D1262" s="217" t="str">
        <f t="shared" si="38"/>
        <v>PTO1261-115-24</v>
      </c>
      <c r="E1262" s="9" t="s">
        <v>3246</v>
      </c>
      <c r="F1262" s="10" t="str" cm="1">
        <f t="array" aca="1" ref="F12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262" s="39" t="s">
        <v>1209</v>
      </c>
      <c r="I1262" s="12">
        <v>45656</v>
      </c>
      <c r="J1262" s="234" t="s">
        <v>60</v>
      </c>
      <c r="K1262" s="220">
        <v>45750</v>
      </c>
      <c r="L1262" s="10"/>
      <c r="M1262" s="427">
        <v>1261</v>
      </c>
      <c r="N1262" s="13" t="str">
        <f t="shared" ca="1" si="39"/>
        <v>CLOSED</v>
      </c>
    </row>
    <row r="1263" spans="1:14" x14ac:dyDescent="0.3">
      <c r="A1263" s="9" t="s">
        <v>107</v>
      </c>
      <c r="B1263" s="13">
        <f>VLOOKUP(Table27[[#This Row],[Location 
(drop-down)]],'List source'!D$2:E$61,2,FALSE)</f>
        <v>120</v>
      </c>
      <c r="C1263" s="223" t="s">
        <v>3247</v>
      </c>
      <c r="D1263" s="13" t="str">
        <f t="shared" si="38"/>
        <v>PTO1262-120-24</v>
      </c>
      <c r="E1263" s="9" t="s">
        <v>3248</v>
      </c>
      <c r="F1263" s="10" t="str" cm="1">
        <f t="array" aca="1" ref="F12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63" s="10">
        <v>2.09</v>
      </c>
      <c r="I1263" s="12">
        <v>45656</v>
      </c>
      <c r="J1263" s="12" t="s">
        <v>495</v>
      </c>
      <c r="K1263" s="77">
        <v>45656</v>
      </c>
      <c r="L1263" s="265" t="s">
        <v>673</v>
      </c>
      <c r="M1263" s="427">
        <v>1262</v>
      </c>
      <c r="N1263" s="13" t="str">
        <f t="shared" ca="1" si="39"/>
        <v>CLOSED</v>
      </c>
    </row>
    <row r="1264" spans="1:14" x14ac:dyDescent="0.3">
      <c r="A1264" s="9" t="s">
        <v>107</v>
      </c>
      <c r="B1264" s="13">
        <f>VLOOKUP(Table27[[#This Row],[Location 
(drop-down)]],'List source'!D$2:E$61,2,FALSE)</f>
        <v>120</v>
      </c>
      <c r="C1264" s="223" t="s">
        <v>3249</v>
      </c>
      <c r="D1264" s="13" t="str">
        <f t="shared" si="38"/>
        <v>PTO1263-120-24</v>
      </c>
      <c r="E1264" s="9" t="s">
        <v>3250</v>
      </c>
      <c r="F1264" s="10" t="str" cm="1">
        <f t="array" aca="1" ref="F12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Toluene</v>
      </c>
      <c r="H1264" s="10">
        <v>2.3199999999999998</v>
      </c>
      <c r="I1264" s="12">
        <v>45656</v>
      </c>
      <c r="J1264" s="12" t="s">
        <v>495</v>
      </c>
      <c r="K1264" s="77">
        <v>45656</v>
      </c>
      <c r="L1264" s="265" t="s">
        <v>673</v>
      </c>
      <c r="M1264" s="427">
        <v>1263</v>
      </c>
      <c r="N1264" s="13" t="str">
        <f t="shared" ca="1" si="39"/>
        <v>CLOSED</v>
      </c>
    </row>
    <row r="1265" spans="1:14" x14ac:dyDescent="0.3">
      <c r="A1265" s="9" t="s">
        <v>126</v>
      </c>
      <c r="B1265" s="13">
        <f>VLOOKUP(Table27[[#This Row],[Location 
(drop-down)]],'List source'!D$2:E$61,2,FALSE)</f>
        <v>125</v>
      </c>
      <c r="C1265" s="223" t="s">
        <v>3251</v>
      </c>
      <c r="D1265" s="13" t="str">
        <f t="shared" si="38"/>
        <v>PTO1264-125-24</v>
      </c>
      <c r="E1265" s="9" t="s">
        <v>3252</v>
      </c>
      <c r="F1265" s="10" t="str" cm="1">
        <f t="array" aca="1" ref="F12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65" s="10">
        <v>2.1</v>
      </c>
      <c r="I1265" s="12">
        <v>45656</v>
      </c>
      <c r="J1265" s="12" t="s">
        <v>495</v>
      </c>
      <c r="K1265" s="77">
        <v>45656</v>
      </c>
      <c r="L1265" s="265" t="s">
        <v>673</v>
      </c>
      <c r="M1265" s="427">
        <v>1264</v>
      </c>
      <c r="N1265" s="13" t="str">
        <f t="shared" ca="1" si="39"/>
        <v>CLOSED</v>
      </c>
    </row>
    <row r="1266" spans="1:14" x14ac:dyDescent="0.3">
      <c r="A1266" s="9" t="s">
        <v>153</v>
      </c>
      <c r="B1266" s="13">
        <f>VLOOKUP(Table27[[#This Row],[Location 
(drop-down)]],'List source'!D$2:E$61,2,FALSE)</f>
        <v>126</v>
      </c>
      <c r="C1266" s="223" t="s">
        <v>3253</v>
      </c>
      <c r="D1266" s="13" t="str">
        <f t="shared" si="38"/>
        <v>PTO1265-126-24</v>
      </c>
      <c r="E1266" s="9" t="s">
        <v>3254</v>
      </c>
      <c r="F1266" s="10" t="str" cm="1">
        <f t="array" aca="1" ref="F12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66" s="39" t="s">
        <v>3255</v>
      </c>
      <c r="I1266" s="12">
        <v>45656</v>
      </c>
      <c r="J1266" s="12" t="s">
        <v>495</v>
      </c>
      <c r="K1266" s="77">
        <v>45656</v>
      </c>
      <c r="L1266" s="265" t="s">
        <v>673</v>
      </c>
      <c r="M1266" s="427">
        <v>1265</v>
      </c>
      <c r="N1266" s="13" t="str">
        <f t="shared" ca="1" si="39"/>
        <v>CLOSED</v>
      </c>
    </row>
    <row r="1267" spans="1:14" ht="28.8" x14ac:dyDescent="0.3">
      <c r="A1267" s="9" t="s">
        <v>153</v>
      </c>
      <c r="B1267" s="13">
        <f>VLOOKUP(Table27[[#This Row],[Location 
(drop-down)]],'List source'!D$2:E$61,2,FALSE)</f>
        <v>126</v>
      </c>
      <c r="C1267" s="223" t="s">
        <v>3256</v>
      </c>
      <c r="D1267" s="13" t="str">
        <f t="shared" si="38"/>
        <v>PTO1266-126-24</v>
      </c>
      <c r="E1267" s="9" t="s">
        <v>3257</v>
      </c>
      <c r="F1267" s="10" t="str" cm="1">
        <f t="array" aca="1" ref="F12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267" s="39" t="s">
        <v>879</v>
      </c>
      <c r="I1267" s="12">
        <v>45656</v>
      </c>
      <c r="J1267" s="12" t="s">
        <v>498</v>
      </c>
      <c r="K1267" s="77">
        <v>45807</v>
      </c>
      <c r="L1267" s="10"/>
      <c r="M1267" s="427">
        <v>1266</v>
      </c>
      <c r="N1267" s="13" t="str">
        <f t="shared" ca="1" si="39"/>
        <v>CLOSED</v>
      </c>
    </row>
    <row r="1268" spans="1:14" x14ac:dyDescent="0.3">
      <c r="A1268" s="9" t="s">
        <v>153</v>
      </c>
      <c r="B1268" s="13">
        <f>VLOOKUP(Table27[[#This Row],[Location 
(drop-down)]],'List source'!D$2:E$61,2,FALSE)</f>
        <v>126</v>
      </c>
      <c r="C1268" s="223" t="s">
        <v>3258</v>
      </c>
      <c r="D1268" s="13" t="str">
        <f t="shared" ref="D1268:D1331" si="40">"PTO" &amp; C1268 &amp; "-" &amp; B1268 &amp; "-" &amp; "24"</f>
        <v>PTO1267-126-24</v>
      </c>
      <c r="E1268" s="9" t="s">
        <v>3259</v>
      </c>
      <c r="F1268" s="10" t="str" cm="1">
        <f t="array" aca="1" ref="F12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68" s="10" t="s">
        <v>3260</v>
      </c>
      <c r="I1268" s="12">
        <v>45656</v>
      </c>
      <c r="J1268" s="12" t="s">
        <v>495</v>
      </c>
      <c r="K1268" s="77">
        <v>45656</v>
      </c>
      <c r="L1268" s="265" t="s">
        <v>673</v>
      </c>
      <c r="M1268" s="427">
        <v>1267</v>
      </c>
      <c r="N1268" s="13" t="str">
        <f t="shared" ref="N1268:N1331" ca="1" si="41">IF(ISBLANK(K1268), TODAY()-(I1268), "CLOSED")</f>
        <v>CLOSED</v>
      </c>
    </row>
    <row r="1269" spans="1:14" x14ac:dyDescent="0.3">
      <c r="A1269" s="9" t="s">
        <v>264</v>
      </c>
      <c r="B1269" s="13">
        <f>VLOOKUP(Table27[[#This Row],[Location 
(drop-down)]],'List source'!D$2:E$61,2,FALSE)</f>
        <v>132</v>
      </c>
      <c r="C1269" s="223" t="s">
        <v>3261</v>
      </c>
      <c r="D1269" s="13" t="str">
        <f t="shared" si="40"/>
        <v>PTO1268-132-24</v>
      </c>
      <c r="E1269" s="9" t="s">
        <v>3259</v>
      </c>
      <c r="F1269" s="10" t="str" cm="1">
        <f t="array" aca="1" ref="F12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D5191 - Vapor Pressure</v>
      </c>
      <c r="H1269" s="39" t="s">
        <v>3262</v>
      </c>
      <c r="I1269" s="12">
        <v>45656</v>
      </c>
      <c r="J1269" s="12" t="s">
        <v>495</v>
      </c>
      <c r="K1269" s="77">
        <v>45818</v>
      </c>
      <c r="L1269" s="10" t="s">
        <v>3263</v>
      </c>
      <c r="M1269" s="427">
        <v>1268</v>
      </c>
      <c r="N1269" s="13" t="str">
        <f t="shared" ca="1" si="41"/>
        <v>CLOSED</v>
      </c>
    </row>
    <row r="1270" spans="1:14" x14ac:dyDescent="0.3">
      <c r="A1270" s="9" t="s">
        <v>264</v>
      </c>
      <c r="B1270" s="13">
        <f>VLOOKUP(Table27[[#This Row],[Location 
(drop-down)]],'List source'!D$2:E$61,2,FALSE)</f>
        <v>132</v>
      </c>
      <c r="C1270" s="223" t="s">
        <v>3264</v>
      </c>
      <c r="D1270" s="13" t="str">
        <f t="shared" si="40"/>
        <v>PTO1269-132-24</v>
      </c>
      <c r="E1270" s="9" t="s">
        <v>3265</v>
      </c>
      <c r="F1270" s="10" t="str" cm="1">
        <f t="array" aca="1" ref="F12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70" s="10" t="s">
        <v>3266</v>
      </c>
      <c r="I1270" s="12">
        <v>45656</v>
      </c>
      <c r="J1270" s="12" t="s">
        <v>495</v>
      </c>
      <c r="K1270" s="77">
        <v>45656</v>
      </c>
      <c r="L1270" s="265" t="s">
        <v>673</v>
      </c>
      <c r="M1270" s="427">
        <v>1269</v>
      </c>
      <c r="N1270" s="13" t="str">
        <f t="shared" ca="1" si="41"/>
        <v>CLOSED</v>
      </c>
    </row>
    <row r="1271" spans="1:14" x14ac:dyDescent="0.3">
      <c r="A1271" s="9" t="s">
        <v>264</v>
      </c>
      <c r="B1271" s="13">
        <f>VLOOKUP(Table27[[#This Row],[Location 
(drop-down)]],'List source'!D$2:E$61,2,FALSE)</f>
        <v>132</v>
      </c>
      <c r="C1271" s="223" t="s">
        <v>3267</v>
      </c>
      <c r="D1271" s="13" t="str">
        <f t="shared" si="40"/>
        <v>PTO1270-132-24</v>
      </c>
      <c r="E1271" s="9" t="s">
        <v>3268</v>
      </c>
      <c r="F1271" s="10" t="str" cm="1">
        <f t="array" aca="1" ref="F12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1271" s="39" t="s">
        <v>3269</v>
      </c>
      <c r="I1271" s="12">
        <v>45656</v>
      </c>
      <c r="J1271" s="12" t="s">
        <v>495</v>
      </c>
      <c r="K1271" s="77">
        <v>45806</v>
      </c>
      <c r="L1271" s="10" t="s">
        <v>3270</v>
      </c>
      <c r="M1271" s="427">
        <v>1270</v>
      </c>
      <c r="N1271" s="13" t="str">
        <f t="shared" ca="1" si="41"/>
        <v>CLOSED</v>
      </c>
    </row>
    <row r="1272" spans="1:14" x14ac:dyDescent="0.3">
      <c r="A1272" s="9" t="s">
        <v>264</v>
      </c>
      <c r="B1272" s="13">
        <f>VLOOKUP(Table27[[#This Row],[Location 
(drop-down)]],'List source'!D$2:E$61,2,FALSE)</f>
        <v>132</v>
      </c>
      <c r="C1272" s="223" t="s">
        <v>3271</v>
      </c>
      <c r="D1272" s="13" t="str">
        <f t="shared" si="40"/>
        <v>PTO1271-132-24</v>
      </c>
      <c r="E1272" s="9" t="s">
        <v>3272</v>
      </c>
      <c r="F1272" s="10" t="str" cm="1">
        <f t="array" aca="1" ref="F12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272" s="10">
        <v>2.81</v>
      </c>
      <c r="I1272" s="12">
        <v>45656</v>
      </c>
      <c r="J1272" s="12" t="s">
        <v>495</v>
      </c>
      <c r="K1272" s="77">
        <v>45838</v>
      </c>
      <c r="L1272" s="10" t="s">
        <v>3273</v>
      </c>
      <c r="M1272" s="427">
        <v>1271</v>
      </c>
      <c r="N1272" s="13" t="str">
        <f t="shared" ca="1" si="41"/>
        <v>CLOSED</v>
      </c>
    </row>
    <row r="1273" spans="1:14" x14ac:dyDescent="0.3">
      <c r="A1273" s="189" t="s">
        <v>597</v>
      </c>
      <c r="B1273" s="217">
        <f>VLOOKUP(Table27[[#This Row],[Location 
(drop-down)]],'List source'!D$2:E$61,2,FALSE)</f>
        <v>139</v>
      </c>
      <c r="C1273" s="255" t="s">
        <v>3274</v>
      </c>
      <c r="D1273" s="217" t="str">
        <f t="shared" si="40"/>
        <v>PTO1272-139-24</v>
      </c>
      <c r="E1273" s="9" t="s">
        <v>3275</v>
      </c>
      <c r="F1273" s="10" t="str" cm="1">
        <f t="array" aca="1" ref="F12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Benzene</v>
      </c>
      <c r="H1273" s="10">
        <v>4.41</v>
      </c>
      <c r="I1273" s="12">
        <v>45656</v>
      </c>
      <c r="J1273" s="234" t="s">
        <v>60</v>
      </c>
      <c r="K1273" s="220">
        <v>45714</v>
      </c>
      <c r="L1273" s="10"/>
      <c r="M1273" s="427">
        <v>1272</v>
      </c>
      <c r="N1273" s="13" t="str">
        <f t="shared" ca="1" si="41"/>
        <v>CLOSED</v>
      </c>
    </row>
    <row r="1274" spans="1:14" ht="28.8" x14ac:dyDescent="0.3">
      <c r="A1274" s="189" t="s">
        <v>597</v>
      </c>
      <c r="B1274" s="217">
        <f>VLOOKUP(Table27[[#This Row],[Location 
(drop-down)]],'List source'!D$2:E$61,2,FALSE)</f>
        <v>139</v>
      </c>
      <c r="C1274" s="255" t="s">
        <v>3276</v>
      </c>
      <c r="D1274" s="217" t="str">
        <f t="shared" si="40"/>
        <v>PTO1273-139-24</v>
      </c>
      <c r="E1274" s="9" t="s">
        <v>3277</v>
      </c>
      <c r="F1274" s="10" t="str" cm="1">
        <f t="array" aca="1" ref="F12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274" s="10">
        <v>3.05</v>
      </c>
      <c r="I1274" s="12">
        <v>45656</v>
      </c>
      <c r="J1274" s="234" t="s">
        <v>60</v>
      </c>
      <c r="K1274" s="220">
        <v>45714</v>
      </c>
      <c r="L1274" s="10"/>
      <c r="M1274" s="427">
        <v>1273</v>
      </c>
      <c r="N1274" s="13" t="str">
        <f t="shared" ca="1" si="41"/>
        <v>CLOSED</v>
      </c>
    </row>
    <row r="1275" spans="1:14" x14ac:dyDescent="0.3">
      <c r="A1275" s="9" t="s">
        <v>161</v>
      </c>
      <c r="B1275" s="13">
        <f>VLOOKUP(Table27[[#This Row],[Location 
(drop-down)]],'List source'!D$2:E$61,2,FALSE)</f>
        <v>142</v>
      </c>
      <c r="C1275" s="223" t="s">
        <v>3278</v>
      </c>
      <c r="D1275" s="13" t="str">
        <f t="shared" si="40"/>
        <v>PTO1274-142-24</v>
      </c>
      <c r="E1275" s="9" t="s">
        <v>3279</v>
      </c>
      <c r="F1275" s="10" t="str" cm="1">
        <f t="array" aca="1" ref="F12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75" s="39" t="s">
        <v>1070</v>
      </c>
      <c r="I1275" s="12">
        <v>45656</v>
      </c>
      <c r="J1275" s="12" t="s">
        <v>495</v>
      </c>
      <c r="K1275" s="77">
        <v>45656</v>
      </c>
      <c r="L1275" s="265" t="s">
        <v>673</v>
      </c>
      <c r="M1275" s="427">
        <v>1274</v>
      </c>
      <c r="N1275" s="13" t="str">
        <f t="shared" ca="1" si="41"/>
        <v>CLOSED</v>
      </c>
    </row>
    <row r="1276" spans="1:14" x14ac:dyDescent="0.3">
      <c r="A1276" s="9" t="s">
        <v>310</v>
      </c>
      <c r="B1276" s="13">
        <f>VLOOKUP(Table27[[#This Row],[Location 
(drop-down)]],'List source'!D$2:E$61,2,FALSE)</f>
        <v>144</v>
      </c>
      <c r="C1276" s="223" t="s">
        <v>3280</v>
      </c>
      <c r="D1276" s="13" t="str">
        <f t="shared" si="40"/>
        <v>PTO1275-144-24</v>
      </c>
      <c r="E1276" s="9" t="s">
        <v>3281</v>
      </c>
      <c r="F1276" s="10" t="str" cm="1">
        <f t="array" aca="1" ref="F12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76" s="10" t="s">
        <v>3282</v>
      </c>
      <c r="I1276" s="12">
        <v>45656</v>
      </c>
      <c r="J1276" s="12" t="s">
        <v>495</v>
      </c>
      <c r="K1276" s="77">
        <v>45656</v>
      </c>
      <c r="L1276" s="265" t="s">
        <v>673</v>
      </c>
      <c r="M1276" s="427">
        <v>1275</v>
      </c>
      <c r="N1276" s="13" t="str">
        <f t="shared" ca="1" si="41"/>
        <v>CLOSED</v>
      </c>
    </row>
    <row r="1277" spans="1:14" x14ac:dyDescent="0.3">
      <c r="A1277" s="9" t="s">
        <v>65</v>
      </c>
      <c r="B1277" s="13">
        <f>VLOOKUP(Table27[[#This Row],[Location 
(drop-down)]],'List source'!D$2:E$61,2,FALSE)</f>
        <v>155</v>
      </c>
      <c r="C1277" s="223" t="s">
        <v>3283</v>
      </c>
      <c r="D1277" s="13" t="str">
        <f t="shared" si="40"/>
        <v>PTO1276-155-24</v>
      </c>
      <c r="E1277" s="9" t="s">
        <v>3284</v>
      </c>
      <c r="F1277" s="10" t="str" cm="1">
        <f t="array" aca="1" ref="F12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D5191-22 &amp; -20 - Vapor Pressure</v>
      </c>
      <c r="H1277" s="10" t="s">
        <v>3285</v>
      </c>
      <c r="I1277" s="12">
        <v>45656</v>
      </c>
      <c r="J1277" s="12" t="s">
        <v>495</v>
      </c>
      <c r="K1277" s="77">
        <v>45656</v>
      </c>
      <c r="L1277" s="265" t="s">
        <v>673</v>
      </c>
      <c r="M1277" s="427">
        <v>1276</v>
      </c>
      <c r="N1277" s="13" t="str">
        <f t="shared" ca="1" si="41"/>
        <v>CLOSED</v>
      </c>
    </row>
    <row r="1278" spans="1:14" ht="28.8" x14ac:dyDescent="0.3">
      <c r="A1278" s="235" t="s">
        <v>235</v>
      </c>
      <c r="B1278" s="236">
        <f>VLOOKUP(Table27[[#This Row],[Location 
(drop-down)]],'List source'!D$2:E$61,2,FALSE)</f>
        <v>160</v>
      </c>
      <c r="C1278" s="330" t="s">
        <v>3286</v>
      </c>
      <c r="D1278" s="236" t="str">
        <f t="shared" si="40"/>
        <v>PTO1277-160-24</v>
      </c>
      <c r="E1278" s="235" t="s">
        <v>3287</v>
      </c>
      <c r="F1278" s="263" t="str" cm="1">
        <f t="array" aca="1" ref="F12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8"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D3606-24 &amp; -20e1 - Benzene</v>
      </c>
      <c r="H1278" s="263" t="s">
        <v>3288</v>
      </c>
      <c r="I1278" s="264">
        <v>45656</v>
      </c>
      <c r="J1278" s="264" t="s">
        <v>182</v>
      </c>
      <c r="K1278" s="250">
        <v>45721</v>
      </c>
      <c r="L1278" s="10"/>
      <c r="M1278" s="427">
        <v>1277</v>
      </c>
      <c r="N1278" s="13" t="str">
        <f t="shared" ca="1" si="41"/>
        <v>CLOSED</v>
      </c>
    </row>
    <row r="1279" spans="1:14" x14ac:dyDescent="0.3">
      <c r="A1279" s="9" t="s">
        <v>235</v>
      </c>
      <c r="B1279" s="13">
        <f>VLOOKUP(Table27[[#This Row],[Location 
(drop-down)]],'List source'!D$2:E$61,2,FALSE)</f>
        <v>160</v>
      </c>
      <c r="C1279" s="223" t="s">
        <v>3289</v>
      </c>
      <c r="D1279" s="13" t="str">
        <f t="shared" si="40"/>
        <v>PTO1278-160-24</v>
      </c>
      <c r="E1279" s="9" t="s">
        <v>3290</v>
      </c>
      <c r="F1279" s="10" t="str" cm="1">
        <f t="array" aca="1" ref="F12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279" s="39" t="s">
        <v>1550</v>
      </c>
      <c r="I1279" s="12">
        <v>45656</v>
      </c>
      <c r="J1279" s="12" t="s">
        <v>495</v>
      </c>
      <c r="K1279" s="77">
        <v>45748</v>
      </c>
      <c r="L1279" s="10" t="s">
        <v>3291</v>
      </c>
      <c r="M1279" s="427">
        <v>1278</v>
      </c>
      <c r="N1279" s="13" t="str">
        <f t="shared" ca="1" si="41"/>
        <v>CLOSED</v>
      </c>
    </row>
    <row r="1280" spans="1:14" x14ac:dyDescent="0.3">
      <c r="A1280" s="9" t="s">
        <v>57</v>
      </c>
      <c r="B1280" s="13">
        <f>VLOOKUP(Table27[[#This Row],[Location 
(drop-down)]],'List source'!D$2:E$61,2,FALSE)</f>
        <v>170</v>
      </c>
      <c r="C1280" s="223" t="s">
        <v>3292</v>
      </c>
      <c r="D1280" s="13" t="str">
        <f t="shared" si="40"/>
        <v>PTO1279-170-24</v>
      </c>
      <c r="E1280" s="9" t="s">
        <v>3293</v>
      </c>
      <c r="F1280" s="10" t="str" cm="1">
        <f t="array" aca="1" ref="F12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1280" s="10">
        <v>2.35</v>
      </c>
      <c r="I1280" s="12">
        <v>45656</v>
      </c>
      <c r="J1280" s="12" t="s">
        <v>495</v>
      </c>
      <c r="K1280" s="77">
        <v>45656</v>
      </c>
      <c r="L1280" s="265" t="s">
        <v>673</v>
      </c>
      <c r="M1280" s="427">
        <v>1279</v>
      </c>
      <c r="N1280" s="13" t="str">
        <f t="shared" ca="1" si="41"/>
        <v>CLOSED</v>
      </c>
    </row>
    <row r="1281" spans="1:14" ht="29.1" customHeight="1" x14ac:dyDescent="0.3">
      <c r="A1281" s="9" t="s">
        <v>57</v>
      </c>
      <c r="B1281" s="13">
        <f>VLOOKUP(Table27[[#This Row],[Location 
(drop-down)]],'List source'!D$2:E$61,2,FALSE)</f>
        <v>170</v>
      </c>
      <c r="C1281" s="223" t="s">
        <v>3294</v>
      </c>
      <c r="D1281" s="13" t="str">
        <f t="shared" si="40"/>
        <v>PTO1280-170-24</v>
      </c>
      <c r="E1281" s="9" t="s">
        <v>3295</v>
      </c>
      <c r="F1281" s="10" t="str" cm="1">
        <f t="array" aca="1" ref="F128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81" s="10" t="s">
        <v>529</v>
      </c>
      <c r="I1281" s="12">
        <v>45656</v>
      </c>
      <c r="J1281" s="12" t="s">
        <v>495</v>
      </c>
      <c r="K1281" s="77">
        <v>45656</v>
      </c>
      <c r="L1281" s="10" t="s">
        <v>3296</v>
      </c>
      <c r="M1281" s="427">
        <v>1280</v>
      </c>
      <c r="N1281" s="13" t="str">
        <f t="shared" ca="1" si="41"/>
        <v>CLOSED</v>
      </c>
    </row>
    <row r="1282" spans="1:14" x14ac:dyDescent="0.3">
      <c r="A1282" s="9" t="s">
        <v>147</v>
      </c>
      <c r="B1282" s="13">
        <f>VLOOKUP(Table27[[#This Row],[Location 
(drop-down)]],'List source'!D$2:E$61,2,FALSE)</f>
        <v>185</v>
      </c>
      <c r="C1282" s="223" t="s">
        <v>3297</v>
      </c>
      <c r="D1282" s="13" t="str">
        <f t="shared" si="40"/>
        <v>PTO1281-185-24</v>
      </c>
      <c r="E1282" s="9" t="s">
        <v>3298</v>
      </c>
      <c r="F1282" s="10" t="str" cm="1">
        <f t="array" aca="1" ref="F128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82" s="10">
        <v>2.63</v>
      </c>
      <c r="I1282" s="12">
        <v>45656</v>
      </c>
      <c r="J1282" s="12" t="s">
        <v>495</v>
      </c>
      <c r="K1282" s="77">
        <v>45656</v>
      </c>
      <c r="L1282" s="265" t="s">
        <v>673</v>
      </c>
      <c r="M1282" s="427">
        <v>1281</v>
      </c>
      <c r="N1282" s="13" t="str">
        <f t="shared" ca="1" si="41"/>
        <v>CLOSED</v>
      </c>
    </row>
    <row r="1283" spans="1:14" ht="28.8" x14ac:dyDescent="0.3">
      <c r="A1283" s="9" t="s">
        <v>264</v>
      </c>
      <c r="B1283" s="13">
        <f>VLOOKUP(Table27[[#This Row],[Location 
(drop-down)]],'List source'!D$2:E$61,2,FALSE)</f>
        <v>132</v>
      </c>
      <c r="C1283" s="223" t="s">
        <v>3299</v>
      </c>
      <c r="D1283" s="13" t="str">
        <f t="shared" si="40"/>
        <v>PTO1282-132-24</v>
      </c>
      <c r="E1283" s="9" t="s">
        <v>3300</v>
      </c>
      <c r="F1283" s="10" t="str" cm="1">
        <f t="array" aca="1" ref="F128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C9+ &amp; Total Aromatics</v>
      </c>
      <c r="H1283" s="39" t="s">
        <v>3301</v>
      </c>
      <c r="I1283" s="12">
        <v>45656</v>
      </c>
      <c r="J1283" s="12" t="s">
        <v>54</v>
      </c>
      <c r="K1283" s="77">
        <v>45818</v>
      </c>
      <c r="L1283" s="10"/>
      <c r="M1283" s="427">
        <v>1282</v>
      </c>
      <c r="N1283" s="13" t="str">
        <f t="shared" ca="1" si="41"/>
        <v>CLOSED</v>
      </c>
    </row>
    <row r="1284" spans="1:14" x14ac:dyDescent="0.3">
      <c r="A1284" s="9" t="s">
        <v>264</v>
      </c>
      <c r="B1284" s="13">
        <f>VLOOKUP(Table27[[#This Row],[Location 
(drop-down)]],'List source'!D$2:E$61,2,FALSE)</f>
        <v>132</v>
      </c>
      <c r="C1284" s="223" t="s">
        <v>3302</v>
      </c>
      <c r="D1284" s="13" t="str">
        <f t="shared" si="40"/>
        <v>PTO1283-132-24</v>
      </c>
      <c r="E1284" s="9" t="s">
        <v>3303</v>
      </c>
      <c r="F1284" s="10" t="str" cm="1">
        <f t="array" aca="1" ref="F128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284" s="10"/>
      <c r="I1284" s="12">
        <v>45656</v>
      </c>
      <c r="J1284" s="12" t="s">
        <v>495</v>
      </c>
      <c r="K1284" s="77">
        <v>45656</v>
      </c>
      <c r="L1284" s="265" t="s">
        <v>673</v>
      </c>
      <c r="M1284" s="427">
        <v>1283</v>
      </c>
      <c r="N1284" s="13" t="str">
        <f t="shared" ca="1" si="41"/>
        <v>CLOSED</v>
      </c>
    </row>
    <row r="1285" spans="1:14" ht="28.8" x14ac:dyDescent="0.3">
      <c r="A1285" s="9" t="s">
        <v>264</v>
      </c>
      <c r="B1285" s="13">
        <f>VLOOKUP(Table27[[#This Row],[Location 
(drop-down)]],'List source'!D$2:E$61,2,FALSE)</f>
        <v>132</v>
      </c>
      <c r="C1285" s="223" t="s">
        <v>3304</v>
      </c>
      <c r="D1285" s="13" t="str">
        <f t="shared" si="40"/>
        <v>PTO1284-132-24</v>
      </c>
      <c r="E1285" s="9" t="s">
        <v>3305</v>
      </c>
      <c r="F1285" s="10" t="str" cm="1">
        <f t="array" aca="1" ref="F128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85" s="39" t="s">
        <v>3306</v>
      </c>
      <c r="I1285" s="12">
        <v>45656</v>
      </c>
      <c r="J1285" s="12" t="s">
        <v>54</v>
      </c>
      <c r="K1285" s="77">
        <v>45713</v>
      </c>
      <c r="L1285" s="10"/>
      <c r="M1285" s="427">
        <v>1284</v>
      </c>
      <c r="N1285" s="13" t="str">
        <f t="shared" ca="1" si="41"/>
        <v>CLOSED</v>
      </c>
    </row>
    <row r="1286" spans="1:14" x14ac:dyDescent="0.3">
      <c r="A1286" s="9" t="s">
        <v>264</v>
      </c>
      <c r="B1286" s="13">
        <f>VLOOKUP(Table27[[#This Row],[Location 
(drop-down)]],'List source'!D$2:E$61,2,FALSE)</f>
        <v>132</v>
      </c>
      <c r="C1286" s="223" t="s">
        <v>3307</v>
      </c>
      <c r="D1286" s="13" t="str">
        <f t="shared" si="40"/>
        <v>PTO1285-132-24</v>
      </c>
      <c r="E1286" s="9" t="s">
        <v>3308</v>
      </c>
      <c r="F1286" s="10" t="str" cm="1">
        <f t="array" aca="1" ref="F128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D6550 - HC Type</v>
      </c>
      <c r="H1286" s="39" t="s">
        <v>3309</v>
      </c>
      <c r="I1286" s="12">
        <v>45656</v>
      </c>
      <c r="J1286" s="12" t="s">
        <v>54</v>
      </c>
      <c r="K1286" s="77">
        <v>45806</v>
      </c>
      <c r="L1286" s="10"/>
      <c r="M1286" s="427">
        <v>1285</v>
      </c>
      <c r="N1286" s="13" t="str">
        <f t="shared" ca="1" si="41"/>
        <v>CLOSED</v>
      </c>
    </row>
    <row r="1287" spans="1:14" x14ac:dyDescent="0.3">
      <c r="A1287" s="9" t="s">
        <v>264</v>
      </c>
      <c r="B1287" s="13">
        <f>VLOOKUP(Table27[[#This Row],[Location 
(drop-down)]],'List source'!D$2:E$61,2,FALSE)</f>
        <v>132</v>
      </c>
      <c r="C1287" s="223" t="s">
        <v>3310</v>
      </c>
      <c r="D1287" s="13" t="str">
        <f t="shared" si="40"/>
        <v>PTO1286-132-24</v>
      </c>
      <c r="E1287" s="9" t="s">
        <v>3311</v>
      </c>
      <c r="F1287" s="10" t="str" cm="1">
        <f t="array" aca="1" ref="F128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287" s="10">
        <v>2.79</v>
      </c>
      <c r="I1287" s="12">
        <v>45656</v>
      </c>
      <c r="J1287" s="12" t="s">
        <v>54</v>
      </c>
      <c r="K1287" s="77">
        <v>45838</v>
      </c>
      <c r="L1287" s="10"/>
      <c r="M1287" s="427">
        <v>1286</v>
      </c>
      <c r="N1287" s="13" t="str">
        <f t="shared" ca="1" si="41"/>
        <v>CLOSED</v>
      </c>
    </row>
    <row r="1288" spans="1:14" ht="28.8" x14ac:dyDescent="0.3">
      <c r="A1288" s="9" t="s">
        <v>264</v>
      </c>
      <c r="B1288" s="13">
        <f>VLOOKUP(Table27[[#This Row],[Location 
(drop-down)]],'List source'!D$2:E$61,2,FALSE)</f>
        <v>132</v>
      </c>
      <c r="C1288" s="223" t="s">
        <v>3312</v>
      </c>
      <c r="D1288" s="13" t="str">
        <f t="shared" si="40"/>
        <v>PTO1287-132-24</v>
      </c>
      <c r="E1288" s="9" t="s">
        <v>3313</v>
      </c>
      <c r="F1288" s="10" t="str" cm="1">
        <f t="array" aca="1" ref="F128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D2622-24 &amp; -16 - Sulfur by WDXRF &amp; (EPA)</v>
      </c>
      <c r="H1288" s="39" t="s">
        <v>3314</v>
      </c>
      <c r="I1288" s="12">
        <v>45656</v>
      </c>
      <c r="J1288" s="12" t="s">
        <v>54</v>
      </c>
      <c r="K1288" s="77">
        <v>45924</v>
      </c>
      <c r="L1288" s="10"/>
      <c r="M1288" s="427">
        <v>1287</v>
      </c>
      <c r="N1288" s="13" t="str">
        <f t="shared" ca="1" si="41"/>
        <v>CLOSED</v>
      </c>
    </row>
    <row r="1289" spans="1:14" x14ac:dyDescent="0.3">
      <c r="A1289" s="9" t="s">
        <v>264</v>
      </c>
      <c r="B1289" s="13">
        <f>VLOOKUP(Table27[[#This Row],[Location 
(drop-down)]],'List source'!D$2:E$61,2,FALSE)</f>
        <v>132</v>
      </c>
      <c r="C1289" s="223" t="s">
        <v>3315</v>
      </c>
      <c r="D1289" s="13" t="str">
        <f t="shared" si="40"/>
        <v>PTO1288-132-24</v>
      </c>
      <c r="E1289" s="9" t="s">
        <v>3316</v>
      </c>
      <c r="F1289" s="10" t="str" cm="1">
        <f t="array" aca="1" ref="F128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D7039 - Sulfur</v>
      </c>
      <c r="H1289" s="39" t="s">
        <v>3317</v>
      </c>
      <c r="I1289" s="12">
        <v>45656</v>
      </c>
      <c r="J1289" s="12" t="s">
        <v>41</v>
      </c>
      <c r="K1289" s="77">
        <v>45883</v>
      </c>
      <c r="L1289" s="10"/>
      <c r="M1289" s="427">
        <v>1288</v>
      </c>
      <c r="N1289" s="13" t="str">
        <f t="shared" ca="1" si="41"/>
        <v>CLOSED</v>
      </c>
    </row>
    <row r="1290" spans="1:14" ht="28.8" x14ac:dyDescent="0.3">
      <c r="A1290" s="9" t="s">
        <v>264</v>
      </c>
      <c r="B1290" s="13">
        <f>VLOOKUP(Table27[[#This Row],[Location 
(drop-down)]],'List source'!D$2:E$61,2,FALSE)</f>
        <v>132</v>
      </c>
      <c r="C1290" s="223" t="s">
        <v>3318</v>
      </c>
      <c r="D1290" s="13" t="str">
        <f t="shared" si="40"/>
        <v>PTO1289-132-24</v>
      </c>
      <c r="E1290" s="9" t="s">
        <v>3319</v>
      </c>
      <c r="F1290" s="10" t="str" cm="1">
        <f t="array" aca="1" ref="F129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290" s="10">
        <v>6.21</v>
      </c>
      <c r="I1290" s="12">
        <v>45656</v>
      </c>
      <c r="J1290" s="12" t="s">
        <v>54</v>
      </c>
      <c r="K1290" s="77">
        <v>45688</v>
      </c>
      <c r="L1290" s="10"/>
      <c r="M1290" s="427">
        <v>1289</v>
      </c>
      <c r="N1290" s="13" t="str">
        <f t="shared" ca="1" si="41"/>
        <v>CLOSED</v>
      </c>
    </row>
    <row r="1291" spans="1:14" x14ac:dyDescent="0.3">
      <c r="A1291" s="189" t="s">
        <v>597</v>
      </c>
      <c r="B1291" s="217">
        <f>VLOOKUP(Table27[[#This Row],[Location 
(drop-down)]],'List source'!D$2:E$61,2,FALSE)</f>
        <v>139</v>
      </c>
      <c r="C1291" s="255" t="s">
        <v>3320</v>
      </c>
      <c r="D1291" s="217" t="str">
        <f t="shared" si="40"/>
        <v>PTO1290-139-24</v>
      </c>
      <c r="E1291" s="9" t="s">
        <v>3321</v>
      </c>
      <c r="F1291" s="10" t="str" cm="1">
        <f t="array" aca="1" ref="F129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291" s="39" t="s">
        <v>988</v>
      </c>
      <c r="I1291" s="12">
        <v>45656</v>
      </c>
      <c r="J1291" s="234" t="s">
        <v>495</v>
      </c>
      <c r="K1291" s="220">
        <v>45714</v>
      </c>
      <c r="L1291" s="10" t="s">
        <v>510</v>
      </c>
      <c r="M1291" s="427">
        <v>1290</v>
      </c>
      <c r="N1291" s="13" t="str">
        <f t="shared" ca="1" si="41"/>
        <v>CLOSED</v>
      </c>
    </row>
    <row r="1292" spans="1:14" ht="28.8" x14ac:dyDescent="0.3">
      <c r="A1292" s="189" t="s">
        <v>597</v>
      </c>
      <c r="B1292" s="217">
        <f>VLOOKUP(Table27[[#This Row],[Location 
(drop-down)]],'List source'!D$2:E$61,2,FALSE)</f>
        <v>139</v>
      </c>
      <c r="C1292" s="255" t="s">
        <v>3322</v>
      </c>
      <c r="D1292" s="217" t="str">
        <f t="shared" si="40"/>
        <v>PTO1291-139-24</v>
      </c>
      <c r="E1292" s="9" t="s">
        <v>3323</v>
      </c>
      <c r="F1292" s="10" t="str" cm="1">
        <f t="array" aca="1" ref="F129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D5188 - V/L Ratio Temp</v>
      </c>
      <c r="H1292" s="10">
        <v>146.16999999999999</v>
      </c>
      <c r="I1292" s="12">
        <v>45656</v>
      </c>
      <c r="J1292" s="234" t="s">
        <v>495</v>
      </c>
      <c r="K1292" s="220">
        <v>45714</v>
      </c>
      <c r="L1292" s="10" t="s">
        <v>510</v>
      </c>
      <c r="M1292" s="427">
        <v>1291</v>
      </c>
      <c r="N1292" s="13" t="str">
        <f t="shared" ca="1" si="41"/>
        <v>CLOSED</v>
      </c>
    </row>
    <row r="1293" spans="1:14" x14ac:dyDescent="0.3">
      <c r="A1293" s="9" t="s">
        <v>235</v>
      </c>
      <c r="B1293" s="13">
        <f>VLOOKUP(Table27[[#This Row],[Location 
(drop-down)]],'List source'!D$2:E$61,2,FALSE)</f>
        <v>160</v>
      </c>
      <c r="C1293" s="223" t="s">
        <v>3324</v>
      </c>
      <c r="D1293" s="13" t="str">
        <f t="shared" si="40"/>
        <v>PTO1292-160-24</v>
      </c>
      <c r="E1293" s="9" t="s">
        <v>3325</v>
      </c>
      <c r="F1293" s="10" t="str" cm="1">
        <f t="array" aca="1" ref="F129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Aromatics</v>
      </c>
      <c r="H1293" s="39" t="s">
        <v>1034</v>
      </c>
      <c r="I1293" s="12">
        <v>45656</v>
      </c>
      <c r="J1293" s="12" t="s">
        <v>495</v>
      </c>
      <c r="K1293" s="77">
        <v>45656</v>
      </c>
      <c r="L1293" s="265" t="s">
        <v>673</v>
      </c>
      <c r="M1293" s="427">
        <v>1292</v>
      </c>
      <c r="N1293" s="13" t="str">
        <f t="shared" ca="1" si="41"/>
        <v>CLOSED</v>
      </c>
    </row>
    <row r="1294" spans="1:14" ht="28.8" x14ac:dyDescent="0.3">
      <c r="A1294" s="235" t="s">
        <v>235</v>
      </c>
      <c r="B1294" s="236">
        <f>VLOOKUP(Table27[[#This Row],[Location 
(drop-down)]],'List source'!D$2:E$61,2,FALSE)</f>
        <v>160</v>
      </c>
      <c r="C1294" s="330" t="s">
        <v>3326</v>
      </c>
      <c r="D1294" s="236" t="str">
        <f t="shared" si="40"/>
        <v>PTO1293-160-24</v>
      </c>
      <c r="E1294" s="235" t="s">
        <v>3327</v>
      </c>
      <c r="F1294" s="263" t="str" cm="1">
        <f t="array" aca="1" ref="F129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4"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94" s="263" t="s">
        <v>529</v>
      </c>
      <c r="I1294" s="264">
        <v>45656</v>
      </c>
      <c r="J1294" s="264" t="s">
        <v>182</v>
      </c>
      <c r="K1294" s="250">
        <v>45724</v>
      </c>
      <c r="L1294" s="10"/>
      <c r="M1294" s="427">
        <v>1293</v>
      </c>
      <c r="N1294" s="13" t="str">
        <f t="shared" ca="1" si="41"/>
        <v>CLOSED</v>
      </c>
    </row>
    <row r="1295" spans="1:14" ht="28.8" x14ac:dyDescent="0.3">
      <c r="A1295" s="239" t="s">
        <v>235</v>
      </c>
      <c r="B1295" s="240">
        <f>VLOOKUP(Table27[[#This Row],[Location 
(drop-down)]],'List source'!D$2:E$61,2,FALSE)</f>
        <v>160</v>
      </c>
      <c r="C1295" s="294" t="s">
        <v>3328</v>
      </c>
      <c r="D1295" s="240" t="str">
        <f t="shared" si="40"/>
        <v>PTO1294-160-24</v>
      </c>
      <c r="E1295" s="239" t="s">
        <v>3329</v>
      </c>
      <c r="F1295" s="245" t="str" cm="1">
        <f t="array" aca="1" ref="F129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5"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295" s="296" t="s">
        <v>3330</v>
      </c>
      <c r="I1295" s="246">
        <v>45656</v>
      </c>
      <c r="J1295" s="246" t="s">
        <v>182</v>
      </c>
      <c r="K1295" s="247">
        <v>45748</v>
      </c>
      <c r="L1295" s="10"/>
      <c r="M1295" s="427">
        <v>1294</v>
      </c>
      <c r="N1295" s="13" t="str">
        <f t="shared" ca="1" si="41"/>
        <v>CLOSED</v>
      </c>
    </row>
    <row r="1296" spans="1:14" x14ac:dyDescent="0.3">
      <c r="A1296" s="9" t="s">
        <v>209</v>
      </c>
      <c r="B1296" s="13">
        <f>VLOOKUP(Table27[[#This Row],[Location 
(drop-down)]],'List source'!D$2:E$61,2,FALSE)</f>
        <v>165</v>
      </c>
      <c r="C1296" s="223" t="s">
        <v>3331</v>
      </c>
      <c r="D1296" s="13" t="str">
        <f t="shared" si="40"/>
        <v>PTO1295-165-24</v>
      </c>
      <c r="E1296" s="9" t="s">
        <v>3332</v>
      </c>
      <c r="F1296" s="10" t="str" cm="1">
        <f t="array" aca="1" ref="F129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96" s="10" t="s">
        <v>3333</v>
      </c>
      <c r="I1296" s="12">
        <v>45656</v>
      </c>
      <c r="J1296" s="12" t="s">
        <v>495</v>
      </c>
      <c r="K1296" s="77">
        <v>45656</v>
      </c>
      <c r="L1296" s="265" t="s">
        <v>673</v>
      </c>
      <c r="M1296" s="427">
        <v>1295</v>
      </c>
      <c r="N1296" s="13" t="str">
        <f t="shared" ca="1" si="41"/>
        <v>CLOSED</v>
      </c>
    </row>
    <row r="1297" spans="1:14" ht="28.8" x14ac:dyDescent="0.3">
      <c r="A1297" s="189" t="s">
        <v>57</v>
      </c>
      <c r="B1297" s="217">
        <f>VLOOKUP(Table27[[#This Row],[Location 
(drop-down)]],'List source'!D$2:E$61,2,FALSE)</f>
        <v>170</v>
      </c>
      <c r="C1297" s="255" t="s">
        <v>3334</v>
      </c>
      <c r="D1297" s="217" t="str">
        <f t="shared" si="40"/>
        <v>PTO1296-170-24</v>
      </c>
      <c r="E1297" s="9" t="s">
        <v>3335</v>
      </c>
      <c r="F1297" s="10" t="str" cm="1">
        <f t="array" aca="1" ref="F129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297" s="10" t="s">
        <v>529</v>
      </c>
      <c r="I1297" s="12">
        <v>45656</v>
      </c>
      <c r="J1297" s="234" t="s">
        <v>60</v>
      </c>
      <c r="K1297" s="220">
        <v>45715</v>
      </c>
      <c r="L1297" s="10"/>
      <c r="M1297" s="427">
        <v>1296</v>
      </c>
      <c r="N1297" s="13" t="str">
        <f t="shared" ca="1" si="41"/>
        <v>CLOSED</v>
      </c>
    </row>
    <row r="1298" spans="1:14" ht="28.8" x14ac:dyDescent="0.3">
      <c r="A1298" s="189" t="s">
        <v>57</v>
      </c>
      <c r="B1298" s="217">
        <f>VLOOKUP(Table27[[#This Row],[Location 
(drop-down)]],'List source'!D$2:E$61,2,FALSE)</f>
        <v>170</v>
      </c>
      <c r="C1298" s="255" t="s">
        <v>3336</v>
      </c>
      <c r="D1298" s="217" t="str">
        <f t="shared" si="40"/>
        <v>PTO1297-170-24</v>
      </c>
      <c r="E1298" s="9" t="s">
        <v>3337</v>
      </c>
      <c r="F1298" s="10" t="str" cm="1">
        <f t="array" aca="1" ref="F12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2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298" s="10" t="s">
        <v>529</v>
      </c>
      <c r="I1298" s="12">
        <v>45656</v>
      </c>
      <c r="J1298" s="234" t="s">
        <v>60</v>
      </c>
      <c r="K1298" s="220">
        <v>45754</v>
      </c>
      <c r="L1298" s="10"/>
      <c r="M1298" s="427">
        <v>1297</v>
      </c>
      <c r="N1298" s="13" t="str">
        <f t="shared" ca="1" si="41"/>
        <v>CLOSED</v>
      </c>
    </row>
    <row r="1299" spans="1:14" ht="28.8" x14ac:dyDescent="0.3">
      <c r="A1299" s="235" t="s">
        <v>107</v>
      </c>
      <c r="B1299" s="236">
        <f>VLOOKUP(Table27[[#This Row],[Location 
(drop-down)]],'List source'!D$2:E$61,2,FALSE)</f>
        <v>120</v>
      </c>
      <c r="C1299" s="330" t="s">
        <v>3338</v>
      </c>
      <c r="D1299" s="236" t="str">
        <f t="shared" si="40"/>
        <v>PTO1298-120-24</v>
      </c>
      <c r="E1299" s="235" t="s">
        <v>3339</v>
      </c>
      <c r="F1299" s="263" t="str" cm="1">
        <f t="array" aca="1" ref="F12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299"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D6377 - Vapor Pressure</v>
      </c>
      <c r="H1299" s="263">
        <v>7.66</v>
      </c>
      <c r="I1299" s="264">
        <v>45657</v>
      </c>
      <c r="J1299" s="264" t="s">
        <v>438</v>
      </c>
      <c r="K1299" s="250">
        <v>45742</v>
      </c>
      <c r="L1299" s="10"/>
      <c r="M1299" s="427">
        <v>1298</v>
      </c>
      <c r="N1299" s="13" t="str">
        <f t="shared" ca="1" si="41"/>
        <v>CLOSED</v>
      </c>
    </row>
    <row r="1300" spans="1:14" x14ac:dyDescent="0.3">
      <c r="A1300" s="9" t="s">
        <v>436</v>
      </c>
      <c r="B1300" s="13">
        <f>VLOOKUP(Table27[[#This Row],[Location 
(drop-down)]],'List source'!D$2:E$61,2,FALSE)</f>
        <v>129</v>
      </c>
      <c r="C1300" s="223" t="s">
        <v>3340</v>
      </c>
      <c r="D1300" s="13" t="str">
        <f t="shared" si="40"/>
        <v>PTO1299-129-24</v>
      </c>
      <c r="E1300" s="9" t="s">
        <v>3341</v>
      </c>
      <c r="F1300" s="10" t="str" cm="1">
        <f t="array" aca="1" ref="F13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1300" s="10">
        <v>2.19</v>
      </c>
      <c r="I1300" s="12">
        <v>45657</v>
      </c>
      <c r="J1300" s="12" t="s">
        <v>495</v>
      </c>
      <c r="K1300" s="77">
        <v>45657</v>
      </c>
      <c r="L1300" s="265" t="s">
        <v>673</v>
      </c>
      <c r="M1300" s="427">
        <v>1299</v>
      </c>
      <c r="N1300" s="13" t="str">
        <f t="shared" ca="1" si="41"/>
        <v>CLOSED</v>
      </c>
    </row>
    <row r="1301" spans="1:14" x14ac:dyDescent="0.3">
      <c r="A1301" s="94" t="s">
        <v>186</v>
      </c>
      <c r="B1301" s="95">
        <f>VLOOKUP(Table27[[#This Row],[Location 
(drop-down)]],'List source'!D$2:E$61,2,FALSE)</f>
        <v>130</v>
      </c>
      <c r="C1301" s="223" t="s">
        <v>3342</v>
      </c>
      <c r="D1301" s="13" t="str">
        <f t="shared" si="40"/>
        <v>PTO1300-130-24</v>
      </c>
      <c r="E1301" s="94" t="s">
        <v>3343</v>
      </c>
      <c r="F1301" s="98" t="str" cm="1">
        <f t="array" aca="1" ref="F13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1"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1301" s="200" t="s">
        <v>1013</v>
      </c>
      <c r="I1301" s="12">
        <v>45657</v>
      </c>
      <c r="J1301" s="12" t="s">
        <v>495</v>
      </c>
      <c r="K1301" s="77">
        <v>45657</v>
      </c>
      <c r="L1301" s="265" t="s">
        <v>673</v>
      </c>
      <c r="M1301" s="429">
        <v>1300</v>
      </c>
      <c r="N1301" s="13" t="str">
        <f t="shared" ca="1" si="41"/>
        <v>CLOSED</v>
      </c>
    </row>
    <row r="1302" spans="1:14" ht="28.8" x14ac:dyDescent="0.3">
      <c r="A1302" s="9" t="s">
        <v>186</v>
      </c>
      <c r="B1302" s="13">
        <f>VLOOKUP(Table27[[#This Row],[Location 
(drop-down)]],'List source'!D$2:E$61,2,FALSE)</f>
        <v>130</v>
      </c>
      <c r="C1302" s="215" t="s">
        <v>3344</v>
      </c>
      <c r="D1302" s="13" t="str">
        <f t="shared" si="40"/>
        <v>PTO1301-130-24</v>
      </c>
      <c r="E1302" s="9" t="s">
        <v>3345</v>
      </c>
      <c r="F1302" s="10" t="str" cm="1">
        <f t="array" aca="1" ref="F13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1302" s="10" t="s">
        <v>3346</v>
      </c>
      <c r="I1302" s="12">
        <v>45657</v>
      </c>
      <c r="J1302" s="12" t="s">
        <v>495</v>
      </c>
      <c r="K1302" s="77">
        <v>45657</v>
      </c>
      <c r="L1302" s="265" t="s">
        <v>673</v>
      </c>
      <c r="M1302" s="427">
        <v>1301</v>
      </c>
      <c r="N1302" s="13" t="str">
        <f t="shared" ca="1" si="41"/>
        <v>CLOSED</v>
      </c>
    </row>
    <row r="1303" spans="1:14" x14ac:dyDescent="0.3">
      <c r="A1303" s="239" t="s">
        <v>186</v>
      </c>
      <c r="B1303" s="240">
        <f>VLOOKUP(Table27[[#This Row],[Location 
(drop-down)]],'List source'!D$2:E$61,2,FALSE)</f>
        <v>130</v>
      </c>
      <c r="C1303" s="297" t="s">
        <v>3347</v>
      </c>
      <c r="D1303" s="240" t="str">
        <f t="shared" si="40"/>
        <v>PTO1302-130-24</v>
      </c>
      <c r="E1303" s="239" t="s">
        <v>3348</v>
      </c>
      <c r="F1303" s="245" t="str" cm="1">
        <f t="array" aca="1" ref="F13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3"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303" s="296" t="s">
        <v>3349</v>
      </c>
      <c r="I1303" s="246">
        <v>45657</v>
      </c>
      <c r="J1303" s="246" t="s">
        <v>495</v>
      </c>
      <c r="K1303" s="247">
        <v>45698</v>
      </c>
      <c r="L1303" s="245" t="s">
        <v>510</v>
      </c>
      <c r="M1303" s="427">
        <v>1302</v>
      </c>
      <c r="N1303" s="13" t="str">
        <f t="shared" ca="1" si="41"/>
        <v>CLOSED</v>
      </c>
    </row>
    <row r="1304" spans="1:14" ht="28.8" x14ac:dyDescent="0.3">
      <c r="A1304" s="9" t="s">
        <v>86</v>
      </c>
      <c r="B1304" s="13">
        <f>VLOOKUP(Table27[[#This Row],[Location 
(drop-down)]],'List source'!D$2:E$61,2,FALSE)</f>
        <v>150</v>
      </c>
      <c r="C1304" s="215" t="s">
        <v>3350</v>
      </c>
      <c r="D1304" s="13" t="str">
        <f t="shared" si="40"/>
        <v>PTO1303-150-24</v>
      </c>
      <c r="E1304" s="9" t="s">
        <v>3351</v>
      </c>
      <c r="F1304" s="10" t="str" cm="1">
        <f t="array" aca="1" ref="F13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1304" s="10">
        <v>7.38</v>
      </c>
      <c r="I1304" s="12">
        <v>45657</v>
      </c>
      <c r="J1304" s="12" t="s">
        <v>134</v>
      </c>
      <c r="K1304" s="77">
        <v>45874</v>
      </c>
      <c r="L1304" s="10"/>
      <c r="M1304" s="427">
        <v>1303</v>
      </c>
      <c r="N1304" s="13" t="str">
        <f t="shared" ca="1" si="41"/>
        <v>CLOSED</v>
      </c>
    </row>
    <row r="1305" spans="1:14" x14ac:dyDescent="0.3">
      <c r="A1305" s="9" t="s">
        <v>86</v>
      </c>
      <c r="B1305" s="13">
        <f>VLOOKUP(Table27[[#This Row],[Location 
(drop-down)]],'List source'!D$2:E$61,2,FALSE)</f>
        <v>150</v>
      </c>
      <c r="C1305" s="215" t="s">
        <v>3352</v>
      </c>
      <c r="D1305" s="13" t="str">
        <f t="shared" si="40"/>
        <v>PTO1304-150-24</v>
      </c>
      <c r="E1305" s="9" t="s">
        <v>3353</v>
      </c>
      <c r="F1305" s="10" t="str" cm="1">
        <f t="array" aca="1" ref="F13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D3230 - Salts</v>
      </c>
      <c r="H1305" s="39" t="s">
        <v>562</v>
      </c>
      <c r="I1305" s="12">
        <v>45657</v>
      </c>
      <c r="J1305" s="12" t="s">
        <v>134</v>
      </c>
      <c r="K1305" s="77">
        <v>45831</v>
      </c>
      <c r="L1305" s="10"/>
      <c r="M1305" s="427">
        <v>1304</v>
      </c>
      <c r="N1305" s="13" t="str">
        <f t="shared" ca="1" si="41"/>
        <v>CLOSED</v>
      </c>
    </row>
    <row r="1306" spans="1:14" ht="28.8" x14ac:dyDescent="0.3">
      <c r="A1306" s="9" t="s">
        <v>65</v>
      </c>
      <c r="B1306" s="13">
        <f>VLOOKUP(Table27[[#This Row],[Location 
(drop-down)]],'List source'!D$2:E$61,2,FALSE)</f>
        <v>155</v>
      </c>
      <c r="C1306" s="215" t="s">
        <v>3354</v>
      </c>
      <c r="D1306" s="13" t="str">
        <f t="shared" si="40"/>
        <v>PTO1305-155-24</v>
      </c>
      <c r="E1306" s="9" t="s">
        <v>3355</v>
      </c>
      <c r="F1306" s="10" t="str" cm="1">
        <f t="array" aca="1" ref="F13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D5863 - Element</v>
      </c>
      <c r="H1306" s="10" t="s">
        <v>3356</v>
      </c>
      <c r="I1306" s="12">
        <v>45657</v>
      </c>
      <c r="J1306" s="12" t="s">
        <v>182</v>
      </c>
      <c r="K1306" s="77">
        <v>45964</v>
      </c>
      <c r="L1306" s="10"/>
      <c r="M1306" s="427">
        <v>1305</v>
      </c>
      <c r="N1306" s="13" t="str">
        <f t="shared" ca="1" si="41"/>
        <v>CLOSED</v>
      </c>
    </row>
    <row r="1307" spans="1:14" ht="28.8" x14ac:dyDescent="0.3">
      <c r="A1307" s="9" t="s">
        <v>65</v>
      </c>
      <c r="B1307" s="13">
        <f>VLOOKUP(Table27[[#This Row],[Location 
(drop-down)]],'List source'!D$2:E$61,2,FALSE)</f>
        <v>155</v>
      </c>
      <c r="C1307" s="215" t="s">
        <v>3357</v>
      </c>
      <c r="D1307" s="13" t="str">
        <f t="shared" si="40"/>
        <v>PTO1306-155-24</v>
      </c>
      <c r="E1307" s="9" t="s">
        <v>3358</v>
      </c>
      <c r="F1307" s="10" t="str" cm="1">
        <f t="array" aca="1" ref="F13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1307" s="39" t="s">
        <v>966</v>
      </c>
      <c r="I1307" s="12">
        <v>45657</v>
      </c>
      <c r="J1307" s="12" t="s">
        <v>182</v>
      </c>
      <c r="K1307" s="77">
        <v>46007</v>
      </c>
      <c r="L1307" s="10"/>
      <c r="M1307" s="427">
        <v>1306</v>
      </c>
      <c r="N1307" s="13" t="str">
        <f t="shared" ca="1" si="41"/>
        <v>CLOSED</v>
      </c>
    </row>
    <row r="1308" spans="1:14" x14ac:dyDescent="0.3">
      <c r="A1308" s="9" t="s">
        <v>65</v>
      </c>
      <c r="B1308" s="13">
        <f>VLOOKUP(Table27[[#This Row],[Location 
(drop-down)]],'List source'!D$2:E$61,2,FALSE)</f>
        <v>155</v>
      </c>
      <c r="C1308" s="215" t="s">
        <v>3359</v>
      </c>
      <c r="D1308" s="13" t="str">
        <f t="shared" si="40"/>
        <v>PTO1307-155-24</v>
      </c>
      <c r="E1308" s="9" t="s">
        <v>3360</v>
      </c>
      <c r="F1308" s="10" t="str" cm="1">
        <f t="array" aca="1" ref="F13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Viscosity</v>
      </c>
      <c r="H1308" s="39" t="s">
        <v>1377</v>
      </c>
      <c r="I1308" s="12">
        <v>45657</v>
      </c>
      <c r="J1308" s="12" t="s">
        <v>495</v>
      </c>
      <c r="K1308" s="77">
        <v>45657</v>
      </c>
      <c r="L1308" s="265" t="s">
        <v>673</v>
      </c>
      <c r="M1308" s="427">
        <v>1307</v>
      </c>
      <c r="N1308" s="13" t="str">
        <f t="shared" ca="1" si="41"/>
        <v>CLOSED</v>
      </c>
    </row>
    <row r="1309" spans="1:14" x14ac:dyDescent="0.3">
      <c r="A1309" s="9" t="s">
        <v>159</v>
      </c>
      <c r="B1309" s="13">
        <f>VLOOKUP(Table27[[#This Row],[Location 
(drop-down)]],'List source'!D$2:E$61,2,FALSE)</f>
        <v>156</v>
      </c>
      <c r="C1309" s="215" t="s">
        <v>3361</v>
      </c>
      <c r="D1309" s="13" t="str">
        <f t="shared" si="40"/>
        <v>PTO1308-156-24</v>
      </c>
      <c r="E1309" s="9" t="s">
        <v>3362</v>
      </c>
      <c r="F1309" s="10" t="str" cm="1">
        <f t="array" aca="1" ref="F130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D5708 - Element</v>
      </c>
      <c r="H1309" s="39" t="s">
        <v>2098</v>
      </c>
      <c r="I1309" s="12">
        <v>45657</v>
      </c>
      <c r="J1309" s="12" t="s">
        <v>495</v>
      </c>
      <c r="K1309" s="77">
        <v>45657</v>
      </c>
      <c r="L1309" s="265" t="s">
        <v>673</v>
      </c>
      <c r="M1309" s="427">
        <v>1308</v>
      </c>
      <c r="N1309" s="13" t="str">
        <f t="shared" ca="1" si="41"/>
        <v>CLOSED</v>
      </c>
    </row>
    <row r="1310" spans="1:14" x14ac:dyDescent="0.3">
      <c r="A1310" s="9" t="s">
        <v>90</v>
      </c>
      <c r="B1310" s="13">
        <f>VLOOKUP(Table27[[#This Row],[Location 
(drop-down)]],'List source'!D$2:E$61,2,FALSE)</f>
        <v>157</v>
      </c>
      <c r="C1310" s="215" t="s">
        <v>3363</v>
      </c>
      <c r="D1310" s="13" t="str">
        <f t="shared" si="40"/>
        <v>PTO1309-157-24</v>
      </c>
      <c r="E1310" s="13" t="s">
        <v>3364</v>
      </c>
      <c r="F1310" s="10" t="str" cm="1">
        <f t="array" aca="1" ref="F131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D4530 - Carbon Residue</v>
      </c>
      <c r="H1310" s="10">
        <v>3.01</v>
      </c>
      <c r="I1310" s="12">
        <v>45657</v>
      </c>
      <c r="J1310" s="12" t="s">
        <v>134</v>
      </c>
      <c r="K1310" s="77">
        <v>45720</v>
      </c>
      <c r="L1310" s="10"/>
      <c r="M1310" s="427">
        <v>1309</v>
      </c>
      <c r="N1310" s="13" t="str">
        <f t="shared" ca="1" si="41"/>
        <v>CLOSED</v>
      </c>
    </row>
    <row r="1311" spans="1:14" x14ac:dyDescent="0.3">
      <c r="A1311" s="9" t="s">
        <v>35</v>
      </c>
      <c r="B1311" s="13">
        <f>VLOOKUP(Table27[[#This Row],[Location 
(drop-down)]],'List source'!D$2:E$61,2,FALSE)</f>
        <v>158</v>
      </c>
      <c r="C1311" s="215" t="s">
        <v>3365</v>
      </c>
      <c r="D1311" s="13" t="str">
        <f t="shared" si="40"/>
        <v>PTO1310-158-24</v>
      </c>
      <c r="E1311" s="9" t="s">
        <v>3366</v>
      </c>
      <c r="F1311" s="10" t="str" cm="1">
        <f t="array" aca="1" ref="F131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D664 - Acid Number</v>
      </c>
      <c r="H1311" s="10">
        <v>2.96</v>
      </c>
      <c r="I1311" s="12">
        <v>45657</v>
      </c>
      <c r="J1311" s="12" t="s">
        <v>495</v>
      </c>
      <c r="K1311" s="77">
        <v>45657</v>
      </c>
      <c r="L1311" s="265" t="s">
        <v>673</v>
      </c>
      <c r="M1311" s="427">
        <v>1310</v>
      </c>
      <c r="N1311" s="13" t="str">
        <f t="shared" ca="1" si="41"/>
        <v>CLOSED</v>
      </c>
    </row>
    <row r="1312" spans="1:14" ht="43.2" x14ac:dyDescent="0.3">
      <c r="A1312" s="239" t="s">
        <v>235</v>
      </c>
      <c r="B1312" s="240">
        <f>VLOOKUP(Table27[[#This Row],[Location 
(drop-down)]],'List source'!D$2:E$61,2,FALSE)</f>
        <v>160</v>
      </c>
      <c r="C1312" s="297" t="s">
        <v>3367</v>
      </c>
      <c r="D1312" s="240" t="str">
        <f t="shared" si="40"/>
        <v>PTO1311-160-24</v>
      </c>
      <c r="E1312" s="239" t="s">
        <v>3368</v>
      </c>
      <c r="F1312" s="245" t="str" cm="1">
        <f t="array" aca="1" ref="F131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2" s="23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1312" s="296" t="s">
        <v>3369</v>
      </c>
      <c r="I1312" s="246">
        <v>45657</v>
      </c>
      <c r="J1312" s="246" t="s">
        <v>182</v>
      </c>
      <c r="K1312" s="247">
        <v>45791</v>
      </c>
      <c r="L1312" s="10"/>
      <c r="M1312" s="427">
        <v>1311</v>
      </c>
      <c r="N1312" s="13" t="str">
        <f t="shared" ca="1" si="41"/>
        <v>CLOSED</v>
      </c>
    </row>
    <row r="1313" spans="1:14" ht="28.8" x14ac:dyDescent="0.3">
      <c r="A1313" s="235" t="s">
        <v>235</v>
      </c>
      <c r="B1313" s="236">
        <f>VLOOKUP(Table27[[#This Row],[Location 
(drop-down)]],'List source'!D$2:E$61,2,FALSE)</f>
        <v>160</v>
      </c>
      <c r="C1313" s="331" t="s">
        <v>3370</v>
      </c>
      <c r="D1313" s="236" t="str">
        <f t="shared" si="40"/>
        <v>PTO1312-160-24</v>
      </c>
      <c r="E1313" s="235" t="s">
        <v>3371</v>
      </c>
      <c r="F1313" s="263" t="str" cm="1">
        <f t="array" aca="1" ref="F131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3" s="235"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D4807 - Sediment</v>
      </c>
      <c r="H1313" s="263">
        <v>2.8</v>
      </c>
      <c r="I1313" s="264">
        <v>45657</v>
      </c>
      <c r="J1313" s="264" t="s">
        <v>182</v>
      </c>
      <c r="K1313" s="250">
        <v>45768</v>
      </c>
      <c r="L1313" s="10"/>
      <c r="M1313" s="427">
        <v>1312</v>
      </c>
      <c r="N1313" s="13" t="str">
        <f t="shared" ca="1" si="41"/>
        <v>CLOSED</v>
      </c>
    </row>
    <row r="1314" spans="1:14" x14ac:dyDescent="0.3">
      <c r="A1314" s="9" t="s">
        <v>241</v>
      </c>
      <c r="B1314" s="13">
        <f>VLOOKUP(Table27[[#This Row],[Location 
(drop-down)]],'List source'!D$2:E$61,2,FALSE)</f>
        <v>171</v>
      </c>
      <c r="C1314" s="215" t="s">
        <v>3372</v>
      </c>
      <c r="D1314" s="13" t="str">
        <f t="shared" si="40"/>
        <v>PTO1313-171-24</v>
      </c>
      <c r="E1314" s="9" t="s">
        <v>3373</v>
      </c>
      <c r="F1314" s="10" t="str" cm="1">
        <f t="array" aca="1" ref="F131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D7169 - BP Dist by HT-GC</v>
      </c>
      <c r="H1314" s="39" t="s">
        <v>2598</v>
      </c>
      <c r="I1314" s="12">
        <v>45657</v>
      </c>
      <c r="J1314" s="12" t="s">
        <v>495</v>
      </c>
      <c r="K1314" s="77">
        <v>45657</v>
      </c>
      <c r="L1314" s="265" t="s">
        <v>673</v>
      </c>
      <c r="M1314" s="427">
        <v>1313</v>
      </c>
      <c r="N1314" s="13" t="str">
        <f t="shared" ca="1" si="41"/>
        <v>CLOSED</v>
      </c>
    </row>
    <row r="1315" spans="1:14" x14ac:dyDescent="0.3">
      <c r="A1315" s="9" t="s">
        <v>325</v>
      </c>
      <c r="B1315" s="13">
        <f>VLOOKUP(Table27[[#This Row],[Location 
(drop-down)]],'List source'!D$2:E$61,2,FALSE)</f>
        <v>180</v>
      </c>
      <c r="C1315" s="215" t="s">
        <v>3374</v>
      </c>
      <c r="D1315" s="13" t="str">
        <f t="shared" si="40"/>
        <v>PTO1314-180-24</v>
      </c>
      <c r="E1315" s="9" t="s">
        <v>3375</v>
      </c>
      <c r="F1315" s="10" t="str" cm="1">
        <f t="array" aca="1" ref="F131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D7900 - HC Type</v>
      </c>
      <c r="H1315" s="10" t="s">
        <v>3376</v>
      </c>
      <c r="I1315" s="12">
        <v>45657</v>
      </c>
      <c r="J1315" s="12" t="s">
        <v>495</v>
      </c>
      <c r="K1315" s="77">
        <v>45657</v>
      </c>
      <c r="L1315" s="265" t="s">
        <v>673</v>
      </c>
      <c r="M1315" s="427">
        <v>1314</v>
      </c>
      <c r="N1315" s="13" t="str">
        <f t="shared" ca="1" si="41"/>
        <v>CLOSED</v>
      </c>
    </row>
    <row r="1316" spans="1:14" x14ac:dyDescent="0.3">
      <c r="A1316" s="9" t="s">
        <v>388</v>
      </c>
      <c r="B1316" s="13">
        <f>VLOOKUP(Table27[[#This Row],[Location 
(drop-down)]],'List source'!D$2:E$61,2,FALSE)</f>
        <v>191</v>
      </c>
      <c r="C1316" s="215" t="s">
        <v>3377</v>
      </c>
      <c r="D1316" s="13" t="str">
        <f t="shared" si="40"/>
        <v>PTO1315-191-24</v>
      </c>
      <c r="E1316" s="9" t="s">
        <v>3341</v>
      </c>
      <c r="F1316" s="10" t="str" cm="1">
        <f t="array" aca="1" ref="F13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D5002 - Density</v>
      </c>
      <c r="H1316" s="39" t="s">
        <v>3378</v>
      </c>
      <c r="I1316" s="12">
        <v>45657</v>
      </c>
      <c r="J1316" s="12" t="s">
        <v>495</v>
      </c>
      <c r="K1316" s="77">
        <v>45657</v>
      </c>
      <c r="L1316" s="265" t="s">
        <v>673</v>
      </c>
      <c r="M1316" s="427">
        <v>1315</v>
      </c>
      <c r="N1316" s="13" t="str">
        <f t="shared" ca="1" si="41"/>
        <v>CLOSED</v>
      </c>
    </row>
    <row r="1317" spans="1:14" ht="28.8" x14ac:dyDescent="0.3">
      <c r="A1317" s="9" t="s">
        <v>310</v>
      </c>
      <c r="B1317" s="13">
        <f>VLOOKUP(Table27[[#This Row],[Location 
(drop-down)]],'List source'!D$2:E$60,2,FALSE)</f>
        <v>144</v>
      </c>
      <c r="C1317" s="215" t="s">
        <v>3379</v>
      </c>
      <c r="D1317" s="11" t="str">
        <f t="shared" si="40"/>
        <v>PTO681-144-24</v>
      </c>
      <c r="E1317" s="9" t="s">
        <v>1900</v>
      </c>
      <c r="F1317" s="10" t="str" cm="1">
        <f t="array" aca="1" ref="F13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BIOD</v>
      </c>
      <c r="G131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EN14538 - Elements</v>
      </c>
      <c r="H1317" s="10">
        <v>4.2300000000000004</v>
      </c>
      <c r="I1317" s="12">
        <v>45495</v>
      </c>
      <c r="J1317" s="12" t="s">
        <v>498</v>
      </c>
      <c r="K1317" s="77">
        <v>46038</v>
      </c>
      <c r="L1317" s="10"/>
      <c r="M1317" s="427">
        <v>681</v>
      </c>
      <c r="N1317" s="13" t="str">
        <f t="shared" ca="1" si="41"/>
        <v>CLOSED</v>
      </c>
    </row>
    <row r="1318" spans="1:14" x14ac:dyDescent="0.3">
      <c r="A1318" s="9" t="s">
        <v>261</v>
      </c>
      <c r="B1318" s="13">
        <f>VLOOKUP(Table27[[#This Row],[Location 
(drop-down)]],'List source'!D$2:E$61,2,FALSE)</f>
        <v>210</v>
      </c>
      <c r="C1318" s="215" t="s">
        <v>3380</v>
      </c>
      <c r="D1318" s="13" t="str">
        <f t="shared" si="40"/>
        <v>PTO1317-210-24</v>
      </c>
      <c r="E1318" s="9" t="s">
        <v>3381</v>
      </c>
      <c r="F1318" s="10" t="str" cm="1">
        <f t="array" aca="1" ref="F13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CO</v>
      </c>
      <c r="G131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1318" s="10">
        <v>4.84</v>
      </c>
      <c r="I1318" s="12">
        <v>45657</v>
      </c>
      <c r="J1318" s="12" t="s">
        <v>495</v>
      </c>
      <c r="K1318" s="77">
        <v>45670</v>
      </c>
      <c r="L1318" s="10" t="s">
        <v>510</v>
      </c>
      <c r="M1318" s="427">
        <v>1317</v>
      </c>
      <c r="N1318" s="13" t="str">
        <f t="shared" ca="1" si="41"/>
        <v>CLOSED</v>
      </c>
    </row>
    <row r="1319" spans="1:14" x14ac:dyDescent="0.3">
      <c r="A1319" s="272" t="s">
        <v>107</v>
      </c>
      <c r="B1319" s="273">
        <f>VLOOKUP(Table27[[#This Row],[Location 
(drop-down)]],'List source'!D$2:E$61,2,FALSE)</f>
        <v>120</v>
      </c>
      <c r="C1319" s="332" t="s">
        <v>3382</v>
      </c>
      <c r="D1319" s="273" t="str">
        <f t="shared" si="40"/>
        <v>PTO1318-120-24</v>
      </c>
      <c r="E1319" s="272" t="s">
        <v>3383</v>
      </c>
      <c r="F1319" s="277" t="str" cm="1">
        <f t="array" aca="1" ref="F131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19"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E203 - Water</v>
      </c>
      <c r="H1319" s="277">
        <v>8.67</v>
      </c>
      <c r="I1319" s="279">
        <v>45657</v>
      </c>
      <c r="J1319" s="279" t="s">
        <v>182</v>
      </c>
      <c r="K1319" s="280">
        <v>45724</v>
      </c>
      <c r="L1319" s="10"/>
      <c r="M1319" s="427">
        <v>1318</v>
      </c>
      <c r="N1319" s="13" t="str">
        <f t="shared" ca="1" si="41"/>
        <v>CLOSED</v>
      </c>
    </row>
    <row r="1320" spans="1:14" x14ac:dyDescent="0.3">
      <c r="A1320" s="9" t="s">
        <v>126</v>
      </c>
      <c r="B1320" s="13">
        <f>VLOOKUP(Table27[[#This Row],[Location 
(drop-down)]],'List source'!D$2:E$61,2,FALSE)</f>
        <v>125</v>
      </c>
      <c r="C1320" s="215" t="s">
        <v>3384</v>
      </c>
      <c r="D1320" s="13" t="str">
        <f t="shared" si="40"/>
        <v>PTO1319-125-24</v>
      </c>
      <c r="E1320" s="9" t="s">
        <v>3385</v>
      </c>
      <c r="F1320" s="10" t="str" cm="1">
        <f t="array" aca="1" ref="F132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320" s="10">
        <v>4.75</v>
      </c>
      <c r="I1320" s="12">
        <v>45657</v>
      </c>
      <c r="J1320" s="12" t="s">
        <v>195</v>
      </c>
      <c r="K1320" s="77">
        <v>45839</v>
      </c>
      <c r="L1320" s="10"/>
      <c r="M1320" s="427">
        <v>1319</v>
      </c>
      <c r="N1320" s="13" t="str">
        <f t="shared" ca="1" si="41"/>
        <v>CLOSED</v>
      </c>
    </row>
    <row r="1321" spans="1:14" x14ac:dyDescent="0.3">
      <c r="A1321" s="9" t="s">
        <v>186</v>
      </c>
      <c r="B1321" s="13">
        <f>VLOOKUP(Table27[[#This Row],[Location 
(drop-down)]],'List source'!D$2:E$61,2,FALSE)</f>
        <v>130</v>
      </c>
      <c r="C1321" s="215" t="s">
        <v>3386</v>
      </c>
      <c r="D1321" s="13" t="str">
        <f t="shared" si="40"/>
        <v>PTO1320-130-24</v>
      </c>
      <c r="E1321" s="9" t="s">
        <v>3387</v>
      </c>
      <c r="F1321" s="10" t="str" cm="1">
        <f t="array" aca="1" ref="F132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D7795 - Acidty</v>
      </c>
      <c r="H1321" s="10">
        <v>4.2699999999999996</v>
      </c>
      <c r="I1321" s="12"/>
      <c r="J1321" s="12" t="s">
        <v>54</v>
      </c>
      <c r="K1321" s="77">
        <v>45754</v>
      </c>
      <c r="L1321" s="10"/>
      <c r="M1321" s="427">
        <v>1320</v>
      </c>
      <c r="N1321" s="13" t="str">
        <f t="shared" ca="1" si="41"/>
        <v>CLOSED</v>
      </c>
    </row>
    <row r="1322" spans="1:14" ht="28.8" x14ac:dyDescent="0.3">
      <c r="A1322" s="9" t="s">
        <v>186</v>
      </c>
      <c r="B1322" s="13">
        <f>VLOOKUP(Table27[[#This Row],[Location 
(drop-down)]],'List source'!D$2:E$61,2,FALSE)</f>
        <v>130</v>
      </c>
      <c r="C1322" s="215" t="s">
        <v>3388</v>
      </c>
      <c r="D1322" s="13" t="str">
        <f t="shared" si="40"/>
        <v>PTO1321-130-24</v>
      </c>
      <c r="E1322" s="9" t="s">
        <v>3389</v>
      </c>
      <c r="F1322" s="10" t="str" cm="1">
        <f t="array" aca="1" ref="F132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D7319 - Inorganic Chloride &amp; Existent Sulfate</v>
      </c>
      <c r="H1322" s="10" t="s">
        <v>3390</v>
      </c>
      <c r="I1322" s="12"/>
      <c r="J1322" s="12" t="s">
        <v>54</v>
      </c>
      <c r="K1322" s="77">
        <v>45743</v>
      </c>
      <c r="L1322" s="10"/>
      <c r="M1322" s="427">
        <v>1321</v>
      </c>
      <c r="N1322" s="13" t="str">
        <f t="shared" ca="1" si="41"/>
        <v>CLOSED</v>
      </c>
    </row>
    <row r="1323" spans="1:14" x14ac:dyDescent="0.3">
      <c r="A1323" s="9" t="s">
        <v>186</v>
      </c>
      <c r="B1323" s="13">
        <f>VLOOKUP(Table27[[#This Row],[Location 
(drop-down)]],'List source'!D$2:E$61,2,FALSE)</f>
        <v>130</v>
      </c>
      <c r="C1323" s="215" t="s">
        <v>3391</v>
      </c>
      <c r="D1323" s="13" t="str">
        <f t="shared" si="40"/>
        <v>PTO1322-130-24</v>
      </c>
      <c r="E1323" s="9" t="s">
        <v>3392</v>
      </c>
      <c r="F1323" s="10" t="str" cm="1">
        <f t="array" aca="1" ref="F132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323" s="39" t="s">
        <v>1287</v>
      </c>
      <c r="I1323" s="12">
        <v>45657</v>
      </c>
      <c r="J1323" s="12" t="s">
        <v>495</v>
      </c>
      <c r="K1323" s="77">
        <v>45657</v>
      </c>
      <c r="L1323" s="265" t="s">
        <v>673</v>
      </c>
      <c r="M1323" s="427">
        <v>1322</v>
      </c>
      <c r="N1323" s="13" t="str">
        <f t="shared" ca="1" si="41"/>
        <v>CLOSED</v>
      </c>
    </row>
    <row r="1324" spans="1:14" x14ac:dyDescent="0.3">
      <c r="A1324" s="9" t="s">
        <v>186</v>
      </c>
      <c r="B1324" s="13">
        <f>VLOOKUP(Table27[[#This Row],[Location 
(drop-down)]],'List source'!D$2:E$61,2,FALSE)</f>
        <v>130</v>
      </c>
      <c r="C1324" s="215" t="s">
        <v>3393</v>
      </c>
      <c r="D1324" s="13" t="str">
        <f t="shared" si="40"/>
        <v>PTO1323-130-24</v>
      </c>
      <c r="E1324" s="9" t="s">
        <v>3394</v>
      </c>
      <c r="F1324" s="10" t="str" cm="1">
        <f t="array" aca="1" ref="F132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1324" s="10">
        <v>7.06</v>
      </c>
      <c r="I1324" s="12">
        <v>45657</v>
      </c>
      <c r="J1324" s="12" t="s">
        <v>54</v>
      </c>
      <c r="K1324" s="77">
        <v>45763</v>
      </c>
      <c r="L1324" s="10"/>
      <c r="M1324" s="427">
        <v>1323</v>
      </c>
      <c r="N1324" s="13" t="str">
        <f t="shared" ca="1" si="41"/>
        <v>CLOSED</v>
      </c>
    </row>
    <row r="1325" spans="1:14" ht="28.8" x14ac:dyDescent="0.3">
      <c r="A1325" s="189" t="s">
        <v>597</v>
      </c>
      <c r="B1325" s="217">
        <f>VLOOKUP(Table27[[#This Row],[Location 
(drop-down)]],'List source'!D$2:E$61,2,FALSE)</f>
        <v>139</v>
      </c>
      <c r="C1325" s="254" t="s">
        <v>3395</v>
      </c>
      <c r="D1325" s="217" t="str">
        <f t="shared" si="40"/>
        <v>PTO1324-139-24</v>
      </c>
      <c r="E1325" s="9" t="s">
        <v>3396</v>
      </c>
      <c r="F1325" s="10" t="str" cm="1">
        <f t="array" aca="1" ref="F132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Density</v>
      </c>
      <c r="H1325" s="10">
        <v>-8.5399999999999991</v>
      </c>
      <c r="I1325" s="12">
        <v>45657</v>
      </c>
      <c r="J1325" s="234" t="s">
        <v>495</v>
      </c>
      <c r="K1325" s="220">
        <v>45714</v>
      </c>
      <c r="L1325" s="10"/>
      <c r="M1325" s="427">
        <v>1324</v>
      </c>
      <c r="N1325" s="13" t="str">
        <f t="shared" ca="1" si="41"/>
        <v>CLOSED</v>
      </c>
    </row>
    <row r="1326" spans="1:14" x14ac:dyDescent="0.3">
      <c r="A1326" s="189" t="s">
        <v>597</v>
      </c>
      <c r="B1326" s="217">
        <f>VLOOKUP(Table27[[#This Row],[Location 
(drop-down)]],'List source'!D$2:E$61,2,FALSE)</f>
        <v>139</v>
      </c>
      <c r="C1326" s="254" t="s">
        <v>3397</v>
      </c>
      <c r="D1326" s="217" t="str">
        <f t="shared" si="40"/>
        <v>PTO1325-139-24</v>
      </c>
      <c r="E1326" s="9" t="s">
        <v>3398</v>
      </c>
      <c r="F1326" s="10" t="str" cm="1">
        <f t="array" aca="1" ref="F132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D5501 - Methanol</v>
      </c>
      <c r="H1326" s="10">
        <v>5.88</v>
      </c>
      <c r="I1326" s="12">
        <v>45657</v>
      </c>
      <c r="J1326" s="234" t="s">
        <v>60</v>
      </c>
      <c r="K1326" s="220">
        <v>45714</v>
      </c>
      <c r="L1326" s="10"/>
      <c r="M1326" s="427">
        <v>1325</v>
      </c>
      <c r="N1326" s="13" t="str">
        <f t="shared" ca="1" si="41"/>
        <v>CLOSED</v>
      </c>
    </row>
    <row r="1327" spans="1:14" x14ac:dyDescent="0.3">
      <c r="A1327" s="189" t="s">
        <v>597</v>
      </c>
      <c r="B1327" s="217">
        <f>VLOOKUP(Table27[[#This Row],[Location 
(drop-down)]],'List source'!D$2:E$61,2,FALSE)</f>
        <v>139</v>
      </c>
      <c r="C1327" s="254" t="s">
        <v>3399</v>
      </c>
      <c r="D1327" s="217" t="str">
        <f t="shared" si="40"/>
        <v>PTO1326-139-24</v>
      </c>
      <c r="E1327" s="9" t="s">
        <v>3400</v>
      </c>
      <c r="F1327" s="10" t="str" cm="1">
        <f t="array" aca="1" ref="F132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327" s="10">
        <v>3.17</v>
      </c>
      <c r="I1327" s="12">
        <v>45657</v>
      </c>
      <c r="J1327" s="234" t="s">
        <v>60</v>
      </c>
      <c r="K1327" s="220">
        <v>45714</v>
      </c>
      <c r="L1327" s="10"/>
      <c r="M1327" s="427">
        <v>1326</v>
      </c>
      <c r="N1327" s="13" t="str">
        <f t="shared" ca="1" si="41"/>
        <v>CLOSED</v>
      </c>
    </row>
    <row r="1328" spans="1:14" x14ac:dyDescent="0.3">
      <c r="A1328" s="9" t="s">
        <v>86</v>
      </c>
      <c r="B1328" s="13">
        <f>VLOOKUP(Table27[[#This Row],[Location 
(drop-down)]],'List source'!D$2:E$61,2,FALSE)</f>
        <v>150</v>
      </c>
      <c r="C1328" s="215" t="s">
        <v>3401</v>
      </c>
      <c r="D1328" s="13" t="str">
        <f t="shared" si="40"/>
        <v>PTO1327-150-24</v>
      </c>
      <c r="E1328" s="9" t="s">
        <v>3402</v>
      </c>
      <c r="F1328" s="10" t="str" cm="1">
        <f t="array" aca="1" ref="F132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8" s="9" t="s">
        <v>3403</v>
      </c>
      <c r="H1328" s="10">
        <v>2.48</v>
      </c>
      <c r="I1328" s="12">
        <v>45657</v>
      </c>
      <c r="J1328" s="12" t="s">
        <v>495</v>
      </c>
      <c r="K1328" s="77">
        <v>45657</v>
      </c>
      <c r="L1328" s="265" t="s">
        <v>673</v>
      </c>
      <c r="M1328" s="427">
        <v>1327</v>
      </c>
      <c r="N1328" s="13" t="str">
        <f t="shared" ca="1" si="41"/>
        <v>CLOSED</v>
      </c>
    </row>
    <row r="1329" spans="1:14" x14ac:dyDescent="0.3">
      <c r="A1329" s="9" t="s">
        <v>86</v>
      </c>
      <c r="B1329" s="13">
        <f>VLOOKUP(Table27[[#This Row],[Location 
(drop-down)]],'List source'!D$2:E$61,2,FALSE)</f>
        <v>150</v>
      </c>
      <c r="C1329" s="215" t="s">
        <v>3404</v>
      </c>
      <c r="D1329" s="13" t="str">
        <f t="shared" si="40"/>
        <v>PTO1328-150-24</v>
      </c>
      <c r="E1329" s="9" t="s">
        <v>3405</v>
      </c>
      <c r="F1329" s="10" t="str" cm="1">
        <f t="array" aca="1" ref="F132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29" s="9" t="s">
        <v>3406</v>
      </c>
      <c r="H1329" s="10">
        <v>2.21</v>
      </c>
      <c r="I1329" s="12">
        <v>45657</v>
      </c>
      <c r="J1329" s="12" t="s">
        <v>495</v>
      </c>
      <c r="K1329" s="77">
        <v>45657</v>
      </c>
      <c r="L1329" s="265" t="s">
        <v>673</v>
      </c>
      <c r="M1329" s="427">
        <v>1328</v>
      </c>
      <c r="N1329" s="13" t="str">
        <f t="shared" ca="1" si="41"/>
        <v>CLOSED</v>
      </c>
    </row>
    <row r="1330" spans="1:14" x14ac:dyDescent="0.3">
      <c r="A1330" s="9" t="s">
        <v>388</v>
      </c>
      <c r="B1330" s="13">
        <f>VLOOKUP(Table27[[#This Row],[Location 
(drop-down)]],'List source'!D$2:E$61,2,FALSE)</f>
        <v>191</v>
      </c>
      <c r="C1330" s="215" t="s">
        <v>3407</v>
      </c>
      <c r="D1330" s="13" t="str">
        <f t="shared" si="40"/>
        <v>PTO1329-191-24</v>
      </c>
      <c r="E1330" s="9" t="s">
        <v>3408</v>
      </c>
      <c r="F1330" s="10" t="str" cm="1">
        <f t="array" aca="1" ref="F133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3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E1064 - Water</v>
      </c>
      <c r="H1330" s="39" t="s">
        <v>1550</v>
      </c>
      <c r="I1330" s="12">
        <v>45657</v>
      </c>
      <c r="J1330" s="12" t="s">
        <v>495</v>
      </c>
      <c r="K1330" s="77">
        <v>45657</v>
      </c>
      <c r="L1330" s="265" t="s">
        <v>673</v>
      </c>
      <c r="M1330" s="427">
        <v>1329</v>
      </c>
      <c r="N1330" s="13" t="str">
        <f t="shared" ca="1" si="41"/>
        <v>CLOSED</v>
      </c>
    </row>
    <row r="1331" spans="1:14" x14ac:dyDescent="0.3">
      <c r="A1331" s="9" t="s">
        <v>288</v>
      </c>
      <c r="B1331" s="13">
        <f>VLOOKUP(Table27[[#This Row],[Location 
(drop-down)]],'List source'!D$2:E$61,2,FALSE)</f>
        <v>197</v>
      </c>
      <c r="C1331" s="215" t="s">
        <v>3409</v>
      </c>
      <c r="D1331" s="13" t="str">
        <f t="shared" si="40"/>
        <v>PTO1330-197-24</v>
      </c>
      <c r="E1331" s="9" t="s">
        <v>3402</v>
      </c>
      <c r="F1331" s="10" t="str" cm="1">
        <f t="array" aca="1" ref="F133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31" s="9" t="s">
        <v>3403</v>
      </c>
      <c r="H1331" s="10">
        <v>2.6</v>
      </c>
      <c r="I1331" s="12">
        <v>45657</v>
      </c>
      <c r="J1331" s="12" t="s">
        <v>495</v>
      </c>
      <c r="K1331" s="77">
        <v>45657</v>
      </c>
      <c r="L1331" s="265" t="s">
        <v>673</v>
      </c>
      <c r="M1331" s="427">
        <v>1330</v>
      </c>
      <c r="N1331" s="13" t="str">
        <f t="shared" ca="1" si="41"/>
        <v>CLOSED</v>
      </c>
    </row>
    <row r="1332" spans="1:14" x14ac:dyDescent="0.3">
      <c r="A1332" s="94" t="s">
        <v>288</v>
      </c>
      <c r="B1332" s="95">
        <f>VLOOKUP(Table27[[#This Row],[Location 
(drop-down)]],'List source'!D$2:E$61,2,FALSE)</f>
        <v>197</v>
      </c>
      <c r="C1332" s="223" t="s">
        <v>3410</v>
      </c>
      <c r="D1332" s="13" t="str">
        <f t="shared" ref="D1332:D1395" si="42">"PTO" &amp; C1332 &amp; "-" &amp; B1332 &amp; "-" &amp; "24"</f>
        <v>PTO1331-197-24</v>
      </c>
      <c r="E1332" s="94" t="s">
        <v>3411</v>
      </c>
      <c r="F1332" s="98" t="str" cm="1">
        <f t="array" aca="1" ref="F133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ETOH</v>
      </c>
      <c r="G1332" s="94"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D6423 - pHe</v>
      </c>
      <c r="H1332" s="98">
        <v>2.6</v>
      </c>
      <c r="I1332" s="96">
        <v>45657</v>
      </c>
      <c r="J1332" s="96" t="s">
        <v>23</v>
      </c>
      <c r="K1332" s="97">
        <v>45890</v>
      </c>
      <c r="L1332" s="98"/>
      <c r="M1332" s="429">
        <v>1331</v>
      </c>
      <c r="N1332" s="13" t="str">
        <f t="shared" ref="N1332:N1395" ca="1" si="43">IF(ISBLANK(K1332), TODAY()-(I1332), "CLOSED")</f>
        <v>CLOSED</v>
      </c>
    </row>
    <row r="1333" spans="1:14" ht="28.8" x14ac:dyDescent="0.3">
      <c r="A1333" s="9" t="s">
        <v>310</v>
      </c>
      <c r="B1333" s="13">
        <f>VLOOKUP(Table27[[#This Row],[Location 
(drop-down)]],'List source'!D$2:E$61,2,FALSE)</f>
        <v>144</v>
      </c>
      <c r="C1333" s="215" t="s">
        <v>3412</v>
      </c>
      <c r="D1333" s="13" t="str">
        <f t="shared" si="42"/>
        <v>PTO1067-144-24</v>
      </c>
      <c r="E1333" s="9" t="s">
        <v>3413</v>
      </c>
      <c r="F1333" s="10" t="str" cm="1">
        <f t="array" aca="1" ref="F133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MG</v>
      </c>
      <c r="G133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D3231 - Element</v>
      </c>
      <c r="H1333" s="10">
        <v>4.54</v>
      </c>
      <c r="I1333" s="96">
        <v>45600</v>
      </c>
      <c r="J1333" s="12" t="s">
        <v>498</v>
      </c>
      <c r="K1333" s="77">
        <v>46038</v>
      </c>
      <c r="L1333" s="10"/>
      <c r="M1333" s="427">
        <v>1067</v>
      </c>
      <c r="N1333" s="13" t="str">
        <f t="shared" ca="1" si="43"/>
        <v>CLOSED</v>
      </c>
    </row>
    <row r="1334" spans="1:14" ht="28.8" x14ac:dyDescent="0.3">
      <c r="A1334" s="9" t="s">
        <v>318</v>
      </c>
      <c r="B1334" s="13">
        <f>VLOOKUP(Table27[[#This Row],[Location 
(drop-down)]],'List source'!D$2:E$61,2,FALSE)</f>
        <v>115</v>
      </c>
      <c r="C1334" s="215" t="s">
        <v>3414</v>
      </c>
      <c r="D1334" s="13" t="str">
        <f t="shared" si="42"/>
        <v>PTO1333-115-24</v>
      </c>
      <c r="E1334" s="9" t="s">
        <v>3415</v>
      </c>
      <c r="F1334" s="10" t="str" cm="1">
        <f t="array" aca="1" ref="F133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34" s="10" t="s">
        <v>3416</v>
      </c>
      <c r="I1334" s="96">
        <v>45657</v>
      </c>
      <c r="J1334" s="12" t="s">
        <v>495</v>
      </c>
      <c r="K1334" s="77">
        <v>45657</v>
      </c>
      <c r="L1334" s="10" t="s">
        <v>915</v>
      </c>
      <c r="M1334" s="427">
        <v>1333</v>
      </c>
      <c r="N1334" s="13" t="str">
        <f t="shared" ca="1" si="43"/>
        <v>CLOSED</v>
      </c>
    </row>
    <row r="1335" spans="1:14" ht="28.8" x14ac:dyDescent="0.3">
      <c r="A1335" s="9" t="s">
        <v>310</v>
      </c>
      <c r="B1335" s="13">
        <f>VLOOKUP(Table27[[#This Row],[Location 
(drop-down)]],'List source'!D$2:E$61,2,FALSE)</f>
        <v>144</v>
      </c>
      <c r="C1335" s="215" t="s">
        <v>3417</v>
      </c>
      <c r="D1335" s="13" t="str">
        <f t="shared" si="42"/>
        <v>PTO1188-144-24</v>
      </c>
      <c r="E1335" s="9" t="s">
        <v>3418</v>
      </c>
      <c r="F1335" s="10" t="str" cm="1">
        <f t="array" aca="1" ref="F133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33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35" s="39" t="s">
        <v>3419</v>
      </c>
      <c r="I1335" s="96">
        <v>45646</v>
      </c>
      <c r="J1335" s="12" t="s">
        <v>498</v>
      </c>
      <c r="K1335" s="77">
        <v>46038</v>
      </c>
      <c r="L1335" s="10"/>
      <c r="M1335" s="427">
        <v>1188</v>
      </c>
      <c r="N1335" s="13" t="str">
        <f t="shared" ca="1" si="43"/>
        <v>CLOSED</v>
      </c>
    </row>
    <row r="1336" spans="1:14" x14ac:dyDescent="0.3">
      <c r="A1336" s="9" t="s">
        <v>107</v>
      </c>
      <c r="B1336" s="13">
        <f>VLOOKUP(Table27[[#This Row],[Location 
(drop-down)]],'List source'!D$2:E$61,2,FALSE)</f>
        <v>120</v>
      </c>
      <c r="C1336" s="215" t="s">
        <v>3420</v>
      </c>
      <c r="D1336" s="13" t="str">
        <f t="shared" si="42"/>
        <v>PTO1335-120-24</v>
      </c>
      <c r="E1336" s="9" t="s">
        <v>3421</v>
      </c>
      <c r="F1336" s="10" t="str" cm="1">
        <f t="array" aca="1" ref="F133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36" s="39" t="s">
        <v>1726</v>
      </c>
      <c r="I1336" s="96">
        <v>45657</v>
      </c>
      <c r="J1336" s="12" t="s">
        <v>495</v>
      </c>
      <c r="K1336" s="77">
        <v>45657</v>
      </c>
      <c r="L1336" s="265" t="s">
        <v>673</v>
      </c>
      <c r="M1336" s="427">
        <v>1335</v>
      </c>
      <c r="N1336" s="13" t="str">
        <f t="shared" ca="1" si="43"/>
        <v>CLOSED</v>
      </c>
    </row>
    <row r="1337" spans="1:14" x14ac:dyDescent="0.3">
      <c r="A1337" s="9" t="s">
        <v>126</v>
      </c>
      <c r="B1337" s="13">
        <f>VLOOKUP(Table27[[#This Row],[Location 
(drop-down)]],'List source'!D$2:E$61,2,FALSE)</f>
        <v>125</v>
      </c>
      <c r="C1337" s="215" t="s">
        <v>3422</v>
      </c>
      <c r="D1337" s="13" t="str">
        <f t="shared" si="42"/>
        <v>PTO1336-125-24</v>
      </c>
      <c r="E1337" s="9" t="s">
        <v>3423</v>
      </c>
      <c r="F1337" s="10" t="str" cm="1">
        <f t="array" aca="1" ref="F133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1337" s="10">
        <v>2.88</v>
      </c>
      <c r="I1337" s="96">
        <v>45657</v>
      </c>
      <c r="J1337" s="12" t="s">
        <v>195</v>
      </c>
      <c r="K1337" s="77">
        <v>45838</v>
      </c>
      <c r="L1337" s="10"/>
      <c r="M1337" s="427">
        <v>1336</v>
      </c>
      <c r="N1337" s="13" t="str">
        <f t="shared" ca="1" si="43"/>
        <v>CLOSED</v>
      </c>
    </row>
    <row r="1338" spans="1:14" ht="28.8" x14ac:dyDescent="0.3">
      <c r="A1338" s="9" t="s">
        <v>126</v>
      </c>
      <c r="B1338" s="13">
        <f>VLOOKUP(Table27[[#This Row],[Location 
(drop-down)]],'List source'!D$2:E$61,2,FALSE)</f>
        <v>125</v>
      </c>
      <c r="C1338" s="215" t="s">
        <v>3424</v>
      </c>
      <c r="D1338" s="13" t="str">
        <f t="shared" si="42"/>
        <v>PTO1337-125-24</v>
      </c>
      <c r="E1338" s="9" t="s">
        <v>3425</v>
      </c>
      <c r="F1338" s="10" t="str" cm="1">
        <f t="array" aca="1" ref="F133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338" s="10">
        <v>2.34</v>
      </c>
      <c r="I1338" s="96">
        <v>45657</v>
      </c>
      <c r="J1338" s="12" t="s">
        <v>195</v>
      </c>
      <c r="K1338" s="77">
        <v>45838</v>
      </c>
      <c r="L1338" s="10"/>
      <c r="M1338" s="427">
        <v>1337</v>
      </c>
      <c r="N1338" s="13" t="str">
        <f t="shared" ca="1" si="43"/>
        <v>CLOSED</v>
      </c>
    </row>
    <row r="1339" spans="1:14" x14ac:dyDescent="0.3">
      <c r="A1339" s="9" t="s">
        <v>153</v>
      </c>
      <c r="B1339" s="13">
        <f>VLOOKUP(Table27[[#This Row],[Location 
(drop-down)]],'List source'!D$2:E$61,2,FALSE)</f>
        <v>126</v>
      </c>
      <c r="C1339" s="215" t="s">
        <v>3426</v>
      </c>
      <c r="D1339" s="13" t="str">
        <f t="shared" si="42"/>
        <v>PTO1338-126-24</v>
      </c>
      <c r="E1339" s="9" t="s">
        <v>3427</v>
      </c>
      <c r="F1339" s="10" t="str" cm="1">
        <f t="array" aca="1" ref="F133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3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39" s="10">
        <v>3.11</v>
      </c>
      <c r="I1339" s="96">
        <v>45657</v>
      </c>
      <c r="J1339" s="12" t="s">
        <v>498</v>
      </c>
      <c r="K1339" s="77">
        <v>45810</v>
      </c>
      <c r="L1339" s="10"/>
      <c r="M1339" s="427">
        <v>1338</v>
      </c>
      <c r="N1339" s="13" t="str">
        <f t="shared" ca="1" si="43"/>
        <v>CLOSED</v>
      </c>
    </row>
    <row r="1340" spans="1:14" x14ac:dyDescent="0.3">
      <c r="A1340" s="9" t="s">
        <v>153</v>
      </c>
      <c r="B1340" s="13">
        <f>VLOOKUP(Table27[[#This Row],[Location 
(drop-down)]],'List source'!D$2:E$61,2,FALSE)</f>
        <v>126</v>
      </c>
      <c r="C1340" s="215" t="s">
        <v>3428</v>
      </c>
      <c r="D1340" s="13" t="str">
        <f t="shared" si="42"/>
        <v>PTO1339-126-24</v>
      </c>
      <c r="E1340" s="9" t="s">
        <v>3429</v>
      </c>
      <c r="F1340" s="10" t="str" cm="1">
        <f t="array" aca="1" ref="F134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340" s="10">
        <v>2.46</v>
      </c>
      <c r="I1340" s="12">
        <v>45657</v>
      </c>
      <c r="J1340" s="12" t="s">
        <v>495</v>
      </c>
      <c r="K1340" s="77">
        <v>45657</v>
      </c>
      <c r="L1340" s="265" t="s">
        <v>673</v>
      </c>
      <c r="M1340" s="427">
        <v>1339</v>
      </c>
      <c r="N1340" s="13" t="str">
        <f t="shared" ca="1" si="43"/>
        <v>CLOSED</v>
      </c>
    </row>
    <row r="1341" spans="1:14" x14ac:dyDescent="0.3">
      <c r="A1341" s="9" t="s">
        <v>186</v>
      </c>
      <c r="B1341" s="13">
        <f>VLOOKUP(Table27[[#This Row],[Location 
(drop-down)]],'List source'!D$2:E$61,2,FALSE)</f>
        <v>130</v>
      </c>
      <c r="C1341" s="215" t="s">
        <v>3430</v>
      </c>
      <c r="D1341" s="13" t="str">
        <f t="shared" si="42"/>
        <v>PTO1340-130-24</v>
      </c>
      <c r="E1341" s="9" t="s">
        <v>3431</v>
      </c>
      <c r="F1341" s="10" t="str" cm="1">
        <f t="array" aca="1" ref="F134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41" s="10">
        <v>2.11</v>
      </c>
      <c r="I1341" s="12">
        <v>45657</v>
      </c>
      <c r="J1341" s="12" t="s">
        <v>495</v>
      </c>
      <c r="K1341" s="77">
        <v>45657</v>
      </c>
      <c r="L1341" s="265" t="s">
        <v>673</v>
      </c>
      <c r="M1341" s="427">
        <v>1340</v>
      </c>
      <c r="N1341" s="13" t="str">
        <f t="shared" ca="1" si="43"/>
        <v>CLOSED</v>
      </c>
    </row>
    <row r="1342" spans="1:14" x14ac:dyDescent="0.3">
      <c r="A1342" s="9" t="s">
        <v>186</v>
      </c>
      <c r="B1342" s="13">
        <f>VLOOKUP(Table27[[#This Row],[Location 
(drop-down)]],'List source'!D$2:E$61,2,FALSE)</f>
        <v>130</v>
      </c>
      <c r="C1342" s="215" t="s">
        <v>3432</v>
      </c>
      <c r="D1342" s="13" t="str">
        <f t="shared" si="42"/>
        <v>PTO1341-130-24</v>
      </c>
      <c r="E1342" s="9" t="s">
        <v>3433</v>
      </c>
      <c r="F1342" s="10" t="str" cm="1">
        <f t="array" aca="1" ref="F134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342" s="10">
        <v>11.96</v>
      </c>
      <c r="I1342" s="12">
        <v>45657</v>
      </c>
      <c r="J1342" s="12" t="s">
        <v>54</v>
      </c>
      <c r="K1342" s="77">
        <v>45744</v>
      </c>
      <c r="L1342" s="10"/>
      <c r="M1342" s="427">
        <v>1341</v>
      </c>
      <c r="N1342" s="13" t="str">
        <f t="shared" ca="1" si="43"/>
        <v>CLOSED</v>
      </c>
    </row>
    <row r="1343" spans="1:14" x14ac:dyDescent="0.3">
      <c r="A1343" s="9" t="s">
        <v>21</v>
      </c>
      <c r="B1343" s="13">
        <f>VLOOKUP(Table27[[#This Row],[Location 
(drop-down)]],'List source'!D$2:E$61,2,FALSE)</f>
        <v>131</v>
      </c>
      <c r="C1343" s="215" t="s">
        <v>3434</v>
      </c>
      <c r="D1343" s="13" t="str">
        <f t="shared" si="42"/>
        <v>PTO1342-131-24</v>
      </c>
      <c r="E1343" s="9" t="s">
        <v>3435</v>
      </c>
      <c r="F1343" s="10" t="str" cm="1">
        <f t="array" aca="1" ref="F134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43" s="10">
        <v>2.0299999999999998</v>
      </c>
      <c r="I1343" s="12">
        <v>45657</v>
      </c>
      <c r="J1343" s="12" t="s">
        <v>495</v>
      </c>
      <c r="K1343" s="77">
        <v>45657</v>
      </c>
      <c r="L1343" s="265" t="s">
        <v>673</v>
      </c>
      <c r="M1343" s="427">
        <v>1342</v>
      </c>
      <c r="N1343" s="13" t="str">
        <f t="shared" ca="1" si="43"/>
        <v>CLOSED</v>
      </c>
    </row>
    <row r="1344" spans="1:14" ht="28.8" x14ac:dyDescent="0.3">
      <c r="A1344" s="9" t="s">
        <v>21</v>
      </c>
      <c r="B1344" s="13">
        <f>VLOOKUP(Table27[[#This Row],[Location 
(drop-down)]],'List source'!D$2:E$61,2,FALSE)</f>
        <v>131</v>
      </c>
      <c r="C1344" s="215" t="s">
        <v>3436</v>
      </c>
      <c r="D1344" s="13" t="str">
        <f t="shared" si="42"/>
        <v>PTO1343-131-24</v>
      </c>
      <c r="E1344" s="9" t="s">
        <v>3437</v>
      </c>
      <c r="F1344" s="10" t="str" cm="1">
        <f t="array" aca="1" ref="F134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344" s="39" t="s">
        <v>3438</v>
      </c>
      <c r="I1344" s="12">
        <v>45657</v>
      </c>
      <c r="J1344" s="12" t="s">
        <v>54</v>
      </c>
      <c r="K1344" s="77">
        <v>45735</v>
      </c>
      <c r="L1344" s="10"/>
      <c r="M1344" s="427">
        <v>1343</v>
      </c>
      <c r="N1344" s="13" t="str">
        <f t="shared" ca="1" si="43"/>
        <v>CLOSED</v>
      </c>
    </row>
    <row r="1345" spans="1:14" ht="28.8" x14ac:dyDescent="0.3">
      <c r="A1345" s="9" t="s">
        <v>264</v>
      </c>
      <c r="B1345" s="13">
        <f>VLOOKUP(Table27[[#This Row],[Location 
(drop-down)]],'List source'!D$2:E$61,2,FALSE)</f>
        <v>132</v>
      </c>
      <c r="C1345" s="215" t="s">
        <v>3439</v>
      </c>
      <c r="D1345" s="13" t="str">
        <f t="shared" si="42"/>
        <v>PTO1344-132-24</v>
      </c>
      <c r="E1345" s="9" t="s">
        <v>3440</v>
      </c>
      <c r="F1345" s="10" t="str" cm="1">
        <f t="array" aca="1" ref="F134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D4052 - API Gravity</v>
      </c>
      <c r="H1345" s="39" t="s">
        <v>3441</v>
      </c>
      <c r="I1345" s="12">
        <v>45657</v>
      </c>
      <c r="J1345" s="12" t="s">
        <v>54</v>
      </c>
      <c r="K1345" s="77">
        <v>45824</v>
      </c>
      <c r="L1345" s="10"/>
      <c r="M1345" s="427">
        <v>1344</v>
      </c>
      <c r="N1345" s="13" t="str">
        <f t="shared" ca="1" si="43"/>
        <v>CLOSED</v>
      </c>
    </row>
    <row r="1346" spans="1:14" x14ac:dyDescent="0.3">
      <c r="A1346" s="9" t="s">
        <v>264</v>
      </c>
      <c r="B1346" s="13">
        <f>VLOOKUP(Table27[[#This Row],[Location 
(drop-down)]],'List source'!D$2:E$61,2,FALSE)</f>
        <v>132</v>
      </c>
      <c r="C1346" s="215" t="s">
        <v>3442</v>
      </c>
      <c r="D1346" s="13" t="str">
        <f t="shared" si="42"/>
        <v>PTO1345-132-24</v>
      </c>
      <c r="E1346" s="9" t="s">
        <v>3443</v>
      </c>
      <c r="F1346" s="10" t="str" cm="1">
        <f t="array" aca="1" ref="F134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46" s="39" t="s">
        <v>3444</v>
      </c>
      <c r="I1346" s="12">
        <v>45657</v>
      </c>
      <c r="J1346" s="12" t="s">
        <v>495</v>
      </c>
      <c r="K1346" s="77">
        <v>45660</v>
      </c>
      <c r="L1346" s="10" t="s">
        <v>510</v>
      </c>
      <c r="M1346" s="427">
        <v>1345</v>
      </c>
      <c r="N1346" s="13" t="str">
        <f t="shared" ca="1" si="43"/>
        <v>CLOSED</v>
      </c>
    </row>
    <row r="1347" spans="1:14" x14ac:dyDescent="0.3">
      <c r="A1347" s="9" t="s">
        <v>264</v>
      </c>
      <c r="B1347" s="13">
        <f>VLOOKUP(Table27[[#This Row],[Location 
(drop-down)]],'List source'!D$2:E$61,2,FALSE)</f>
        <v>132</v>
      </c>
      <c r="C1347" s="215" t="s">
        <v>3445</v>
      </c>
      <c r="D1347" s="13" t="str">
        <f t="shared" si="42"/>
        <v>PTO1346-132-24</v>
      </c>
      <c r="E1347" s="9" t="s">
        <v>3446</v>
      </c>
      <c r="F1347" s="10" t="str" cm="1">
        <f t="array" aca="1" ref="F134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47" s="10">
        <v>2.9</v>
      </c>
      <c r="I1347" s="12">
        <v>45657</v>
      </c>
      <c r="J1347" s="12" t="s">
        <v>54</v>
      </c>
      <c r="K1347" s="77">
        <v>45688</v>
      </c>
      <c r="L1347" s="10"/>
      <c r="M1347" s="427">
        <v>1346</v>
      </c>
      <c r="N1347" s="13" t="str">
        <f t="shared" ca="1" si="43"/>
        <v>CLOSED</v>
      </c>
    </row>
    <row r="1348" spans="1:14" x14ac:dyDescent="0.3">
      <c r="A1348" s="9" t="s">
        <v>264</v>
      </c>
      <c r="B1348" s="13">
        <f>VLOOKUP(Table27[[#This Row],[Location 
(drop-down)]],'List source'!D$2:E$61,2,FALSE)</f>
        <v>132</v>
      </c>
      <c r="C1348" s="215" t="s">
        <v>3447</v>
      </c>
      <c r="D1348" s="13" t="str">
        <f t="shared" si="42"/>
        <v>PTO1347-132-24</v>
      </c>
      <c r="E1348" s="9" t="s">
        <v>3448</v>
      </c>
      <c r="F1348" s="10" t="str" cm="1">
        <f t="array" aca="1" ref="F134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348" s="39" t="s">
        <v>1000</v>
      </c>
      <c r="I1348" s="12">
        <v>45657</v>
      </c>
      <c r="J1348" s="12" t="s">
        <v>54</v>
      </c>
      <c r="K1348" s="77">
        <v>45688</v>
      </c>
      <c r="L1348" s="10"/>
      <c r="M1348" s="427">
        <v>1347</v>
      </c>
      <c r="N1348" s="13" t="str">
        <f t="shared" ca="1" si="43"/>
        <v>CLOSED</v>
      </c>
    </row>
    <row r="1349" spans="1:14" ht="28.8" x14ac:dyDescent="0.3">
      <c r="A1349" s="9" t="s">
        <v>264</v>
      </c>
      <c r="B1349" s="13">
        <f>VLOOKUP(Table27[[#This Row],[Location 
(drop-down)]],'List source'!D$2:E$61,2,FALSE)</f>
        <v>132</v>
      </c>
      <c r="C1349" s="215" t="s">
        <v>3449</v>
      </c>
      <c r="D1349" s="13" t="str">
        <f t="shared" si="42"/>
        <v>PTO1348-132-24</v>
      </c>
      <c r="E1349" s="9" t="s">
        <v>3450</v>
      </c>
      <c r="F1349" s="10" t="str" cm="1">
        <f t="array" aca="1" ref="F134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4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349" s="39" t="s">
        <v>1519</v>
      </c>
      <c r="I1349" s="12">
        <v>45657</v>
      </c>
      <c r="J1349" s="12" t="s">
        <v>54</v>
      </c>
      <c r="K1349" s="77">
        <v>45687</v>
      </c>
      <c r="L1349" s="10"/>
      <c r="M1349" s="427">
        <v>1348</v>
      </c>
      <c r="N1349" s="13" t="str">
        <f t="shared" ca="1" si="43"/>
        <v>CLOSED</v>
      </c>
    </row>
    <row r="1350" spans="1:14" x14ac:dyDescent="0.3">
      <c r="A1350" s="9" t="s">
        <v>157</v>
      </c>
      <c r="B1350" s="13">
        <f>VLOOKUP(Table27[[#This Row],[Location 
(drop-down)]],'List source'!D$2:E$61,2,FALSE)</f>
        <v>136</v>
      </c>
      <c r="C1350" s="215" t="s">
        <v>3451</v>
      </c>
      <c r="D1350" s="13" t="str">
        <f t="shared" si="42"/>
        <v>PTO1349-136-24</v>
      </c>
      <c r="E1350" s="9" t="s">
        <v>3435</v>
      </c>
      <c r="F1350" s="10" t="str" cm="1">
        <f t="array" aca="1" ref="F135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50" s="10">
        <v>2.0299999999999998</v>
      </c>
      <c r="I1350" s="12">
        <v>45657</v>
      </c>
      <c r="J1350" s="12" t="s">
        <v>495</v>
      </c>
      <c r="K1350" s="77">
        <v>45657</v>
      </c>
      <c r="L1350" s="265" t="s">
        <v>673</v>
      </c>
      <c r="M1350" s="427">
        <v>1349</v>
      </c>
      <c r="N1350" s="13" t="str">
        <f t="shared" ca="1" si="43"/>
        <v>CLOSED</v>
      </c>
    </row>
    <row r="1351" spans="1:14" ht="28.8" x14ac:dyDescent="0.3">
      <c r="A1351" s="9" t="s">
        <v>157</v>
      </c>
      <c r="B1351" s="13">
        <f>VLOOKUP(Table27[[#This Row],[Location 
(drop-down)]],'List source'!D$2:E$61,2,FALSE)</f>
        <v>136</v>
      </c>
      <c r="C1351" s="215" t="s">
        <v>3452</v>
      </c>
      <c r="D1351" s="13" t="str">
        <f t="shared" si="42"/>
        <v>PTO1350-136-24</v>
      </c>
      <c r="E1351" s="9" t="s">
        <v>3453</v>
      </c>
      <c r="F1351" s="10" t="str" cm="1">
        <f t="array" aca="1" ref="F135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D3241 - Thermal Stability</v>
      </c>
      <c r="H1351" s="10">
        <v>2.9</v>
      </c>
      <c r="I1351" s="12">
        <v>45657</v>
      </c>
      <c r="J1351" s="12" t="s">
        <v>60</v>
      </c>
      <c r="K1351" s="77">
        <v>45712</v>
      </c>
      <c r="L1351" s="10"/>
      <c r="M1351" s="427">
        <v>1350</v>
      </c>
      <c r="N1351" s="13" t="str">
        <f t="shared" ca="1" si="43"/>
        <v>CLOSED</v>
      </c>
    </row>
    <row r="1352" spans="1:14" ht="28.8" x14ac:dyDescent="0.3">
      <c r="A1352" s="9" t="s">
        <v>597</v>
      </c>
      <c r="B1352" s="13">
        <f>VLOOKUP(Table27[[#This Row],[Location 
(drop-down)]],'List source'!D$2:E$61,2,FALSE)</f>
        <v>139</v>
      </c>
      <c r="C1352" s="215" t="s">
        <v>3454</v>
      </c>
      <c r="D1352" s="13" t="str">
        <f t="shared" si="42"/>
        <v>PTO1351-139-24</v>
      </c>
      <c r="E1352" s="9" t="s">
        <v>3455</v>
      </c>
      <c r="F1352" s="10" t="str" cm="1">
        <f t="array" aca="1" ref="F135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D93 - Flash Point</v>
      </c>
      <c r="H1352" s="39" t="s">
        <v>1519</v>
      </c>
      <c r="I1352" s="12">
        <v>45657</v>
      </c>
      <c r="J1352" s="12" t="s">
        <v>60</v>
      </c>
      <c r="K1352" s="77">
        <v>45880</v>
      </c>
      <c r="L1352" s="10"/>
      <c r="M1352" s="427">
        <v>1351</v>
      </c>
      <c r="N1352" s="13" t="str">
        <f t="shared" ca="1" si="43"/>
        <v>CLOSED</v>
      </c>
    </row>
    <row r="1353" spans="1:14" x14ac:dyDescent="0.3">
      <c r="A1353" s="9" t="s">
        <v>597</v>
      </c>
      <c r="B1353" s="13">
        <f>VLOOKUP(Table27[[#This Row],[Location 
(drop-down)]],'List source'!D$2:E$61,2,FALSE)</f>
        <v>139</v>
      </c>
      <c r="C1353" s="215" t="s">
        <v>3456</v>
      </c>
      <c r="D1353" s="13" t="str">
        <f t="shared" si="42"/>
        <v>PTO1352-139-24</v>
      </c>
      <c r="E1353" s="9" t="s">
        <v>3457</v>
      </c>
      <c r="F1353" s="10" t="str" cm="1">
        <f t="array" aca="1" ref="F135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D4294 - Sulfur</v>
      </c>
      <c r="H1353" s="10">
        <v>2.7</v>
      </c>
      <c r="I1353" s="12">
        <v>45657</v>
      </c>
      <c r="J1353" s="12" t="s">
        <v>495</v>
      </c>
      <c r="K1353" s="77">
        <v>45657</v>
      </c>
      <c r="L1353" s="265" t="s">
        <v>673</v>
      </c>
      <c r="M1353" s="427">
        <v>1352</v>
      </c>
      <c r="N1353" s="13" t="str">
        <f t="shared" ca="1" si="43"/>
        <v>CLOSED</v>
      </c>
    </row>
    <row r="1354" spans="1:14" x14ac:dyDescent="0.3">
      <c r="A1354" s="272" t="s">
        <v>145</v>
      </c>
      <c r="B1354" s="273">
        <f>VLOOKUP(Table27[[#This Row],[Location 
(drop-down)]],'List source'!D$2:E$61,2,FALSE)</f>
        <v>145</v>
      </c>
      <c r="C1354" s="332" t="s">
        <v>3458</v>
      </c>
      <c r="D1354" s="273" t="str">
        <f t="shared" si="42"/>
        <v>PTO1353-145-24</v>
      </c>
      <c r="E1354" s="272" t="s">
        <v>3459</v>
      </c>
      <c r="F1354" s="277" t="str" cm="1">
        <f t="array" aca="1" ref="F135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4"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D3242 - Acidity</v>
      </c>
      <c r="H1354" s="277">
        <v>3.62</v>
      </c>
      <c r="I1354" s="279">
        <v>45657</v>
      </c>
      <c r="J1354" s="12" t="s">
        <v>182</v>
      </c>
      <c r="K1354" s="77">
        <v>45687</v>
      </c>
      <c r="L1354" s="10"/>
      <c r="M1354" s="427">
        <v>1353</v>
      </c>
      <c r="N1354" s="13" t="str">
        <f t="shared" ca="1" si="43"/>
        <v>CLOSED</v>
      </c>
    </row>
    <row r="1355" spans="1:14" x14ac:dyDescent="0.3">
      <c r="A1355" s="9" t="s">
        <v>145</v>
      </c>
      <c r="B1355" s="13">
        <f>VLOOKUP(Table27[[#This Row],[Location 
(drop-down)]],'List source'!D$2:E$61,2,FALSE)</f>
        <v>145</v>
      </c>
      <c r="C1355" s="215" t="s">
        <v>3460</v>
      </c>
      <c r="D1355" s="13" t="str">
        <f t="shared" si="42"/>
        <v>PTO1354-145-24</v>
      </c>
      <c r="E1355" s="9" t="s">
        <v>3461</v>
      </c>
      <c r="F1355" s="10" t="str" cm="1">
        <f t="array" aca="1" ref="F135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D2386 - Freeze Point</v>
      </c>
      <c r="H1355" s="39" t="s">
        <v>3462</v>
      </c>
      <c r="I1355" s="12">
        <v>45657</v>
      </c>
      <c r="J1355" s="12" t="s">
        <v>495</v>
      </c>
      <c r="K1355" s="77">
        <v>45671</v>
      </c>
      <c r="L1355" s="10" t="s">
        <v>510</v>
      </c>
      <c r="M1355" s="427">
        <v>1354</v>
      </c>
      <c r="N1355" s="13" t="str">
        <f t="shared" ca="1" si="43"/>
        <v>CLOSED</v>
      </c>
    </row>
    <row r="1356" spans="1:14" ht="29.1" customHeight="1" x14ac:dyDescent="0.3">
      <c r="A1356" s="9" t="s">
        <v>70</v>
      </c>
      <c r="B1356" s="13">
        <f>VLOOKUP(Table27[[#This Row],[Location 
(drop-down)]],'List source'!D$2:E$61,2,FALSE)</f>
        <v>146</v>
      </c>
      <c r="C1356" s="215" t="s">
        <v>3463</v>
      </c>
      <c r="D1356" s="13" t="str">
        <f t="shared" si="42"/>
        <v>PTO1355-146-24</v>
      </c>
      <c r="E1356" s="9" t="s">
        <v>3464</v>
      </c>
      <c r="F1356" s="10" t="str" cm="1">
        <f t="array" aca="1" ref="F135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56" s="39" t="s">
        <v>3465</v>
      </c>
      <c r="I1356" s="12">
        <v>45657</v>
      </c>
      <c r="J1356" s="12" t="s">
        <v>60</v>
      </c>
      <c r="K1356" s="77">
        <v>45882</v>
      </c>
      <c r="L1356" s="10"/>
      <c r="M1356" s="427">
        <v>1355</v>
      </c>
      <c r="N1356" s="13" t="str">
        <f t="shared" ca="1" si="43"/>
        <v>CLOSED</v>
      </c>
    </row>
    <row r="1357" spans="1:14" ht="14.7" customHeight="1" x14ac:dyDescent="0.3">
      <c r="A1357" s="9" t="s">
        <v>70</v>
      </c>
      <c r="B1357" s="13">
        <f>VLOOKUP(Table27[[#This Row],[Location 
(drop-down)]],'List source'!D$2:E$61,2,FALSE)</f>
        <v>146</v>
      </c>
      <c r="C1357" s="215" t="s">
        <v>3466</v>
      </c>
      <c r="D1357" s="13" t="str">
        <f t="shared" si="42"/>
        <v>PTO1356-146-24</v>
      </c>
      <c r="E1357" s="9" t="s">
        <v>3467</v>
      </c>
      <c r="F1357" s="10" t="str" cm="1">
        <f t="array" aca="1" ref="F135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357" s="39" t="s">
        <v>1140</v>
      </c>
      <c r="I1357" s="12">
        <v>45657</v>
      </c>
      <c r="J1357" s="12" t="s">
        <v>60</v>
      </c>
      <c r="K1357" s="77">
        <v>45688</v>
      </c>
      <c r="L1357" s="10"/>
      <c r="M1357" s="427">
        <v>1356</v>
      </c>
      <c r="N1357" s="13" t="str">
        <f t="shared" ca="1" si="43"/>
        <v>CLOSED</v>
      </c>
    </row>
    <row r="1358" spans="1:14" ht="29.1" customHeight="1" x14ac:dyDescent="0.3">
      <c r="A1358" s="9" t="s">
        <v>86</v>
      </c>
      <c r="B1358" s="13">
        <f>VLOOKUP(Table27[[#This Row],[Location 
(drop-down)]],'List source'!D$2:E$61,2,FALSE)</f>
        <v>150</v>
      </c>
      <c r="C1358" s="215" t="s">
        <v>3468</v>
      </c>
      <c r="D1358" s="13" t="str">
        <f t="shared" si="42"/>
        <v>PTO1357-150-24</v>
      </c>
      <c r="E1358" s="9" t="s">
        <v>3469</v>
      </c>
      <c r="F1358" s="10" t="str" cm="1">
        <f t="array" aca="1" ref="F135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58" s="39" t="s">
        <v>585</v>
      </c>
      <c r="I1358" s="12">
        <v>45657</v>
      </c>
      <c r="J1358" s="12" t="s">
        <v>134</v>
      </c>
      <c r="K1358" s="77">
        <v>45758</v>
      </c>
      <c r="L1358" s="10"/>
      <c r="M1358" s="427">
        <v>1357</v>
      </c>
      <c r="N1358" s="13" t="str">
        <f t="shared" ca="1" si="43"/>
        <v>CLOSED</v>
      </c>
    </row>
    <row r="1359" spans="1:14" ht="14.7" customHeight="1" x14ac:dyDescent="0.3">
      <c r="A1359" s="9" t="s">
        <v>86</v>
      </c>
      <c r="B1359" s="13">
        <f>VLOOKUP(Table27[[#This Row],[Location 
(drop-down)]],'List source'!D$2:E$61,2,FALSE)</f>
        <v>150</v>
      </c>
      <c r="C1359" s="215" t="s">
        <v>3470</v>
      </c>
      <c r="D1359" s="13" t="str">
        <f t="shared" si="42"/>
        <v>PTO1358-150-24</v>
      </c>
      <c r="E1359" s="9" t="s">
        <v>3471</v>
      </c>
      <c r="F1359" s="10" t="str" cm="1">
        <f t="array" aca="1" ref="F135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5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359" s="10">
        <v>6.83</v>
      </c>
      <c r="I1359" s="12">
        <v>45657</v>
      </c>
      <c r="J1359" s="12" t="s">
        <v>134</v>
      </c>
      <c r="K1359" s="77">
        <v>45930</v>
      </c>
      <c r="L1359" s="10"/>
      <c r="M1359" s="427">
        <v>1358</v>
      </c>
      <c r="N1359" s="13" t="str">
        <f t="shared" ca="1" si="43"/>
        <v>CLOSED</v>
      </c>
    </row>
    <row r="1360" spans="1:14" ht="29.1" customHeight="1" x14ac:dyDescent="0.3">
      <c r="A1360" s="9" t="s">
        <v>86</v>
      </c>
      <c r="B1360" s="13">
        <f>VLOOKUP(Table27[[#This Row],[Location 
(drop-down)]],'List source'!D$2:E$61,2,FALSE)</f>
        <v>150</v>
      </c>
      <c r="C1360" s="215" t="s">
        <v>3472</v>
      </c>
      <c r="D1360" s="13" t="str">
        <f t="shared" si="42"/>
        <v>PTO1359-150-24</v>
      </c>
      <c r="E1360" s="9" t="s">
        <v>3450</v>
      </c>
      <c r="F1360" s="10" t="str" cm="1">
        <f t="array" aca="1" ref="F136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360" s="39" t="s">
        <v>1519</v>
      </c>
      <c r="I1360" s="12">
        <v>45657</v>
      </c>
      <c r="J1360" s="12" t="s">
        <v>134</v>
      </c>
      <c r="K1360" s="77">
        <v>45758</v>
      </c>
      <c r="L1360" s="10"/>
      <c r="M1360" s="427">
        <v>1359</v>
      </c>
      <c r="N1360" s="13" t="str">
        <f t="shared" ca="1" si="43"/>
        <v>CLOSED</v>
      </c>
    </row>
    <row r="1361" spans="1:14" ht="29.1" customHeight="1" x14ac:dyDescent="0.3">
      <c r="A1361" s="9" t="s">
        <v>65</v>
      </c>
      <c r="B1361" s="13">
        <f>VLOOKUP(Table27[[#This Row],[Location 
(drop-down)]],'List source'!D$2:E$61,2,FALSE)</f>
        <v>155</v>
      </c>
      <c r="C1361" s="215" t="s">
        <v>3473</v>
      </c>
      <c r="D1361" s="13" t="str">
        <f t="shared" si="42"/>
        <v>PTO1360-155-24</v>
      </c>
      <c r="E1361" s="9" t="s">
        <v>3474</v>
      </c>
      <c r="F1361" s="10" t="str" cm="1">
        <f t="array" aca="1" ref="F136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61" s="39" t="s">
        <v>3475</v>
      </c>
      <c r="I1361" s="12">
        <v>45657</v>
      </c>
      <c r="J1361" s="12" t="s">
        <v>134</v>
      </c>
      <c r="K1361" s="77">
        <v>45831</v>
      </c>
      <c r="L1361" s="10"/>
      <c r="M1361" s="427">
        <v>1360</v>
      </c>
      <c r="N1361" s="13" t="str">
        <f t="shared" ca="1" si="43"/>
        <v>CLOSED</v>
      </c>
    </row>
    <row r="1362" spans="1:14" ht="29.1" customHeight="1" x14ac:dyDescent="0.3">
      <c r="A1362" s="9" t="s">
        <v>65</v>
      </c>
      <c r="B1362" s="13">
        <f>VLOOKUP(Table27[[#This Row],[Location 
(drop-down)]],'List source'!D$2:E$61,2,FALSE)</f>
        <v>155</v>
      </c>
      <c r="C1362" s="215" t="s">
        <v>3476</v>
      </c>
      <c r="D1362" s="13" t="str">
        <f t="shared" si="42"/>
        <v>PTO1361-155-24</v>
      </c>
      <c r="E1362" s="9" t="s">
        <v>3477</v>
      </c>
      <c r="F1362" s="10" t="str" cm="1">
        <f t="array" aca="1" ref="F136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362" s="10" t="s">
        <v>3478</v>
      </c>
      <c r="I1362" s="12">
        <v>45657</v>
      </c>
      <c r="J1362" s="12" t="s">
        <v>134</v>
      </c>
      <c r="K1362" s="77">
        <v>45940</v>
      </c>
      <c r="L1362" s="10"/>
      <c r="M1362" s="427">
        <v>1361</v>
      </c>
      <c r="N1362" s="13" t="str">
        <f t="shared" ca="1" si="43"/>
        <v>CLOSED</v>
      </c>
    </row>
    <row r="1363" spans="1:14" x14ac:dyDescent="0.3">
      <c r="A1363" s="272" t="s">
        <v>209</v>
      </c>
      <c r="B1363" s="273">
        <f>VLOOKUP(Table27[[#This Row],[Location 
(drop-down)]],'List source'!D$2:E$61,2,FALSE)</f>
        <v>165</v>
      </c>
      <c r="C1363" s="332" t="s">
        <v>3479</v>
      </c>
      <c r="D1363" s="273" t="str">
        <f t="shared" si="42"/>
        <v>PTO1362-165-24</v>
      </c>
      <c r="E1363" s="272" t="s">
        <v>3480</v>
      </c>
      <c r="F1363" s="277" t="str" cm="1">
        <f t="array" aca="1" ref="F136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3" s="272"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D1840 - Napthalenes</v>
      </c>
      <c r="H1363" s="283" t="s">
        <v>3481</v>
      </c>
      <c r="I1363" s="279">
        <v>45657</v>
      </c>
      <c r="J1363" s="279" t="s">
        <v>182</v>
      </c>
      <c r="K1363" s="280">
        <v>45724</v>
      </c>
      <c r="L1363" s="10"/>
      <c r="M1363" s="427">
        <v>1362</v>
      </c>
      <c r="N1363" s="13" t="str">
        <f t="shared" ca="1" si="43"/>
        <v>CLOSED</v>
      </c>
    </row>
    <row r="1364" spans="1:14" x14ac:dyDescent="0.3">
      <c r="A1364" s="9" t="s">
        <v>209</v>
      </c>
      <c r="B1364" s="13">
        <f>VLOOKUP(Table27[[#This Row],[Location 
(drop-down)]],'List source'!D$2:E$61,2,FALSE)</f>
        <v>165</v>
      </c>
      <c r="C1364" s="215" t="s">
        <v>3482</v>
      </c>
      <c r="D1364" s="13" t="str">
        <f t="shared" si="42"/>
        <v>PTO1363-165-24</v>
      </c>
      <c r="E1364" s="9" t="s">
        <v>3483</v>
      </c>
      <c r="F1364" s="10" t="str" cm="1">
        <f t="array" aca="1" ref="F136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D445 - Viscosity</v>
      </c>
      <c r="H1364" s="10">
        <v>5.1100000000000003</v>
      </c>
      <c r="I1364" s="12">
        <v>45657</v>
      </c>
      <c r="J1364" s="12" t="s">
        <v>134</v>
      </c>
      <c r="K1364" s="77">
        <v>45727</v>
      </c>
      <c r="L1364" s="10"/>
      <c r="M1364" s="427">
        <v>1363</v>
      </c>
      <c r="N1364" s="13" t="str">
        <f t="shared" ca="1" si="43"/>
        <v>CLOSED</v>
      </c>
    </row>
    <row r="1365" spans="1:14" ht="28.8" x14ac:dyDescent="0.3">
      <c r="A1365" s="9" t="s">
        <v>209</v>
      </c>
      <c r="B1365" s="13">
        <f>VLOOKUP(Table27[[#This Row],[Location 
(drop-down)]],'List source'!D$2:E$61,2,FALSE)</f>
        <v>165</v>
      </c>
      <c r="C1365" s="215" t="s">
        <v>3484</v>
      </c>
      <c r="D1365" s="13" t="str">
        <f t="shared" si="42"/>
        <v>PTO1364-165-24</v>
      </c>
      <c r="E1365" s="9" t="s">
        <v>3485</v>
      </c>
      <c r="F1365" s="10" t="str" cm="1">
        <f t="array" aca="1" ref="F136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365" s="39" t="s">
        <v>1388</v>
      </c>
      <c r="I1365" s="12">
        <v>45657</v>
      </c>
      <c r="J1365" s="12" t="s">
        <v>182</v>
      </c>
      <c r="K1365" s="77">
        <v>45835</v>
      </c>
      <c r="L1365" s="10"/>
      <c r="M1365" s="427">
        <v>1364</v>
      </c>
      <c r="N1365" s="13" t="str">
        <f t="shared" ca="1" si="43"/>
        <v>CLOSED</v>
      </c>
    </row>
    <row r="1366" spans="1:14" x14ac:dyDescent="0.3">
      <c r="A1366" s="9" t="s">
        <v>57</v>
      </c>
      <c r="B1366" s="13">
        <f>VLOOKUP(Table27[[#This Row],[Location 
(drop-down)]],'List source'!D$2:E$61,2,FALSE)</f>
        <v>170</v>
      </c>
      <c r="C1366" s="215" t="s">
        <v>3486</v>
      </c>
      <c r="D1366" s="13" t="str">
        <f t="shared" si="42"/>
        <v>PTO1365-170-24</v>
      </c>
      <c r="E1366" s="9" t="s">
        <v>3487</v>
      </c>
      <c r="F1366" s="10" t="str" cm="1">
        <f t="array" aca="1" ref="F136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D2887 - BP Distribution</v>
      </c>
      <c r="H1366" s="39" t="s">
        <v>3488</v>
      </c>
      <c r="I1366" s="12">
        <v>45657</v>
      </c>
      <c r="J1366" s="12" t="s">
        <v>495</v>
      </c>
      <c r="K1366" s="77">
        <v>45657</v>
      </c>
      <c r="L1366" s="265" t="s">
        <v>673</v>
      </c>
      <c r="M1366" s="427">
        <v>1365</v>
      </c>
      <c r="N1366" s="13" t="str">
        <f t="shared" ca="1" si="43"/>
        <v>CLOSED</v>
      </c>
    </row>
    <row r="1367" spans="1:14" ht="28.8" x14ac:dyDescent="0.3">
      <c r="A1367" s="189" t="s">
        <v>57</v>
      </c>
      <c r="B1367" s="217">
        <f>VLOOKUP(Table27[[#This Row],[Location 
(drop-down)]],'List source'!D$2:E$61,2,FALSE)</f>
        <v>170</v>
      </c>
      <c r="C1367" s="254" t="s">
        <v>3489</v>
      </c>
      <c r="D1367" s="217" t="str">
        <f t="shared" si="42"/>
        <v>PTO1366-170-24</v>
      </c>
      <c r="E1367" s="9" t="s">
        <v>3490</v>
      </c>
      <c r="F1367" s="10" t="str" cm="1">
        <f t="array" aca="1" ref="F136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67" s="10" t="s">
        <v>3491</v>
      </c>
      <c r="I1367" s="12">
        <v>45657</v>
      </c>
      <c r="J1367" s="234" t="s">
        <v>60</v>
      </c>
      <c r="K1367" s="220">
        <v>45758</v>
      </c>
      <c r="L1367" s="10"/>
      <c r="M1367" s="427">
        <v>1366</v>
      </c>
      <c r="N1367" s="13" t="str">
        <f t="shared" ca="1" si="43"/>
        <v>CLOSED</v>
      </c>
    </row>
    <row r="1368" spans="1:14" ht="15" customHeight="1" x14ac:dyDescent="0.3">
      <c r="A1368" s="9" t="s">
        <v>325</v>
      </c>
      <c r="B1368" s="13">
        <f>VLOOKUP(Table27[[#This Row],[Location 
(drop-down)]],'List source'!D$2:E$61,2,FALSE)</f>
        <v>180</v>
      </c>
      <c r="C1368" s="215" t="s">
        <v>3492</v>
      </c>
      <c r="D1368" s="13" t="str">
        <f t="shared" si="42"/>
        <v>PTO1367-180-24</v>
      </c>
      <c r="E1368" s="9" t="s">
        <v>3493</v>
      </c>
      <c r="F1368" s="10" t="str" cm="1">
        <f t="array" aca="1" ref="F136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68" s="10">
        <v>2.2799999999999998</v>
      </c>
      <c r="I1368" s="12">
        <v>45657</v>
      </c>
      <c r="J1368" s="12" t="s">
        <v>23</v>
      </c>
      <c r="K1368" s="77">
        <v>45915</v>
      </c>
      <c r="L1368" s="10"/>
      <c r="M1368" s="427">
        <v>1367</v>
      </c>
      <c r="N1368" s="13" t="str">
        <f t="shared" ca="1" si="43"/>
        <v>CLOSED</v>
      </c>
    </row>
    <row r="1369" spans="1:14" x14ac:dyDescent="0.3">
      <c r="A1369" s="189" t="s">
        <v>388</v>
      </c>
      <c r="B1369" s="217">
        <f>VLOOKUP(Table27[[#This Row],[Location 
(drop-down)]],'List source'!D$2:E$61,2,FALSE)</f>
        <v>191</v>
      </c>
      <c r="C1369" s="254" t="s">
        <v>3494</v>
      </c>
      <c r="D1369" s="217" t="str">
        <f t="shared" si="42"/>
        <v>PTO1368-191-24</v>
      </c>
      <c r="E1369" s="9" t="s">
        <v>3495</v>
      </c>
      <c r="F1369" s="10" t="str" cm="1">
        <f t="array" aca="1" ref="F136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6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369" s="10">
        <v>4.63</v>
      </c>
      <c r="I1369" s="12">
        <v>45657</v>
      </c>
      <c r="J1369" s="234" t="s">
        <v>60</v>
      </c>
      <c r="K1369" s="220">
        <v>45888</v>
      </c>
      <c r="L1369" s="10"/>
      <c r="M1369" s="427">
        <v>1368</v>
      </c>
      <c r="N1369" s="13" t="str">
        <f t="shared" ca="1" si="43"/>
        <v>CLOSED</v>
      </c>
    </row>
    <row r="1370" spans="1:14" ht="28.8" x14ac:dyDescent="0.3">
      <c r="A1370" s="189" t="s">
        <v>388</v>
      </c>
      <c r="B1370" s="217">
        <f>VLOOKUP(Table27[[#This Row],[Location 
(drop-down)]],'List source'!D$2:E$61,2,FALSE)</f>
        <v>191</v>
      </c>
      <c r="C1370" s="254" t="s">
        <v>3496</v>
      </c>
      <c r="D1370" s="217" t="str">
        <f t="shared" si="42"/>
        <v>PTO1369-191-24</v>
      </c>
      <c r="E1370" s="9" t="s">
        <v>3497</v>
      </c>
      <c r="F1370" s="10" t="str" cm="1">
        <f t="array" aca="1" ref="F137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D3227 - Mercaptan Sulfur</v>
      </c>
      <c r="H1370" s="39" t="s">
        <v>1025</v>
      </c>
      <c r="I1370" s="12">
        <v>45657</v>
      </c>
      <c r="J1370" s="234" t="s">
        <v>60</v>
      </c>
      <c r="K1370" s="220">
        <v>45800</v>
      </c>
      <c r="L1370" s="10"/>
      <c r="M1370" s="427">
        <v>1369</v>
      </c>
      <c r="N1370" s="13" t="str">
        <f t="shared" ca="1" si="43"/>
        <v>CLOSED</v>
      </c>
    </row>
    <row r="1371" spans="1:14" x14ac:dyDescent="0.3">
      <c r="A1371" s="189" t="s">
        <v>388</v>
      </c>
      <c r="B1371" s="217">
        <f>VLOOKUP(Table27[[#This Row],[Location 
(drop-down)]],'List source'!D$2:E$61,2,FALSE)</f>
        <v>191</v>
      </c>
      <c r="C1371" s="254" t="s">
        <v>3498</v>
      </c>
      <c r="D1371" s="217" t="str">
        <f t="shared" si="42"/>
        <v>PTO1370-191-24</v>
      </c>
      <c r="E1371" s="9" t="s">
        <v>3499</v>
      </c>
      <c r="F1371" s="10" t="str" cm="1">
        <f t="array" aca="1" ref="F137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D1322 - Smoke Point</v>
      </c>
      <c r="H1371" s="10">
        <v>-2.31</v>
      </c>
      <c r="I1371" s="12">
        <v>45657</v>
      </c>
      <c r="J1371" s="234" t="s">
        <v>60</v>
      </c>
      <c r="K1371" s="220">
        <v>45800</v>
      </c>
      <c r="L1371" s="10"/>
      <c r="M1371" s="427">
        <v>1370</v>
      </c>
      <c r="N1371" s="13" t="str">
        <f t="shared" ca="1" si="43"/>
        <v>CLOSED</v>
      </c>
    </row>
    <row r="1372" spans="1:14" x14ac:dyDescent="0.3">
      <c r="A1372" s="9" t="s">
        <v>288</v>
      </c>
      <c r="B1372" s="13">
        <f>VLOOKUP(Table27[[#This Row],[Location 
(drop-down)]],'List source'!D$2:E$61,2,FALSE)</f>
        <v>197</v>
      </c>
      <c r="C1372" s="215" t="s">
        <v>3500</v>
      </c>
      <c r="D1372" s="13" t="str">
        <f t="shared" si="42"/>
        <v>PTO1371-197-24</v>
      </c>
      <c r="E1372" s="9" t="s">
        <v>3435</v>
      </c>
      <c r="F1372" s="10" t="str" cm="1">
        <f t="array" aca="1" ref="F137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72" s="10">
        <v>2.0299999999999998</v>
      </c>
      <c r="I1372" s="12">
        <v>45657</v>
      </c>
      <c r="J1372" s="12" t="s">
        <v>495</v>
      </c>
      <c r="K1372" s="77">
        <v>45657</v>
      </c>
      <c r="L1372" s="265" t="s">
        <v>673</v>
      </c>
      <c r="M1372" s="427">
        <v>1371</v>
      </c>
      <c r="N1372" s="13" t="str">
        <f t="shared" ca="1" si="43"/>
        <v>CLOSED</v>
      </c>
    </row>
    <row r="1373" spans="1:14" x14ac:dyDescent="0.3">
      <c r="A1373" s="9" t="s">
        <v>288</v>
      </c>
      <c r="B1373" s="13">
        <f>VLOOKUP(Table27[[#This Row],[Location 
(drop-down)]],'List source'!D$2:E$61,2,FALSE)</f>
        <v>197</v>
      </c>
      <c r="C1373" s="215" t="s">
        <v>3501</v>
      </c>
      <c r="D1373" s="13" t="str">
        <f t="shared" si="42"/>
        <v>PTO1372-197-24</v>
      </c>
      <c r="E1373" s="9" t="s">
        <v>3502</v>
      </c>
      <c r="F1373" s="10" t="str" cm="1">
        <f t="array" aca="1" ref="F137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D56 - Flash Point</v>
      </c>
      <c r="H1373" s="10">
        <v>2.77</v>
      </c>
      <c r="I1373" s="12">
        <v>45657</v>
      </c>
      <c r="J1373" s="12" t="s">
        <v>23</v>
      </c>
      <c r="K1373" s="77">
        <v>45847</v>
      </c>
      <c r="L1373" s="10"/>
      <c r="M1373" s="427">
        <v>1372</v>
      </c>
      <c r="N1373" s="13" t="str">
        <f t="shared" ca="1" si="43"/>
        <v>CLOSED</v>
      </c>
    </row>
    <row r="1374" spans="1:14" x14ac:dyDescent="0.3">
      <c r="A1374" s="9" t="s">
        <v>288</v>
      </c>
      <c r="B1374" s="13">
        <f>VLOOKUP(Table27[[#This Row],[Location 
(drop-down)]],'List source'!D$2:E$61,2,FALSE)</f>
        <v>197</v>
      </c>
      <c r="C1374" s="215" t="s">
        <v>3503</v>
      </c>
      <c r="D1374" s="13" t="str">
        <f t="shared" si="42"/>
        <v>PTO1373-197-24</v>
      </c>
      <c r="E1374" s="9" t="s">
        <v>3504</v>
      </c>
      <c r="F1374" s="10" t="str" cm="1">
        <f t="array" aca="1" ref="F137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374" s="10">
        <v>2.99</v>
      </c>
      <c r="I1374" s="12">
        <v>45657</v>
      </c>
      <c r="J1374" s="12" t="s">
        <v>23</v>
      </c>
      <c r="K1374" s="77">
        <v>45996</v>
      </c>
      <c r="L1374" s="10"/>
      <c r="M1374" s="427">
        <v>1373</v>
      </c>
      <c r="N1374" s="13" t="str">
        <f t="shared" ca="1" si="43"/>
        <v>CLOSED</v>
      </c>
    </row>
    <row r="1375" spans="1:14" ht="28.8" x14ac:dyDescent="0.3">
      <c r="A1375" s="9" t="s">
        <v>288</v>
      </c>
      <c r="B1375" s="13">
        <f>VLOOKUP(Table27[[#This Row],[Location 
(drop-down)]],'List source'!D$2:E$61,2,FALSE)</f>
        <v>197</v>
      </c>
      <c r="C1375" s="215" t="s">
        <v>3505</v>
      </c>
      <c r="D1375" s="13" t="str">
        <f t="shared" si="42"/>
        <v>PTO1374-197-24</v>
      </c>
      <c r="E1375" s="9" t="s">
        <v>3506</v>
      </c>
      <c r="F1375" s="10" t="str" cm="1">
        <f t="array" aca="1" ref="F137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D3948 - Water Separation</v>
      </c>
      <c r="H1375" s="39" t="s">
        <v>3507</v>
      </c>
      <c r="I1375" s="12">
        <v>45657</v>
      </c>
      <c r="J1375" s="12" t="s">
        <v>23</v>
      </c>
      <c r="K1375" s="77">
        <v>45964</v>
      </c>
      <c r="L1375" s="10"/>
      <c r="M1375" s="427">
        <v>1374</v>
      </c>
      <c r="N1375" s="13" t="str">
        <f t="shared" ca="1" si="43"/>
        <v>CLOSED</v>
      </c>
    </row>
    <row r="1376" spans="1:14" x14ac:dyDescent="0.3">
      <c r="A1376" s="9" t="s">
        <v>166</v>
      </c>
      <c r="B1376" s="13">
        <f>VLOOKUP(Table27[[#This Row],[Location 
(drop-down)]],'List source'!D$2:E$61,2,FALSE)</f>
        <v>198</v>
      </c>
      <c r="C1376" s="215" t="s">
        <v>3508</v>
      </c>
      <c r="D1376" s="13" t="str">
        <f t="shared" si="42"/>
        <v>PTO1375-198-24</v>
      </c>
      <c r="E1376" s="9" t="s">
        <v>3509</v>
      </c>
      <c r="F1376" s="10" t="str" cm="1">
        <f t="array" aca="1" ref="F137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76" s="10">
        <v>3.35</v>
      </c>
      <c r="I1376" s="12">
        <v>45657</v>
      </c>
      <c r="J1376" s="12" t="s">
        <v>41</v>
      </c>
      <c r="K1376" s="77">
        <v>45742</v>
      </c>
      <c r="L1376" s="10"/>
      <c r="M1376" s="427">
        <v>1375</v>
      </c>
      <c r="N1376" s="13" t="str">
        <f t="shared" ca="1" si="43"/>
        <v>CLOSED</v>
      </c>
    </row>
    <row r="1377" spans="1:14" x14ac:dyDescent="0.3">
      <c r="A1377" s="9" t="s">
        <v>166</v>
      </c>
      <c r="B1377" s="13">
        <f>VLOOKUP(Table27[[#This Row],[Location 
(drop-down)]],'List source'!D$2:E$61,2,FALSE)</f>
        <v>198</v>
      </c>
      <c r="C1377" s="215" t="s">
        <v>3510</v>
      </c>
      <c r="D1377" s="13" t="str">
        <f t="shared" si="42"/>
        <v>PTO1376-198-24</v>
      </c>
      <c r="E1377" s="9" t="s">
        <v>3429</v>
      </c>
      <c r="F1377" s="10" t="str" cm="1">
        <f t="array" aca="1" ref="F137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D2622 - Sulfur</v>
      </c>
      <c r="H1377" s="39" t="s">
        <v>1605</v>
      </c>
      <c r="I1377" s="12">
        <v>45657</v>
      </c>
      <c r="J1377" s="12" t="s">
        <v>495</v>
      </c>
      <c r="K1377" s="77">
        <v>45657</v>
      </c>
      <c r="L1377" s="265" t="s">
        <v>673</v>
      </c>
      <c r="M1377" s="427">
        <v>1376</v>
      </c>
      <c r="N1377" s="13" t="str">
        <f t="shared" ca="1" si="43"/>
        <v>CLOSED</v>
      </c>
    </row>
    <row r="1378" spans="1:14" x14ac:dyDescent="0.3">
      <c r="A1378" s="9" t="s">
        <v>261</v>
      </c>
      <c r="B1378" s="13">
        <f>VLOOKUP(Table27[[#This Row],[Location 
(drop-down)]],'List source'!D$2:E$61,2,FALSE)</f>
        <v>210</v>
      </c>
      <c r="C1378" s="215" t="s">
        <v>3511</v>
      </c>
      <c r="D1378" s="13" t="str">
        <f t="shared" si="42"/>
        <v>PTO1377-210-24</v>
      </c>
      <c r="E1378" s="9" t="s">
        <v>3512</v>
      </c>
      <c r="F1378" s="10" t="str" cm="1">
        <f t="array" aca="1" ref="F137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D7042 - Viscosity</v>
      </c>
      <c r="H1378" s="10">
        <v>7.16</v>
      </c>
      <c r="I1378" s="12">
        <v>45657</v>
      </c>
      <c r="J1378" s="12" t="s">
        <v>498</v>
      </c>
      <c r="K1378" s="77">
        <v>45959</v>
      </c>
      <c r="L1378" s="10"/>
      <c r="M1378" s="427">
        <v>1377</v>
      </c>
      <c r="N1378" s="13" t="str">
        <f t="shared" ca="1" si="43"/>
        <v>CLOSED</v>
      </c>
    </row>
    <row r="1379" spans="1:14" x14ac:dyDescent="0.3">
      <c r="A1379" s="9" t="s">
        <v>564</v>
      </c>
      <c r="B1379" s="13">
        <f>VLOOKUP(Table27[[#This Row],[Location 
(drop-down)]],'List source'!D$2:E$61,2,FALSE)</f>
        <v>215</v>
      </c>
      <c r="C1379" s="215" t="s">
        <v>3513</v>
      </c>
      <c r="D1379" s="13" t="str">
        <f t="shared" si="42"/>
        <v>PTO1378-215-24</v>
      </c>
      <c r="E1379" s="9" t="s">
        <v>3514</v>
      </c>
      <c r="F1379" s="10" t="str" cm="1">
        <f t="array" aca="1" ref="F137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7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79" s="10" t="s">
        <v>3515</v>
      </c>
      <c r="I1379" s="12">
        <v>45657</v>
      </c>
      <c r="J1379" s="12" t="s">
        <v>495</v>
      </c>
      <c r="K1379" s="77">
        <v>45657</v>
      </c>
      <c r="L1379" s="265" t="s">
        <v>673</v>
      </c>
      <c r="M1379" s="427">
        <v>1378</v>
      </c>
      <c r="N1379" s="13" t="str">
        <f t="shared" ca="1" si="43"/>
        <v>CLOSED</v>
      </c>
    </row>
    <row r="1380" spans="1:14" ht="28.8" x14ac:dyDescent="0.3">
      <c r="A1380" s="9" t="s">
        <v>564</v>
      </c>
      <c r="B1380" s="13">
        <f>VLOOKUP(Table27[[#This Row],[Location 
(drop-down)]],'List source'!D$2:E$61,2,FALSE)</f>
        <v>215</v>
      </c>
      <c r="C1380" s="215" t="s">
        <v>3516</v>
      </c>
      <c r="D1380" s="13" t="str">
        <f t="shared" si="42"/>
        <v>PTO1379-215-24</v>
      </c>
      <c r="E1380" s="9" t="s">
        <v>3517</v>
      </c>
      <c r="F1380" s="10" t="str" cm="1">
        <f t="array" aca="1" ref="F138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JF</v>
      </c>
      <c r="G138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D6304 - Water</v>
      </c>
      <c r="H1380" s="39" t="s">
        <v>1000</v>
      </c>
      <c r="I1380" s="12">
        <v>45657</v>
      </c>
      <c r="J1380" s="12" t="s">
        <v>495</v>
      </c>
      <c r="K1380" s="77">
        <v>45657</v>
      </c>
      <c r="L1380" s="265" t="s">
        <v>673</v>
      </c>
      <c r="M1380" s="427">
        <v>1379</v>
      </c>
      <c r="N1380" s="13" t="str">
        <f t="shared" ca="1" si="43"/>
        <v>CLOSED</v>
      </c>
    </row>
    <row r="1381" spans="1:14" x14ac:dyDescent="0.3">
      <c r="A1381" s="9" t="s">
        <v>288</v>
      </c>
      <c r="B1381" s="13">
        <f>VLOOKUP(Table27[[#This Row],[Location 
(drop-down)]],'List source'!D$2:E$61,2,FALSE)</f>
        <v>197</v>
      </c>
      <c r="C1381" s="215" t="s">
        <v>3518</v>
      </c>
      <c r="D1381" s="13" t="str">
        <f t="shared" si="42"/>
        <v>PTO1380-197-24</v>
      </c>
      <c r="E1381" s="373" t="s">
        <v>3519</v>
      </c>
      <c r="F1381" s="10" t="s">
        <v>2712</v>
      </c>
      <c r="G138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Oxygenates - Ethanol - All Methods</v>
      </c>
      <c r="H1381" s="39">
        <v>-5.41</v>
      </c>
      <c r="I1381" s="12">
        <v>45657</v>
      </c>
      <c r="J1381" s="12" t="s">
        <v>23</v>
      </c>
      <c r="K1381" s="77">
        <v>46027</v>
      </c>
      <c r="L1381" s="10"/>
      <c r="M1381" s="427">
        <v>1380</v>
      </c>
      <c r="N1381" s="13" t="str">
        <f t="shared" ca="1" si="43"/>
        <v>CLOSED</v>
      </c>
    </row>
    <row r="1382" spans="1:14" x14ac:dyDescent="0.3">
      <c r="A1382" s="9" t="s">
        <v>166</v>
      </c>
      <c r="B1382" s="13">
        <f>VLOOKUP(Table27[[#This Row],[Location 
(drop-down)]],'List source'!D$2:E$61,2,FALSE)</f>
        <v>198</v>
      </c>
      <c r="C1382" s="215" t="s">
        <v>3520</v>
      </c>
      <c r="D1382" s="13" t="str">
        <f t="shared" si="42"/>
        <v>PTO1381-198-24</v>
      </c>
      <c r="E1382" s="9" t="s">
        <v>3521</v>
      </c>
      <c r="F1382" s="10" t="s">
        <v>2712</v>
      </c>
      <c r="G138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Oxygenates - Ethanol - All Methods</v>
      </c>
      <c r="H1382" s="39" t="s">
        <v>3522</v>
      </c>
      <c r="I1382" s="12">
        <v>45657</v>
      </c>
      <c r="J1382" s="12" t="s">
        <v>495</v>
      </c>
      <c r="K1382" s="77">
        <v>45657</v>
      </c>
      <c r="L1382" s="10" t="s">
        <v>510</v>
      </c>
      <c r="M1382" s="427">
        <v>1381</v>
      </c>
      <c r="N1382" s="13" t="str">
        <f t="shared" ca="1" si="43"/>
        <v>CLOSED</v>
      </c>
    </row>
    <row r="1383" spans="1:14" x14ac:dyDescent="0.3">
      <c r="A1383" s="9" t="s">
        <v>318</v>
      </c>
      <c r="B1383" s="13">
        <f>VLOOKUP(Table27[[#This Row],[Location 
(drop-down)]],'List source'!D$2:E$61,2,FALSE)</f>
        <v>115</v>
      </c>
      <c r="C1383" s="215" t="s">
        <v>3523</v>
      </c>
      <c r="D1383" s="13" t="str">
        <f t="shared" si="42"/>
        <v>PTO1382-115-24</v>
      </c>
      <c r="E1383" s="9" t="s">
        <v>3524</v>
      </c>
      <c r="F1383" s="10" t="s">
        <v>876</v>
      </c>
      <c r="G138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83" s="10">
        <v>8.5500000000000007</v>
      </c>
      <c r="I1383" s="12">
        <v>45657</v>
      </c>
      <c r="J1383" s="12" t="s">
        <v>495</v>
      </c>
      <c r="K1383" s="77">
        <v>45665</v>
      </c>
      <c r="L1383" s="265" t="s">
        <v>510</v>
      </c>
      <c r="M1383" s="427">
        <v>1382</v>
      </c>
      <c r="N1383" s="13" t="str">
        <f t="shared" ca="1" si="43"/>
        <v>CLOSED</v>
      </c>
    </row>
    <row r="1384" spans="1:14" x14ac:dyDescent="0.3">
      <c r="A1384" s="9" t="s">
        <v>86</v>
      </c>
      <c r="B1384" s="13">
        <f>VLOOKUP(Table27[[#This Row],[Location 
(drop-down)]],'List source'!D$2:E$61,2,FALSE)</f>
        <v>150</v>
      </c>
      <c r="C1384" s="215" t="s">
        <v>3525</v>
      </c>
      <c r="D1384" s="13" t="str">
        <f t="shared" si="42"/>
        <v>PTO1383-150-24</v>
      </c>
      <c r="E1384" s="9" t="s">
        <v>3526</v>
      </c>
      <c r="F1384" s="10" t="s">
        <v>876</v>
      </c>
      <c r="G138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Vapor Pressure</v>
      </c>
      <c r="H1384" s="39" t="s">
        <v>3527</v>
      </c>
      <c r="I1384" s="12">
        <v>45657</v>
      </c>
      <c r="J1384" s="12" t="s">
        <v>495</v>
      </c>
      <c r="K1384" s="77">
        <v>45657</v>
      </c>
      <c r="L1384" s="265" t="s">
        <v>673</v>
      </c>
      <c r="M1384" s="427">
        <v>1383</v>
      </c>
      <c r="N1384" s="13" t="str">
        <f t="shared" ca="1" si="43"/>
        <v>CLOSED</v>
      </c>
    </row>
    <row r="1385" spans="1:14" x14ac:dyDescent="0.3">
      <c r="A1385" s="9" t="s">
        <v>86</v>
      </c>
      <c r="B1385" s="13">
        <f>VLOOKUP(Table27[[#This Row],[Location 
(drop-down)]],'List source'!D$2:E$61,2,FALSE)</f>
        <v>150</v>
      </c>
      <c r="C1385" s="215" t="s">
        <v>3528</v>
      </c>
      <c r="D1385" s="13" t="str">
        <f t="shared" si="42"/>
        <v>PTO1384-150-24</v>
      </c>
      <c r="E1385" s="9" t="s">
        <v>3529</v>
      </c>
      <c r="F1385" s="10" t="s">
        <v>876</v>
      </c>
      <c r="G138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385" s="10">
        <v>2.72</v>
      </c>
      <c r="I1385" s="12">
        <v>45657</v>
      </c>
      <c r="J1385" s="12" t="s">
        <v>49</v>
      </c>
      <c r="K1385" s="77">
        <v>45741</v>
      </c>
      <c r="L1385" s="10"/>
      <c r="M1385" s="427">
        <v>1384</v>
      </c>
      <c r="N1385" s="13" t="str">
        <f t="shared" ca="1" si="43"/>
        <v>CLOSED</v>
      </c>
    </row>
    <row r="1386" spans="1:14" x14ac:dyDescent="0.3">
      <c r="A1386" s="9" t="s">
        <v>86</v>
      </c>
      <c r="B1386" s="13">
        <f>VLOOKUP(Table27[[#This Row],[Location 
(drop-down)]],'List source'!D$2:E$61,2,FALSE)</f>
        <v>150</v>
      </c>
      <c r="C1386" s="215" t="s">
        <v>3530</v>
      </c>
      <c r="D1386" s="13" t="str">
        <f t="shared" si="42"/>
        <v>PTO1385-150-24</v>
      </c>
      <c r="E1386" s="9" t="s">
        <v>3531</v>
      </c>
      <c r="F1386" s="10" t="s">
        <v>876</v>
      </c>
      <c r="G138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API - Gravity</v>
      </c>
      <c r="H1386" s="39" t="s">
        <v>3532</v>
      </c>
      <c r="I1386" s="12">
        <v>45657</v>
      </c>
      <c r="J1386" s="12" t="s">
        <v>134</v>
      </c>
      <c r="K1386" s="77">
        <v>45758</v>
      </c>
      <c r="L1386" s="10"/>
      <c r="M1386" s="427">
        <v>1385</v>
      </c>
      <c r="N1386" s="13" t="str">
        <f t="shared" ca="1" si="43"/>
        <v>CLOSED</v>
      </c>
    </row>
    <row r="1387" spans="1:14" x14ac:dyDescent="0.3">
      <c r="A1387" s="9" t="s">
        <v>65</v>
      </c>
      <c r="B1387" s="13">
        <f>VLOOKUP(Table27[[#This Row],[Location 
(drop-down)]],'List source'!D$2:E$61,2,FALSE)</f>
        <v>155</v>
      </c>
      <c r="C1387" s="215" t="s">
        <v>3533</v>
      </c>
      <c r="D1387" s="13" t="str">
        <f t="shared" si="42"/>
        <v>PTO1386-155-24</v>
      </c>
      <c r="E1387" s="9" t="s">
        <v>3534</v>
      </c>
      <c r="F1387" s="10" t="s">
        <v>876</v>
      </c>
      <c r="G138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87" s="39" t="s">
        <v>2673</v>
      </c>
      <c r="I1387" s="12">
        <v>45657</v>
      </c>
      <c r="J1387" s="12" t="s">
        <v>495</v>
      </c>
      <c r="K1387" s="77">
        <v>45657</v>
      </c>
      <c r="L1387" s="265" t="s">
        <v>673</v>
      </c>
      <c r="M1387" s="427">
        <v>1386</v>
      </c>
      <c r="N1387" s="13" t="str">
        <f t="shared" ca="1" si="43"/>
        <v>CLOSED</v>
      </c>
    </row>
    <row r="1388" spans="1:14" x14ac:dyDescent="0.3">
      <c r="A1388" s="9" t="s">
        <v>235</v>
      </c>
      <c r="B1388" s="13">
        <f>VLOOKUP(Table27[[#This Row],[Location 
(drop-down)]],'List source'!D$2:E$61,2,FALSE)</f>
        <v>160</v>
      </c>
      <c r="C1388" s="215" t="s">
        <v>3535</v>
      </c>
      <c r="D1388" s="13" t="str">
        <f t="shared" si="42"/>
        <v>PTO1387-160-24</v>
      </c>
      <c r="E1388" s="9" t="s">
        <v>3536</v>
      </c>
      <c r="F1388" s="10" t="s">
        <v>876</v>
      </c>
      <c r="G138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API - Gravity</v>
      </c>
      <c r="H1388" s="39" t="s">
        <v>3537</v>
      </c>
      <c r="I1388" s="12">
        <v>45657</v>
      </c>
      <c r="J1388" s="12" t="s">
        <v>134</v>
      </c>
      <c r="K1388" s="77">
        <v>45698</v>
      </c>
      <c r="L1388" s="10"/>
      <c r="M1388" s="427">
        <v>1387</v>
      </c>
      <c r="N1388" s="13" t="str">
        <f t="shared" ca="1" si="43"/>
        <v>CLOSED</v>
      </c>
    </row>
    <row r="1389" spans="1:14" x14ac:dyDescent="0.2">
      <c r="A1389" s="9" t="s">
        <v>138</v>
      </c>
      <c r="B1389" s="13">
        <f>VLOOKUP(Table27[[#This Row],[Location 
(drop-down)]],'List source'!D$2:E$61,2,FALSE)</f>
        <v>110</v>
      </c>
      <c r="C1389" s="215" t="s">
        <v>3538</v>
      </c>
      <c r="D1389" s="13" t="str">
        <f t="shared" si="42"/>
        <v>PTO1388-110-24</v>
      </c>
      <c r="E1389" s="376" t="s">
        <v>3539</v>
      </c>
      <c r="F1389" s="10" t="s">
        <v>898</v>
      </c>
      <c r="G138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89" s="39" t="s">
        <v>3540</v>
      </c>
      <c r="I1389" s="12">
        <v>45657</v>
      </c>
      <c r="J1389" s="12" t="s">
        <v>498</v>
      </c>
      <c r="K1389" s="77">
        <v>45960</v>
      </c>
      <c r="L1389" s="10"/>
      <c r="M1389" s="427">
        <v>1388</v>
      </c>
      <c r="N1389" s="13" t="str">
        <f t="shared" ca="1" si="43"/>
        <v>CLOSED</v>
      </c>
    </row>
    <row r="1390" spans="1:14" ht="28.8" x14ac:dyDescent="0.3">
      <c r="A1390" s="9" t="s">
        <v>318</v>
      </c>
      <c r="B1390" s="13">
        <f>VLOOKUP(Table27[[#This Row],[Location 
(drop-down)]],'List source'!D$2:E$61,2,FALSE)</f>
        <v>115</v>
      </c>
      <c r="C1390" s="215" t="s">
        <v>3541</v>
      </c>
      <c r="D1390" s="13" t="str">
        <f t="shared" si="42"/>
        <v>PTO1389-115-24</v>
      </c>
      <c r="E1390" s="9" t="s">
        <v>3542</v>
      </c>
      <c r="F1390" s="10" t="s">
        <v>898</v>
      </c>
      <c r="G139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Octanes - Pump - AKI &amp; R-M Sensitivity</v>
      </c>
      <c r="H1390" s="10" t="s">
        <v>3543</v>
      </c>
      <c r="I1390" s="12">
        <v>45657</v>
      </c>
      <c r="J1390" s="12" t="s">
        <v>495</v>
      </c>
      <c r="K1390" s="77">
        <v>45665</v>
      </c>
      <c r="L1390" s="10" t="s">
        <v>653</v>
      </c>
      <c r="M1390" s="427">
        <v>1389</v>
      </c>
      <c r="N1390" s="13" t="str">
        <f t="shared" ca="1" si="43"/>
        <v>CLOSED</v>
      </c>
    </row>
    <row r="1391" spans="1:14" x14ac:dyDescent="0.3">
      <c r="A1391" s="9" t="s">
        <v>318</v>
      </c>
      <c r="B1391" s="13">
        <f>VLOOKUP(Table27[[#This Row],[Location 
(drop-down)]],'List source'!D$2:E$61,2,FALSE)</f>
        <v>115</v>
      </c>
      <c r="C1391" s="215" t="s">
        <v>3544</v>
      </c>
      <c r="D1391" s="13" t="str">
        <f t="shared" si="42"/>
        <v>PTO1390-115-24</v>
      </c>
      <c r="E1391" s="9" t="s">
        <v>3545</v>
      </c>
      <c r="F1391" s="10" t="s">
        <v>898</v>
      </c>
      <c r="G139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391" s="10">
        <v>64.86</v>
      </c>
      <c r="I1391" s="12">
        <v>45657</v>
      </c>
      <c r="J1391" s="12" t="s">
        <v>495</v>
      </c>
      <c r="K1391" s="77">
        <v>45665</v>
      </c>
      <c r="L1391" s="10" t="s">
        <v>510</v>
      </c>
      <c r="M1391" s="427">
        <v>1390</v>
      </c>
      <c r="N1391" s="13" t="str">
        <f t="shared" ca="1" si="43"/>
        <v>CLOSED</v>
      </c>
    </row>
    <row r="1392" spans="1:14" x14ac:dyDescent="0.3">
      <c r="A1392" s="189" t="s">
        <v>318</v>
      </c>
      <c r="B1392" s="217">
        <f>VLOOKUP(Table27[[#This Row],[Location 
(drop-down)]],'List source'!D$2:E$61,2,FALSE)</f>
        <v>115</v>
      </c>
      <c r="C1392" s="254" t="s">
        <v>3546</v>
      </c>
      <c r="D1392" s="217" t="str">
        <f t="shared" si="42"/>
        <v>PTO1391-115-24</v>
      </c>
      <c r="E1392" s="9" t="s">
        <v>3547</v>
      </c>
      <c r="F1392" s="10" t="s">
        <v>898</v>
      </c>
      <c r="G139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D5769 - GCMS</v>
      </c>
      <c r="H1392" s="10">
        <v>2.7</v>
      </c>
      <c r="I1392" s="12">
        <v>45657</v>
      </c>
      <c r="J1392" s="234" t="s">
        <v>60</v>
      </c>
      <c r="K1392" s="220">
        <v>45715</v>
      </c>
      <c r="L1392" s="10"/>
      <c r="M1392" s="427">
        <v>1391</v>
      </c>
      <c r="N1392" s="13" t="str">
        <f t="shared" ca="1" si="43"/>
        <v>CLOSED</v>
      </c>
    </row>
    <row r="1393" spans="1:14" x14ac:dyDescent="0.3">
      <c r="A1393" s="9" t="s">
        <v>157</v>
      </c>
      <c r="B1393" s="13">
        <f>VLOOKUP(Table27[[#This Row],[Location 
(drop-down)]],'List source'!D$2:E$61,2,FALSE)</f>
        <v>136</v>
      </c>
      <c r="C1393" s="215" t="s">
        <v>3548</v>
      </c>
      <c r="D1393" s="13" t="str">
        <f t="shared" si="42"/>
        <v>PTO1392-136-24</v>
      </c>
      <c r="E1393" s="9" t="s">
        <v>3549</v>
      </c>
      <c r="F1393" s="10" t="s">
        <v>898</v>
      </c>
      <c r="G139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93" s="10">
        <v>2.21</v>
      </c>
      <c r="I1393" s="12">
        <v>45657</v>
      </c>
      <c r="J1393" s="12" t="s">
        <v>495</v>
      </c>
      <c r="K1393" s="77">
        <v>45657</v>
      </c>
      <c r="L1393" s="265" t="s">
        <v>673</v>
      </c>
      <c r="M1393" s="427">
        <v>1392</v>
      </c>
      <c r="N1393" s="13" t="str">
        <f t="shared" ca="1" si="43"/>
        <v>CLOSED</v>
      </c>
    </row>
    <row r="1394" spans="1:14" x14ac:dyDescent="0.3">
      <c r="A1394" s="9" t="s">
        <v>157</v>
      </c>
      <c r="B1394" s="13">
        <f>VLOOKUP(Table27[[#This Row],[Location 
(drop-down)]],'List source'!D$2:E$61,2,FALSE)</f>
        <v>136</v>
      </c>
      <c r="C1394" s="215" t="s">
        <v>3550</v>
      </c>
      <c r="D1394" s="13" t="str">
        <f t="shared" si="42"/>
        <v>PTO1393-136-24</v>
      </c>
      <c r="E1394" s="9" t="s">
        <v>3551</v>
      </c>
      <c r="F1394" s="10" t="s">
        <v>898</v>
      </c>
      <c r="G139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1394" s="10">
        <v>86.67</v>
      </c>
      <c r="I1394" s="12">
        <v>45657</v>
      </c>
      <c r="J1394" s="12" t="s">
        <v>495</v>
      </c>
      <c r="K1394" s="77">
        <v>45671</v>
      </c>
      <c r="L1394" s="10" t="s">
        <v>510</v>
      </c>
      <c r="M1394" s="427">
        <v>1393</v>
      </c>
      <c r="N1394" s="13" t="str">
        <f t="shared" ca="1" si="43"/>
        <v>CLOSED</v>
      </c>
    </row>
    <row r="1395" spans="1:14" x14ac:dyDescent="0.3">
      <c r="A1395" s="9" t="s">
        <v>29</v>
      </c>
      <c r="B1395" s="13">
        <f>VLOOKUP(Table27[[#This Row],[Location 
(drop-down)]],'List source'!D$2:E$61,2,FALSE)</f>
        <v>141</v>
      </c>
      <c r="C1395" s="215" t="s">
        <v>3552</v>
      </c>
      <c r="D1395" s="13" t="str">
        <f t="shared" si="42"/>
        <v>PTO1394-141-24</v>
      </c>
      <c r="E1395" s="9" t="s">
        <v>3553</v>
      </c>
      <c r="F1395" s="10" t="s">
        <v>898</v>
      </c>
      <c r="G139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395" s="10">
        <v>30.61</v>
      </c>
      <c r="I1395" s="12">
        <v>45657</v>
      </c>
      <c r="J1395" s="12" t="s">
        <v>495</v>
      </c>
      <c r="K1395" s="77">
        <v>45659</v>
      </c>
      <c r="L1395" s="10" t="s">
        <v>510</v>
      </c>
      <c r="M1395" s="427">
        <v>1394</v>
      </c>
      <c r="N1395" s="13" t="str">
        <f t="shared" ca="1" si="43"/>
        <v>CLOSED</v>
      </c>
    </row>
    <row r="1396" spans="1:14" x14ac:dyDescent="0.3">
      <c r="A1396" s="9" t="s">
        <v>29</v>
      </c>
      <c r="B1396" s="13">
        <f>VLOOKUP(Table27[[#This Row],[Location 
(drop-down)]],'List source'!D$2:E$61,2,FALSE)</f>
        <v>141</v>
      </c>
      <c r="C1396" s="215" t="s">
        <v>3554</v>
      </c>
      <c r="D1396" s="13" t="str">
        <f t="shared" ref="D1396:D1418" si="44">"PTO" &amp; C1396 &amp; "-" &amp; B1396 &amp; "-" &amp; "24"</f>
        <v>PTO1395-141-24</v>
      </c>
      <c r="E1396" s="9" t="s">
        <v>3555</v>
      </c>
      <c r="F1396" s="10" t="s">
        <v>898</v>
      </c>
      <c r="G139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D5599 - Oxygenates</v>
      </c>
      <c r="H1396" s="10">
        <v>-46.09</v>
      </c>
      <c r="I1396" s="12">
        <v>45657</v>
      </c>
      <c r="J1396" s="12" t="s">
        <v>495</v>
      </c>
      <c r="K1396" s="77">
        <v>45659</v>
      </c>
      <c r="L1396" s="10" t="s">
        <v>510</v>
      </c>
      <c r="M1396" s="427">
        <v>1395</v>
      </c>
      <c r="N1396" s="13" t="str">
        <f t="shared" ref="N1396:N1418" ca="1" si="45">IF(ISBLANK(K1396), TODAY()-(I1396), "CLOSED")</f>
        <v>CLOSED</v>
      </c>
    </row>
    <row r="1397" spans="1:14" x14ac:dyDescent="0.3">
      <c r="A1397" s="9" t="s">
        <v>145</v>
      </c>
      <c r="B1397" s="13">
        <f>VLOOKUP(Table27[[#This Row],[Location 
(drop-down)]],'List source'!D$2:E$61,2,FALSE)</f>
        <v>145</v>
      </c>
      <c r="C1397" s="215" t="s">
        <v>3556</v>
      </c>
      <c r="D1397" s="13" t="str">
        <f t="shared" si="44"/>
        <v>PTO1396-145-24</v>
      </c>
      <c r="E1397" s="9" t="s">
        <v>3557</v>
      </c>
      <c r="F1397" s="10" t="s">
        <v>898</v>
      </c>
      <c r="G139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D2700 - Octane Number</v>
      </c>
      <c r="H1397" s="39" t="s">
        <v>3558</v>
      </c>
      <c r="I1397" s="12">
        <v>45657</v>
      </c>
      <c r="J1397" s="12" t="s">
        <v>495</v>
      </c>
      <c r="K1397" s="77">
        <v>45663</v>
      </c>
      <c r="L1397" s="10" t="s">
        <v>510</v>
      </c>
      <c r="M1397" s="427">
        <v>1396</v>
      </c>
      <c r="N1397" s="13" t="str">
        <f t="shared" ca="1" si="45"/>
        <v>CLOSED</v>
      </c>
    </row>
    <row r="1398" spans="1:14" x14ac:dyDescent="0.3">
      <c r="A1398" s="9" t="s">
        <v>57</v>
      </c>
      <c r="B1398" s="13">
        <f>VLOOKUP(Table27[[#This Row],[Location 
(drop-down)]],'List source'!D$2:E$61,2,FALSE)</f>
        <v>170</v>
      </c>
      <c r="C1398" s="215" t="s">
        <v>3559</v>
      </c>
      <c r="D1398" s="13" t="str">
        <f t="shared" si="44"/>
        <v>PTO1397-170-24</v>
      </c>
      <c r="E1398" s="9" t="s">
        <v>3560</v>
      </c>
      <c r="F1398" s="10" t="str" cm="1">
        <f t="array" aca="1" ref="F139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39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398" s="10" t="s">
        <v>3561</v>
      </c>
      <c r="I1398" s="12">
        <v>45657</v>
      </c>
      <c r="J1398" s="12" t="s">
        <v>495</v>
      </c>
      <c r="K1398" s="77">
        <v>45657</v>
      </c>
      <c r="L1398" s="265" t="s">
        <v>673</v>
      </c>
      <c r="M1398" s="427">
        <v>1397</v>
      </c>
      <c r="N1398" s="13" t="str">
        <f t="shared" ca="1" si="45"/>
        <v>CLOSED</v>
      </c>
    </row>
    <row r="1399" spans="1:14" x14ac:dyDescent="0.3">
      <c r="A1399" s="9" t="s">
        <v>57</v>
      </c>
      <c r="B1399" s="13">
        <f>VLOOKUP(Table27[[#This Row],[Location 
(drop-down)]],'List source'!D$2:E$61,2,FALSE)</f>
        <v>170</v>
      </c>
      <c r="C1399" s="215" t="s">
        <v>3562</v>
      </c>
      <c r="D1399" s="13" t="str">
        <f t="shared" si="44"/>
        <v>PTO1398-170-24</v>
      </c>
      <c r="E1399" s="9" t="s">
        <v>3563</v>
      </c>
      <c r="F1399" s="10" t="str" cm="1">
        <f t="array" aca="1" ref="F1399"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39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D5453 - Sulfur</v>
      </c>
      <c r="H1399" s="39" t="s">
        <v>2264</v>
      </c>
      <c r="I1399" s="12">
        <v>45657</v>
      </c>
      <c r="J1399" s="12" t="s">
        <v>495</v>
      </c>
      <c r="K1399" s="77">
        <v>45657</v>
      </c>
      <c r="L1399" s="265" t="s">
        <v>673</v>
      </c>
      <c r="M1399" s="427">
        <v>1398</v>
      </c>
      <c r="N1399" s="13" t="str">
        <f t="shared" ca="1" si="45"/>
        <v>CLOSED</v>
      </c>
    </row>
    <row r="1400" spans="1:14" x14ac:dyDescent="0.3">
      <c r="A1400" s="9" t="s">
        <v>57</v>
      </c>
      <c r="B1400" s="13">
        <f>VLOOKUP(Table27[[#This Row],[Location 
(drop-down)]],'List source'!D$2:E$61,2,FALSE)</f>
        <v>170</v>
      </c>
      <c r="C1400" s="215" t="s">
        <v>3564</v>
      </c>
      <c r="D1400" s="13" t="str">
        <f t="shared" si="44"/>
        <v>PTO1399-170-24</v>
      </c>
      <c r="E1400" s="9" t="s">
        <v>3565</v>
      </c>
      <c r="F1400" s="10" t="str" cm="1">
        <f t="array" aca="1" ref="F1400"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40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D5580 - GC</v>
      </c>
      <c r="H1400" s="10">
        <v>2.2000000000000002</v>
      </c>
      <c r="I1400" s="12">
        <v>45657</v>
      </c>
      <c r="J1400" s="12" t="s">
        <v>495</v>
      </c>
      <c r="K1400" s="77">
        <v>45657</v>
      </c>
      <c r="L1400" s="265" t="s">
        <v>673</v>
      </c>
      <c r="M1400" s="427">
        <v>1399</v>
      </c>
      <c r="N1400" s="13" t="str">
        <f t="shared" ca="1" si="45"/>
        <v>CLOSED</v>
      </c>
    </row>
    <row r="1401" spans="1:14" x14ac:dyDescent="0.3">
      <c r="A1401" s="9" t="s">
        <v>388</v>
      </c>
      <c r="B1401" s="13">
        <f>VLOOKUP(Table27[[#This Row],[Location 
(drop-down)]],'List source'!D$2:E$61,2,FALSE)</f>
        <v>191</v>
      </c>
      <c r="C1401" s="215" t="s">
        <v>3566</v>
      </c>
      <c r="D1401" s="13" t="str">
        <f t="shared" si="44"/>
        <v>PTO1400-191-24</v>
      </c>
      <c r="E1401" s="9" t="s">
        <v>3567</v>
      </c>
      <c r="F1401" s="10" t="str" cm="1">
        <f t="array" aca="1" ref="F1401"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40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01" s="39" t="s">
        <v>2416</v>
      </c>
      <c r="I1401" s="12">
        <v>45657</v>
      </c>
      <c r="J1401" s="12" t="s">
        <v>495</v>
      </c>
      <c r="K1401" s="77">
        <v>45657</v>
      </c>
      <c r="L1401" s="265" t="s">
        <v>673</v>
      </c>
      <c r="M1401" s="427">
        <v>1400</v>
      </c>
      <c r="N1401" s="13" t="str">
        <f t="shared" ca="1" si="45"/>
        <v>CLOSED</v>
      </c>
    </row>
    <row r="1402" spans="1:14" x14ac:dyDescent="0.3">
      <c r="A1402" s="189" t="s">
        <v>388</v>
      </c>
      <c r="B1402" s="217">
        <f>VLOOKUP(Table27[[#This Row],[Location 
(drop-down)]],'List source'!D$2:E$61,2,FALSE)</f>
        <v>191</v>
      </c>
      <c r="C1402" s="254" t="s">
        <v>3568</v>
      </c>
      <c r="D1402" s="217" t="str">
        <f t="shared" si="44"/>
        <v>PTO1401-191-24</v>
      </c>
      <c r="E1402" s="9" t="s">
        <v>3569</v>
      </c>
      <c r="F1402" s="10" t="str" cm="1">
        <f t="array" aca="1" ref="F1402"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CE</v>
      </c>
      <c r="G140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D4815 - Oxygenates</v>
      </c>
      <c r="H1402" s="10">
        <v>67.3</v>
      </c>
      <c r="I1402" s="12">
        <v>45657</v>
      </c>
      <c r="J1402" s="234" t="s">
        <v>495</v>
      </c>
      <c r="K1402" s="220">
        <v>45299</v>
      </c>
      <c r="L1402" s="10" t="s">
        <v>510</v>
      </c>
      <c r="M1402" s="427">
        <v>1401</v>
      </c>
      <c r="N1402" s="13" t="str">
        <f t="shared" ca="1" si="45"/>
        <v>CLOSED</v>
      </c>
    </row>
    <row r="1403" spans="1:14" x14ac:dyDescent="0.3">
      <c r="A1403" s="9" t="s">
        <v>126</v>
      </c>
      <c r="B1403" s="13">
        <f>VLOOKUP(Table27[[#This Row],[Location 
(drop-down)]],'List source'!D$2:E$61,2,FALSE)</f>
        <v>125</v>
      </c>
      <c r="C1403" s="215" t="s">
        <v>3570</v>
      </c>
      <c r="D1403" s="13" t="str">
        <f t="shared" si="44"/>
        <v>PTO1402-125-24</v>
      </c>
      <c r="E1403" s="9" t="s">
        <v>3571</v>
      </c>
      <c r="F1403" s="10" t="str" cm="1">
        <f t="array" aca="1" ref="F1403"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03" s="39" t="s">
        <v>3572</v>
      </c>
      <c r="I1403" s="12">
        <v>45657</v>
      </c>
      <c r="J1403" s="12" t="s">
        <v>495</v>
      </c>
      <c r="K1403" s="77">
        <v>45657</v>
      </c>
      <c r="L1403" s="265" t="s">
        <v>673</v>
      </c>
      <c r="M1403" s="427">
        <v>1402</v>
      </c>
      <c r="N1403" s="13" t="str">
        <f t="shared" ca="1" si="45"/>
        <v>CLOSED</v>
      </c>
    </row>
    <row r="1404" spans="1:14" x14ac:dyDescent="0.3">
      <c r="A1404" s="9" t="s">
        <v>166</v>
      </c>
      <c r="B1404" s="13">
        <f>VLOOKUP(Table27[[#This Row],[Location 
(drop-down)]],'List source'!D$2:E$61,2,FALSE)</f>
        <v>198</v>
      </c>
      <c r="C1404" s="215" t="s">
        <v>3573</v>
      </c>
      <c r="D1404" s="13" t="str">
        <f t="shared" si="44"/>
        <v>PTO1403-198-24</v>
      </c>
      <c r="E1404" s="9" t="s">
        <v>3574</v>
      </c>
      <c r="F1404" s="10" t="str" cm="1">
        <f t="array" aca="1" ref="F1404"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04" s="39" t="s">
        <v>3575</v>
      </c>
      <c r="I1404" s="12">
        <v>45657</v>
      </c>
      <c r="J1404" s="12" t="s">
        <v>495</v>
      </c>
      <c r="K1404" s="77">
        <v>45657</v>
      </c>
      <c r="L1404" s="10" t="s">
        <v>510</v>
      </c>
      <c r="M1404" s="427">
        <v>1403</v>
      </c>
      <c r="N1404" s="13" t="str">
        <f t="shared" ca="1" si="45"/>
        <v>CLOSED</v>
      </c>
    </row>
    <row r="1405" spans="1:14" x14ac:dyDescent="0.3">
      <c r="A1405" s="9" t="s">
        <v>166</v>
      </c>
      <c r="B1405" s="13">
        <f>VLOOKUP(Table27[[#This Row],[Location 
(drop-down)]],'List source'!D$2:E$61,2,FALSE)</f>
        <v>198</v>
      </c>
      <c r="C1405" s="215" t="s">
        <v>3576</v>
      </c>
      <c r="D1405" s="13" t="str">
        <f t="shared" si="44"/>
        <v>PTO1404-198-24</v>
      </c>
      <c r="E1405" s="9" t="s">
        <v>3577</v>
      </c>
      <c r="F1405" s="10" t="str" cm="1">
        <f t="array" aca="1" ref="F1405"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Sulfur</v>
      </c>
      <c r="H1405" s="10">
        <v>2.65</v>
      </c>
      <c r="I1405" s="12">
        <v>45657</v>
      </c>
      <c r="J1405" s="12" t="s">
        <v>495</v>
      </c>
      <c r="K1405" s="77">
        <v>45657</v>
      </c>
      <c r="L1405" s="265" t="s">
        <v>673</v>
      </c>
      <c r="M1405" s="427">
        <v>1404</v>
      </c>
      <c r="N1405" s="13" t="str">
        <f t="shared" ca="1" si="45"/>
        <v>CLOSED</v>
      </c>
    </row>
    <row r="1406" spans="1:14" ht="28.8" x14ac:dyDescent="0.3">
      <c r="A1406" s="9" t="s">
        <v>261</v>
      </c>
      <c r="B1406" s="13">
        <f>VLOOKUP(Table27[[#This Row],[Location 
(drop-down)]],'List source'!D$2:E$61,2,FALSE)</f>
        <v>210</v>
      </c>
      <c r="C1406" s="215" t="s">
        <v>3578</v>
      </c>
      <c r="D1406" s="13" t="str">
        <f t="shared" si="44"/>
        <v>PTO1405-210-24</v>
      </c>
      <c r="E1406" s="9" t="s">
        <v>3579</v>
      </c>
      <c r="F1406" s="10" t="str" cm="1">
        <f t="array" aca="1" ref="F140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Hydrocarbon Type</v>
      </c>
      <c r="H1406" s="10" t="s">
        <v>3580</v>
      </c>
      <c r="I1406" s="12">
        <v>45657</v>
      </c>
      <c r="J1406" s="12" t="s">
        <v>498</v>
      </c>
      <c r="K1406" s="77">
        <v>45838</v>
      </c>
      <c r="L1406" s="10"/>
      <c r="M1406" s="427">
        <v>1405</v>
      </c>
      <c r="N1406" s="13" t="str">
        <f t="shared" ca="1" si="45"/>
        <v>CLOSED</v>
      </c>
    </row>
    <row r="1407" spans="1:14" ht="28.8" x14ac:dyDescent="0.3">
      <c r="A1407" s="9" t="s">
        <v>261</v>
      </c>
      <c r="B1407" s="13">
        <f>VLOOKUP(Table27[[#This Row],[Location 
(drop-down)]],'List source'!D$2:E$61,2,FALSE)</f>
        <v>210</v>
      </c>
      <c r="C1407" s="215" t="s">
        <v>3581</v>
      </c>
      <c r="D1407" s="13" t="str">
        <f t="shared" si="44"/>
        <v>PTO1406-210-24</v>
      </c>
      <c r="E1407" s="9" t="s">
        <v>3582</v>
      </c>
      <c r="F1407" s="10" t="str" cm="1">
        <f t="array" aca="1" ref="F140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7"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D2699 - Octane Number</v>
      </c>
      <c r="H1407" s="10" t="s">
        <v>3583</v>
      </c>
      <c r="I1407" s="12">
        <v>45657</v>
      </c>
      <c r="J1407" s="12" t="s">
        <v>195</v>
      </c>
      <c r="K1407" s="77">
        <v>45872</v>
      </c>
      <c r="L1407" s="10"/>
      <c r="M1407" s="427">
        <v>1406</v>
      </c>
      <c r="N1407" s="13" t="str">
        <f t="shared" ca="1" si="45"/>
        <v>CLOSED</v>
      </c>
    </row>
    <row r="1408" spans="1:14" x14ac:dyDescent="0.3">
      <c r="A1408" s="9" t="s">
        <v>261</v>
      </c>
      <c r="B1408" s="13">
        <f>VLOOKUP(Table27[[#This Row],[Location 
(drop-down)]],'List source'!D$2:E$61,2,FALSE)</f>
        <v>210</v>
      </c>
      <c r="C1408" s="215" t="s">
        <v>3584</v>
      </c>
      <c r="D1408" s="13" t="str">
        <f t="shared" si="44"/>
        <v>PTO1407-210-24</v>
      </c>
      <c r="E1408" s="9" t="s">
        <v>3585</v>
      </c>
      <c r="F1408" s="10" t="str" cm="1">
        <f t="array" aca="1" ref="F140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OC</v>
      </c>
      <c r="G1408"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Vapor Pressure</v>
      </c>
      <c r="H1408" s="10">
        <v>4.83</v>
      </c>
      <c r="I1408" s="12">
        <v>45657</v>
      </c>
      <c r="J1408" s="12" t="s">
        <v>195</v>
      </c>
      <c r="K1408" s="77">
        <v>45784</v>
      </c>
      <c r="L1408" s="10"/>
      <c r="M1408" s="427">
        <v>1407</v>
      </c>
      <c r="N1408" s="13" t="str">
        <f t="shared" ca="1" si="45"/>
        <v>CLOSED</v>
      </c>
    </row>
    <row r="1409" spans="1:14" ht="14.7" customHeight="1" x14ac:dyDescent="0.3">
      <c r="A1409" s="9" t="s">
        <v>107</v>
      </c>
      <c r="B1409" s="13">
        <f>VLOOKUP(Table27[[#This Row],[Location 
(drop-down)]],'List source'!D$2:E$61,2,FALSE)</f>
        <v>120</v>
      </c>
      <c r="C1409" s="215" t="s">
        <v>3586</v>
      </c>
      <c r="D1409" s="13" t="str">
        <f t="shared" si="44"/>
        <v>PTO1408-120-24</v>
      </c>
      <c r="E1409" s="9" t="s">
        <v>3587</v>
      </c>
      <c r="F1409" s="10" t="s">
        <v>1050</v>
      </c>
      <c r="G1409"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D5006 - Fuel System Icing Inhibitors</v>
      </c>
      <c r="H1409" s="39" t="s">
        <v>3588</v>
      </c>
      <c r="I1409" s="12">
        <v>45657</v>
      </c>
      <c r="J1409" s="12" t="s">
        <v>134</v>
      </c>
      <c r="K1409" s="77">
        <v>45680</v>
      </c>
      <c r="L1409" s="10"/>
      <c r="M1409" s="427">
        <v>1408</v>
      </c>
      <c r="N1409" s="13" t="str">
        <f t="shared" ca="1" si="45"/>
        <v>CLOSED</v>
      </c>
    </row>
    <row r="1410" spans="1:14" ht="28.8" x14ac:dyDescent="0.3">
      <c r="A1410" s="9" t="s">
        <v>107</v>
      </c>
      <c r="B1410" s="13">
        <f>VLOOKUP(Table27[[#This Row],[Location 
(drop-down)]],'List source'!D$2:E$61,2,FALSE)</f>
        <v>120</v>
      </c>
      <c r="C1410" s="215" t="s">
        <v>3589</v>
      </c>
      <c r="D1410" s="13" t="str">
        <f t="shared" si="44"/>
        <v>PTO1409-120-24</v>
      </c>
      <c r="E1410" s="9" t="s">
        <v>3590</v>
      </c>
      <c r="F1410" s="10" t="s">
        <v>1050</v>
      </c>
      <c r="G1410"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D1094 - Water Reaction</v>
      </c>
      <c r="H1410" s="10">
        <v>2.2400000000000002</v>
      </c>
      <c r="I1410" s="12">
        <v>45657</v>
      </c>
      <c r="J1410" s="12" t="s">
        <v>495</v>
      </c>
      <c r="K1410" s="77">
        <v>45657</v>
      </c>
      <c r="L1410" s="265" t="s">
        <v>673</v>
      </c>
      <c r="M1410" s="427">
        <v>1409</v>
      </c>
      <c r="N1410" s="13" t="str">
        <f t="shared" ca="1" si="45"/>
        <v>CLOSED</v>
      </c>
    </row>
    <row r="1411" spans="1:14" x14ac:dyDescent="0.3">
      <c r="A1411" s="189" t="s">
        <v>65</v>
      </c>
      <c r="B1411" s="217">
        <f>VLOOKUP(Table27[[#This Row],[Location 
(drop-down)]],'List source'!D$2:E$61,2,FALSE)</f>
        <v>155</v>
      </c>
      <c r="C1411" s="254" t="s">
        <v>3591</v>
      </c>
      <c r="D1411" s="217" t="str">
        <f t="shared" si="44"/>
        <v>PTO1410-155-24</v>
      </c>
      <c r="E1411" s="9" t="s">
        <v>3592</v>
      </c>
      <c r="F1411" s="10" t="s">
        <v>1050</v>
      </c>
      <c r="G1411"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D4737 - Cetane Index by Four Var Eq</v>
      </c>
      <c r="H1411" s="39" t="s">
        <v>3593</v>
      </c>
      <c r="I1411" s="12">
        <v>45657</v>
      </c>
      <c r="J1411" s="234" t="s">
        <v>495</v>
      </c>
      <c r="K1411" s="220">
        <v>45695</v>
      </c>
      <c r="L1411" s="10" t="s">
        <v>653</v>
      </c>
      <c r="M1411" s="427">
        <v>1410</v>
      </c>
      <c r="N1411" s="13" t="str">
        <f t="shared" ca="1" si="45"/>
        <v>CLOSED</v>
      </c>
    </row>
    <row r="1412" spans="1:14" x14ac:dyDescent="0.3">
      <c r="A1412" s="189" t="s">
        <v>65</v>
      </c>
      <c r="B1412" s="217">
        <f>VLOOKUP(Table27[[#This Row],[Location 
(drop-down)]],'List source'!D$2:E$61,2,FALSE)</f>
        <v>155</v>
      </c>
      <c r="C1412" s="254" t="s">
        <v>3594</v>
      </c>
      <c r="D1412" s="217" t="str">
        <f t="shared" si="44"/>
        <v>PTO1411-155-24</v>
      </c>
      <c r="E1412" s="9" t="s">
        <v>3595</v>
      </c>
      <c r="F1412" s="10" t="s">
        <v>1050</v>
      </c>
      <c r="G1412"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D976 - Cetane Index</v>
      </c>
      <c r="H1412" s="39" t="s">
        <v>3596</v>
      </c>
      <c r="I1412" s="12">
        <v>45657</v>
      </c>
      <c r="J1412" s="234" t="s">
        <v>495</v>
      </c>
      <c r="K1412" s="220">
        <v>45695</v>
      </c>
      <c r="L1412" s="10" t="s">
        <v>653</v>
      </c>
      <c r="M1412" s="427">
        <v>1411</v>
      </c>
      <c r="N1412" s="13" t="str">
        <f t="shared" ca="1" si="45"/>
        <v>CLOSED</v>
      </c>
    </row>
    <row r="1413" spans="1:14" ht="28.8" x14ac:dyDescent="0.3">
      <c r="A1413" s="9" t="s">
        <v>65</v>
      </c>
      <c r="B1413" s="13">
        <f>VLOOKUP(Table27[[#This Row],[Location 
(drop-down)]],'List source'!D$2:E$61,2,FALSE)</f>
        <v>155</v>
      </c>
      <c r="C1413" s="215" t="s">
        <v>3597</v>
      </c>
      <c r="D1413" s="13" t="str">
        <f t="shared" si="44"/>
        <v>PTO1412-155-24</v>
      </c>
      <c r="E1413" s="9" t="s">
        <v>3598</v>
      </c>
      <c r="F1413" s="10" t="s">
        <v>1050</v>
      </c>
      <c r="G1413"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D1319 - HC Type</v>
      </c>
      <c r="H1413" s="39" t="s">
        <v>1605</v>
      </c>
      <c r="I1413" s="12">
        <v>45657</v>
      </c>
      <c r="J1413" s="12" t="s">
        <v>134</v>
      </c>
      <c r="K1413" s="77">
        <v>45754</v>
      </c>
      <c r="L1413" s="10"/>
      <c r="M1413" s="427">
        <v>1412</v>
      </c>
      <c r="N1413" s="13" t="str">
        <f t="shared" ca="1" si="45"/>
        <v>CLOSED</v>
      </c>
    </row>
    <row r="1414" spans="1:14" ht="28.8" x14ac:dyDescent="0.3">
      <c r="A1414" s="9" t="s">
        <v>65</v>
      </c>
      <c r="B1414" s="13">
        <f>VLOOKUP(Table27[[#This Row],[Location 
(drop-down)]],'List source'!D$2:E$61,2,FALSE)</f>
        <v>155</v>
      </c>
      <c r="C1414" s="215" t="s">
        <v>3599</v>
      </c>
      <c r="D1414" s="13" t="str">
        <f t="shared" si="44"/>
        <v>PTO1413-155-24</v>
      </c>
      <c r="E1414" s="9" t="s">
        <v>3600</v>
      </c>
      <c r="F1414" s="10" t="s">
        <v>1050</v>
      </c>
      <c r="G1414"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D5001 - Lubricity</v>
      </c>
      <c r="H1414" s="10">
        <v>3151.5</v>
      </c>
      <c r="I1414" s="12">
        <v>45657</v>
      </c>
      <c r="J1414" s="12" t="s">
        <v>495</v>
      </c>
      <c r="K1414" s="77">
        <v>45664</v>
      </c>
      <c r="L1414" s="10" t="s">
        <v>510</v>
      </c>
      <c r="M1414" s="427">
        <v>1413</v>
      </c>
      <c r="N1414" s="13" t="str">
        <f t="shared" ca="1" si="45"/>
        <v>CLOSED</v>
      </c>
    </row>
    <row r="1415" spans="1:14" x14ac:dyDescent="0.3">
      <c r="A1415" s="189" t="s">
        <v>65</v>
      </c>
      <c r="B1415" s="217">
        <f>VLOOKUP(Table27[[#This Row],[Location 
(drop-down)]],'List source'!D$2:E$61,2,FALSE)</f>
        <v>155</v>
      </c>
      <c r="C1415" s="254" t="s">
        <v>3601</v>
      </c>
      <c r="D1415" s="217" t="str">
        <f t="shared" si="44"/>
        <v>PTO1414-155-24</v>
      </c>
      <c r="E1415" s="9" t="s">
        <v>3602</v>
      </c>
      <c r="F1415" s="10" t="s">
        <v>1050</v>
      </c>
      <c r="G1415"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D3338 - Net Heat of Combustion</v>
      </c>
      <c r="H1415" s="39" t="s">
        <v>3603</v>
      </c>
      <c r="I1415" s="12">
        <v>45657</v>
      </c>
      <c r="J1415" s="234" t="s">
        <v>495</v>
      </c>
      <c r="K1415" s="220">
        <v>45695</v>
      </c>
      <c r="L1415" s="10"/>
      <c r="M1415" s="427">
        <v>1414</v>
      </c>
      <c r="N1415" s="13" t="str">
        <f t="shared" ca="1" si="45"/>
        <v>CLOSED</v>
      </c>
    </row>
    <row r="1416" spans="1:14" ht="28.8" x14ac:dyDescent="0.3">
      <c r="A1416" s="9" t="s">
        <v>65</v>
      </c>
      <c r="B1416" s="13">
        <f>VLOOKUP(Table27[[#This Row],[Location 
(drop-down)]],'List source'!D$2:E$61,2,FALSE)</f>
        <v>155</v>
      </c>
      <c r="C1416" s="215" t="s">
        <v>3604</v>
      </c>
      <c r="D1416" s="13" t="str">
        <f t="shared" si="44"/>
        <v>PTO1415-155-24</v>
      </c>
      <c r="E1416" s="9" t="s">
        <v>3605</v>
      </c>
      <c r="F1416" s="10" t="str" cm="1">
        <f t="array" aca="1" ref="F1416"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RFG</v>
      </c>
      <c r="G1416" s="9" t="str">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D86 - Distillation</v>
      </c>
      <c r="H1416" s="39" t="s">
        <v>3606</v>
      </c>
      <c r="I1416" s="12">
        <v>45656</v>
      </c>
      <c r="J1416" s="12" t="s">
        <v>495</v>
      </c>
      <c r="K1416" s="77">
        <v>45656</v>
      </c>
      <c r="L1416" s="10" t="s">
        <v>510</v>
      </c>
      <c r="M1416" s="427">
        <v>1415</v>
      </c>
      <c r="N1416" s="13" t="str">
        <f t="shared" ca="1" si="45"/>
        <v>CLOSED</v>
      </c>
    </row>
    <row r="1417" spans="1:14" x14ac:dyDescent="0.3">
      <c r="A1417" s="9"/>
      <c r="B1417" s="13" t="e">
        <f>VLOOKUP(Table27[[#This Row],[Location 
(drop-down)]],'List source'!D$2:E$61,2,FALSE)</f>
        <v>#N/A</v>
      </c>
      <c r="C1417" s="215" t="s">
        <v>3607</v>
      </c>
      <c r="D1417" s="13" t="e">
        <f t="shared" si="44"/>
        <v>#N/A</v>
      </c>
      <c r="E1417" s="9"/>
      <c r="F1417" s="10" t="e" cm="1">
        <f t="array" aca="1" ref="F1417"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7"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7" s="10"/>
      <c r="I1417" s="12"/>
      <c r="J1417" s="12"/>
      <c r="K1417" s="77"/>
      <c r="L1417" s="10"/>
      <c r="M1417" s="225">
        <v>1416</v>
      </c>
      <c r="N1417" s="13">
        <f t="shared" ca="1" si="45"/>
        <v>46065</v>
      </c>
    </row>
    <row r="1418" spans="1:14" x14ac:dyDescent="0.3">
      <c r="A1418" s="9"/>
      <c r="B1418" s="13" t="e">
        <f>VLOOKUP(Table27[[#This Row],[Location 
(drop-down)]],'List source'!D$2:E$61,2,FALSE)</f>
        <v>#N/A</v>
      </c>
      <c r="C1418" s="215" t="s">
        <v>3608</v>
      </c>
      <c r="D1418" s="13" t="e">
        <f t="shared" si="44"/>
        <v>#N/A</v>
      </c>
      <c r="E1418" s="9"/>
      <c r="F1418" s="10" t="e" cm="1">
        <f t="array" aca="1" ref="F1418" ca="1">MID(LEFT(Table27[[#This Row],[BRIEF DESCRIPTION OF NC
if VOID:  "VOID, Location,  
details (initials, date)"]], INDEX(_xlfn._xlws.FILTER(ROW(INDIRECT("1:" &amp; LEN(Table27[[#This Row],[BRIEF DESCRIPTION OF NC
if VOID:  "VOID, Location,  
details (initials, date)"]]))), (48 &lt;= CODE(MID(Table27[[#This Row],[BRIEF DESCRIPTION OF NC
if VOID:  "VOID, Location,  
details (initials, date)"]], ROW(INDIRECT("1:" &amp; LEN(Table27[[#This Row],[BRIEF DESCRIPTION OF NC
if VOID:  "VOID, Location,  
details (initials, date)"]]))), 1))) * (CODE(MID(Table27[[#This Row],[BRIEF DESCRIPTION OF NC
if VOID:  "VOID, Location,  
details (initials, date)"]], ROW(INDIRECT("1:" &amp; LEN(Table27[[#This Row],[BRIEF DESCRIPTION OF NC
if VOID:  "VOID, Location,  
details (initials, date)"]]))), 1)) &lt;= 57)), 1) - 1), FIND(":", Table27[[#This Row],[BRIEF DESCRIPTION OF NC
if VOID:  "VOID, Location,  
details (initials, date)"]]) + 2, LEN(Table27[[#This Row],[BRIEF DESCRIPTION OF NC
if VOID:  "VOID, Location,  
details (initials, date)"]]))</f>
        <v>#REF!</v>
      </c>
      <c r="G1418" s="9" t="e">
        <f>MID(LEFT(Table27[[#This Row],[BRIEF DESCRIPTION OF NC
if VOID:  "VOID, Location,  
details (initials, date)"]], FIND(",", Table27[[#This Row],[BRIEF DESCRIPTION OF NC
if VOID:  "VOID, Location,  
details (initials, date)"]]) - 1), FIND("{token}", SUBSTITUTE(Table27[[#This Row],[BRIEF DESCRIPTION OF NC
if VOID:  "VOID, Location,  
details (initials, date)"]], " ", "{token}", 2)) + 1, LEN(Table27[[#This Row],[BRIEF DESCRIPTION OF NC
if VOID:  "VOID, Location,  
details (initials, date)"]]))</f>
        <v>#VALUE!</v>
      </c>
      <c r="H1418" s="10"/>
      <c r="I1418" s="12"/>
      <c r="J1418" s="12"/>
      <c r="K1418" s="77"/>
      <c r="L1418" s="10"/>
      <c r="M1418" s="225">
        <v>1417</v>
      </c>
      <c r="N1418" s="13">
        <f t="shared" ca="1" si="45"/>
        <v>46065</v>
      </c>
    </row>
    <row r="1419" spans="1:14" x14ac:dyDescent="0.3">
      <c r="A1419" s="94"/>
      <c r="B1419" s="95"/>
      <c r="C1419" s="95">
        <f>SUBTOTAL(109,$C$706:C718)</f>
        <v>0</v>
      </c>
      <c r="D1419" s="95"/>
      <c r="E1419" s="94"/>
      <c r="F1419" s="98"/>
      <c r="G1419" s="94"/>
      <c r="H1419" s="98"/>
      <c r="I1419" s="96"/>
      <c r="J1419" s="96"/>
      <c r="K1419" s="97"/>
      <c r="L1419" s="98"/>
      <c r="M1419" s="226"/>
      <c r="N1419" s="425"/>
    </row>
  </sheetData>
  <phoneticPr fontId="4" type="noConversion"/>
  <conditionalFormatting sqref="N2:N1418">
    <cfRule type="expression" dxfId="1" priority="1">
      <formula>ISNUMBER(N2) = TRUE</formula>
    </cfRule>
  </conditionalFormatting>
  <pageMargins left="0.7" right="0.7" top="0.75" bottom="0.75" header="0.3" footer="0.3"/>
  <pageSetup scale="42"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6F16F2E5-F8A3-4CDE-B517-A0A210C2C0C1}">
          <x14:formula1>
            <xm:f>'List source'!$D$2:$D$60</xm:f>
          </x14:formula1>
          <xm:sqref>A822:A937 A945:A1000</xm:sqref>
        </x14:dataValidation>
        <x14:dataValidation type="list" allowBlank="1" showInputMessage="1" showErrorMessage="1" xr:uid="{DED54644-82F3-4483-B51E-345391EB5985}">
          <x14:formula1>
            <xm:f>'List source'!$A$14:$A$19</xm:f>
          </x14:formula1>
          <xm:sqref>E181 E277</xm:sqref>
        </x14:dataValidation>
        <x14:dataValidation type="list" allowBlank="1" showInputMessage="1" showErrorMessage="1" xr:uid="{5F963C38-A229-4E21-95D2-00310E402D68}">
          <x14:formula1>
            <xm:f>'List source'!$D$2:$D$61</xm:f>
          </x14:formula1>
          <xm:sqref>A2:A821 A1001:A1057 A1061:A1332 A1388:A1401 A1403:A1417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EB1FE-416D-4689-B259-B6F215D55628}">
  <sheetPr codeName="Sheet3">
    <tabColor rgb="FFFFFF00"/>
    <pageSetUpPr fitToPage="1"/>
  </sheetPr>
  <dimension ref="A1:L151"/>
  <sheetViews>
    <sheetView showGridLines="0" zoomScale="70" zoomScaleNormal="70" workbookViewId="0">
      <pane ySplit="1" topLeftCell="A7" activePane="bottomLeft" state="frozen"/>
      <selection activeCell="D1" sqref="D1"/>
      <selection pane="bottomLeft" activeCell="D7" sqref="D7"/>
    </sheetView>
  </sheetViews>
  <sheetFormatPr defaultRowHeight="14.4" x14ac:dyDescent="0.3"/>
  <cols>
    <col min="1" max="1" width="26.5546875" style="5" customWidth="1"/>
    <col min="2" max="2" width="9.5546875" customWidth="1"/>
    <col min="3" max="3" width="7.44140625" bestFit="1" customWidth="1"/>
    <col min="4" max="4" width="22" customWidth="1"/>
    <col min="5" max="5" width="22" hidden="1" customWidth="1"/>
    <col min="6" max="6" width="13.44140625" customWidth="1"/>
    <col min="7" max="7" width="15" customWidth="1"/>
    <col min="8" max="8" width="20.5546875" bestFit="1" customWidth="1"/>
    <col min="9" max="9" width="36.5546875" customWidth="1"/>
    <col min="10" max="10" width="23" style="7" customWidth="1"/>
    <col min="11" max="11" width="25.5546875" style="8" customWidth="1"/>
    <col min="12" max="12" width="37.44140625" style="8" customWidth="1"/>
  </cols>
  <sheetData>
    <row r="1" spans="1:12" s="2" customFormat="1" ht="45" customHeight="1" x14ac:dyDescent="0.3">
      <c r="A1" s="62" t="s">
        <v>482</v>
      </c>
      <c r="B1" s="63" t="s">
        <v>1</v>
      </c>
      <c r="C1" s="63" t="s">
        <v>2</v>
      </c>
      <c r="D1" s="63" t="s">
        <v>3609</v>
      </c>
      <c r="E1" s="63" t="s">
        <v>3610</v>
      </c>
      <c r="F1" s="63" t="s">
        <v>3611</v>
      </c>
      <c r="G1" s="63" t="s">
        <v>3612</v>
      </c>
      <c r="H1" s="63" t="s">
        <v>3613</v>
      </c>
      <c r="I1" s="63" t="s">
        <v>3614</v>
      </c>
      <c r="J1" s="64" t="s">
        <v>3615</v>
      </c>
      <c r="K1" s="65" t="s">
        <v>3616</v>
      </c>
      <c r="L1" s="65" t="s">
        <v>491</v>
      </c>
    </row>
    <row r="2" spans="1:12" s="4" customFormat="1" ht="30" customHeight="1" x14ac:dyDescent="0.3">
      <c r="A2" s="22" t="s">
        <v>235</v>
      </c>
      <c r="B2" s="13">
        <f>VLOOKUP(Table2456[[#This Row],[Location 
(drop-down)]],'List source'!D$2:E$60,2,FALSE)</f>
        <v>160</v>
      </c>
      <c r="C2" s="23" t="s">
        <v>15</v>
      </c>
      <c r="D2" s="30" t="str">
        <f t="shared" ref="D2:D33" si="0">"CAF" &amp; C2 &amp; "-" &amp; B2 &amp; "-" &amp; "24"</f>
        <v>CAF001-160-24</v>
      </c>
      <c r="E2" s="30" t="str">
        <f>VLOOKUP(Table2456[[#This Row],[Location 
(drop-down)]],Table1[#All],3,FALSE)</f>
        <v>USGC</v>
      </c>
      <c r="F2" s="82">
        <v>45294</v>
      </c>
      <c r="G2" s="82">
        <v>45310</v>
      </c>
      <c r="H2" s="82">
        <v>45321</v>
      </c>
      <c r="I2" s="103" t="s">
        <v>3617</v>
      </c>
      <c r="J2" s="26" t="s">
        <v>3618</v>
      </c>
      <c r="K2" s="48" t="s">
        <v>3619</v>
      </c>
      <c r="L2" s="48"/>
    </row>
    <row r="3" spans="1:12" s="4" customFormat="1" ht="30" customHeight="1" x14ac:dyDescent="0.3">
      <c r="A3" s="9" t="s">
        <v>138</v>
      </c>
      <c r="B3" s="45">
        <f>VLOOKUP(Table2456[[#This Row],[Location 
(drop-down)]],'List source'!D$2:E$60,2,FALSE)</f>
        <v>110</v>
      </c>
      <c r="C3" s="23" t="s">
        <v>22</v>
      </c>
      <c r="D3" s="30" t="str">
        <f t="shared" si="0"/>
        <v>CAF002-110-24</v>
      </c>
      <c r="E3" s="30" t="str">
        <f>VLOOKUP(Table2456[[#This Row],[Location 
(drop-down)]],Table1[#All],3,FALSE)</f>
        <v>USNE, USMW &amp; Canada</v>
      </c>
      <c r="F3" s="51">
        <v>45306</v>
      </c>
      <c r="G3" s="51">
        <v>45307</v>
      </c>
      <c r="H3" s="51">
        <v>45309</v>
      </c>
      <c r="I3" s="90" t="s">
        <v>3620</v>
      </c>
      <c r="J3" s="39" t="s">
        <v>3621</v>
      </c>
      <c r="K3" s="26" t="s">
        <v>3622</v>
      </c>
      <c r="L3" s="26"/>
    </row>
    <row r="4" spans="1:12" s="4" customFormat="1" ht="30" customHeight="1" x14ac:dyDescent="0.3">
      <c r="A4" s="9" t="s">
        <v>107</v>
      </c>
      <c r="B4" s="13">
        <f>VLOOKUP(Table2456[[#This Row],[Location 
(drop-down)]],'List source'!D$2:E$60,2,FALSE)</f>
        <v>120</v>
      </c>
      <c r="C4" s="23" t="s">
        <v>25</v>
      </c>
      <c r="D4" s="30" t="str">
        <f t="shared" si="0"/>
        <v>CAF003-120-24</v>
      </c>
      <c r="E4" s="30" t="str">
        <f>VLOOKUP(Table2456[[#This Row],[Location 
(drop-down)]],Table1[#All],3,FALSE)</f>
        <v>USGC</v>
      </c>
      <c r="F4" s="38">
        <v>45310</v>
      </c>
      <c r="G4" s="51">
        <v>45345</v>
      </c>
      <c r="H4" s="51">
        <v>45345</v>
      </c>
      <c r="I4" s="119" t="s">
        <v>3623</v>
      </c>
      <c r="J4" s="10" t="s">
        <v>3618</v>
      </c>
      <c r="K4" s="26" t="s">
        <v>3624</v>
      </c>
      <c r="L4" s="26"/>
    </row>
    <row r="5" spans="1:12" s="4" customFormat="1" ht="54" customHeight="1" x14ac:dyDescent="0.3">
      <c r="A5" s="9" t="s">
        <v>35</v>
      </c>
      <c r="B5" s="13">
        <f>VLOOKUP(Table2456[[#This Row],[Location 
(drop-down)]],'List source'!D$2:E$60,2,FALSE)</f>
        <v>158</v>
      </c>
      <c r="C5" s="23" t="s">
        <v>30</v>
      </c>
      <c r="D5" s="30" t="str">
        <f t="shared" si="0"/>
        <v>CAF004-158-24</v>
      </c>
      <c r="E5" s="30" t="str">
        <f>VLOOKUP(Table2456[[#This Row],[Location 
(drop-down)]],Table1[#All],3,FALSE)</f>
        <v>USGC</v>
      </c>
      <c r="F5" s="38">
        <v>45293</v>
      </c>
      <c r="G5" s="51">
        <v>45296</v>
      </c>
      <c r="H5" s="38">
        <v>45296</v>
      </c>
      <c r="I5" s="119" t="s">
        <v>3625</v>
      </c>
      <c r="J5" s="10" t="s">
        <v>3618</v>
      </c>
      <c r="K5" s="26" t="s">
        <v>3626</v>
      </c>
      <c r="L5" s="26" t="s">
        <v>3627</v>
      </c>
    </row>
    <row r="6" spans="1:12" s="4" customFormat="1" ht="61.5" customHeight="1" x14ac:dyDescent="0.3">
      <c r="A6" s="9" t="s">
        <v>126</v>
      </c>
      <c r="B6" s="13">
        <f>VLOOKUP(Table2456[[#This Row],[Location 
(drop-down)]],'List source'!D$2:E$60,2,FALSE)</f>
        <v>125</v>
      </c>
      <c r="C6" s="23" t="s">
        <v>36</v>
      </c>
      <c r="D6" s="30" t="str">
        <f t="shared" si="0"/>
        <v>CAF005-125-24</v>
      </c>
      <c r="E6" s="30" t="str">
        <f>VLOOKUP(Table2456[[#This Row],[Location 
(drop-down)]],Table1[#All],3,FALSE)</f>
        <v>SE &amp; Caribbean</v>
      </c>
      <c r="F6" s="51">
        <v>45324</v>
      </c>
      <c r="G6" s="51">
        <v>45329</v>
      </c>
      <c r="H6" s="51">
        <v>45329</v>
      </c>
      <c r="I6" s="101" t="s">
        <v>3628</v>
      </c>
      <c r="J6" s="10" t="s">
        <v>3618</v>
      </c>
      <c r="K6" s="26" t="s">
        <v>3629</v>
      </c>
      <c r="L6" s="26"/>
    </row>
    <row r="7" spans="1:12" s="4" customFormat="1" ht="42" customHeight="1" x14ac:dyDescent="0.3">
      <c r="A7" s="9" t="s">
        <v>93</v>
      </c>
      <c r="B7" s="13">
        <f>VLOOKUP(Table2456[[#This Row],[Location 
(drop-down)]],'List source'!D$2:E$60,2,FALSE)</f>
        <v>128</v>
      </c>
      <c r="C7" s="23" t="s">
        <v>38</v>
      </c>
      <c r="D7" s="30" t="str">
        <f t="shared" si="0"/>
        <v>CAF006-128-24</v>
      </c>
      <c r="E7" s="30" t="str">
        <f>VLOOKUP(Table2456[[#This Row],[Location 
(drop-down)]],Table1[#All],3,FALSE)</f>
        <v>USGC</v>
      </c>
      <c r="F7" s="51">
        <v>45330</v>
      </c>
      <c r="G7" s="51">
        <v>45342</v>
      </c>
      <c r="H7" s="51">
        <v>45344</v>
      </c>
      <c r="I7" s="9" t="s">
        <v>3630</v>
      </c>
      <c r="J7" s="10" t="s">
        <v>3621</v>
      </c>
      <c r="K7" s="11" t="s">
        <v>3631</v>
      </c>
      <c r="L7" s="178">
        <v>45331</v>
      </c>
    </row>
    <row r="8" spans="1:12" s="4" customFormat="1" ht="30" customHeight="1" x14ac:dyDescent="0.3">
      <c r="A8" s="9" t="s">
        <v>113</v>
      </c>
      <c r="B8" s="13" t="str">
        <f>VLOOKUP(Table2456[[#This Row],[Location 
(drop-down)]],'List source'!D$2:E$60,2,FALSE)</f>
        <v>VOID</v>
      </c>
      <c r="C8" s="23" t="s">
        <v>40</v>
      </c>
      <c r="D8" s="30" t="str">
        <f t="shared" si="0"/>
        <v>CAF007-VOID-24</v>
      </c>
      <c r="E8" s="30" t="str">
        <f>VLOOKUP(Table2456[[#This Row],[Location 
(drop-down)]],Table1[#All],3,FALSE)</f>
        <v>VOID</v>
      </c>
      <c r="F8" s="51" t="s">
        <v>114</v>
      </c>
      <c r="G8" s="51" t="s">
        <v>114</v>
      </c>
      <c r="H8" s="51" t="s">
        <v>114</v>
      </c>
      <c r="I8" s="90" t="s">
        <v>3632</v>
      </c>
      <c r="J8" s="10" t="s">
        <v>114</v>
      </c>
      <c r="K8" s="11" t="s">
        <v>114</v>
      </c>
      <c r="L8" s="179">
        <v>45441</v>
      </c>
    </row>
    <row r="9" spans="1:12" s="4" customFormat="1" ht="36" customHeight="1" x14ac:dyDescent="0.3">
      <c r="A9" s="9" t="s">
        <v>29</v>
      </c>
      <c r="B9" s="13">
        <f>VLOOKUP(Table2456[[#This Row],[Location 
(drop-down)]],'List source'!D$2:E$60,2,FALSE)</f>
        <v>141</v>
      </c>
      <c r="C9" s="23" t="s">
        <v>43</v>
      </c>
      <c r="D9" s="30" t="str">
        <f t="shared" si="0"/>
        <v>CAF008-141-24</v>
      </c>
      <c r="E9" s="30" t="str">
        <f>VLOOKUP(Table2456[[#This Row],[Location 
(drop-down)]],Table1[#All],3,FALSE)</f>
        <v>USNE, USMW &amp; Canada</v>
      </c>
      <c r="F9" s="51">
        <v>45338</v>
      </c>
      <c r="G9" s="51">
        <v>45358</v>
      </c>
      <c r="H9" s="51">
        <v>45358</v>
      </c>
      <c r="I9" s="90" t="s">
        <v>3633</v>
      </c>
      <c r="J9" s="10" t="s">
        <v>3618</v>
      </c>
      <c r="K9" s="26" t="s">
        <v>3634</v>
      </c>
      <c r="L9" s="132" t="s">
        <v>3635</v>
      </c>
    </row>
    <row r="10" spans="1:12" s="4" customFormat="1" ht="40.5" customHeight="1" x14ac:dyDescent="0.3">
      <c r="A10" s="9" t="s">
        <v>3636</v>
      </c>
      <c r="B10" s="13">
        <f>VLOOKUP(Table2456[[#This Row],[Location 
(drop-down)]],'List source'!D$2:E$60,2,FALSE)</f>
        <v>101</v>
      </c>
      <c r="C10" s="23" t="s">
        <v>45</v>
      </c>
      <c r="D10" s="55" t="str">
        <f t="shared" si="0"/>
        <v>CAF009-101-24</v>
      </c>
      <c r="E10" s="30" t="str">
        <f>VLOOKUP(Table2456[[#This Row],[Location 
(drop-down)]],Table1[#All],3,FALSE)</f>
        <v>Corporate</v>
      </c>
      <c r="F10" s="38">
        <v>45303</v>
      </c>
      <c r="G10" s="51">
        <v>45343</v>
      </c>
      <c r="H10" s="51">
        <v>45402</v>
      </c>
      <c r="I10" s="9" t="s">
        <v>3637</v>
      </c>
      <c r="J10" s="10" t="s">
        <v>3618</v>
      </c>
      <c r="K10" s="26" t="s">
        <v>3638</v>
      </c>
      <c r="L10" s="26"/>
    </row>
    <row r="11" spans="1:12" s="4" customFormat="1" ht="44.25" customHeight="1" x14ac:dyDescent="0.3">
      <c r="A11" s="9" t="s">
        <v>250</v>
      </c>
      <c r="B11" s="13">
        <f>VLOOKUP(Table2456[[#This Row],[Location 
(drop-down)]],'List source'!D$2:E$60,2,FALSE)</f>
        <v>199</v>
      </c>
      <c r="C11" s="23" t="s">
        <v>48</v>
      </c>
      <c r="D11" s="55" t="str">
        <f t="shared" si="0"/>
        <v>CAF010-199-24</v>
      </c>
      <c r="E11" s="30" t="str">
        <f>VLOOKUP(Table2456[[#This Row],[Location 
(drop-down)]],Table1[#All],3,FALSE)</f>
        <v>USNE, USMW &amp; Canada</v>
      </c>
      <c r="F11" s="51">
        <v>45342</v>
      </c>
      <c r="G11" s="51">
        <v>45343</v>
      </c>
      <c r="H11" s="51">
        <v>45414</v>
      </c>
      <c r="I11" s="9" t="s">
        <v>3639</v>
      </c>
      <c r="J11" s="10" t="s">
        <v>3618</v>
      </c>
      <c r="K11" s="26" t="s">
        <v>3640</v>
      </c>
      <c r="L11" s="26"/>
    </row>
    <row r="12" spans="1:12" s="4" customFormat="1" ht="30" customHeight="1" x14ac:dyDescent="0.3">
      <c r="A12" s="9" t="s">
        <v>65</v>
      </c>
      <c r="B12" s="13">
        <f>VLOOKUP(Table2456[[#This Row],[Location 
(drop-down)]],'List source'!D$2:E$60,2,FALSE)</f>
        <v>155</v>
      </c>
      <c r="C12" s="23" t="s">
        <v>51</v>
      </c>
      <c r="D12" s="30" t="str">
        <f t="shared" si="0"/>
        <v>CAF011-155-24</v>
      </c>
      <c r="E12" s="30" t="str">
        <f>VLOOKUP(Table2456[[#This Row],[Location 
(drop-down)]],Table1[#All],3,FALSE)</f>
        <v>USGC</v>
      </c>
      <c r="F12" s="51">
        <v>45345</v>
      </c>
      <c r="G12" s="51">
        <v>45349</v>
      </c>
      <c r="H12" s="51">
        <v>45349</v>
      </c>
      <c r="I12" s="122" t="s">
        <v>3641</v>
      </c>
      <c r="J12" s="10" t="s">
        <v>3618</v>
      </c>
      <c r="K12" s="133" t="s">
        <v>3642</v>
      </c>
      <c r="L12" s="26"/>
    </row>
    <row r="13" spans="1:12" s="4" customFormat="1" ht="30" customHeight="1" x14ac:dyDescent="0.3">
      <c r="A13" s="9" t="s">
        <v>207</v>
      </c>
      <c r="B13" s="13">
        <f>VLOOKUP(Table2456[[#This Row],[Location 
(drop-down)]],'List source'!D$2:E$60,2,FALSE)</f>
        <v>189</v>
      </c>
      <c r="C13" s="23" t="s">
        <v>58</v>
      </c>
      <c r="D13" s="30" t="str">
        <f t="shared" si="0"/>
        <v>CAF012-189-24</v>
      </c>
      <c r="E13" s="30" t="str">
        <f>VLOOKUP(Table2456[[#This Row],[Location 
(drop-down)]],Table1[#All],3,FALSE)</f>
        <v>USNE, USMW &amp; Canada</v>
      </c>
      <c r="F13" s="51">
        <v>45357</v>
      </c>
      <c r="G13" s="51">
        <v>45377</v>
      </c>
      <c r="H13" s="51">
        <v>45377</v>
      </c>
      <c r="I13" s="9" t="s">
        <v>3643</v>
      </c>
      <c r="J13" s="10" t="s">
        <v>3621</v>
      </c>
      <c r="K13" s="133" t="s">
        <v>3644</v>
      </c>
      <c r="L13" s="26" t="s">
        <v>3645</v>
      </c>
    </row>
    <row r="14" spans="1:12" s="4" customFormat="1" ht="30" customHeight="1" x14ac:dyDescent="0.3">
      <c r="A14" s="9" t="s">
        <v>113</v>
      </c>
      <c r="B14" s="13" t="str">
        <f>VLOOKUP(Table2456[[#This Row],[Location 
(drop-down)]],'List source'!D$2:E$60,2,FALSE)</f>
        <v>VOID</v>
      </c>
      <c r="C14" s="23" t="s">
        <v>66</v>
      </c>
      <c r="D14" s="30" t="str">
        <f t="shared" si="0"/>
        <v>CAF013-VOID-24</v>
      </c>
      <c r="E14" s="30" t="str">
        <f>VLOOKUP(Table2456[[#This Row],[Location 
(drop-down)]],Table1[#All],3,FALSE)</f>
        <v>VOID</v>
      </c>
      <c r="F14" s="51">
        <v>45357</v>
      </c>
      <c r="G14" s="51" t="s">
        <v>114</v>
      </c>
      <c r="H14" s="51" t="s">
        <v>114</v>
      </c>
      <c r="I14" s="101" t="s">
        <v>3646</v>
      </c>
      <c r="J14" s="40" t="s">
        <v>3621</v>
      </c>
      <c r="K14" s="134" t="s">
        <v>3647</v>
      </c>
      <c r="L14" s="178" t="s">
        <v>3648</v>
      </c>
    </row>
    <row r="15" spans="1:12" s="4" customFormat="1" ht="44.25" customHeight="1" x14ac:dyDescent="0.3">
      <c r="A15" s="9" t="s">
        <v>113</v>
      </c>
      <c r="B15" s="13" t="str">
        <f>VLOOKUP(Table2456[[#This Row],[Location 
(drop-down)]],'List source'!D$2:E$60,2,FALSE)</f>
        <v>VOID</v>
      </c>
      <c r="C15" s="23" t="s">
        <v>69</v>
      </c>
      <c r="D15" s="30" t="str">
        <f t="shared" si="0"/>
        <v>CAF014-VOID-24</v>
      </c>
      <c r="E15" s="30" t="str">
        <f>VLOOKUP(Table2456[[#This Row],[Location 
(drop-down)]],Table1[#All],3,FALSE)</f>
        <v>VOID</v>
      </c>
      <c r="F15" s="51">
        <v>45357</v>
      </c>
      <c r="G15" s="51" t="s">
        <v>114</v>
      </c>
      <c r="H15" s="38" t="s">
        <v>114</v>
      </c>
      <c r="I15" s="101" t="s">
        <v>3649</v>
      </c>
      <c r="J15" s="10" t="s">
        <v>3621</v>
      </c>
      <c r="K15" s="26" t="s">
        <v>3650</v>
      </c>
      <c r="L15" s="178" t="s">
        <v>3648</v>
      </c>
    </row>
    <row r="16" spans="1:12" s="4" customFormat="1" ht="37.5" customHeight="1" x14ac:dyDescent="0.3">
      <c r="A16" s="9" t="s">
        <v>235</v>
      </c>
      <c r="B16" s="13">
        <f>VLOOKUP(Table2456[[#This Row],[Location 
(drop-down)]],'List source'!D$2:E$60,2,FALSE)</f>
        <v>160</v>
      </c>
      <c r="C16" s="23" t="s">
        <v>71</v>
      </c>
      <c r="D16" s="30" t="str">
        <f t="shared" si="0"/>
        <v>CAF015-160-24</v>
      </c>
      <c r="E16" s="30" t="str">
        <f>VLOOKUP(Table2456[[#This Row],[Location 
(drop-down)]],Table1[#All],3,FALSE)</f>
        <v>USGC</v>
      </c>
      <c r="F16" s="51">
        <v>45364</v>
      </c>
      <c r="G16" s="51">
        <v>45372</v>
      </c>
      <c r="H16" s="38">
        <v>45372</v>
      </c>
      <c r="I16" s="90" t="s">
        <v>3651</v>
      </c>
      <c r="J16" s="40" t="s">
        <v>3621</v>
      </c>
      <c r="K16" s="13" t="s">
        <v>3652</v>
      </c>
      <c r="L16" s="26"/>
    </row>
    <row r="17" spans="1:12" s="4" customFormat="1" ht="30" customHeight="1" x14ac:dyDescent="0.3">
      <c r="A17" s="9" t="s">
        <v>325</v>
      </c>
      <c r="B17" s="13">
        <f>VLOOKUP(Table2456[[#This Row],[Location 
(drop-down)]],'List source'!D$2:E$60,2,FALSE)</f>
        <v>180</v>
      </c>
      <c r="C17" s="23" t="s">
        <v>76</v>
      </c>
      <c r="D17" s="30" t="str">
        <f t="shared" si="0"/>
        <v>CAF016-180-24</v>
      </c>
      <c r="E17" s="30" t="str">
        <f>VLOOKUP(Table2456[[#This Row],[Location 
(drop-down)]],Table1[#All],3,FALSE)</f>
        <v>SE &amp; Caribbean</v>
      </c>
      <c r="F17" s="51">
        <v>45373</v>
      </c>
      <c r="G17" s="51">
        <v>45405</v>
      </c>
      <c r="H17" s="51">
        <v>45405</v>
      </c>
      <c r="I17" s="90" t="s">
        <v>3653</v>
      </c>
      <c r="J17" s="10" t="s">
        <v>3621</v>
      </c>
      <c r="K17" s="26" t="s">
        <v>3654</v>
      </c>
      <c r="L17" s="178">
        <v>45404</v>
      </c>
    </row>
    <row r="18" spans="1:12" s="4" customFormat="1" ht="42" customHeight="1" x14ac:dyDescent="0.3">
      <c r="A18" s="9" t="s">
        <v>57</v>
      </c>
      <c r="B18" s="13">
        <f>VLOOKUP(Table2456[[#This Row],[Location 
(drop-down)]],'List source'!D$2:E$60,2,FALSE)</f>
        <v>170</v>
      </c>
      <c r="C18" s="23" t="s">
        <v>77</v>
      </c>
      <c r="D18" s="30" t="str">
        <f t="shared" si="0"/>
        <v>CAF017-170-24</v>
      </c>
      <c r="E18" s="30" t="str">
        <f>VLOOKUP(Table2456[[#This Row],[Location 
(drop-down)]],Table1[#All],3,FALSE)</f>
        <v>SE &amp; Caribbean</v>
      </c>
      <c r="F18" s="51">
        <v>45384</v>
      </c>
      <c r="G18" s="51">
        <v>45387</v>
      </c>
      <c r="H18" s="51">
        <v>45391</v>
      </c>
      <c r="I18" s="9" t="s">
        <v>3655</v>
      </c>
      <c r="J18" s="10" t="s">
        <v>3621</v>
      </c>
      <c r="K18" s="26" t="s">
        <v>3656</v>
      </c>
      <c r="L18" s="179">
        <v>45386</v>
      </c>
    </row>
    <row r="19" spans="1:12" s="4" customFormat="1" ht="48" customHeight="1" x14ac:dyDescent="0.3">
      <c r="A19" s="9" t="s">
        <v>90</v>
      </c>
      <c r="B19" s="13">
        <f>VLOOKUP(Table2456[[#This Row],[Location 
(drop-down)]],'List source'!D$2:E$60,2,FALSE)</f>
        <v>157</v>
      </c>
      <c r="C19" s="23" t="s">
        <v>78</v>
      </c>
      <c r="D19" s="55" t="str">
        <f t="shared" si="0"/>
        <v>CAF018-157-24</v>
      </c>
      <c r="E19" s="30" t="str">
        <f>VLOOKUP(Table2456[[#This Row],[Location 
(drop-down)]],Table1[#All],3,FALSE)</f>
        <v>USGC</v>
      </c>
      <c r="F19" s="51">
        <v>45390</v>
      </c>
      <c r="G19" s="51">
        <v>45394</v>
      </c>
      <c r="H19" s="51">
        <v>45394</v>
      </c>
      <c r="I19" s="9" t="s">
        <v>3657</v>
      </c>
      <c r="J19" s="10" t="s">
        <v>3618</v>
      </c>
      <c r="K19" s="26" t="s">
        <v>3658</v>
      </c>
      <c r="L19" s="26"/>
    </row>
    <row r="20" spans="1:12" s="4" customFormat="1" ht="45" customHeight="1" x14ac:dyDescent="0.3">
      <c r="A20" s="9" t="s">
        <v>57</v>
      </c>
      <c r="B20" s="13">
        <f>VLOOKUP(Table2456[[#This Row],[Location 
(drop-down)]],'List source'!D$2:E$60,2,FALSE)</f>
        <v>170</v>
      </c>
      <c r="C20" s="23" t="s">
        <v>82</v>
      </c>
      <c r="D20" s="30" t="str">
        <f t="shared" si="0"/>
        <v>CAF019-170-24</v>
      </c>
      <c r="E20" s="30" t="str">
        <f>VLOOKUP(Table2456[[#This Row],[Location 
(drop-down)]],Table1[#All],3,FALSE)</f>
        <v>SE &amp; Caribbean</v>
      </c>
      <c r="F20" s="51">
        <v>45393</v>
      </c>
      <c r="G20" s="51">
        <v>45407</v>
      </c>
      <c r="H20" s="51">
        <v>45407</v>
      </c>
      <c r="I20" s="120" t="s">
        <v>3659</v>
      </c>
      <c r="J20" s="10" t="s">
        <v>3618</v>
      </c>
      <c r="K20" s="83" t="s">
        <v>3660</v>
      </c>
      <c r="L20" s="190" t="s">
        <v>3661</v>
      </c>
    </row>
    <row r="21" spans="1:12" s="4" customFormat="1" ht="54" customHeight="1" x14ac:dyDescent="0.3">
      <c r="A21" s="9" t="s">
        <v>325</v>
      </c>
      <c r="B21" s="13">
        <f>VLOOKUP(Table2456[[#This Row],[Location 
(drop-down)]],'List source'!D$2:E$60,2,FALSE)</f>
        <v>180</v>
      </c>
      <c r="C21" s="23" t="s">
        <v>87</v>
      </c>
      <c r="D21" s="30" t="str">
        <f t="shared" si="0"/>
        <v>CAF020-180-24</v>
      </c>
      <c r="E21" s="30" t="str">
        <f>VLOOKUP(Table2456[[#This Row],[Location 
(drop-down)]],Table1[#All],3,FALSE)</f>
        <v>SE &amp; Caribbean</v>
      </c>
      <c r="F21" s="51">
        <v>45393</v>
      </c>
      <c r="G21" s="51">
        <v>45470</v>
      </c>
      <c r="H21" s="51">
        <v>45493</v>
      </c>
      <c r="I21" s="9" t="s">
        <v>3662</v>
      </c>
      <c r="J21" s="10" t="s">
        <v>3621</v>
      </c>
      <c r="K21" s="83" t="s">
        <v>3663</v>
      </c>
      <c r="L21" s="147" t="s">
        <v>3664</v>
      </c>
    </row>
    <row r="22" spans="1:12" s="4" customFormat="1" ht="30" customHeight="1" x14ac:dyDescent="0.3">
      <c r="A22" s="9" t="s">
        <v>113</v>
      </c>
      <c r="B22" s="13" t="str">
        <f>VLOOKUP(Table2456[[#This Row],[Location 
(drop-down)]],'List source'!D$2:E$60,2,FALSE)</f>
        <v>VOID</v>
      </c>
      <c r="C22" s="23" t="s">
        <v>89</v>
      </c>
      <c r="D22" s="30" t="str">
        <f t="shared" si="0"/>
        <v>CAF021-VOID-24</v>
      </c>
      <c r="E22" s="30" t="str">
        <f>VLOOKUP(Table2456[[#This Row],[Location 
(drop-down)]],Table1[#All],3,FALSE)</f>
        <v>VOID</v>
      </c>
      <c r="F22" s="51">
        <v>45394</v>
      </c>
      <c r="G22" s="38" t="s">
        <v>114</v>
      </c>
      <c r="H22" s="38" t="s">
        <v>114</v>
      </c>
      <c r="I22" s="106" t="s">
        <v>3665</v>
      </c>
      <c r="J22" s="10" t="s">
        <v>3621</v>
      </c>
      <c r="K22" s="23" t="s">
        <v>3666</v>
      </c>
      <c r="L22" s="146" t="s">
        <v>3648</v>
      </c>
    </row>
    <row r="23" spans="1:12" s="4" customFormat="1" ht="70.5" customHeight="1" x14ac:dyDescent="0.3">
      <c r="A23" s="9" t="s">
        <v>130</v>
      </c>
      <c r="B23" s="13">
        <f>VLOOKUP(Table2456[[#This Row],[Location 
(drop-down)]],'List source'!D$2:E$60,2,FALSE)</f>
        <v>194</v>
      </c>
      <c r="C23" s="23" t="s">
        <v>91</v>
      </c>
      <c r="D23" s="30" t="str">
        <f t="shared" si="0"/>
        <v>CAF022-194-24</v>
      </c>
      <c r="E23" s="30" t="str">
        <f>VLOOKUP(Table2456[[#This Row],[Location 
(drop-down)]],Table1[#All],3,FALSE)</f>
        <v>USNE, USMW &amp; Canada</v>
      </c>
      <c r="F23" s="51">
        <v>45423</v>
      </c>
      <c r="G23" s="51">
        <v>45492</v>
      </c>
      <c r="H23" s="51">
        <v>45492</v>
      </c>
      <c r="I23" s="9" t="s">
        <v>3667</v>
      </c>
      <c r="J23" s="10" t="s">
        <v>3618</v>
      </c>
      <c r="K23" s="83" t="s">
        <v>3668</v>
      </c>
      <c r="L23" s="202">
        <v>45490</v>
      </c>
    </row>
    <row r="24" spans="1:12" s="4" customFormat="1" ht="38.25" customHeight="1" x14ac:dyDescent="0.3">
      <c r="A24" s="9" t="s">
        <v>57</v>
      </c>
      <c r="B24" s="13">
        <f>VLOOKUP(Table2456[[#This Row],[Location 
(drop-down)]],'List source'!D$2:E$60,2,FALSE)</f>
        <v>170</v>
      </c>
      <c r="C24" s="23" t="s">
        <v>94</v>
      </c>
      <c r="D24" s="30" t="str">
        <f t="shared" si="0"/>
        <v>CAF023-170-24</v>
      </c>
      <c r="E24" s="30" t="str">
        <f>VLOOKUP(Table2456[[#This Row],[Location 
(drop-down)]],Table1[#All],3,FALSE)</f>
        <v>SE &amp; Caribbean</v>
      </c>
      <c r="F24" s="51">
        <v>45442</v>
      </c>
      <c r="G24" s="51">
        <v>45443</v>
      </c>
      <c r="H24" s="51">
        <v>45443</v>
      </c>
      <c r="I24" s="9" t="s">
        <v>3669</v>
      </c>
      <c r="J24" s="10" t="s">
        <v>3621</v>
      </c>
      <c r="K24" s="25" t="s">
        <v>3670</v>
      </c>
      <c r="L24" s="149"/>
    </row>
    <row r="25" spans="1:12" s="4" customFormat="1" ht="29.25" customHeight="1" x14ac:dyDescent="0.3">
      <c r="A25" s="9" t="s">
        <v>90</v>
      </c>
      <c r="B25" s="13">
        <f>VLOOKUP(Table2456[[#This Row],[Location 
(drop-down)]],'List source'!D$2:E$60,2,FALSE)</f>
        <v>157</v>
      </c>
      <c r="C25" s="23" t="s">
        <v>96</v>
      </c>
      <c r="D25" s="30" t="str">
        <f t="shared" si="0"/>
        <v>CAF024-157-24</v>
      </c>
      <c r="E25" s="30" t="str">
        <f>VLOOKUP(Table2456[[#This Row],[Location 
(drop-down)]],Table1[#All],3,FALSE)</f>
        <v>USGC</v>
      </c>
      <c r="F25" s="51">
        <v>45448</v>
      </c>
      <c r="G25" s="51">
        <v>45449</v>
      </c>
      <c r="H25" s="51">
        <v>45449</v>
      </c>
      <c r="I25" s="145" t="s">
        <v>3671</v>
      </c>
      <c r="J25" s="10" t="s">
        <v>3618</v>
      </c>
      <c r="K25" s="10" t="s">
        <v>3672</v>
      </c>
      <c r="L25" s="10"/>
    </row>
    <row r="26" spans="1:12" s="4" customFormat="1" ht="46.5" customHeight="1" x14ac:dyDescent="0.3">
      <c r="A26" s="9" t="s">
        <v>186</v>
      </c>
      <c r="B26" s="13">
        <f>VLOOKUP(Table2456[[#This Row],[Location 
(drop-down)]],'List source'!D$2:E$60,2,FALSE)</f>
        <v>130</v>
      </c>
      <c r="C26" s="23" t="s">
        <v>97</v>
      </c>
      <c r="D26" s="30" t="str">
        <f t="shared" si="0"/>
        <v>CAF025-130-24</v>
      </c>
      <c r="E26" s="30" t="str">
        <f>VLOOKUP(Table2456[[#This Row],[Location 
(drop-down)]],Table1[#All],3,FALSE)</f>
        <v>USWC</v>
      </c>
      <c r="F26" s="51">
        <v>45449</v>
      </c>
      <c r="G26" s="51">
        <v>45498</v>
      </c>
      <c r="H26" s="51">
        <v>45498</v>
      </c>
      <c r="I26" s="144" t="s">
        <v>3673</v>
      </c>
      <c r="J26" s="10" t="s">
        <v>3621</v>
      </c>
      <c r="K26" s="26" t="s">
        <v>3674</v>
      </c>
      <c r="L26" s="10" t="s">
        <v>54</v>
      </c>
    </row>
    <row r="27" spans="1:12" s="4" customFormat="1" ht="30" customHeight="1" x14ac:dyDescent="0.3">
      <c r="A27" s="9" t="s">
        <v>107</v>
      </c>
      <c r="B27" s="13">
        <f>VLOOKUP(Table2456[[#This Row],[Location 
(drop-down)]],'List source'!D$2:E$60,2,FALSE)</f>
        <v>120</v>
      </c>
      <c r="C27" s="23" t="s">
        <v>100</v>
      </c>
      <c r="D27" s="30" t="str">
        <f t="shared" si="0"/>
        <v>CAF026-120-24</v>
      </c>
      <c r="E27" s="30" t="str">
        <f>VLOOKUP(Table2456[[#This Row],[Location 
(drop-down)]],Table1[#All],3,FALSE)</f>
        <v>USGC</v>
      </c>
      <c r="F27" s="51">
        <v>45448</v>
      </c>
      <c r="G27" s="51">
        <v>45483</v>
      </c>
      <c r="H27" s="51">
        <v>45483</v>
      </c>
      <c r="I27" s="148" t="s">
        <v>3675</v>
      </c>
      <c r="J27" s="10" t="s">
        <v>3621</v>
      </c>
      <c r="K27" s="83" t="s">
        <v>3676</v>
      </c>
      <c r="L27" s="92" t="s">
        <v>3677</v>
      </c>
    </row>
    <row r="28" spans="1:12" s="4" customFormat="1" ht="30" customHeight="1" x14ac:dyDescent="0.3">
      <c r="A28" s="9" t="s">
        <v>250</v>
      </c>
      <c r="B28" s="13">
        <f>VLOOKUP(Table2456[[#This Row],[Location 
(drop-down)]],'List source'!D$2:E$60,2,FALSE)</f>
        <v>199</v>
      </c>
      <c r="C28" s="23" t="s">
        <v>104</v>
      </c>
      <c r="D28" s="30" t="str">
        <f t="shared" si="0"/>
        <v>CAF027-199-24</v>
      </c>
      <c r="E28" s="30" t="str">
        <f>VLOOKUP(Table2456[[#This Row],[Location 
(drop-down)]],Table1[#All],3,FALSE)</f>
        <v>USNE, USMW &amp; Canada</v>
      </c>
      <c r="F28" s="51">
        <v>45467</v>
      </c>
      <c r="G28" s="51">
        <v>45488</v>
      </c>
      <c r="H28" s="51">
        <v>45488</v>
      </c>
      <c r="I28" s="120" t="s">
        <v>3678</v>
      </c>
      <c r="J28" s="10" t="s">
        <v>3618</v>
      </c>
      <c r="K28" s="10" t="s">
        <v>3679</v>
      </c>
      <c r="L28" s="86" t="s">
        <v>3680</v>
      </c>
    </row>
    <row r="29" spans="1:12" s="4" customFormat="1" ht="30" customHeight="1" x14ac:dyDescent="0.3">
      <c r="A29" s="9" t="s">
        <v>113</v>
      </c>
      <c r="B29" s="13" t="s">
        <v>114</v>
      </c>
      <c r="C29" s="23" t="s">
        <v>108</v>
      </c>
      <c r="D29" s="30" t="str">
        <f t="shared" si="0"/>
        <v>CAF028-VOID-24</v>
      </c>
      <c r="E29" s="30" t="str">
        <f>VLOOKUP(Table2456[[#This Row],[Location 
(drop-down)]],Table1[#All],3,FALSE)</f>
        <v>VOID</v>
      </c>
      <c r="F29" s="51" t="s">
        <v>114</v>
      </c>
      <c r="G29" s="51" t="s">
        <v>114</v>
      </c>
      <c r="H29" s="51" t="s">
        <v>3681</v>
      </c>
      <c r="I29" s="148" t="s">
        <v>3682</v>
      </c>
      <c r="J29" s="10" t="s">
        <v>3621</v>
      </c>
      <c r="K29" s="10" t="s">
        <v>3683</v>
      </c>
      <c r="L29" s="10" t="s">
        <v>3684</v>
      </c>
    </row>
    <row r="30" spans="1:12" s="4" customFormat="1" ht="37.200000000000003" customHeight="1" x14ac:dyDescent="0.3">
      <c r="A30" s="9" t="s">
        <v>264</v>
      </c>
      <c r="B30" s="13">
        <f>VLOOKUP(Table2456[[#This Row],[Location 
(drop-down)]],'List source'!D$2:E$60,2,FALSE)</f>
        <v>132</v>
      </c>
      <c r="C30" s="23" t="s">
        <v>115</v>
      </c>
      <c r="D30" s="30" t="str">
        <f t="shared" si="0"/>
        <v>CAF029-132-24</v>
      </c>
      <c r="E30" s="30" t="str">
        <f>VLOOKUP(Table2456[[#This Row],[Location 
(drop-down)]],Table1[#All],3,FALSE)</f>
        <v>USWC</v>
      </c>
      <c r="F30" s="51">
        <v>45482</v>
      </c>
      <c r="G30" s="51">
        <v>45485</v>
      </c>
      <c r="H30" s="51">
        <v>45485</v>
      </c>
      <c r="I30" s="9" t="s">
        <v>3685</v>
      </c>
      <c r="J30" s="10" t="s">
        <v>3621</v>
      </c>
      <c r="K30" s="10" t="s">
        <v>3686</v>
      </c>
      <c r="L30" s="10"/>
    </row>
    <row r="31" spans="1:12" s="4" customFormat="1" ht="37.200000000000003" customHeight="1" x14ac:dyDescent="0.3">
      <c r="A31" s="9" t="s">
        <v>93</v>
      </c>
      <c r="B31" s="13">
        <f>VLOOKUP(Table2456[[#This Row],[Location 
(drop-down)]],'List source'!D$2:E$60,2,FALSE)</f>
        <v>128</v>
      </c>
      <c r="C31" s="23" t="s">
        <v>117</v>
      </c>
      <c r="D31" s="30" t="str">
        <f t="shared" si="0"/>
        <v>CAF030-128-24</v>
      </c>
      <c r="E31" s="30" t="str">
        <f>VLOOKUP(Table2456[[#This Row],[Location 
(drop-down)]],Table1[#All],3,FALSE)</f>
        <v>USGC</v>
      </c>
      <c r="F31" s="51">
        <v>45492</v>
      </c>
      <c r="G31" s="51">
        <v>45496</v>
      </c>
      <c r="H31" s="38">
        <v>45496</v>
      </c>
      <c r="I31" s="120" t="s">
        <v>3687</v>
      </c>
      <c r="J31" s="10" t="s">
        <v>3618</v>
      </c>
      <c r="K31" s="83" t="s">
        <v>3688</v>
      </c>
      <c r="L31" s="203" t="s">
        <v>3689</v>
      </c>
    </row>
    <row r="32" spans="1:12" s="4" customFormat="1" ht="28.5" customHeight="1" x14ac:dyDescent="0.3">
      <c r="A32" s="9" t="s">
        <v>107</v>
      </c>
      <c r="B32" s="13" t="s">
        <v>114</v>
      </c>
      <c r="C32" s="23" t="s">
        <v>118</v>
      </c>
      <c r="D32" s="30" t="str">
        <f t="shared" si="0"/>
        <v>CAF031-VOID-24</v>
      </c>
      <c r="E32" s="30" t="str">
        <f>VLOOKUP(Table2456[[#This Row],[Location 
(drop-down)]],Table1[#All],3,FALSE)</f>
        <v>USGC</v>
      </c>
      <c r="F32" s="51" t="s">
        <v>114</v>
      </c>
      <c r="G32" s="38" t="s">
        <v>114</v>
      </c>
      <c r="H32" s="38" t="s">
        <v>114</v>
      </c>
      <c r="I32" s="145" t="s">
        <v>3690</v>
      </c>
      <c r="J32" s="10" t="s">
        <v>3618</v>
      </c>
      <c r="K32" s="83" t="s">
        <v>3691</v>
      </c>
      <c r="L32" s="49" t="s">
        <v>3692</v>
      </c>
    </row>
    <row r="33" spans="1:12" s="4" customFormat="1" ht="30" customHeight="1" x14ac:dyDescent="0.3">
      <c r="A33" s="9" t="s">
        <v>334</v>
      </c>
      <c r="B33" s="13">
        <f>VLOOKUP(Table2456[[#This Row],[Location 
(drop-down)]],'List source'!D$2:E$60,2,FALSE)</f>
        <v>161</v>
      </c>
      <c r="C33" s="23" t="s">
        <v>120</v>
      </c>
      <c r="D33" s="30" t="str">
        <f t="shared" si="0"/>
        <v>CAF032-161-24</v>
      </c>
      <c r="E33" s="30" t="str">
        <f>VLOOKUP(Table2456[[#This Row],[Location 
(drop-down)]],Table1[#All],3,FALSE)</f>
        <v>USGC</v>
      </c>
      <c r="F33" s="51">
        <v>45495</v>
      </c>
      <c r="G33" s="51">
        <v>45525</v>
      </c>
      <c r="H33" s="51">
        <v>45525</v>
      </c>
      <c r="I33" s="81" t="s">
        <v>3693</v>
      </c>
      <c r="J33" s="10" t="s">
        <v>3618</v>
      </c>
      <c r="K33" s="83" t="s">
        <v>3694</v>
      </c>
      <c r="L33" s="164" t="s">
        <v>3695</v>
      </c>
    </row>
    <row r="34" spans="1:12" s="4" customFormat="1" ht="30" customHeight="1" x14ac:dyDescent="0.3">
      <c r="A34" s="9" t="s">
        <v>57</v>
      </c>
      <c r="B34" s="13">
        <f>VLOOKUP(Table2456[[#This Row],[Location 
(drop-down)]],'List source'!D$2:E$60,2,FALSE)</f>
        <v>170</v>
      </c>
      <c r="C34" s="23" t="s">
        <v>121</v>
      </c>
      <c r="D34" s="30" t="str">
        <f t="shared" ref="D34:D65" si="1">"CAF" &amp; C34 &amp; "-" &amp; B34 &amp; "-" &amp; "24"</f>
        <v>CAF033-170-24</v>
      </c>
      <c r="E34" s="30" t="str">
        <f>VLOOKUP(Table2456[[#This Row],[Location 
(drop-down)]],Table1[#All],3,FALSE)</f>
        <v>SE &amp; Caribbean</v>
      </c>
      <c r="F34" s="51">
        <v>45511</v>
      </c>
      <c r="G34" s="51">
        <v>45524</v>
      </c>
      <c r="H34" s="51">
        <v>45524</v>
      </c>
      <c r="I34" s="207" t="s">
        <v>3696</v>
      </c>
      <c r="J34" s="10" t="s">
        <v>3618</v>
      </c>
      <c r="K34" s="83" t="s">
        <v>3697</v>
      </c>
      <c r="L34" s="49"/>
    </row>
    <row r="35" spans="1:12" s="4" customFormat="1" ht="30" customHeight="1" x14ac:dyDescent="0.3">
      <c r="A35" s="9" t="s">
        <v>325</v>
      </c>
      <c r="B35" s="13">
        <f>VLOOKUP(Table2456[[#This Row],[Location 
(drop-down)]],'List source'!D$2:E$60,2,FALSE)</f>
        <v>180</v>
      </c>
      <c r="C35" s="23" t="s">
        <v>123</v>
      </c>
      <c r="D35" s="30" t="str">
        <f t="shared" si="1"/>
        <v>CAF034-180-24</v>
      </c>
      <c r="E35" s="30" t="str">
        <f>VLOOKUP(Table2456[[#This Row],[Location 
(drop-down)]],Table1[#All],3,FALSE)</f>
        <v>SE &amp; Caribbean</v>
      </c>
      <c r="F35" s="51">
        <v>45518</v>
      </c>
      <c r="G35" s="51">
        <v>45533</v>
      </c>
      <c r="H35" s="51">
        <v>45533</v>
      </c>
      <c r="I35" s="90" t="s">
        <v>3698</v>
      </c>
      <c r="J35" s="10" t="s">
        <v>3618</v>
      </c>
      <c r="K35" s="10" t="s">
        <v>3699</v>
      </c>
      <c r="L35" s="10"/>
    </row>
    <row r="36" spans="1:12" s="4" customFormat="1" ht="43.5" customHeight="1" x14ac:dyDescent="0.3">
      <c r="A36" s="9" t="s">
        <v>57</v>
      </c>
      <c r="B36" s="13">
        <f>VLOOKUP(Table2456[[#This Row],[Location 
(drop-down)]],'List source'!D$2:E$60,2,FALSE)</f>
        <v>170</v>
      </c>
      <c r="C36" s="23" t="s">
        <v>127</v>
      </c>
      <c r="D36" s="30" t="str">
        <f t="shared" si="1"/>
        <v>CAF035-170-24</v>
      </c>
      <c r="E36" s="30" t="str">
        <f>VLOOKUP(Table2456[[#This Row],[Location 
(drop-down)]],Table1[#All],3,FALSE)</f>
        <v>SE &amp; Caribbean</v>
      </c>
      <c r="F36" s="51">
        <v>45516</v>
      </c>
      <c r="G36" s="38">
        <v>45524</v>
      </c>
      <c r="H36" s="38">
        <v>45524</v>
      </c>
      <c r="I36" s="148" t="s">
        <v>3700</v>
      </c>
      <c r="J36" s="10" t="s">
        <v>3618</v>
      </c>
      <c r="K36" s="83" t="s">
        <v>3701</v>
      </c>
      <c r="L36" s="49"/>
    </row>
    <row r="37" spans="1:12" s="4" customFormat="1" ht="58.5" customHeight="1" x14ac:dyDescent="0.3">
      <c r="A37" s="9" t="s">
        <v>107</v>
      </c>
      <c r="B37" s="13">
        <f>VLOOKUP(Table2456[[#This Row],[Location 
(drop-down)]],'List source'!D$2:E$60,2,FALSE)</f>
        <v>120</v>
      </c>
      <c r="C37" s="23" t="s">
        <v>128</v>
      </c>
      <c r="D37" s="30" t="str">
        <f t="shared" si="1"/>
        <v>CAF036-120-24</v>
      </c>
      <c r="E37" s="30" t="str">
        <f>VLOOKUP(Table2456[[#This Row],[Location 
(drop-down)]],Table1[#All],3,FALSE)</f>
        <v>USGC</v>
      </c>
      <c r="F37" s="51">
        <v>45545</v>
      </c>
      <c r="G37" s="51">
        <v>45554</v>
      </c>
      <c r="H37" s="51">
        <v>45554</v>
      </c>
      <c r="I37" s="302" t="s">
        <v>3702</v>
      </c>
      <c r="J37" s="10" t="s">
        <v>3618</v>
      </c>
      <c r="K37" s="10" t="s">
        <v>3703</v>
      </c>
      <c r="L37" s="10"/>
    </row>
    <row r="38" spans="1:12" s="4" customFormat="1" ht="30" customHeight="1" x14ac:dyDescent="0.3">
      <c r="A38" s="9" t="s">
        <v>57</v>
      </c>
      <c r="B38" s="13">
        <f>VLOOKUP(Table2456[[#This Row],[Location 
(drop-down)]],'List source'!D$2:E$60,2,FALSE)</f>
        <v>170</v>
      </c>
      <c r="C38" s="23" t="s">
        <v>131</v>
      </c>
      <c r="D38" s="30" t="str">
        <f t="shared" si="1"/>
        <v>CAF037-170-24</v>
      </c>
      <c r="E38" s="30" t="str">
        <f>VLOOKUP(Table2456[[#This Row],[Location 
(drop-down)]],Table1[#All],3,FALSE)</f>
        <v>SE &amp; Caribbean</v>
      </c>
      <c r="F38" s="51">
        <v>45545</v>
      </c>
      <c r="G38" s="38">
        <v>45562</v>
      </c>
      <c r="H38" s="38">
        <v>45562</v>
      </c>
      <c r="I38" s="9" t="s">
        <v>3704</v>
      </c>
      <c r="J38" s="93" t="s">
        <v>3621</v>
      </c>
      <c r="K38" s="107" t="s">
        <v>3705</v>
      </c>
      <c r="L38" s="49"/>
    </row>
    <row r="39" spans="1:12" s="4" customFormat="1" ht="30" customHeight="1" x14ac:dyDescent="0.3">
      <c r="A39" s="9" t="s">
        <v>113</v>
      </c>
      <c r="B39" s="13" t="str">
        <f>VLOOKUP(Table2456[[#This Row],[Location 
(drop-down)]],'List source'!D$2:E$60,2,FALSE)</f>
        <v>VOID</v>
      </c>
      <c r="C39" s="23" t="s">
        <v>132</v>
      </c>
      <c r="D39" s="30" t="str">
        <f t="shared" si="1"/>
        <v>CAF038-VOID-24</v>
      </c>
      <c r="E39" s="30" t="str">
        <f>VLOOKUP(Table2456[[#This Row],[Location 
(drop-down)]],Table1[#All],3,FALSE)</f>
        <v>VOID</v>
      </c>
      <c r="F39" s="38" t="s">
        <v>114</v>
      </c>
      <c r="G39" s="38" t="s">
        <v>114</v>
      </c>
      <c r="H39" s="38" t="s">
        <v>114</v>
      </c>
      <c r="I39" s="90" t="s">
        <v>3706</v>
      </c>
      <c r="J39" s="38" t="s">
        <v>114</v>
      </c>
      <c r="K39" s="93" t="s">
        <v>349</v>
      </c>
      <c r="L39" s="93" t="s">
        <v>3707</v>
      </c>
    </row>
    <row r="40" spans="1:12" s="4" customFormat="1" ht="30" customHeight="1" x14ac:dyDescent="0.3">
      <c r="A40" s="9" t="s">
        <v>186</v>
      </c>
      <c r="B40" s="13">
        <f>VLOOKUP(Table2456[[#This Row],[Location 
(drop-down)]],'List source'!D$2:E$60,2,FALSE)</f>
        <v>130</v>
      </c>
      <c r="C40" s="23" t="s">
        <v>133</v>
      </c>
      <c r="D40" s="30" t="str">
        <f t="shared" si="1"/>
        <v>CAF039-130-24</v>
      </c>
      <c r="E40" s="30" t="str">
        <f>VLOOKUP(Table2456[[#This Row],[Location 
(drop-down)]],Table1[#All],3,FALSE)</f>
        <v>USWC</v>
      </c>
      <c r="F40" s="38">
        <v>45551</v>
      </c>
      <c r="G40" s="38">
        <v>45551</v>
      </c>
      <c r="H40" s="38">
        <v>45573</v>
      </c>
      <c r="I40" s="9" t="s">
        <v>3708</v>
      </c>
      <c r="J40" s="93" t="s">
        <v>3621</v>
      </c>
      <c r="K40" s="89" t="s">
        <v>3709</v>
      </c>
      <c r="L40" s="85"/>
    </row>
    <row r="41" spans="1:12" s="4" customFormat="1" ht="30" customHeight="1" x14ac:dyDescent="0.3">
      <c r="A41" s="9" t="s">
        <v>235</v>
      </c>
      <c r="B41" s="13">
        <f>VLOOKUP(Table2456[[#This Row],[Location 
(drop-down)]],'List source'!D$2:E$60,2,FALSE)</f>
        <v>160</v>
      </c>
      <c r="C41" s="23" t="s">
        <v>139</v>
      </c>
      <c r="D41" s="30" t="str">
        <f t="shared" si="1"/>
        <v>CAF040-160-24</v>
      </c>
      <c r="E41" s="30" t="str">
        <f>VLOOKUP(Table2456[[#This Row],[Location 
(drop-down)]],Table1[#All],3,FALSE)</f>
        <v>USGC</v>
      </c>
      <c r="F41" s="38">
        <v>45434</v>
      </c>
      <c r="G41" s="38">
        <v>45555</v>
      </c>
      <c r="H41" s="38">
        <v>45555</v>
      </c>
      <c r="I41" s="90" t="s">
        <v>3710</v>
      </c>
      <c r="J41" s="93" t="s">
        <v>3621</v>
      </c>
      <c r="K41" s="89" t="s">
        <v>3711</v>
      </c>
      <c r="L41" s="89" t="s">
        <v>3712</v>
      </c>
    </row>
    <row r="42" spans="1:12" s="4" customFormat="1" ht="30" customHeight="1" x14ac:dyDescent="0.3">
      <c r="A42" s="9" t="s">
        <v>186</v>
      </c>
      <c r="B42" s="13">
        <f>VLOOKUP(Table2456[[#This Row],[Location 
(drop-down)]],'List source'!D$2:E$60,2,FALSE)</f>
        <v>130</v>
      </c>
      <c r="C42" s="23" t="s">
        <v>142</v>
      </c>
      <c r="D42" s="30" t="str">
        <f t="shared" si="1"/>
        <v>CAF041-130-24</v>
      </c>
      <c r="E42" s="30" t="str">
        <f>VLOOKUP(Table2456[[#This Row],[Location 
(drop-down)]],Table1[#All],3,FALSE)</f>
        <v>USWC</v>
      </c>
      <c r="F42" s="38">
        <v>45558</v>
      </c>
      <c r="G42" s="51">
        <v>45686</v>
      </c>
      <c r="H42" s="38">
        <v>45995</v>
      </c>
      <c r="I42" s="90" t="s">
        <v>3713</v>
      </c>
      <c r="J42" s="93" t="s">
        <v>3621</v>
      </c>
      <c r="K42" s="93" t="s">
        <v>3714</v>
      </c>
      <c r="L42" s="93"/>
    </row>
    <row r="43" spans="1:12" s="4" customFormat="1" ht="30" customHeight="1" x14ac:dyDescent="0.3">
      <c r="A43" s="9" t="s">
        <v>186</v>
      </c>
      <c r="B43" s="13">
        <f>VLOOKUP(Table2456[[#This Row],[Location 
(drop-down)]],'List source'!D$2:E$60,2,FALSE)</f>
        <v>130</v>
      </c>
      <c r="C43" s="23" t="s">
        <v>146</v>
      </c>
      <c r="D43" s="30" t="str">
        <f t="shared" si="1"/>
        <v>CAF042-130-24</v>
      </c>
      <c r="E43" s="30" t="str">
        <f>VLOOKUP(Table2456[[#This Row],[Location 
(drop-down)]],Table1[#All],3,FALSE)</f>
        <v>USWC</v>
      </c>
      <c r="F43" s="38">
        <v>45551</v>
      </c>
      <c r="G43" s="38">
        <v>45587</v>
      </c>
      <c r="H43" s="38">
        <v>45587</v>
      </c>
      <c r="I43" s="90" t="s">
        <v>3715</v>
      </c>
      <c r="J43" s="93" t="s">
        <v>3618</v>
      </c>
      <c r="K43" s="93" t="s">
        <v>3716</v>
      </c>
      <c r="L43" s="83"/>
    </row>
    <row r="44" spans="1:12" s="4" customFormat="1" ht="30" customHeight="1" x14ac:dyDescent="0.3">
      <c r="A44" s="9" t="s">
        <v>107</v>
      </c>
      <c r="B44" s="13">
        <f>VLOOKUP(Table2456[[#This Row],[Location 
(drop-down)]],'List source'!D$2:E$60,2,FALSE)</f>
        <v>120</v>
      </c>
      <c r="C44" s="23" t="s">
        <v>148</v>
      </c>
      <c r="D44" s="30" t="str">
        <f t="shared" si="1"/>
        <v>CAF043-120-24</v>
      </c>
      <c r="E44" s="30" t="str">
        <f>VLOOKUP(Table2456[[#This Row],[Location 
(drop-down)]],Table1[#All],3,FALSE)</f>
        <v>USGC</v>
      </c>
      <c r="F44" s="51">
        <v>45593</v>
      </c>
      <c r="G44" s="38">
        <v>45601</v>
      </c>
      <c r="H44" s="38">
        <v>45614</v>
      </c>
      <c r="I44" s="90" t="s">
        <v>3717</v>
      </c>
      <c r="J44" s="93" t="s">
        <v>3618</v>
      </c>
      <c r="K44" s="93" t="s">
        <v>3718</v>
      </c>
      <c r="L44" s="93"/>
    </row>
    <row r="45" spans="1:12" s="4" customFormat="1" ht="30" customHeight="1" x14ac:dyDescent="0.3">
      <c r="A45" s="189" t="s">
        <v>107</v>
      </c>
      <c r="B45" s="217">
        <f>VLOOKUP(Table2456[[#This Row],[Location 
(drop-down)]],'List source'!D$2:E$60,2,FALSE)</f>
        <v>120</v>
      </c>
      <c r="C45" s="232" t="s">
        <v>150</v>
      </c>
      <c r="D45" s="201" t="str">
        <f t="shared" si="1"/>
        <v>CAF044-120-24</v>
      </c>
      <c r="E45" s="30" t="str">
        <f>VLOOKUP(Table2456[[#This Row],[Location 
(drop-down)]],Table1[#All],3,FALSE)</f>
        <v>USGC</v>
      </c>
      <c r="F45" s="51">
        <v>45577</v>
      </c>
      <c r="G45" s="38"/>
      <c r="H45" s="38">
        <v>45996</v>
      </c>
      <c r="I45" s="90" t="s">
        <v>3719</v>
      </c>
      <c r="J45" s="93" t="s">
        <v>3621</v>
      </c>
      <c r="K45" s="89" t="s">
        <v>3720</v>
      </c>
      <c r="L45" s="85"/>
    </row>
    <row r="46" spans="1:12" s="4" customFormat="1" ht="30" customHeight="1" x14ac:dyDescent="0.3">
      <c r="A46" s="9" t="s">
        <v>235</v>
      </c>
      <c r="B46" s="13">
        <f>VLOOKUP(Table2456[[#This Row],[Location 
(drop-down)]],'List source'!D$2:E$60,2,FALSE)</f>
        <v>160</v>
      </c>
      <c r="C46" s="23" t="s">
        <v>152</v>
      </c>
      <c r="D46" s="30" t="str">
        <f t="shared" si="1"/>
        <v>CAF045-160-24</v>
      </c>
      <c r="E46" s="30" t="str">
        <f>VLOOKUP(Table2456[[#This Row],[Location 
(drop-down)]],Table1[#All],3,FALSE)</f>
        <v>USGC</v>
      </c>
      <c r="F46" s="38">
        <v>45600</v>
      </c>
      <c r="G46" s="38">
        <v>45614</v>
      </c>
      <c r="H46" s="38">
        <v>45614</v>
      </c>
      <c r="I46" s="90" t="s">
        <v>3721</v>
      </c>
      <c r="J46" s="93" t="s">
        <v>3621</v>
      </c>
      <c r="K46" s="89" t="s">
        <v>3722</v>
      </c>
      <c r="L46" s="85"/>
    </row>
    <row r="47" spans="1:12" s="4" customFormat="1" ht="30" customHeight="1" x14ac:dyDescent="0.3">
      <c r="A47" s="9" t="s">
        <v>250</v>
      </c>
      <c r="B47" s="13">
        <f>VLOOKUP(Table2456[[#This Row],[Location 
(drop-down)]],'List source'!D$2:E$60,2,FALSE)</f>
        <v>199</v>
      </c>
      <c r="C47" s="23" t="s">
        <v>154</v>
      </c>
      <c r="D47" s="30" t="str">
        <f t="shared" si="1"/>
        <v>CAF046-199-24</v>
      </c>
      <c r="E47" s="30" t="str">
        <f>VLOOKUP(Table2456[[#This Row],[Location 
(drop-down)]],Table1[#All],3,FALSE)</f>
        <v>USNE, USMW &amp; Canada</v>
      </c>
      <c r="F47" s="38">
        <v>45608</v>
      </c>
      <c r="G47" s="51">
        <v>45622</v>
      </c>
      <c r="H47" s="51">
        <v>45639</v>
      </c>
      <c r="I47" s="90" t="s">
        <v>3723</v>
      </c>
      <c r="J47" s="93" t="s">
        <v>3618</v>
      </c>
      <c r="K47" s="93" t="s">
        <v>3724</v>
      </c>
      <c r="L47" s="93"/>
    </row>
    <row r="48" spans="1:12" s="4" customFormat="1" ht="30" customHeight="1" x14ac:dyDescent="0.3">
      <c r="A48" s="189" t="s">
        <v>186</v>
      </c>
      <c r="B48" s="217">
        <f>VLOOKUP(Table2456[[#This Row],[Location 
(drop-down)]],'List source'!D$2:E$60,2,FALSE)</f>
        <v>130</v>
      </c>
      <c r="C48" s="232" t="s">
        <v>158</v>
      </c>
      <c r="D48" s="201" t="str">
        <f t="shared" si="1"/>
        <v>CAF047-130-24</v>
      </c>
      <c r="E48" s="30" t="str">
        <f>VLOOKUP(Table2456[[#This Row],[Location 
(drop-down)]],Table1[#All],3,FALSE)</f>
        <v>USWC</v>
      </c>
      <c r="F48" s="51">
        <v>45610</v>
      </c>
      <c r="G48" s="51">
        <v>45681</v>
      </c>
      <c r="H48" s="51">
        <v>45681</v>
      </c>
      <c r="I48" s="207" t="s">
        <v>3725</v>
      </c>
      <c r="J48" s="93" t="s">
        <v>3621</v>
      </c>
      <c r="K48" s="93" t="s">
        <v>3726</v>
      </c>
      <c r="L48" s="93"/>
    </row>
    <row r="49" spans="1:12" s="4" customFormat="1" ht="30" customHeight="1" x14ac:dyDescent="0.3">
      <c r="A49" s="9" t="s">
        <v>215</v>
      </c>
      <c r="B49" s="13">
        <f>VLOOKUP(Table2456[[#This Row],[Location 
(drop-down)]],'List source'!D$2:E$60,2,FALSE)</f>
        <v>121</v>
      </c>
      <c r="C49" s="23" t="s">
        <v>160</v>
      </c>
      <c r="D49" s="30" t="str">
        <f t="shared" si="1"/>
        <v>CAF048-121-24</v>
      </c>
      <c r="E49" s="30" t="str">
        <f>VLOOKUP(Table2456[[#This Row],[Location 
(drop-down)]],Table1[#All],3,FALSE)</f>
        <v>USGC</v>
      </c>
      <c r="F49" s="51">
        <v>45604</v>
      </c>
      <c r="G49" s="38">
        <v>45619</v>
      </c>
      <c r="H49" s="38">
        <v>45619</v>
      </c>
      <c r="I49" s="207" t="s">
        <v>3727</v>
      </c>
      <c r="J49" s="93" t="s">
        <v>3618</v>
      </c>
      <c r="K49" s="89" t="s">
        <v>3728</v>
      </c>
      <c r="L49" s="85"/>
    </row>
    <row r="50" spans="1:12" s="4" customFormat="1" ht="30" customHeight="1" x14ac:dyDescent="0.3">
      <c r="A50" s="9"/>
      <c r="B50" s="13" t="e">
        <f>VLOOKUP(Table2456[[#This Row],[Location 
(drop-down)]],'List source'!D$2:E$60,2,FALSE)</f>
        <v>#N/A</v>
      </c>
      <c r="C50" s="23" t="s">
        <v>162</v>
      </c>
      <c r="D50" s="30" t="e">
        <f t="shared" si="1"/>
        <v>#N/A</v>
      </c>
      <c r="E50" s="30" t="e">
        <f>VLOOKUP(Table2456[[#This Row],[Location 
(drop-down)]],Table1[#All],3,FALSE)</f>
        <v>#N/A</v>
      </c>
      <c r="F50" s="38"/>
      <c r="G50" s="38"/>
      <c r="H50" s="38"/>
      <c r="I50" s="51"/>
      <c r="J50" s="93"/>
      <c r="K50" s="89"/>
      <c r="L50" s="85"/>
    </row>
    <row r="51" spans="1:12" s="4" customFormat="1" ht="30" customHeight="1" x14ac:dyDescent="0.3">
      <c r="A51" s="9"/>
      <c r="B51" s="13" t="e">
        <f>VLOOKUP(Table2456[[#This Row],[Location 
(drop-down)]],'List source'!D$2:E$60,2,FALSE)</f>
        <v>#N/A</v>
      </c>
      <c r="C51" s="23" t="s">
        <v>163</v>
      </c>
      <c r="D51" s="30" t="e">
        <f t="shared" si="1"/>
        <v>#N/A</v>
      </c>
      <c r="E51" s="30" t="e">
        <f>VLOOKUP(Table2456[[#This Row],[Location 
(drop-down)]],Table1[#All],3,FALSE)</f>
        <v>#N/A</v>
      </c>
      <c r="F51" s="38"/>
      <c r="G51" s="38"/>
      <c r="H51" s="38"/>
      <c r="I51" s="38"/>
      <c r="J51" s="93"/>
      <c r="K51" s="93"/>
      <c r="L51" s="93"/>
    </row>
    <row r="52" spans="1:12" s="4" customFormat="1" ht="30" customHeight="1" x14ac:dyDescent="0.3">
      <c r="A52" s="9"/>
      <c r="B52" s="13" t="e">
        <f>VLOOKUP(Table2456[[#This Row],[Location 
(drop-down)]],'List source'!D$2:E$60,2,FALSE)</f>
        <v>#N/A</v>
      </c>
      <c r="C52" s="23" t="s">
        <v>167</v>
      </c>
      <c r="D52" s="30" t="e">
        <f t="shared" si="1"/>
        <v>#N/A</v>
      </c>
      <c r="E52" s="30" t="e">
        <f>VLOOKUP(Table2456[[#This Row],[Location 
(drop-down)]],Table1[#All],3,FALSE)</f>
        <v>#N/A</v>
      </c>
      <c r="F52" s="38"/>
      <c r="G52" s="38"/>
      <c r="H52" s="38"/>
      <c r="I52" s="51"/>
      <c r="J52" s="93"/>
      <c r="K52" s="89"/>
      <c r="L52" s="85"/>
    </row>
    <row r="53" spans="1:12" s="4" customFormat="1" ht="30" customHeight="1" x14ac:dyDescent="0.3">
      <c r="A53" s="9"/>
      <c r="B53" s="13" t="e">
        <f>VLOOKUP(Table2456[[#This Row],[Location 
(drop-down)]],'List source'!D$2:E$60,2,FALSE)</f>
        <v>#N/A</v>
      </c>
      <c r="C53" s="23" t="s">
        <v>172</v>
      </c>
      <c r="D53" s="30" t="e">
        <f t="shared" si="1"/>
        <v>#N/A</v>
      </c>
      <c r="E53" s="30" t="e">
        <f>VLOOKUP(Table2456[[#This Row],[Location 
(drop-down)]],Table1[#All],3,FALSE)</f>
        <v>#N/A</v>
      </c>
      <c r="F53" s="51"/>
      <c r="G53" s="51"/>
      <c r="H53" s="51"/>
      <c r="I53" s="51"/>
      <c r="J53" s="93"/>
      <c r="K53" s="89"/>
      <c r="L53" s="85"/>
    </row>
    <row r="54" spans="1:12" s="4" customFormat="1" ht="30" customHeight="1" x14ac:dyDescent="0.3">
      <c r="A54" s="9"/>
      <c r="B54" s="13" t="e">
        <f>VLOOKUP(Table2456[[#This Row],[Location 
(drop-down)]],'List source'!D$2:E$60,2,FALSE)</f>
        <v>#N/A</v>
      </c>
      <c r="C54" s="23" t="s">
        <v>176</v>
      </c>
      <c r="D54" s="30" t="e">
        <f t="shared" si="1"/>
        <v>#N/A</v>
      </c>
      <c r="E54" s="30" t="e">
        <f>VLOOKUP(Table2456[[#This Row],[Location 
(drop-down)]],Table1[#All],3,FALSE)</f>
        <v>#N/A</v>
      </c>
      <c r="F54" s="51"/>
      <c r="G54" s="51"/>
      <c r="H54" s="51"/>
      <c r="I54" s="38"/>
      <c r="J54" s="93"/>
      <c r="K54" s="93"/>
      <c r="L54" s="93"/>
    </row>
    <row r="55" spans="1:12" s="4" customFormat="1" ht="30" customHeight="1" x14ac:dyDescent="0.3">
      <c r="A55" s="9"/>
      <c r="B55" s="13" t="e">
        <f>VLOOKUP(Table2456[[#This Row],[Location 
(drop-down)]],'List source'!D$2:E$60,2,FALSE)</f>
        <v>#N/A</v>
      </c>
      <c r="C55" s="23" t="s">
        <v>179</v>
      </c>
      <c r="D55" s="30" t="e">
        <f t="shared" si="1"/>
        <v>#N/A</v>
      </c>
      <c r="E55" s="30" t="e">
        <f>VLOOKUP(Table2456[[#This Row],[Location 
(drop-down)]],Table1[#All],3,FALSE)</f>
        <v>#N/A</v>
      </c>
      <c r="F55" s="51"/>
      <c r="G55" s="51"/>
      <c r="H55" s="51"/>
      <c r="I55" s="38"/>
      <c r="J55" s="10"/>
      <c r="K55" s="10"/>
      <c r="L55" s="10"/>
    </row>
    <row r="56" spans="1:12" s="4" customFormat="1" ht="30" customHeight="1" x14ac:dyDescent="0.3">
      <c r="A56" s="9"/>
      <c r="B56" s="13" t="e">
        <f>VLOOKUP(Table2456[[#This Row],[Location 
(drop-down)]],'List source'!D$2:E$60,2,FALSE)</f>
        <v>#N/A</v>
      </c>
      <c r="C56" s="23" t="s">
        <v>181</v>
      </c>
      <c r="D56" s="30" t="e">
        <f t="shared" si="1"/>
        <v>#N/A</v>
      </c>
      <c r="E56" s="30" t="e">
        <f>VLOOKUP(Table2456[[#This Row],[Location 
(drop-down)]],Table1[#All],3,FALSE)</f>
        <v>#N/A</v>
      </c>
      <c r="F56" s="51"/>
      <c r="G56" s="51"/>
      <c r="H56" s="51"/>
      <c r="I56" s="38"/>
      <c r="J56" s="10"/>
      <c r="K56" s="10"/>
      <c r="L56" s="10"/>
    </row>
    <row r="57" spans="1:12" s="4" customFormat="1" ht="30" customHeight="1" x14ac:dyDescent="0.3">
      <c r="A57" s="9"/>
      <c r="B57" s="13" t="e">
        <f>VLOOKUP(Table2456[[#This Row],[Location 
(drop-down)]],'List source'!D$2:E$60,2,FALSE)</f>
        <v>#N/A</v>
      </c>
      <c r="C57" s="23" t="s">
        <v>187</v>
      </c>
      <c r="D57" s="30" t="e">
        <f t="shared" si="1"/>
        <v>#N/A</v>
      </c>
      <c r="E57" s="30" t="e">
        <f>VLOOKUP(Table2456[[#This Row],[Location 
(drop-down)]],Table1[#All],3,FALSE)</f>
        <v>#N/A</v>
      </c>
      <c r="F57" s="51"/>
      <c r="G57" s="51"/>
      <c r="H57" s="51"/>
      <c r="I57" s="38"/>
      <c r="J57" s="10"/>
      <c r="K57" s="10"/>
      <c r="L57" s="10"/>
    </row>
    <row r="58" spans="1:12" s="4" customFormat="1" ht="30" customHeight="1" x14ac:dyDescent="0.3">
      <c r="A58" s="9"/>
      <c r="B58" s="13" t="e">
        <f>VLOOKUP(Table2456[[#This Row],[Location 
(drop-down)]],'List source'!D$2:E$60,2,FALSE)</f>
        <v>#N/A</v>
      </c>
      <c r="C58" s="23" t="s">
        <v>189</v>
      </c>
      <c r="D58" s="30" t="e">
        <f t="shared" si="1"/>
        <v>#N/A</v>
      </c>
      <c r="E58" s="30" t="e">
        <f>VLOOKUP(Table2456[[#This Row],[Location 
(drop-down)]],Table1[#All],3,FALSE)</f>
        <v>#N/A</v>
      </c>
      <c r="F58" s="51"/>
      <c r="G58" s="51"/>
      <c r="H58" s="51"/>
      <c r="I58" s="38"/>
      <c r="J58" s="10"/>
      <c r="K58" s="10"/>
      <c r="L58" s="10"/>
    </row>
    <row r="59" spans="1:12" s="4" customFormat="1" ht="30" customHeight="1" x14ac:dyDescent="0.3">
      <c r="A59" s="9"/>
      <c r="B59" s="13" t="e">
        <f>VLOOKUP(Table2456[[#This Row],[Location 
(drop-down)]],'List source'!D$2:E$60,2,FALSE)</f>
        <v>#N/A</v>
      </c>
      <c r="C59" s="23" t="s">
        <v>190</v>
      </c>
      <c r="D59" s="30" t="e">
        <f t="shared" si="1"/>
        <v>#N/A</v>
      </c>
      <c r="E59" s="30" t="e">
        <f>VLOOKUP(Table2456[[#This Row],[Location 
(drop-down)]],Table1[#All],3,FALSE)</f>
        <v>#N/A</v>
      </c>
      <c r="F59" s="51"/>
      <c r="G59" s="51"/>
      <c r="H59" s="51"/>
      <c r="I59" s="38"/>
      <c r="J59" s="10"/>
      <c r="K59" s="10"/>
      <c r="L59" s="10"/>
    </row>
    <row r="60" spans="1:12" s="4" customFormat="1" ht="30" customHeight="1" x14ac:dyDescent="0.3">
      <c r="A60" s="9"/>
      <c r="B60" s="13" t="e">
        <f>VLOOKUP(Table2456[[#This Row],[Location 
(drop-down)]],'List source'!D$2:E$60,2,FALSE)</f>
        <v>#N/A</v>
      </c>
      <c r="C60" s="23" t="s">
        <v>191</v>
      </c>
      <c r="D60" s="30" t="e">
        <f t="shared" si="1"/>
        <v>#N/A</v>
      </c>
      <c r="E60" s="30" t="e">
        <f>VLOOKUP(Table2456[[#This Row],[Location 
(drop-down)]],Table1[#All],3,FALSE)</f>
        <v>#N/A</v>
      </c>
      <c r="F60" s="51"/>
      <c r="G60" s="51"/>
      <c r="H60" s="51"/>
      <c r="I60" s="51"/>
      <c r="J60" s="10"/>
      <c r="K60" s="10"/>
      <c r="L60" s="10"/>
    </row>
    <row r="61" spans="1:12" s="4" customFormat="1" ht="30" customHeight="1" x14ac:dyDescent="0.3">
      <c r="A61" s="9"/>
      <c r="B61" s="13" t="e">
        <f>VLOOKUP(Table2456[[#This Row],[Location 
(drop-down)]],'List source'!D$2:E$60,2,FALSE)</f>
        <v>#N/A</v>
      </c>
      <c r="C61" s="23" t="s">
        <v>194</v>
      </c>
      <c r="D61" s="30" t="e">
        <f t="shared" si="1"/>
        <v>#N/A</v>
      </c>
      <c r="E61" s="30" t="e">
        <f>VLOOKUP(Table2456[[#This Row],[Location 
(drop-down)]],Table1[#All],3,FALSE)</f>
        <v>#N/A</v>
      </c>
      <c r="F61" s="51"/>
      <c r="G61" s="51"/>
      <c r="H61" s="51"/>
      <c r="I61" s="51"/>
      <c r="J61" s="10"/>
      <c r="K61" s="10"/>
      <c r="L61" s="10"/>
    </row>
    <row r="62" spans="1:12" s="4" customFormat="1" ht="30" customHeight="1" x14ac:dyDescent="0.3">
      <c r="A62" s="9"/>
      <c r="B62" s="13" t="e">
        <f>VLOOKUP(Table2456[[#This Row],[Location 
(drop-down)]],'List source'!D$2:E$60,2,FALSE)</f>
        <v>#N/A</v>
      </c>
      <c r="C62" s="23" t="s">
        <v>198</v>
      </c>
      <c r="D62" s="30" t="e">
        <f t="shared" si="1"/>
        <v>#N/A</v>
      </c>
      <c r="E62" s="30" t="e">
        <f>VLOOKUP(Table2456[[#This Row],[Location 
(drop-down)]],Table1[#All],3,FALSE)</f>
        <v>#N/A</v>
      </c>
      <c r="F62" s="51"/>
      <c r="G62" s="51"/>
      <c r="H62" s="51"/>
      <c r="I62" s="51"/>
      <c r="J62" s="10"/>
      <c r="K62" s="10"/>
      <c r="L62" s="10"/>
    </row>
    <row r="63" spans="1:12" s="4" customFormat="1" ht="30" customHeight="1" x14ac:dyDescent="0.3">
      <c r="A63" s="9"/>
      <c r="B63" s="13" t="e">
        <f>VLOOKUP(Table2456[[#This Row],[Location 
(drop-down)]],'List source'!D$2:E$60,2,FALSE)</f>
        <v>#N/A</v>
      </c>
      <c r="C63" s="23" t="s">
        <v>201</v>
      </c>
      <c r="D63" s="30" t="e">
        <f t="shared" si="1"/>
        <v>#N/A</v>
      </c>
      <c r="E63" s="30" t="e">
        <f>VLOOKUP(Table2456[[#This Row],[Location 
(drop-down)]],Table1[#All],3,FALSE)</f>
        <v>#N/A</v>
      </c>
      <c r="F63" s="51"/>
      <c r="G63" s="51"/>
      <c r="H63" s="51"/>
      <c r="I63" s="51"/>
      <c r="J63" s="10"/>
      <c r="K63" s="10"/>
      <c r="L63" s="10"/>
    </row>
    <row r="64" spans="1:12" s="4" customFormat="1" ht="30" customHeight="1" x14ac:dyDescent="0.3">
      <c r="A64" s="9"/>
      <c r="B64" s="13" t="e">
        <f>VLOOKUP(Table2456[[#This Row],[Location 
(drop-down)]],'List source'!D$2:E$60,2,FALSE)</f>
        <v>#N/A</v>
      </c>
      <c r="C64" s="23" t="s">
        <v>203</v>
      </c>
      <c r="D64" s="30" t="e">
        <f t="shared" si="1"/>
        <v>#N/A</v>
      </c>
      <c r="E64" s="30" t="e">
        <f>VLOOKUP(Table2456[[#This Row],[Location 
(drop-down)]],Table1[#All],3,FALSE)</f>
        <v>#N/A</v>
      </c>
      <c r="F64" s="51"/>
      <c r="G64" s="51"/>
      <c r="H64" s="51"/>
      <c r="I64" s="51"/>
      <c r="J64" s="10"/>
      <c r="K64" s="10"/>
      <c r="L64" s="10"/>
    </row>
    <row r="65" spans="1:12" s="4" customFormat="1" ht="30" customHeight="1" x14ac:dyDescent="0.3">
      <c r="A65" s="9"/>
      <c r="B65" s="13" t="e">
        <f>VLOOKUP(Table2456[[#This Row],[Location 
(drop-down)]],'List source'!D$2:E$60,2,FALSE)</f>
        <v>#N/A</v>
      </c>
      <c r="C65" s="23" t="s">
        <v>205</v>
      </c>
      <c r="D65" s="30" t="e">
        <f t="shared" si="1"/>
        <v>#N/A</v>
      </c>
      <c r="E65" s="30" t="e">
        <f>VLOOKUP(Table2456[[#This Row],[Location 
(drop-down)]],Table1[#All],3,FALSE)</f>
        <v>#N/A</v>
      </c>
      <c r="F65" s="51"/>
      <c r="G65" s="51"/>
      <c r="H65" s="51"/>
      <c r="I65" s="51"/>
      <c r="J65" s="10"/>
      <c r="K65" s="10"/>
      <c r="L65" s="10"/>
    </row>
    <row r="66" spans="1:12" s="4" customFormat="1" ht="30" customHeight="1" x14ac:dyDescent="0.3">
      <c r="A66" s="9"/>
      <c r="B66" s="13" t="e">
        <f>VLOOKUP(Table2456[[#This Row],[Location 
(drop-down)]],'List source'!D$2:E$60,2,FALSE)</f>
        <v>#N/A</v>
      </c>
      <c r="C66" s="23" t="s">
        <v>206</v>
      </c>
      <c r="D66" s="30" t="e">
        <f t="shared" ref="D66:D97" si="2">"CAF" &amp; C66 &amp; "-" &amp; B66 &amp; "-" &amp; "24"</f>
        <v>#N/A</v>
      </c>
      <c r="E66" s="30" t="e">
        <f>VLOOKUP(Table2456[[#This Row],[Location 
(drop-down)]],Table1[#All],3,FALSE)</f>
        <v>#N/A</v>
      </c>
      <c r="F66" s="51"/>
      <c r="G66" s="51"/>
      <c r="H66" s="51"/>
      <c r="I66" s="51"/>
      <c r="J66" s="10"/>
      <c r="K66" s="10"/>
      <c r="L66" s="10"/>
    </row>
    <row r="67" spans="1:12" s="4" customFormat="1" ht="30" customHeight="1" x14ac:dyDescent="0.3">
      <c r="A67" s="9"/>
      <c r="B67" s="13" t="e">
        <f>VLOOKUP(Table2456[[#This Row],[Location 
(drop-down)]],'List source'!D$2:E$60,2,FALSE)</f>
        <v>#N/A</v>
      </c>
      <c r="C67" s="23" t="s">
        <v>208</v>
      </c>
      <c r="D67" s="30" t="e">
        <f t="shared" si="2"/>
        <v>#N/A</v>
      </c>
      <c r="E67" s="30" t="e">
        <f>VLOOKUP(Table2456[[#This Row],[Location 
(drop-down)]],Table1[#All],3,FALSE)</f>
        <v>#N/A</v>
      </c>
      <c r="F67" s="51"/>
      <c r="G67" s="51"/>
      <c r="H67" s="51"/>
      <c r="I67" s="51"/>
      <c r="J67" s="10"/>
      <c r="K67" s="10"/>
      <c r="L67" s="10"/>
    </row>
    <row r="68" spans="1:12" s="4" customFormat="1" ht="30" customHeight="1" x14ac:dyDescent="0.3">
      <c r="A68" s="9"/>
      <c r="B68" s="13" t="e">
        <f>VLOOKUP(Table2456[[#This Row],[Location 
(drop-down)]],'List source'!D$2:E$60,2,FALSE)</f>
        <v>#N/A</v>
      </c>
      <c r="C68" s="23" t="s">
        <v>210</v>
      </c>
      <c r="D68" s="30" t="e">
        <f t="shared" si="2"/>
        <v>#N/A</v>
      </c>
      <c r="E68" s="30" t="e">
        <f>VLOOKUP(Table2456[[#This Row],[Location 
(drop-down)]],Table1[#All],3,FALSE)</f>
        <v>#N/A</v>
      </c>
      <c r="F68" s="38"/>
      <c r="G68" s="38"/>
      <c r="H68" s="38"/>
      <c r="I68" s="38"/>
      <c r="J68" s="10"/>
      <c r="K68" s="10"/>
      <c r="L68" s="10"/>
    </row>
    <row r="69" spans="1:12" s="4" customFormat="1" ht="30" customHeight="1" x14ac:dyDescent="0.3">
      <c r="A69" s="9"/>
      <c r="B69" s="13" t="e">
        <f>VLOOKUP(Table2456[[#This Row],[Location 
(drop-down)]],'List source'!D$2:E$60,2,FALSE)</f>
        <v>#N/A</v>
      </c>
      <c r="C69" s="23" t="s">
        <v>212</v>
      </c>
      <c r="D69" s="30" t="e">
        <f t="shared" si="2"/>
        <v>#N/A</v>
      </c>
      <c r="E69" s="30" t="e">
        <f>VLOOKUP(Table2456[[#This Row],[Location 
(drop-down)]],Table1[#All],3,FALSE)</f>
        <v>#N/A</v>
      </c>
      <c r="F69" s="38"/>
      <c r="G69" s="38"/>
      <c r="H69" s="38"/>
      <c r="I69" s="38"/>
      <c r="J69" s="10"/>
      <c r="K69" s="89"/>
      <c r="L69" s="85"/>
    </row>
    <row r="70" spans="1:12" s="4" customFormat="1" ht="30" customHeight="1" x14ac:dyDescent="0.3">
      <c r="A70" s="9"/>
      <c r="B70" s="13" t="e">
        <f>VLOOKUP(Table2456[[#This Row],[Location 
(drop-down)]],'List source'!D$2:E$60,2,FALSE)</f>
        <v>#N/A</v>
      </c>
      <c r="C70" s="23" t="s">
        <v>216</v>
      </c>
      <c r="D70" s="30" t="e">
        <f t="shared" si="2"/>
        <v>#N/A</v>
      </c>
      <c r="E70" s="30" t="e">
        <f>VLOOKUP(Table2456[[#This Row],[Location 
(drop-down)]],Table1[#All],3,FALSE)</f>
        <v>#N/A</v>
      </c>
      <c r="F70" s="38"/>
      <c r="G70" s="38"/>
      <c r="H70" s="38"/>
      <c r="I70" s="38"/>
      <c r="J70" s="10"/>
      <c r="K70" s="10"/>
      <c r="L70" s="10"/>
    </row>
    <row r="71" spans="1:12" s="4" customFormat="1" ht="30" customHeight="1" x14ac:dyDescent="0.3">
      <c r="A71" s="9"/>
      <c r="B71" s="13" t="e">
        <f>VLOOKUP(Table2456[[#This Row],[Location 
(drop-down)]],'List source'!D$2:E$60,2,FALSE)</f>
        <v>#N/A</v>
      </c>
      <c r="C71" s="23" t="s">
        <v>218</v>
      </c>
      <c r="D71" s="30" t="e">
        <f t="shared" si="2"/>
        <v>#N/A</v>
      </c>
      <c r="E71" s="30" t="e">
        <f>VLOOKUP(Table2456[[#This Row],[Location 
(drop-down)]],Table1[#All],3,FALSE)</f>
        <v>#N/A</v>
      </c>
      <c r="F71" s="38"/>
      <c r="G71" s="38"/>
      <c r="H71" s="38"/>
      <c r="I71" s="38"/>
      <c r="J71" s="10"/>
      <c r="K71" s="10"/>
      <c r="L71" s="10"/>
    </row>
    <row r="72" spans="1:12" s="4" customFormat="1" ht="30" customHeight="1" x14ac:dyDescent="0.3">
      <c r="A72" s="9"/>
      <c r="B72" s="13" t="e">
        <f>VLOOKUP(Table2456[[#This Row],[Location 
(drop-down)]],'List source'!D$2:E$60,2,FALSE)</f>
        <v>#N/A</v>
      </c>
      <c r="C72" s="23" t="s">
        <v>222</v>
      </c>
      <c r="D72" s="30" t="e">
        <f t="shared" si="2"/>
        <v>#N/A</v>
      </c>
      <c r="E72" s="30" t="e">
        <f>VLOOKUP(Table2456[[#This Row],[Location 
(drop-down)]],Table1[#All],3,FALSE)</f>
        <v>#N/A</v>
      </c>
      <c r="F72" s="38"/>
      <c r="G72" s="38"/>
      <c r="H72" s="38"/>
      <c r="I72" s="38"/>
      <c r="J72" s="10"/>
      <c r="K72" s="10"/>
      <c r="L72" s="10"/>
    </row>
    <row r="73" spans="1:12" s="4" customFormat="1" ht="30" customHeight="1" x14ac:dyDescent="0.3">
      <c r="A73" s="9"/>
      <c r="B73" s="13" t="e">
        <f>VLOOKUP(Table2456[[#This Row],[Location 
(drop-down)]],'List source'!D$2:E$60,2,FALSE)</f>
        <v>#N/A</v>
      </c>
      <c r="C73" s="23" t="s">
        <v>224</v>
      </c>
      <c r="D73" s="30" t="e">
        <f t="shared" si="2"/>
        <v>#N/A</v>
      </c>
      <c r="E73" s="30" t="e">
        <f>VLOOKUP(Table2456[[#This Row],[Location 
(drop-down)]],Table1[#All],3,FALSE)</f>
        <v>#N/A</v>
      </c>
      <c r="F73" s="38"/>
      <c r="G73" s="38"/>
      <c r="H73" s="38"/>
      <c r="I73" s="38"/>
      <c r="J73" s="10"/>
      <c r="K73" s="10"/>
      <c r="L73" s="10"/>
    </row>
    <row r="74" spans="1:12" s="4" customFormat="1" ht="30" customHeight="1" x14ac:dyDescent="0.3">
      <c r="A74" s="9"/>
      <c r="B74" s="13" t="e">
        <f>VLOOKUP(Table2456[[#This Row],[Location 
(drop-down)]],'List source'!D$2:E$60,2,FALSE)</f>
        <v>#N/A</v>
      </c>
      <c r="C74" s="23" t="s">
        <v>225</v>
      </c>
      <c r="D74" s="30" t="e">
        <f t="shared" si="2"/>
        <v>#N/A</v>
      </c>
      <c r="E74" s="30" t="e">
        <f>VLOOKUP(Table2456[[#This Row],[Location 
(drop-down)]],Table1[#All],3,FALSE)</f>
        <v>#N/A</v>
      </c>
      <c r="F74" s="38"/>
      <c r="G74" s="38"/>
      <c r="H74" s="38"/>
      <c r="I74" s="38"/>
      <c r="J74" s="10"/>
      <c r="K74" s="10"/>
      <c r="L74" s="10"/>
    </row>
    <row r="75" spans="1:12" s="4" customFormat="1" ht="30" customHeight="1" x14ac:dyDescent="0.3">
      <c r="A75" s="9"/>
      <c r="B75" s="13" t="e">
        <f>VLOOKUP(Table2456[[#This Row],[Location 
(drop-down)]],'List source'!D$2:E$60,2,FALSE)</f>
        <v>#N/A</v>
      </c>
      <c r="C75" s="23" t="s">
        <v>226</v>
      </c>
      <c r="D75" s="30" t="e">
        <f t="shared" si="2"/>
        <v>#N/A</v>
      </c>
      <c r="E75" s="30" t="e">
        <f>VLOOKUP(Table2456[[#This Row],[Location 
(drop-down)]],Table1[#All],3,FALSE)</f>
        <v>#N/A</v>
      </c>
      <c r="F75" s="51"/>
      <c r="G75" s="51"/>
      <c r="H75" s="51"/>
      <c r="I75" s="51"/>
      <c r="J75" s="10"/>
      <c r="K75" s="10"/>
      <c r="L75" s="10"/>
    </row>
    <row r="76" spans="1:12" s="4" customFormat="1" ht="30" customHeight="1" x14ac:dyDescent="0.3">
      <c r="A76" s="9"/>
      <c r="B76" s="13" t="e">
        <f>VLOOKUP(Table2456[[#This Row],[Location 
(drop-down)]],'List source'!D$2:E$60,2,FALSE)</f>
        <v>#N/A</v>
      </c>
      <c r="C76" s="23" t="s">
        <v>227</v>
      </c>
      <c r="D76" s="30" t="e">
        <f t="shared" si="2"/>
        <v>#N/A</v>
      </c>
      <c r="E76" s="30" t="e">
        <f>VLOOKUP(Table2456[[#This Row],[Location 
(drop-down)]],Table1[#All],3,FALSE)</f>
        <v>#N/A</v>
      </c>
      <c r="F76" s="38"/>
      <c r="G76" s="38"/>
      <c r="H76" s="38"/>
      <c r="I76" s="38"/>
      <c r="J76" s="10"/>
      <c r="K76" s="10"/>
      <c r="L76" s="10"/>
    </row>
    <row r="77" spans="1:12" s="4" customFormat="1" ht="30" customHeight="1" x14ac:dyDescent="0.3">
      <c r="A77" s="9"/>
      <c r="B77" s="13" t="e">
        <f>VLOOKUP(Table2456[[#This Row],[Location 
(drop-down)]],'List source'!D$2:E$60,2,FALSE)</f>
        <v>#N/A</v>
      </c>
      <c r="C77" s="23" t="s">
        <v>229</v>
      </c>
      <c r="D77" s="30" t="e">
        <f t="shared" si="2"/>
        <v>#N/A</v>
      </c>
      <c r="E77" s="30" t="e">
        <f>VLOOKUP(Table2456[[#This Row],[Location 
(drop-down)]],Table1[#All],3,FALSE)</f>
        <v>#N/A</v>
      </c>
      <c r="F77" s="38"/>
      <c r="G77" s="38"/>
      <c r="H77" s="38"/>
      <c r="I77" s="38"/>
      <c r="J77" s="10"/>
      <c r="K77" s="10"/>
      <c r="L77" s="10"/>
    </row>
    <row r="78" spans="1:12" s="4" customFormat="1" ht="30" customHeight="1" x14ac:dyDescent="0.3">
      <c r="A78" s="9"/>
      <c r="B78" s="13" t="e">
        <f>VLOOKUP(Table2456[[#This Row],[Location 
(drop-down)]],'List source'!D$2:E$60,2,FALSE)</f>
        <v>#N/A</v>
      </c>
      <c r="C78" s="23" t="s">
        <v>233</v>
      </c>
      <c r="D78" s="30" t="e">
        <f t="shared" si="2"/>
        <v>#N/A</v>
      </c>
      <c r="E78" s="30" t="e">
        <f>VLOOKUP(Table2456[[#This Row],[Location 
(drop-down)]],Table1[#All],3,FALSE)</f>
        <v>#N/A</v>
      </c>
      <c r="F78" s="51"/>
      <c r="G78" s="51"/>
      <c r="H78" s="51"/>
      <c r="I78" s="51"/>
      <c r="J78" s="10"/>
      <c r="K78" s="10"/>
      <c r="L78" s="10"/>
    </row>
    <row r="79" spans="1:12" s="4" customFormat="1" ht="30" customHeight="1" x14ac:dyDescent="0.3">
      <c r="A79" s="9"/>
      <c r="B79" s="13" t="e">
        <f>VLOOKUP(Table2456[[#This Row],[Location 
(drop-down)]],'List source'!D$2:E$60,2,FALSE)</f>
        <v>#N/A</v>
      </c>
      <c r="C79" s="23" t="s">
        <v>236</v>
      </c>
      <c r="D79" s="30" t="e">
        <f t="shared" si="2"/>
        <v>#N/A</v>
      </c>
      <c r="E79" s="30" t="e">
        <f>VLOOKUP(Table2456[[#This Row],[Location 
(drop-down)]],Table1[#All],3,FALSE)</f>
        <v>#N/A</v>
      </c>
      <c r="F79" s="51"/>
      <c r="G79" s="51"/>
      <c r="H79" s="51"/>
      <c r="I79" s="51"/>
      <c r="J79" s="10"/>
      <c r="K79" s="10"/>
      <c r="L79" s="10"/>
    </row>
    <row r="80" spans="1:12" s="4" customFormat="1" ht="30" customHeight="1" x14ac:dyDescent="0.3">
      <c r="A80" s="9"/>
      <c r="B80" s="13" t="e">
        <f>VLOOKUP(Table2456[[#This Row],[Location 
(drop-down)]],'List source'!D$2:E$60,2,FALSE)</f>
        <v>#N/A</v>
      </c>
      <c r="C80" s="23" t="s">
        <v>238</v>
      </c>
      <c r="D80" s="30" t="e">
        <f t="shared" si="2"/>
        <v>#N/A</v>
      </c>
      <c r="E80" s="30" t="e">
        <f>VLOOKUP(Table2456[[#This Row],[Location 
(drop-down)]],Table1[#All],3,FALSE)</f>
        <v>#N/A</v>
      </c>
      <c r="F80" s="38"/>
      <c r="G80" s="38"/>
      <c r="H80" s="38"/>
      <c r="I80" s="38"/>
      <c r="J80" s="10"/>
      <c r="K80" s="10"/>
      <c r="L80" s="10"/>
    </row>
    <row r="81" spans="1:12" s="4" customFormat="1" ht="30" customHeight="1" x14ac:dyDescent="0.3">
      <c r="A81" s="9"/>
      <c r="B81" s="13" t="e">
        <f>VLOOKUP(Table2456[[#This Row],[Location 
(drop-down)]],'List source'!D$2:E$60,2,FALSE)</f>
        <v>#N/A</v>
      </c>
      <c r="C81" s="23" t="s">
        <v>240</v>
      </c>
      <c r="D81" s="30" t="e">
        <f t="shared" si="2"/>
        <v>#N/A</v>
      </c>
      <c r="E81" s="30" t="e">
        <f>VLOOKUP(Table2456[[#This Row],[Location 
(drop-down)]],Table1[#All],3,FALSE)</f>
        <v>#N/A</v>
      </c>
      <c r="F81" s="51"/>
      <c r="G81" s="51"/>
      <c r="H81" s="51"/>
      <c r="I81" s="38"/>
      <c r="J81" s="10"/>
      <c r="K81" s="10"/>
      <c r="L81" s="10"/>
    </row>
    <row r="82" spans="1:12" s="4" customFormat="1" ht="30" customHeight="1" x14ac:dyDescent="0.3">
      <c r="A82" s="9"/>
      <c r="B82" s="13" t="e">
        <f>VLOOKUP(Table2456[[#This Row],[Location 
(drop-down)]],'List source'!D$2:E$60,2,FALSE)</f>
        <v>#N/A</v>
      </c>
      <c r="C82" s="23" t="s">
        <v>242</v>
      </c>
      <c r="D82" s="30" t="e">
        <f t="shared" si="2"/>
        <v>#N/A</v>
      </c>
      <c r="E82" s="30" t="e">
        <f>VLOOKUP(Table2456[[#This Row],[Location 
(drop-down)]],Table1[#All],3,FALSE)</f>
        <v>#N/A</v>
      </c>
      <c r="F82" s="51"/>
      <c r="G82" s="51"/>
      <c r="H82" s="51"/>
      <c r="I82" s="38"/>
      <c r="J82" s="10"/>
      <c r="K82" s="10"/>
      <c r="L82" s="10"/>
    </row>
    <row r="83" spans="1:12" s="4" customFormat="1" ht="30" customHeight="1" x14ac:dyDescent="0.3">
      <c r="A83" s="9"/>
      <c r="B83" s="13" t="e">
        <f>VLOOKUP(Table2456[[#This Row],[Location 
(drop-down)]],'List source'!D$2:E$60,2,FALSE)</f>
        <v>#N/A</v>
      </c>
      <c r="C83" s="23" t="s">
        <v>243</v>
      </c>
      <c r="D83" s="30" t="e">
        <f t="shared" si="2"/>
        <v>#N/A</v>
      </c>
      <c r="E83" s="30" t="e">
        <f>VLOOKUP(Table2456[[#This Row],[Location 
(drop-down)]],Table1[#All],3,FALSE)</f>
        <v>#N/A</v>
      </c>
      <c r="F83" s="51"/>
      <c r="G83" s="51"/>
      <c r="H83" s="51"/>
      <c r="I83" s="38"/>
      <c r="J83" s="10"/>
      <c r="K83" s="10"/>
      <c r="L83" s="10"/>
    </row>
    <row r="84" spans="1:12" s="4" customFormat="1" ht="30" customHeight="1" x14ac:dyDescent="0.3">
      <c r="A84" s="9"/>
      <c r="B84" s="13" t="e">
        <f>VLOOKUP(Table2456[[#This Row],[Location 
(drop-down)]],'List source'!D$2:E$60,2,FALSE)</f>
        <v>#N/A</v>
      </c>
      <c r="C84" s="23" t="s">
        <v>246</v>
      </c>
      <c r="D84" s="30" t="e">
        <f t="shared" si="2"/>
        <v>#N/A</v>
      </c>
      <c r="E84" s="30" t="e">
        <f>VLOOKUP(Table2456[[#This Row],[Location 
(drop-down)]],Table1[#All],3,FALSE)</f>
        <v>#N/A</v>
      </c>
      <c r="F84" s="51"/>
      <c r="G84" s="51"/>
      <c r="H84" s="51"/>
      <c r="I84" s="38"/>
      <c r="J84" s="10"/>
      <c r="K84" s="10"/>
      <c r="L84" s="9"/>
    </row>
    <row r="85" spans="1:12" s="4" customFormat="1" ht="30" customHeight="1" x14ac:dyDescent="0.3">
      <c r="A85" s="9"/>
      <c r="B85" s="13" t="e">
        <f>VLOOKUP(Table2456[[#This Row],[Location 
(drop-down)]],'List source'!D$2:E$60,2,FALSE)</f>
        <v>#N/A</v>
      </c>
      <c r="C85" s="23" t="s">
        <v>251</v>
      </c>
      <c r="D85" s="30" t="e">
        <f t="shared" si="2"/>
        <v>#N/A</v>
      </c>
      <c r="E85" s="30" t="e">
        <f>VLOOKUP(Table2456[[#This Row],[Location 
(drop-down)]],Table1[#All],3,FALSE)</f>
        <v>#N/A</v>
      </c>
      <c r="F85" s="38"/>
      <c r="G85" s="38"/>
      <c r="H85" s="38"/>
      <c r="I85" s="38"/>
      <c r="J85" s="10"/>
      <c r="K85" s="10"/>
      <c r="L85" s="10"/>
    </row>
    <row r="86" spans="1:12" s="4" customFormat="1" ht="30" customHeight="1" x14ac:dyDescent="0.3">
      <c r="A86" s="9"/>
      <c r="B86" s="13" t="e">
        <f>VLOOKUP(Table2456[[#This Row],[Location 
(drop-down)]],'List source'!D$2:E$60,2,FALSE)</f>
        <v>#N/A</v>
      </c>
      <c r="C86" s="23" t="s">
        <v>253</v>
      </c>
      <c r="D86" s="30" t="e">
        <f t="shared" si="2"/>
        <v>#N/A</v>
      </c>
      <c r="E86" s="30" t="e">
        <f>VLOOKUP(Table2456[[#This Row],[Location 
(drop-down)]],Table1[#All],3,FALSE)</f>
        <v>#N/A</v>
      </c>
      <c r="F86" s="38"/>
      <c r="G86" s="38"/>
      <c r="H86" s="38"/>
      <c r="I86" s="38"/>
      <c r="J86" s="10"/>
      <c r="K86" s="10"/>
      <c r="L86" s="9"/>
    </row>
    <row r="87" spans="1:12" s="4" customFormat="1" ht="30" customHeight="1" x14ac:dyDescent="0.3">
      <c r="A87" s="9"/>
      <c r="B87" s="13" t="e">
        <f>VLOOKUP(Table2456[[#This Row],[Location 
(drop-down)]],'List source'!D$2:E$60,2,FALSE)</f>
        <v>#N/A</v>
      </c>
      <c r="C87" s="23" t="s">
        <v>257</v>
      </c>
      <c r="D87" s="30" t="e">
        <f t="shared" si="2"/>
        <v>#N/A</v>
      </c>
      <c r="E87" s="30" t="e">
        <f>VLOOKUP(Table2456[[#This Row],[Location 
(drop-down)]],Table1[#All],3,FALSE)</f>
        <v>#N/A</v>
      </c>
      <c r="F87" s="38"/>
      <c r="G87" s="38"/>
      <c r="H87" s="38"/>
      <c r="I87" s="38"/>
      <c r="J87" s="10"/>
      <c r="K87" s="10"/>
      <c r="L87" s="10"/>
    </row>
    <row r="88" spans="1:12" s="4" customFormat="1" ht="30" customHeight="1" x14ac:dyDescent="0.3">
      <c r="A88" s="9"/>
      <c r="B88" s="13" t="e">
        <f>VLOOKUP(Table2456[[#This Row],[Location 
(drop-down)]],'List source'!D$2:E$60,2,FALSE)</f>
        <v>#N/A</v>
      </c>
      <c r="C88" s="23" t="s">
        <v>259</v>
      </c>
      <c r="D88" s="30" t="e">
        <f t="shared" si="2"/>
        <v>#N/A</v>
      </c>
      <c r="E88" s="30" t="e">
        <f>VLOOKUP(Table2456[[#This Row],[Location 
(drop-down)]],Table1[#All],3,FALSE)</f>
        <v>#N/A</v>
      </c>
      <c r="F88" s="38"/>
      <c r="G88" s="38"/>
      <c r="H88" s="38"/>
      <c r="I88" s="38"/>
      <c r="J88" s="10"/>
      <c r="K88" s="10"/>
      <c r="L88" s="10"/>
    </row>
    <row r="89" spans="1:12" s="4" customFormat="1" ht="30" customHeight="1" x14ac:dyDescent="0.3">
      <c r="A89" s="9"/>
      <c r="B89" s="13" t="e">
        <f>VLOOKUP(Table2456[[#This Row],[Location 
(drop-down)]],'List source'!D$2:E$60,2,FALSE)</f>
        <v>#N/A</v>
      </c>
      <c r="C89" s="23" t="s">
        <v>262</v>
      </c>
      <c r="D89" s="30" t="e">
        <f t="shared" si="2"/>
        <v>#N/A</v>
      </c>
      <c r="E89" s="30" t="e">
        <f>VLOOKUP(Table2456[[#This Row],[Location 
(drop-down)]],Table1[#All],3,FALSE)</f>
        <v>#N/A</v>
      </c>
      <c r="F89" s="38"/>
      <c r="G89" s="38"/>
      <c r="H89" s="38"/>
      <c r="I89" s="38"/>
      <c r="J89" s="10"/>
      <c r="K89" s="10"/>
      <c r="L89" s="10"/>
    </row>
    <row r="90" spans="1:12" s="4" customFormat="1" ht="30" customHeight="1" x14ac:dyDescent="0.3">
      <c r="A90" s="9"/>
      <c r="B90" s="13" t="e">
        <f>VLOOKUP(Table2456[[#This Row],[Location 
(drop-down)]],'List source'!D$2:E$60,2,FALSE)</f>
        <v>#N/A</v>
      </c>
      <c r="C90" s="23" t="s">
        <v>265</v>
      </c>
      <c r="D90" s="30" t="e">
        <f t="shared" si="2"/>
        <v>#N/A</v>
      </c>
      <c r="E90" s="30" t="e">
        <f>VLOOKUP(Table2456[[#This Row],[Location 
(drop-down)]],Table1[#All],3,FALSE)</f>
        <v>#N/A</v>
      </c>
      <c r="F90" s="51"/>
      <c r="G90" s="51"/>
      <c r="H90" s="51"/>
      <c r="I90" s="51"/>
      <c r="J90" s="10"/>
      <c r="K90" s="10"/>
      <c r="L90" s="10"/>
    </row>
    <row r="91" spans="1:12" s="4" customFormat="1" ht="30" customHeight="1" x14ac:dyDescent="0.3">
      <c r="A91" s="9"/>
      <c r="B91" s="13" t="e">
        <f>VLOOKUP(Table2456[[#This Row],[Location 
(drop-down)]],'List source'!D$2:E$60,2,FALSE)</f>
        <v>#N/A</v>
      </c>
      <c r="C91" s="23" t="s">
        <v>267</v>
      </c>
      <c r="D91" s="30" t="e">
        <f t="shared" si="2"/>
        <v>#N/A</v>
      </c>
      <c r="E91" s="30" t="e">
        <f>VLOOKUP(Table2456[[#This Row],[Location 
(drop-down)]],Table1[#All],3,FALSE)</f>
        <v>#N/A</v>
      </c>
      <c r="F91" s="51"/>
      <c r="G91" s="51"/>
      <c r="H91" s="51"/>
      <c r="I91" s="38"/>
      <c r="J91" s="10"/>
      <c r="K91" s="89"/>
      <c r="L91" s="99"/>
    </row>
    <row r="92" spans="1:12" s="4" customFormat="1" ht="30" customHeight="1" x14ac:dyDescent="0.3">
      <c r="A92" s="9"/>
      <c r="B92" s="13" t="e">
        <f>VLOOKUP(Table2456[[#This Row],[Location 
(drop-down)]],'List source'!D$2:E$60,2,FALSE)</f>
        <v>#N/A</v>
      </c>
      <c r="C92" s="23" t="s">
        <v>269</v>
      </c>
      <c r="D92" s="30" t="e">
        <f t="shared" si="2"/>
        <v>#N/A</v>
      </c>
      <c r="E92" s="30" t="e">
        <f>VLOOKUP(Table2456[[#This Row],[Location 
(drop-down)]],Table1[#All],3,FALSE)</f>
        <v>#N/A</v>
      </c>
      <c r="F92" s="51"/>
      <c r="G92" s="51"/>
      <c r="H92" s="51"/>
      <c r="I92" s="38"/>
      <c r="J92" s="10"/>
      <c r="K92" s="89"/>
      <c r="L92" s="99"/>
    </row>
    <row r="93" spans="1:12" s="4" customFormat="1" ht="30" customHeight="1" x14ac:dyDescent="0.3">
      <c r="A93" s="9"/>
      <c r="B93" s="13" t="e">
        <f>VLOOKUP(Table2456[[#This Row],[Location 
(drop-down)]],'List source'!D$2:E$60,2,FALSE)</f>
        <v>#N/A</v>
      </c>
      <c r="C93" s="23" t="s">
        <v>270</v>
      </c>
      <c r="D93" s="30" t="e">
        <f t="shared" si="2"/>
        <v>#N/A</v>
      </c>
      <c r="E93" s="30" t="e">
        <f>VLOOKUP(Table2456[[#This Row],[Location 
(drop-down)]],Table1[#All],3,FALSE)</f>
        <v>#N/A</v>
      </c>
      <c r="F93" s="51"/>
      <c r="G93" s="51"/>
      <c r="H93" s="51"/>
      <c r="I93" s="38"/>
      <c r="J93" s="10"/>
      <c r="K93" s="10"/>
      <c r="L93" s="9"/>
    </row>
    <row r="94" spans="1:12" s="4" customFormat="1" ht="30" customHeight="1" x14ac:dyDescent="0.3">
      <c r="A94" s="9"/>
      <c r="B94" s="13" t="e">
        <f>VLOOKUP(Table2456[[#This Row],[Location 
(drop-down)]],'List source'!D$2:E$60,2,FALSE)</f>
        <v>#N/A</v>
      </c>
      <c r="C94" s="23" t="s">
        <v>272</v>
      </c>
      <c r="D94" s="30" t="e">
        <f t="shared" si="2"/>
        <v>#N/A</v>
      </c>
      <c r="E94" s="30" t="e">
        <f>VLOOKUP(Table2456[[#This Row],[Location 
(drop-down)]],Table1[#All],3,FALSE)</f>
        <v>#N/A</v>
      </c>
      <c r="F94" s="38"/>
      <c r="G94" s="38"/>
      <c r="H94" s="38"/>
      <c r="I94" s="38"/>
      <c r="J94" s="10"/>
      <c r="K94" s="118"/>
      <c r="L94" s="84"/>
    </row>
    <row r="95" spans="1:12" s="4" customFormat="1" ht="30" customHeight="1" x14ac:dyDescent="0.3">
      <c r="A95" s="9"/>
      <c r="B95" s="13" t="e">
        <f>VLOOKUP(Table2456[[#This Row],[Location 
(drop-down)]],'List source'!D$2:E$60,2,FALSE)</f>
        <v>#N/A</v>
      </c>
      <c r="C95" s="23" t="s">
        <v>274</v>
      </c>
      <c r="D95" s="30" t="e">
        <f t="shared" si="2"/>
        <v>#N/A</v>
      </c>
      <c r="E95" s="30" t="e">
        <f>VLOOKUP(Table2456[[#This Row],[Location 
(drop-down)]],Table1[#All],3,FALSE)</f>
        <v>#N/A</v>
      </c>
      <c r="F95" s="38"/>
      <c r="G95" s="38"/>
      <c r="H95" s="38"/>
      <c r="I95" s="38"/>
      <c r="J95" s="10"/>
      <c r="K95" s="10"/>
      <c r="L95" s="10"/>
    </row>
    <row r="96" spans="1:12" s="4" customFormat="1" ht="30" customHeight="1" x14ac:dyDescent="0.3">
      <c r="A96" s="9"/>
      <c r="B96" s="13" t="e">
        <f>VLOOKUP(Table2456[[#This Row],[Location 
(drop-down)]],'List source'!D$2:E$60,2,FALSE)</f>
        <v>#N/A</v>
      </c>
      <c r="C96" s="23" t="s">
        <v>276</v>
      </c>
      <c r="D96" s="30" t="e">
        <f t="shared" si="2"/>
        <v>#N/A</v>
      </c>
      <c r="E96" s="30" t="e">
        <f>VLOOKUP(Table2456[[#This Row],[Location 
(drop-down)]],Table1[#All],3,FALSE)</f>
        <v>#N/A</v>
      </c>
      <c r="F96" s="38"/>
      <c r="G96" s="38"/>
      <c r="H96" s="38"/>
      <c r="I96" s="38"/>
      <c r="J96" s="10"/>
      <c r="K96" s="10"/>
      <c r="L96" s="10"/>
    </row>
    <row r="97" spans="1:12" s="4" customFormat="1" ht="30" customHeight="1" x14ac:dyDescent="0.3">
      <c r="A97" s="9"/>
      <c r="B97" s="13" t="e">
        <f>VLOOKUP(Table2456[[#This Row],[Location 
(drop-down)]],'List source'!D$2:E$60,2,FALSE)</f>
        <v>#N/A</v>
      </c>
      <c r="C97" s="23" t="s">
        <v>277</v>
      </c>
      <c r="D97" s="30" t="e">
        <f t="shared" si="2"/>
        <v>#N/A</v>
      </c>
      <c r="E97" s="30" t="e">
        <f>VLOOKUP(Table2456[[#This Row],[Location 
(drop-down)]],Table1[#All],3,FALSE)</f>
        <v>#N/A</v>
      </c>
      <c r="F97" s="38"/>
      <c r="G97" s="38"/>
      <c r="H97" s="38"/>
      <c r="I97" s="38"/>
      <c r="J97" s="10"/>
      <c r="K97" s="10"/>
      <c r="L97" s="10"/>
    </row>
    <row r="98" spans="1:12" s="4" customFormat="1" ht="30" customHeight="1" x14ac:dyDescent="0.3">
      <c r="A98" s="9"/>
      <c r="B98" s="13" t="e">
        <f>VLOOKUP(Table2456[[#This Row],[Location 
(drop-down)]],'List source'!D$2:E$60,2,FALSE)</f>
        <v>#N/A</v>
      </c>
      <c r="C98" s="23" t="s">
        <v>278</v>
      </c>
      <c r="D98" s="30" t="e">
        <f t="shared" ref="D98:D129" si="3">"CAF" &amp; C98 &amp; "-" &amp; B98 &amp; "-" &amp; "24"</f>
        <v>#N/A</v>
      </c>
      <c r="E98" s="30" t="e">
        <f>VLOOKUP(Table2456[[#This Row],[Location 
(drop-down)]],Table1[#All],3,FALSE)</f>
        <v>#N/A</v>
      </c>
      <c r="F98" s="38"/>
      <c r="G98" s="38"/>
      <c r="H98" s="38"/>
      <c r="I98" s="38"/>
      <c r="J98" s="10"/>
      <c r="K98" s="10"/>
      <c r="L98" s="10"/>
    </row>
    <row r="99" spans="1:12" s="4" customFormat="1" ht="30" customHeight="1" x14ac:dyDescent="0.3">
      <c r="A99" s="9"/>
      <c r="B99" s="13" t="e">
        <f>VLOOKUP(Table2456[[#This Row],[Location 
(drop-down)]],'List source'!D$2:E$60,2,FALSE)</f>
        <v>#N/A</v>
      </c>
      <c r="C99" s="23" t="s">
        <v>282</v>
      </c>
      <c r="D99" s="30" t="e">
        <f t="shared" si="3"/>
        <v>#N/A</v>
      </c>
      <c r="E99" s="30" t="e">
        <f>VLOOKUP(Table2456[[#This Row],[Location 
(drop-down)]],Table1[#All],3,FALSE)</f>
        <v>#N/A</v>
      </c>
      <c r="F99" s="38"/>
      <c r="G99" s="38"/>
      <c r="H99" s="38"/>
      <c r="I99" s="38"/>
      <c r="J99" s="10"/>
      <c r="K99" s="10"/>
      <c r="L99" s="10"/>
    </row>
    <row r="100" spans="1:12" s="4" customFormat="1" ht="30" customHeight="1" x14ac:dyDescent="0.3">
      <c r="A100" s="9"/>
      <c r="B100" s="13" t="e">
        <f>VLOOKUP(Table2456[[#This Row],[Location 
(drop-down)]],'List source'!D$2:E$60,2,FALSE)</f>
        <v>#N/A</v>
      </c>
      <c r="C100" s="23" t="s">
        <v>284</v>
      </c>
      <c r="D100" s="30" t="e">
        <f t="shared" si="3"/>
        <v>#N/A</v>
      </c>
      <c r="E100" s="30" t="e">
        <f>VLOOKUP(Table2456[[#This Row],[Location 
(drop-down)]],Table1[#All],3,FALSE)</f>
        <v>#N/A</v>
      </c>
      <c r="F100" s="38"/>
      <c r="G100" s="38"/>
      <c r="H100" s="38"/>
      <c r="I100" s="38"/>
      <c r="J100" s="10"/>
      <c r="K100" s="10"/>
      <c r="L100" s="10"/>
    </row>
    <row r="101" spans="1:12" s="4" customFormat="1" ht="30" customHeight="1" x14ac:dyDescent="0.3">
      <c r="A101" s="9"/>
      <c r="B101" s="13" t="e">
        <f>VLOOKUP(Table2456[[#This Row],[Location 
(drop-down)]],'List source'!D$2:E$60,2,FALSE)</f>
        <v>#N/A</v>
      </c>
      <c r="C101" s="23" t="s">
        <v>286</v>
      </c>
      <c r="D101" s="30" t="e">
        <f t="shared" si="3"/>
        <v>#N/A</v>
      </c>
      <c r="E101" s="30" t="e">
        <f>VLOOKUP(Table2456[[#This Row],[Location 
(drop-down)]],Table1[#All],3,FALSE)</f>
        <v>#N/A</v>
      </c>
      <c r="F101" s="38"/>
      <c r="G101" s="38"/>
      <c r="H101" s="38"/>
      <c r="I101" s="38"/>
      <c r="J101" s="10"/>
      <c r="K101" s="10"/>
      <c r="L101" s="10"/>
    </row>
    <row r="102" spans="1:12" s="4" customFormat="1" ht="30" customHeight="1" x14ac:dyDescent="0.3">
      <c r="A102" s="9"/>
      <c r="B102" s="13" t="e">
        <f>VLOOKUP(Table2456[[#This Row],[Location 
(drop-down)]],'List source'!D$2:E$60,2,FALSE)</f>
        <v>#N/A</v>
      </c>
      <c r="C102" s="23" t="s">
        <v>289</v>
      </c>
      <c r="D102" s="30" t="e">
        <f t="shared" si="3"/>
        <v>#N/A</v>
      </c>
      <c r="E102" s="30" t="e">
        <f>VLOOKUP(Table2456[[#This Row],[Location 
(drop-down)]],Table1[#All],3,FALSE)</f>
        <v>#N/A</v>
      </c>
      <c r="F102" s="38"/>
      <c r="G102" s="38"/>
      <c r="H102" s="38"/>
      <c r="I102" s="38"/>
      <c r="J102" s="10"/>
      <c r="K102" s="10"/>
      <c r="L102" s="10"/>
    </row>
    <row r="103" spans="1:12" s="4" customFormat="1" ht="30" customHeight="1" x14ac:dyDescent="0.3">
      <c r="A103" s="9"/>
      <c r="B103" s="13" t="e">
        <f>VLOOKUP(Table2456[[#This Row],[Location 
(drop-down)]],'List source'!D$2:E$60,2,FALSE)</f>
        <v>#N/A</v>
      </c>
      <c r="C103" s="23" t="s">
        <v>291</v>
      </c>
      <c r="D103" s="30" t="e">
        <f t="shared" si="3"/>
        <v>#N/A</v>
      </c>
      <c r="E103" s="30" t="e">
        <f>VLOOKUP(Table2456[[#This Row],[Location 
(drop-down)]],Table1[#All],3,FALSE)</f>
        <v>#N/A</v>
      </c>
      <c r="F103" s="38"/>
      <c r="G103" s="38"/>
      <c r="H103" s="38"/>
      <c r="I103" s="38"/>
      <c r="J103" s="10"/>
      <c r="K103" s="10"/>
      <c r="L103" s="10"/>
    </row>
    <row r="104" spans="1:12" s="4" customFormat="1" ht="30" customHeight="1" x14ac:dyDescent="0.3">
      <c r="A104" s="9"/>
      <c r="B104" s="13" t="e">
        <f>VLOOKUP(Table2456[[#This Row],[Location 
(drop-down)]],'List source'!D$2:E$60,2,FALSE)</f>
        <v>#N/A</v>
      </c>
      <c r="C104" s="23" t="s">
        <v>292</v>
      </c>
      <c r="D104" s="30" t="e">
        <f t="shared" si="3"/>
        <v>#N/A</v>
      </c>
      <c r="E104" s="30" t="e">
        <f>VLOOKUP(Table2456[[#This Row],[Location 
(drop-down)]],Table1[#All],3,FALSE)</f>
        <v>#N/A</v>
      </c>
      <c r="F104" s="38"/>
      <c r="G104" s="38"/>
      <c r="H104" s="38"/>
      <c r="I104" s="38"/>
      <c r="J104" s="10"/>
      <c r="K104" s="10"/>
      <c r="L104" s="10"/>
    </row>
    <row r="105" spans="1:12" s="4" customFormat="1" ht="30" customHeight="1" x14ac:dyDescent="0.3">
      <c r="A105" s="9"/>
      <c r="B105" s="13" t="e">
        <f>VLOOKUP(Table2456[[#This Row],[Location 
(drop-down)]],'List source'!D$2:E$60,2,FALSE)</f>
        <v>#N/A</v>
      </c>
      <c r="C105" s="23" t="s">
        <v>295</v>
      </c>
      <c r="D105" s="30" t="e">
        <f t="shared" si="3"/>
        <v>#N/A</v>
      </c>
      <c r="E105" s="30" t="e">
        <f>VLOOKUP(Table2456[[#This Row],[Location 
(drop-down)]],Table1[#All],3,FALSE)</f>
        <v>#N/A</v>
      </c>
      <c r="F105" s="38"/>
      <c r="G105" s="38"/>
      <c r="H105" s="38"/>
      <c r="I105" s="38"/>
      <c r="J105" s="10"/>
      <c r="K105" s="10"/>
      <c r="L105" s="10"/>
    </row>
    <row r="106" spans="1:12" s="4" customFormat="1" ht="30" customHeight="1" x14ac:dyDescent="0.3">
      <c r="A106" s="9"/>
      <c r="B106" s="13" t="e">
        <f>VLOOKUP(Table2456[[#This Row],[Location 
(drop-down)]],'List source'!D$2:E$60,2,FALSE)</f>
        <v>#N/A</v>
      </c>
      <c r="C106" s="23" t="s">
        <v>298</v>
      </c>
      <c r="D106" s="30" t="e">
        <f t="shared" si="3"/>
        <v>#N/A</v>
      </c>
      <c r="E106" s="30" t="e">
        <f>VLOOKUP(Table2456[[#This Row],[Location 
(drop-down)]],Table1[#All],3,FALSE)</f>
        <v>#N/A</v>
      </c>
      <c r="F106" s="38"/>
      <c r="G106" s="38"/>
      <c r="H106" s="38"/>
      <c r="I106" s="38"/>
      <c r="J106" s="10"/>
      <c r="K106" s="10"/>
      <c r="L106" s="10"/>
    </row>
    <row r="107" spans="1:12" s="4" customFormat="1" ht="30" customHeight="1" x14ac:dyDescent="0.3">
      <c r="A107" s="9"/>
      <c r="B107" s="13" t="e">
        <f>VLOOKUP(Table2456[[#This Row],[Location 
(drop-down)]],'List source'!D$2:E$60,2,FALSE)</f>
        <v>#N/A</v>
      </c>
      <c r="C107" s="23" t="s">
        <v>300</v>
      </c>
      <c r="D107" s="30" t="e">
        <f t="shared" si="3"/>
        <v>#N/A</v>
      </c>
      <c r="E107" s="30" t="e">
        <f>VLOOKUP(Table2456[[#This Row],[Location 
(drop-down)]],Table1[#All],3,FALSE)</f>
        <v>#N/A</v>
      </c>
      <c r="F107" s="38"/>
      <c r="G107" s="38"/>
      <c r="H107" s="38"/>
      <c r="I107" s="38"/>
      <c r="J107" s="10"/>
      <c r="K107" s="10"/>
      <c r="L107" s="10"/>
    </row>
    <row r="108" spans="1:12" s="4" customFormat="1" ht="30" customHeight="1" x14ac:dyDescent="0.3">
      <c r="A108" s="9"/>
      <c r="B108" s="13" t="e">
        <f>VLOOKUP(Table2456[[#This Row],[Location 
(drop-down)]],'List source'!D$2:E$60,2,FALSE)</f>
        <v>#N/A</v>
      </c>
      <c r="C108" s="23" t="s">
        <v>304</v>
      </c>
      <c r="D108" s="30" t="e">
        <f t="shared" si="3"/>
        <v>#N/A</v>
      </c>
      <c r="E108" s="30" t="e">
        <f>VLOOKUP(Table2456[[#This Row],[Location 
(drop-down)]],Table1[#All],3,FALSE)</f>
        <v>#N/A</v>
      </c>
      <c r="F108" s="38"/>
      <c r="G108" s="38"/>
      <c r="H108" s="38"/>
      <c r="I108" s="38"/>
      <c r="J108" s="10"/>
      <c r="K108" s="10"/>
      <c r="L108" s="10"/>
    </row>
    <row r="109" spans="1:12" s="4" customFormat="1" ht="30" customHeight="1" x14ac:dyDescent="0.3">
      <c r="A109" s="9"/>
      <c r="B109" s="13" t="e">
        <f>VLOOKUP(Table2456[[#This Row],[Location 
(drop-down)]],'List source'!D$2:E$60,2,FALSE)</f>
        <v>#N/A</v>
      </c>
      <c r="C109" s="23" t="s">
        <v>305</v>
      </c>
      <c r="D109" s="30" t="e">
        <f t="shared" si="3"/>
        <v>#N/A</v>
      </c>
      <c r="E109" s="30" t="e">
        <f>VLOOKUP(Table2456[[#This Row],[Location 
(drop-down)]],Table1[#All],3,FALSE)</f>
        <v>#N/A</v>
      </c>
      <c r="F109" s="38"/>
      <c r="G109" s="38"/>
      <c r="H109" s="38"/>
      <c r="I109" s="38"/>
      <c r="J109" s="10"/>
      <c r="K109" s="10"/>
      <c r="L109" s="10"/>
    </row>
    <row r="110" spans="1:12" s="4" customFormat="1" ht="30" customHeight="1" x14ac:dyDescent="0.3">
      <c r="A110" s="9"/>
      <c r="B110" s="13" t="e">
        <f>VLOOKUP(Table2456[[#This Row],[Location 
(drop-down)]],'List source'!D$2:E$60,2,FALSE)</f>
        <v>#N/A</v>
      </c>
      <c r="C110" s="23" t="s">
        <v>307</v>
      </c>
      <c r="D110" s="30" t="e">
        <f t="shared" si="3"/>
        <v>#N/A</v>
      </c>
      <c r="E110" s="30" t="e">
        <f>VLOOKUP(Table2456[[#This Row],[Location 
(drop-down)]],Table1[#All],3,FALSE)</f>
        <v>#N/A</v>
      </c>
      <c r="F110" s="38"/>
      <c r="G110" s="38"/>
      <c r="H110" s="38"/>
      <c r="I110" s="38"/>
      <c r="J110" s="10"/>
      <c r="K110" s="10"/>
      <c r="L110" s="10"/>
    </row>
    <row r="111" spans="1:12" s="4" customFormat="1" ht="30" customHeight="1" x14ac:dyDescent="0.3">
      <c r="A111" s="9"/>
      <c r="B111" s="13" t="e">
        <f>VLOOKUP(Table2456[[#This Row],[Location 
(drop-down)]],'List source'!D$2:E$60,2,FALSE)</f>
        <v>#N/A</v>
      </c>
      <c r="C111" s="23" t="s">
        <v>311</v>
      </c>
      <c r="D111" s="30" t="e">
        <f t="shared" si="3"/>
        <v>#N/A</v>
      </c>
      <c r="E111" s="30" t="e">
        <f>VLOOKUP(Table2456[[#This Row],[Location 
(drop-down)]],Table1[#All],3,FALSE)</f>
        <v>#N/A</v>
      </c>
      <c r="F111" s="38"/>
      <c r="G111" s="38"/>
      <c r="H111" s="38"/>
      <c r="I111" s="38"/>
      <c r="J111" s="10"/>
      <c r="K111" s="10"/>
      <c r="L111" s="10"/>
    </row>
    <row r="112" spans="1:12" s="4" customFormat="1" ht="30" customHeight="1" x14ac:dyDescent="0.3">
      <c r="A112" s="9"/>
      <c r="B112" s="13" t="e">
        <f>VLOOKUP(Table2456[[#This Row],[Location 
(drop-down)]],'List source'!D$2:E$60,2,FALSE)</f>
        <v>#N/A</v>
      </c>
      <c r="C112" s="23" t="s">
        <v>313</v>
      </c>
      <c r="D112" s="30" t="e">
        <f t="shared" si="3"/>
        <v>#N/A</v>
      </c>
      <c r="E112" s="30" t="e">
        <f>VLOOKUP(Table2456[[#This Row],[Location 
(drop-down)]],Table1[#All],3,FALSE)</f>
        <v>#N/A</v>
      </c>
      <c r="F112" s="38"/>
      <c r="G112" s="38"/>
      <c r="H112" s="38"/>
      <c r="I112" s="38"/>
      <c r="J112" s="10"/>
      <c r="K112" s="10"/>
      <c r="L112" s="10"/>
    </row>
    <row r="113" spans="1:12" s="4" customFormat="1" ht="30" customHeight="1" x14ac:dyDescent="0.3">
      <c r="A113" s="9"/>
      <c r="B113" s="13" t="e">
        <f>VLOOKUP(Table2456[[#This Row],[Location 
(drop-down)]],'List source'!D$2:E$60,2,FALSE)</f>
        <v>#N/A</v>
      </c>
      <c r="C113" s="23" t="s">
        <v>315</v>
      </c>
      <c r="D113" s="30" t="e">
        <f t="shared" si="3"/>
        <v>#N/A</v>
      </c>
      <c r="E113" s="30" t="e">
        <f>VLOOKUP(Table2456[[#This Row],[Location 
(drop-down)]],Table1[#All],3,FALSE)</f>
        <v>#N/A</v>
      </c>
      <c r="F113" s="38"/>
      <c r="G113" s="38"/>
      <c r="H113" s="38"/>
      <c r="I113" s="38"/>
      <c r="J113" s="10"/>
      <c r="K113" s="10"/>
      <c r="L113" s="10"/>
    </row>
    <row r="114" spans="1:12" s="4" customFormat="1" ht="30" customHeight="1" x14ac:dyDescent="0.3">
      <c r="A114" s="9"/>
      <c r="B114" s="13" t="e">
        <f>VLOOKUP(Table2456[[#This Row],[Location 
(drop-down)]],'List source'!D$2:E$60,2,FALSE)</f>
        <v>#N/A</v>
      </c>
      <c r="C114" s="23" t="s">
        <v>317</v>
      </c>
      <c r="D114" s="30" t="e">
        <f t="shared" si="3"/>
        <v>#N/A</v>
      </c>
      <c r="E114" s="30" t="e">
        <f>VLOOKUP(Table2456[[#This Row],[Location 
(drop-down)]],Table1[#All],3,FALSE)</f>
        <v>#N/A</v>
      </c>
      <c r="F114" s="38"/>
      <c r="G114" s="38"/>
      <c r="H114" s="38"/>
      <c r="I114" s="38"/>
      <c r="J114" s="10"/>
      <c r="K114" s="10"/>
      <c r="L114" s="10"/>
    </row>
    <row r="115" spans="1:12" s="4" customFormat="1" ht="30" customHeight="1" x14ac:dyDescent="0.3">
      <c r="A115" s="9"/>
      <c r="B115" s="13" t="e">
        <f>VLOOKUP(Table2456[[#This Row],[Location 
(drop-down)]],'List source'!D$2:E$60,2,FALSE)</f>
        <v>#N/A</v>
      </c>
      <c r="C115" s="23" t="s">
        <v>319</v>
      </c>
      <c r="D115" s="30" t="e">
        <f t="shared" si="3"/>
        <v>#N/A</v>
      </c>
      <c r="E115" s="30" t="e">
        <f>VLOOKUP(Table2456[[#This Row],[Location 
(drop-down)]],Table1[#All],3,FALSE)</f>
        <v>#N/A</v>
      </c>
      <c r="F115" s="38"/>
      <c r="G115" s="38"/>
      <c r="H115" s="38"/>
      <c r="I115" s="38"/>
      <c r="J115" s="10"/>
      <c r="K115" s="10"/>
      <c r="L115" s="10"/>
    </row>
    <row r="116" spans="1:12" s="4" customFormat="1" ht="30" customHeight="1" x14ac:dyDescent="0.3">
      <c r="A116" s="9"/>
      <c r="B116" s="13" t="e">
        <f>VLOOKUP(Table2456[[#This Row],[Location 
(drop-down)]],'List source'!D$2:E$60,2,FALSE)</f>
        <v>#N/A</v>
      </c>
      <c r="C116" s="23" t="s">
        <v>321</v>
      </c>
      <c r="D116" s="30" t="e">
        <f t="shared" si="3"/>
        <v>#N/A</v>
      </c>
      <c r="E116" s="30" t="e">
        <f>VLOOKUP(Table2456[[#This Row],[Location 
(drop-down)]],Table1[#All],3,FALSE)</f>
        <v>#N/A</v>
      </c>
      <c r="F116" s="38"/>
      <c r="G116" s="38"/>
      <c r="H116" s="38"/>
      <c r="I116" s="38"/>
      <c r="J116" s="10"/>
      <c r="K116" s="10"/>
      <c r="L116" s="10"/>
    </row>
    <row r="117" spans="1:12" s="4" customFormat="1" ht="30" customHeight="1" x14ac:dyDescent="0.3">
      <c r="A117" s="9"/>
      <c r="B117" s="13" t="e">
        <f>VLOOKUP(Table2456[[#This Row],[Location 
(drop-down)]],'List source'!D$2:E$60,2,FALSE)</f>
        <v>#N/A</v>
      </c>
      <c r="C117" s="23" t="s">
        <v>326</v>
      </c>
      <c r="D117" s="30" t="e">
        <f t="shared" si="3"/>
        <v>#N/A</v>
      </c>
      <c r="E117" s="30" t="e">
        <f>VLOOKUP(Table2456[[#This Row],[Location 
(drop-down)]],Table1[#All],3,FALSE)</f>
        <v>#N/A</v>
      </c>
      <c r="F117" s="38"/>
      <c r="G117" s="38"/>
      <c r="H117" s="38"/>
      <c r="I117" s="38"/>
      <c r="J117" s="10"/>
      <c r="K117" s="10"/>
      <c r="L117" s="10"/>
    </row>
    <row r="118" spans="1:12" s="4" customFormat="1" ht="30" customHeight="1" x14ac:dyDescent="0.3">
      <c r="A118" s="9"/>
      <c r="B118" s="13" t="e">
        <f>VLOOKUP(Table2456[[#This Row],[Location 
(drop-down)]],'List source'!D$2:E$60,2,FALSE)</f>
        <v>#N/A</v>
      </c>
      <c r="C118" s="23" t="s">
        <v>328</v>
      </c>
      <c r="D118" s="30" t="e">
        <f t="shared" si="3"/>
        <v>#N/A</v>
      </c>
      <c r="E118" s="30" t="e">
        <f>VLOOKUP(Table2456[[#This Row],[Location 
(drop-down)]],Table1[#All],3,FALSE)</f>
        <v>#N/A</v>
      </c>
      <c r="F118" s="38"/>
      <c r="G118" s="38"/>
      <c r="H118" s="38"/>
      <c r="I118" s="38"/>
      <c r="J118" s="10"/>
      <c r="K118" s="10"/>
      <c r="L118" s="10"/>
    </row>
    <row r="119" spans="1:12" s="4" customFormat="1" ht="30" customHeight="1" x14ac:dyDescent="0.3">
      <c r="A119" s="9"/>
      <c r="B119" s="13" t="e">
        <f>VLOOKUP(Table2456[[#This Row],[Location 
(drop-down)]],'List source'!D$2:E$60,2,FALSE)</f>
        <v>#N/A</v>
      </c>
      <c r="C119" s="23" t="s">
        <v>329</v>
      </c>
      <c r="D119" s="30" t="e">
        <f t="shared" si="3"/>
        <v>#N/A</v>
      </c>
      <c r="E119" s="30" t="e">
        <f>VLOOKUP(Table2456[[#This Row],[Location 
(drop-down)]],Table1[#All],3,FALSE)</f>
        <v>#N/A</v>
      </c>
      <c r="F119" s="38"/>
      <c r="G119" s="38"/>
      <c r="H119" s="38"/>
      <c r="I119" s="38"/>
      <c r="J119" s="10"/>
      <c r="K119" s="10"/>
      <c r="L119" s="10"/>
    </row>
    <row r="120" spans="1:12" s="4" customFormat="1" ht="30" customHeight="1" x14ac:dyDescent="0.3">
      <c r="A120" s="9"/>
      <c r="B120" s="13" t="e">
        <f>VLOOKUP(Table2456[[#This Row],[Location 
(drop-down)]],'List source'!D$2:E$60,2,FALSE)</f>
        <v>#N/A</v>
      </c>
      <c r="C120" s="23" t="s">
        <v>335</v>
      </c>
      <c r="D120" s="30" t="e">
        <f t="shared" si="3"/>
        <v>#N/A</v>
      </c>
      <c r="E120" s="30" t="e">
        <f>VLOOKUP(Table2456[[#This Row],[Location 
(drop-down)]],Table1[#All],3,FALSE)</f>
        <v>#N/A</v>
      </c>
      <c r="F120" s="38"/>
      <c r="G120" s="38"/>
      <c r="H120" s="38"/>
      <c r="I120" s="38"/>
      <c r="J120" s="10"/>
      <c r="K120" s="10"/>
      <c r="L120" s="10"/>
    </row>
    <row r="121" spans="1:12" s="4" customFormat="1" ht="30" customHeight="1" x14ac:dyDescent="0.3">
      <c r="A121" s="9"/>
      <c r="B121" s="13" t="e">
        <f>VLOOKUP(Table2456[[#This Row],[Location 
(drop-down)]],'List source'!D$2:E$60,2,FALSE)</f>
        <v>#N/A</v>
      </c>
      <c r="C121" s="23" t="s">
        <v>339</v>
      </c>
      <c r="D121" s="30" t="e">
        <f t="shared" si="3"/>
        <v>#N/A</v>
      </c>
      <c r="E121" s="30" t="e">
        <f>VLOOKUP(Table2456[[#This Row],[Location 
(drop-down)]],Table1[#All],3,FALSE)</f>
        <v>#N/A</v>
      </c>
      <c r="F121" s="38"/>
      <c r="G121" s="38"/>
      <c r="H121" s="38"/>
      <c r="I121" s="38"/>
      <c r="J121" s="10"/>
      <c r="K121" s="10"/>
      <c r="L121" s="10"/>
    </row>
    <row r="122" spans="1:12" s="4" customFormat="1" ht="30" customHeight="1" x14ac:dyDescent="0.3">
      <c r="A122" s="9"/>
      <c r="B122" s="13" t="e">
        <f>VLOOKUP(Table2456[[#This Row],[Location 
(drop-down)]],'List source'!D$2:E$60,2,FALSE)</f>
        <v>#N/A</v>
      </c>
      <c r="C122" s="23" t="s">
        <v>341</v>
      </c>
      <c r="D122" s="30" t="e">
        <f t="shared" si="3"/>
        <v>#N/A</v>
      </c>
      <c r="E122" s="30" t="e">
        <f>VLOOKUP(Table2456[[#This Row],[Location 
(drop-down)]],Table1[#All],3,FALSE)</f>
        <v>#N/A</v>
      </c>
      <c r="F122" s="38"/>
      <c r="G122" s="38"/>
      <c r="H122" s="38"/>
      <c r="I122" s="38"/>
      <c r="J122" s="10"/>
      <c r="K122" s="10"/>
      <c r="L122" s="10"/>
    </row>
    <row r="123" spans="1:12" s="4" customFormat="1" ht="30" customHeight="1" x14ac:dyDescent="0.3">
      <c r="A123" s="9"/>
      <c r="B123" s="13" t="e">
        <f>VLOOKUP(Table2456[[#This Row],[Location 
(drop-down)]],'List source'!D$2:E$60,2,FALSE)</f>
        <v>#N/A</v>
      </c>
      <c r="C123" s="23" t="s">
        <v>343</v>
      </c>
      <c r="D123" s="30" t="e">
        <f t="shared" si="3"/>
        <v>#N/A</v>
      </c>
      <c r="E123" s="30" t="e">
        <f>VLOOKUP(Table2456[[#This Row],[Location 
(drop-down)]],Table1[#All],3,FALSE)</f>
        <v>#N/A</v>
      </c>
      <c r="F123" s="38"/>
      <c r="G123" s="38"/>
      <c r="H123" s="38"/>
      <c r="I123" s="38"/>
      <c r="J123" s="10"/>
      <c r="K123" s="10"/>
      <c r="L123" s="10"/>
    </row>
    <row r="124" spans="1:12" s="4" customFormat="1" ht="30" customHeight="1" x14ac:dyDescent="0.3">
      <c r="A124" s="9"/>
      <c r="B124" s="13" t="e">
        <f>VLOOKUP(Table2456[[#This Row],[Location 
(drop-down)]],'List source'!D$2:E$60,2,FALSE)</f>
        <v>#N/A</v>
      </c>
      <c r="C124" s="23" t="s">
        <v>346</v>
      </c>
      <c r="D124" s="30" t="e">
        <f t="shared" si="3"/>
        <v>#N/A</v>
      </c>
      <c r="E124" s="30" t="e">
        <f>VLOOKUP(Table2456[[#This Row],[Location 
(drop-down)]],Table1[#All],3,FALSE)</f>
        <v>#N/A</v>
      </c>
      <c r="F124" s="38"/>
      <c r="G124" s="38"/>
      <c r="H124" s="38"/>
      <c r="I124" s="38"/>
      <c r="J124" s="10"/>
      <c r="K124" s="10"/>
      <c r="L124" s="10"/>
    </row>
    <row r="125" spans="1:12" s="4" customFormat="1" ht="30" customHeight="1" x14ac:dyDescent="0.3">
      <c r="A125" s="9"/>
      <c r="B125" s="13" t="e">
        <f>VLOOKUP(Table2456[[#This Row],[Location 
(drop-down)]],'List source'!D$2:E$60,2,FALSE)</f>
        <v>#N/A</v>
      </c>
      <c r="C125" s="23" t="s">
        <v>350</v>
      </c>
      <c r="D125" s="30" t="e">
        <f t="shared" si="3"/>
        <v>#N/A</v>
      </c>
      <c r="E125" s="30" t="e">
        <f>VLOOKUP(Table2456[[#This Row],[Location 
(drop-down)]],Table1[#All],3,FALSE)</f>
        <v>#N/A</v>
      </c>
      <c r="F125" s="38"/>
      <c r="G125" s="38"/>
      <c r="H125" s="38"/>
      <c r="I125" s="38"/>
      <c r="J125" s="10"/>
      <c r="K125" s="10"/>
      <c r="L125" s="10"/>
    </row>
    <row r="126" spans="1:12" s="4" customFormat="1" ht="30" customHeight="1" x14ac:dyDescent="0.3">
      <c r="A126" s="9"/>
      <c r="B126" s="13" t="e">
        <f>VLOOKUP(Table2456[[#This Row],[Location 
(drop-down)]],'List source'!D$2:E$60,2,FALSE)</f>
        <v>#N/A</v>
      </c>
      <c r="C126" s="23" t="s">
        <v>352</v>
      </c>
      <c r="D126" s="30" t="e">
        <f t="shared" si="3"/>
        <v>#N/A</v>
      </c>
      <c r="E126" s="30" t="e">
        <f>VLOOKUP(Table2456[[#This Row],[Location 
(drop-down)]],Table1[#All],3,FALSE)</f>
        <v>#N/A</v>
      </c>
      <c r="F126" s="38"/>
      <c r="G126" s="38"/>
      <c r="H126" s="38"/>
      <c r="I126" s="38"/>
      <c r="J126" s="10"/>
      <c r="K126" s="10"/>
      <c r="L126" s="10"/>
    </row>
    <row r="127" spans="1:12" s="4" customFormat="1" ht="30" customHeight="1" x14ac:dyDescent="0.3">
      <c r="A127" s="9"/>
      <c r="B127" s="13" t="e">
        <f>VLOOKUP(Table2456[[#This Row],[Location 
(drop-down)]],'List source'!D$2:E$60,2,FALSE)</f>
        <v>#N/A</v>
      </c>
      <c r="C127" s="23" t="s">
        <v>354</v>
      </c>
      <c r="D127" s="30" t="e">
        <f t="shared" si="3"/>
        <v>#N/A</v>
      </c>
      <c r="E127" s="30" t="e">
        <f>VLOOKUP(Table2456[[#This Row],[Location 
(drop-down)]],Table1[#All],3,FALSE)</f>
        <v>#N/A</v>
      </c>
      <c r="F127" s="38"/>
      <c r="G127" s="38"/>
      <c r="H127" s="38"/>
      <c r="I127" s="38"/>
      <c r="J127" s="10"/>
      <c r="K127" s="10"/>
      <c r="L127" s="10"/>
    </row>
    <row r="128" spans="1:12" s="4" customFormat="1" ht="30" customHeight="1" x14ac:dyDescent="0.3">
      <c r="A128" s="9"/>
      <c r="B128" s="13" t="e">
        <f>VLOOKUP(Table2456[[#This Row],[Location 
(drop-down)]],'List source'!D$2:E$60,2,FALSE)</f>
        <v>#N/A</v>
      </c>
      <c r="C128" s="23" t="s">
        <v>356</v>
      </c>
      <c r="D128" s="30" t="e">
        <f t="shared" si="3"/>
        <v>#N/A</v>
      </c>
      <c r="E128" s="30" t="e">
        <f>VLOOKUP(Table2456[[#This Row],[Location 
(drop-down)]],Table1[#All],3,FALSE)</f>
        <v>#N/A</v>
      </c>
      <c r="F128" s="38"/>
      <c r="G128" s="38"/>
      <c r="H128" s="38"/>
      <c r="I128" s="38"/>
      <c r="J128" s="10"/>
      <c r="K128" s="10"/>
      <c r="L128" s="10"/>
    </row>
    <row r="129" spans="1:12" s="4" customFormat="1" ht="30" customHeight="1" x14ac:dyDescent="0.3">
      <c r="A129" s="9"/>
      <c r="B129" s="13" t="e">
        <f>VLOOKUP(Table2456[[#This Row],[Location 
(drop-down)]],'List source'!D$2:E$60,2,FALSE)</f>
        <v>#N/A</v>
      </c>
      <c r="C129" s="23" t="s">
        <v>358</v>
      </c>
      <c r="D129" s="30" t="e">
        <f t="shared" si="3"/>
        <v>#N/A</v>
      </c>
      <c r="E129" s="30" t="e">
        <f>VLOOKUP(Table2456[[#This Row],[Location 
(drop-down)]],Table1[#All],3,FALSE)</f>
        <v>#N/A</v>
      </c>
      <c r="F129" s="38"/>
      <c r="G129" s="38"/>
      <c r="H129" s="38"/>
      <c r="I129" s="38"/>
      <c r="J129" s="10"/>
      <c r="K129" s="10"/>
      <c r="L129" s="10"/>
    </row>
    <row r="130" spans="1:12" s="4" customFormat="1" ht="30" customHeight="1" x14ac:dyDescent="0.3">
      <c r="A130" s="9"/>
      <c r="B130" s="13" t="e">
        <f>VLOOKUP(Table2456[[#This Row],[Location 
(drop-down)]],'List source'!D$2:E$60,2,FALSE)</f>
        <v>#N/A</v>
      </c>
      <c r="C130" s="23" t="s">
        <v>359</v>
      </c>
      <c r="D130" s="30" t="e">
        <f t="shared" ref="D130:D151" si="4">"CAF" &amp; C130 &amp; "-" &amp; B130 &amp; "-" &amp; "24"</f>
        <v>#N/A</v>
      </c>
      <c r="E130" s="30" t="e">
        <f>VLOOKUP(Table2456[[#This Row],[Location 
(drop-down)]],Table1[#All],3,FALSE)</f>
        <v>#N/A</v>
      </c>
      <c r="F130" s="38"/>
      <c r="G130" s="38"/>
      <c r="H130" s="38"/>
      <c r="I130" s="38"/>
      <c r="J130" s="10"/>
      <c r="K130" s="10"/>
      <c r="L130" s="10"/>
    </row>
    <row r="131" spans="1:12" s="4" customFormat="1" ht="30" customHeight="1" x14ac:dyDescent="0.3">
      <c r="A131" s="9"/>
      <c r="B131" s="13" t="e">
        <f>VLOOKUP(Table2456[[#This Row],[Location 
(drop-down)]],'List source'!D$2:E$60,2,FALSE)</f>
        <v>#N/A</v>
      </c>
      <c r="C131" s="23" t="s">
        <v>362</v>
      </c>
      <c r="D131" s="30" t="e">
        <f t="shared" si="4"/>
        <v>#N/A</v>
      </c>
      <c r="E131" s="30" t="e">
        <f>VLOOKUP(Table2456[[#This Row],[Location 
(drop-down)]],Table1[#All],3,FALSE)</f>
        <v>#N/A</v>
      </c>
      <c r="F131" s="38"/>
      <c r="G131" s="38"/>
      <c r="H131" s="38"/>
      <c r="I131" s="38"/>
      <c r="J131" s="10"/>
      <c r="K131" s="10"/>
      <c r="L131" s="10"/>
    </row>
    <row r="132" spans="1:12" s="4" customFormat="1" ht="30" customHeight="1" x14ac:dyDescent="0.3">
      <c r="A132" s="9"/>
      <c r="B132" s="13" t="e">
        <f>VLOOKUP(Table2456[[#This Row],[Location 
(drop-down)]],'List source'!D$2:E$60,2,FALSE)</f>
        <v>#N/A</v>
      </c>
      <c r="C132" s="23" t="s">
        <v>364</v>
      </c>
      <c r="D132" s="30" t="e">
        <f t="shared" si="4"/>
        <v>#N/A</v>
      </c>
      <c r="E132" s="30" t="e">
        <f>VLOOKUP(Table2456[[#This Row],[Location 
(drop-down)]],Table1[#All],3,FALSE)</f>
        <v>#N/A</v>
      </c>
      <c r="F132" s="38"/>
      <c r="G132" s="38"/>
      <c r="H132" s="38"/>
      <c r="I132" s="38"/>
      <c r="J132" s="10"/>
      <c r="K132" s="10"/>
      <c r="L132" s="10"/>
    </row>
    <row r="133" spans="1:12" s="4" customFormat="1" ht="30" customHeight="1" x14ac:dyDescent="0.3">
      <c r="A133" s="9"/>
      <c r="B133" s="13" t="e">
        <f>VLOOKUP(Table2456[[#This Row],[Location 
(drop-down)]],'List source'!D$2:E$60,2,FALSE)</f>
        <v>#N/A</v>
      </c>
      <c r="C133" s="23" t="s">
        <v>366</v>
      </c>
      <c r="D133" s="30" t="e">
        <f t="shared" si="4"/>
        <v>#N/A</v>
      </c>
      <c r="E133" s="30" t="e">
        <f>VLOOKUP(Table2456[[#This Row],[Location 
(drop-down)]],Table1[#All],3,FALSE)</f>
        <v>#N/A</v>
      </c>
      <c r="F133" s="38"/>
      <c r="G133" s="38"/>
      <c r="H133" s="38"/>
      <c r="I133" s="38"/>
      <c r="J133" s="10"/>
      <c r="K133" s="10"/>
      <c r="L133" s="10"/>
    </row>
    <row r="134" spans="1:12" s="4" customFormat="1" ht="30" customHeight="1" x14ac:dyDescent="0.3">
      <c r="A134" s="9"/>
      <c r="B134" s="13" t="e">
        <f>VLOOKUP(Table2456[[#This Row],[Location 
(drop-down)]],'List source'!D$2:E$60,2,FALSE)</f>
        <v>#N/A</v>
      </c>
      <c r="C134" s="23" t="s">
        <v>370</v>
      </c>
      <c r="D134" s="30" t="e">
        <f t="shared" si="4"/>
        <v>#N/A</v>
      </c>
      <c r="E134" s="30" t="e">
        <f>VLOOKUP(Table2456[[#This Row],[Location 
(drop-down)]],Table1[#All],3,FALSE)</f>
        <v>#N/A</v>
      </c>
      <c r="F134" s="38"/>
      <c r="G134" s="38"/>
      <c r="H134" s="38"/>
      <c r="I134" s="38"/>
      <c r="J134" s="10"/>
      <c r="K134" s="10"/>
      <c r="L134" s="10"/>
    </row>
    <row r="135" spans="1:12" s="4" customFormat="1" ht="30" customHeight="1" x14ac:dyDescent="0.3">
      <c r="A135" s="9"/>
      <c r="B135" s="13" t="e">
        <f>VLOOKUP(Table2456[[#This Row],[Location 
(drop-down)]],'List source'!D$2:E$60,2,FALSE)</f>
        <v>#N/A</v>
      </c>
      <c r="C135" s="23" t="s">
        <v>372</v>
      </c>
      <c r="D135" s="30" t="e">
        <f t="shared" si="4"/>
        <v>#N/A</v>
      </c>
      <c r="E135" s="30" t="e">
        <f>VLOOKUP(Table2456[[#This Row],[Location 
(drop-down)]],Table1[#All],3,FALSE)</f>
        <v>#N/A</v>
      </c>
      <c r="F135" s="38"/>
      <c r="G135" s="38"/>
      <c r="H135" s="38"/>
      <c r="I135" s="38"/>
      <c r="J135" s="10"/>
      <c r="K135" s="10"/>
      <c r="L135" s="10"/>
    </row>
    <row r="136" spans="1:12" s="4" customFormat="1" ht="30" customHeight="1" x14ac:dyDescent="0.3">
      <c r="A136" s="9"/>
      <c r="B136" s="13" t="e">
        <f>VLOOKUP(Table2456[[#This Row],[Location 
(drop-down)]],'List source'!D$2:E$60,2,FALSE)</f>
        <v>#N/A</v>
      </c>
      <c r="C136" s="23" t="s">
        <v>374</v>
      </c>
      <c r="D136" s="30" t="e">
        <f t="shared" si="4"/>
        <v>#N/A</v>
      </c>
      <c r="E136" s="30" t="e">
        <f>VLOOKUP(Table2456[[#This Row],[Location 
(drop-down)]],Table1[#All],3,FALSE)</f>
        <v>#N/A</v>
      </c>
      <c r="F136" s="38"/>
      <c r="G136" s="38"/>
      <c r="H136" s="38"/>
      <c r="I136" s="38"/>
      <c r="J136" s="10"/>
      <c r="K136" s="10"/>
      <c r="L136" s="10"/>
    </row>
    <row r="137" spans="1:12" s="4" customFormat="1" ht="30" customHeight="1" x14ac:dyDescent="0.3">
      <c r="A137" s="9"/>
      <c r="B137" s="13" t="e">
        <f>VLOOKUP(Table2456[[#This Row],[Location 
(drop-down)]],'List source'!D$2:E$60,2,FALSE)</f>
        <v>#N/A</v>
      </c>
      <c r="C137" s="23" t="s">
        <v>375</v>
      </c>
      <c r="D137" s="30" t="e">
        <f t="shared" si="4"/>
        <v>#N/A</v>
      </c>
      <c r="E137" s="30" t="e">
        <f>VLOOKUP(Table2456[[#This Row],[Location 
(drop-down)]],Table1[#All],3,FALSE)</f>
        <v>#N/A</v>
      </c>
      <c r="F137" s="38"/>
      <c r="G137" s="38"/>
      <c r="H137" s="38"/>
      <c r="I137" s="38"/>
      <c r="J137" s="10"/>
      <c r="K137" s="10"/>
      <c r="L137" s="10"/>
    </row>
    <row r="138" spans="1:12" s="4" customFormat="1" ht="30" customHeight="1" x14ac:dyDescent="0.3">
      <c r="A138" s="9"/>
      <c r="B138" s="13" t="e">
        <f>VLOOKUP(Table2456[[#This Row],[Location 
(drop-down)]],'List source'!D$2:E$60,2,FALSE)</f>
        <v>#N/A</v>
      </c>
      <c r="C138" s="23" t="s">
        <v>376</v>
      </c>
      <c r="D138" s="30" t="e">
        <f t="shared" si="4"/>
        <v>#N/A</v>
      </c>
      <c r="E138" s="30" t="e">
        <f>VLOOKUP(Table2456[[#This Row],[Location 
(drop-down)]],Table1[#All],3,FALSE)</f>
        <v>#N/A</v>
      </c>
      <c r="F138" s="38"/>
      <c r="G138" s="38"/>
      <c r="H138" s="38"/>
      <c r="I138" s="38"/>
      <c r="J138" s="10"/>
      <c r="K138" s="10"/>
      <c r="L138" s="10"/>
    </row>
    <row r="139" spans="1:12" s="4" customFormat="1" ht="30" customHeight="1" x14ac:dyDescent="0.3">
      <c r="A139" s="9"/>
      <c r="B139" s="13" t="e">
        <f>VLOOKUP(Table2456[[#This Row],[Location 
(drop-down)]],'List source'!D$2:E$60,2,FALSE)</f>
        <v>#N/A</v>
      </c>
      <c r="C139" s="23" t="s">
        <v>378</v>
      </c>
      <c r="D139" s="30" t="e">
        <f t="shared" si="4"/>
        <v>#N/A</v>
      </c>
      <c r="E139" s="30" t="e">
        <f>VLOOKUP(Table2456[[#This Row],[Location 
(drop-down)]],Table1[#All],3,FALSE)</f>
        <v>#N/A</v>
      </c>
      <c r="F139" s="38"/>
      <c r="G139" s="38"/>
      <c r="H139" s="38"/>
      <c r="I139" s="38"/>
      <c r="J139" s="10"/>
      <c r="K139" s="10"/>
      <c r="L139" s="10"/>
    </row>
    <row r="140" spans="1:12" s="4" customFormat="1" ht="30" customHeight="1" x14ac:dyDescent="0.3">
      <c r="A140" s="9"/>
      <c r="B140" s="13" t="e">
        <f>VLOOKUP(Table2456[[#This Row],[Location 
(drop-down)]],'List source'!D$2:E$60,2,FALSE)</f>
        <v>#N/A</v>
      </c>
      <c r="C140" s="23" t="s">
        <v>380</v>
      </c>
      <c r="D140" s="30" t="e">
        <f t="shared" si="4"/>
        <v>#N/A</v>
      </c>
      <c r="E140" s="30" t="e">
        <f>VLOOKUP(Table2456[[#This Row],[Location 
(drop-down)]],Table1[#All],3,FALSE)</f>
        <v>#N/A</v>
      </c>
      <c r="F140" s="38"/>
      <c r="G140" s="38"/>
      <c r="H140" s="38"/>
      <c r="I140" s="38"/>
      <c r="J140" s="10"/>
      <c r="K140" s="10"/>
      <c r="L140" s="10"/>
    </row>
    <row r="141" spans="1:12" s="4" customFormat="1" ht="30" customHeight="1" x14ac:dyDescent="0.3">
      <c r="A141" s="9"/>
      <c r="B141" s="13" t="e">
        <f>VLOOKUP(Table2456[[#This Row],[Location 
(drop-down)]],'List source'!D$2:E$60,2,FALSE)</f>
        <v>#N/A</v>
      </c>
      <c r="C141" s="23" t="s">
        <v>381</v>
      </c>
      <c r="D141" s="30" t="e">
        <f t="shared" si="4"/>
        <v>#N/A</v>
      </c>
      <c r="E141" s="30" t="e">
        <f>VLOOKUP(Table2456[[#This Row],[Location 
(drop-down)]],Table1[#All],3,FALSE)</f>
        <v>#N/A</v>
      </c>
      <c r="F141" s="38"/>
      <c r="G141" s="38"/>
      <c r="H141" s="38"/>
      <c r="I141" s="38"/>
      <c r="J141" s="10"/>
      <c r="K141" s="10"/>
      <c r="L141" s="10"/>
    </row>
    <row r="142" spans="1:12" s="4" customFormat="1" ht="30" customHeight="1" x14ac:dyDescent="0.3">
      <c r="A142" s="9"/>
      <c r="B142" s="13" t="e">
        <f>VLOOKUP(Table2456[[#This Row],[Location 
(drop-down)]],'List source'!D$2:E$60,2,FALSE)</f>
        <v>#N/A</v>
      </c>
      <c r="C142" s="23" t="s">
        <v>382</v>
      </c>
      <c r="D142" s="30" t="e">
        <f t="shared" si="4"/>
        <v>#N/A</v>
      </c>
      <c r="E142" s="30" t="e">
        <f>VLOOKUP(Table2456[[#This Row],[Location 
(drop-down)]],Table1[#All],3,FALSE)</f>
        <v>#N/A</v>
      </c>
      <c r="F142" s="38"/>
      <c r="G142" s="38"/>
      <c r="H142" s="38"/>
      <c r="I142" s="38"/>
      <c r="J142" s="10"/>
      <c r="K142" s="10"/>
      <c r="L142" s="10"/>
    </row>
    <row r="143" spans="1:12" s="4" customFormat="1" ht="30" customHeight="1" x14ac:dyDescent="0.3">
      <c r="A143" s="9"/>
      <c r="B143" s="13" t="e">
        <f>VLOOKUP(Table2456[[#This Row],[Location 
(drop-down)]],'List source'!D$2:E$60,2,FALSE)</f>
        <v>#N/A</v>
      </c>
      <c r="C143" s="23" t="s">
        <v>383</v>
      </c>
      <c r="D143" s="30" t="e">
        <f t="shared" si="4"/>
        <v>#N/A</v>
      </c>
      <c r="E143" s="30" t="e">
        <f>VLOOKUP(Table2456[[#This Row],[Location 
(drop-down)]],Table1[#All],3,FALSE)</f>
        <v>#N/A</v>
      </c>
      <c r="F143" s="38"/>
      <c r="G143" s="38"/>
      <c r="H143" s="38"/>
      <c r="I143" s="38"/>
      <c r="J143" s="10"/>
      <c r="K143" s="10"/>
      <c r="L143" s="10"/>
    </row>
    <row r="144" spans="1:12" s="4" customFormat="1" ht="30" customHeight="1" x14ac:dyDescent="0.3">
      <c r="A144" s="9"/>
      <c r="B144" s="13" t="e">
        <f>VLOOKUP(Table2456[[#This Row],[Location 
(drop-down)]],'List source'!D$2:E$60,2,FALSE)</f>
        <v>#N/A</v>
      </c>
      <c r="C144" s="23" t="s">
        <v>386</v>
      </c>
      <c r="D144" s="30" t="e">
        <f t="shared" si="4"/>
        <v>#N/A</v>
      </c>
      <c r="E144" s="30" t="e">
        <f>VLOOKUP(Table2456[[#This Row],[Location 
(drop-down)]],Table1[#All],3,FALSE)</f>
        <v>#N/A</v>
      </c>
      <c r="F144" s="38"/>
      <c r="G144" s="38"/>
      <c r="H144" s="38"/>
      <c r="I144" s="38"/>
      <c r="J144" s="10"/>
      <c r="K144" s="10"/>
      <c r="L144" s="10"/>
    </row>
    <row r="145" spans="1:12" s="4" customFormat="1" ht="30" customHeight="1" x14ac:dyDescent="0.3">
      <c r="A145" s="9"/>
      <c r="B145" s="13" t="e">
        <f>VLOOKUP(Table2456[[#This Row],[Location 
(drop-down)]],'List source'!D$2:E$60,2,FALSE)</f>
        <v>#N/A</v>
      </c>
      <c r="C145" s="23" t="s">
        <v>389</v>
      </c>
      <c r="D145" s="30" t="e">
        <f t="shared" si="4"/>
        <v>#N/A</v>
      </c>
      <c r="E145" s="30" t="e">
        <f>VLOOKUP(Table2456[[#This Row],[Location 
(drop-down)]],Table1[#All],3,FALSE)</f>
        <v>#N/A</v>
      </c>
      <c r="F145" s="38"/>
      <c r="G145" s="38"/>
      <c r="H145" s="38"/>
      <c r="I145" s="38"/>
      <c r="J145" s="10"/>
      <c r="K145" s="10"/>
      <c r="L145" s="10"/>
    </row>
    <row r="146" spans="1:12" s="4" customFormat="1" ht="30" customHeight="1" x14ac:dyDescent="0.3">
      <c r="A146" s="9"/>
      <c r="B146" s="13" t="e">
        <f>VLOOKUP(Table2456[[#This Row],[Location 
(drop-down)]],'List source'!D$2:E$60,2,FALSE)</f>
        <v>#N/A</v>
      </c>
      <c r="C146" s="23" t="s">
        <v>390</v>
      </c>
      <c r="D146" s="30" t="e">
        <f t="shared" si="4"/>
        <v>#N/A</v>
      </c>
      <c r="E146" s="30" t="e">
        <f>VLOOKUP(Table2456[[#This Row],[Location 
(drop-down)]],Table1[#All],3,FALSE)</f>
        <v>#N/A</v>
      </c>
      <c r="F146" s="38"/>
      <c r="G146" s="38"/>
      <c r="H146" s="38"/>
      <c r="I146" s="38"/>
      <c r="J146" s="10"/>
      <c r="K146" s="10"/>
      <c r="L146" s="10"/>
    </row>
    <row r="147" spans="1:12" s="4" customFormat="1" ht="30" customHeight="1" x14ac:dyDescent="0.3">
      <c r="A147" s="9"/>
      <c r="B147" s="13" t="e">
        <f>VLOOKUP(Table2456[[#This Row],[Location 
(drop-down)]],'List source'!D$2:E$60,2,FALSE)</f>
        <v>#N/A</v>
      </c>
      <c r="C147" s="23" t="s">
        <v>392</v>
      </c>
      <c r="D147" s="30" t="e">
        <f t="shared" si="4"/>
        <v>#N/A</v>
      </c>
      <c r="E147" s="30" t="e">
        <f>VLOOKUP(Table2456[[#This Row],[Location 
(drop-down)]],Table1[#All],3,FALSE)</f>
        <v>#N/A</v>
      </c>
      <c r="F147" s="38"/>
      <c r="G147" s="38"/>
      <c r="H147" s="38"/>
      <c r="I147" s="38"/>
      <c r="J147" s="13"/>
      <c r="K147" s="13"/>
      <c r="L147" s="13"/>
    </row>
    <row r="148" spans="1:12" s="4" customFormat="1" ht="30" customHeight="1" x14ac:dyDescent="0.3">
      <c r="A148" s="9"/>
      <c r="B148" s="13" t="e">
        <f>VLOOKUP(Table2456[[#This Row],[Location 
(drop-down)]],'List source'!D$2:E$60,2,FALSE)</f>
        <v>#N/A</v>
      </c>
      <c r="C148" s="23" t="s">
        <v>395</v>
      </c>
      <c r="D148" s="30" t="e">
        <f t="shared" si="4"/>
        <v>#N/A</v>
      </c>
      <c r="E148" s="30" t="e">
        <f>VLOOKUP(Table2456[[#This Row],[Location 
(drop-down)]],Table1[#All],3,FALSE)</f>
        <v>#N/A</v>
      </c>
      <c r="F148" s="38"/>
      <c r="G148" s="38"/>
      <c r="H148" s="38"/>
      <c r="I148" s="38"/>
      <c r="J148" s="38"/>
      <c r="K148" s="38"/>
      <c r="L148" s="38"/>
    </row>
    <row r="149" spans="1:12" s="4" customFormat="1" ht="30" customHeight="1" x14ac:dyDescent="0.3">
      <c r="A149" s="9"/>
      <c r="B149" s="13" t="e">
        <f>VLOOKUP(Table2456[[#This Row],[Location 
(drop-down)]],'List source'!D$2:E$60,2,FALSE)</f>
        <v>#N/A</v>
      </c>
      <c r="C149" s="23" t="s">
        <v>398</v>
      </c>
      <c r="D149" s="30" t="e">
        <f t="shared" si="4"/>
        <v>#N/A</v>
      </c>
      <c r="E149" s="30" t="e">
        <f>VLOOKUP(Table2456[[#This Row],[Location 
(drop-down)]],Table1[#All],3,FALSE)</f>
        <v>#N/A</v>
      </c>
      <c r="F149" s="38"/>
      <c r="G149" s="38"/>
      <c r="H149" s="38"/>
      <c r="I149" s="38"/>
      <c r="J149" s="38"/>
      <c r="K149" s="38"/>
      <c r="L149" s="38"/>
    </row>
    <row r="150" spans="1:12" s="4" customFormat="1" ht="30" customHeight="1" x14ac:dyDescent="0.3">
      <c r="A150" s="9"/>
      <c r="B150" s="13" t="e">
        <f>VLOOKUP(Table2456[[#This Row],[Location 
(drop-down)]],'List source'!D$2:E$60,2,FALSE)</f>
        <v>#N/A</v>
      </c>
      <c r="C150" s="23" t="s">
        <v>400</v>
      </c>
      <c r="D150" s="30" t="e">
        <f t="shared" si="4"/>
        <v>#N/A</v>
      </c>
      <c r="E150" s="30" t="e">
        <f>VLOOKUP(Table2456[[#This Row],[Location 
(drop-down)]],Table1[#All],3,FALSE)</f>
        <v>#N/A</v>
      </c>
      <c r="F150" s="38"/>
      <c r="G150" s="38"/>
      <c r="H150" s="38"/>
      <c r="I150" s="38"/>
      <c r="J150" s="38"/>
      <c r="K150" s="38"/>
      <c r="L150" s="38"/>
    </row>
    <row r="151" spans="1:12" s="4" customFormat="1" ht="30" customHeight="1" x14ac:dyDescent="0.3">
      <c r="A151" s="9"/>
      <c r="B151" s="13" t="e">
        <f>VLOOKUP(Table2456[[#This Row],[Location 
(drop-down)]],'List source'!D$2:E$60,2,FALSE)</f>
        <v>#N/A</v>
      </c>
      <c r="C151" s="23" t="s">
        <v>403</v>
      </c>
      <c r="D151" s="30" t="e">
        <f t="shared" si="4"/>
        <v>#N/A</v>
      </c>
      <c r="E151" s="30" t="e">
        <f>VLOOKUP(Table2456[[#This Row],[Location 
(drop-down)]],Table1[#All],3,FALSE)</f>
        <v>#N/A</v>
      </c>
      <c r="F151" s="38"/>
      <c r="G151" s="38"/>
      <c r="H151" s="38"/>
      <c r="I151" s="38"/>
      <c r="J151" s="13"/>
      <c r="K151" s="13"/>
      <c r="L151" s="13"/>
    </row>
  </sheetData>
  <pageMargins left="0.7" right="0.7" top="0.75" bottom="0.75" header="0.3" footer="0.3"/>
  <pageSetup scale="51"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957EEC8-8E8B-426A-81A0-3C5A9D80852D}">
          <x14:formula1>
            <xm:f>'List source'!$C$18:$C$23</xm:f>
          </x14:formula1>
          <xm:sqref>J2:J38 J40:J151</xm:sqref>
        </x14:dataValidation>
        <x14:dataValidation type="list" allowBlank="1" showInputMessage="1" showErrorMessage="1" xr:uid="{CF8919E4-1A6B-41C1-ADC8-620CC24FDFEB}">
          <x14:formula1>
            <xm:f>'List source'!$D$2:$D$61</xm:f>
          </x14:formula1>
          <xm:sqref>A2:A151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60C3A-4C36-4B17-A96E-66D0DA4D6642}">
  <sheetPr>
    <tabColor rgb="FF0070C0"/>
    <pageSetUpPr fitToPage="1"/>
  </sheetPr>
  <dimension ref="A1:P541"/>
  <sheetViews>
    <sheetView showGridLines="0" tabSelected="1" zoomScale="70" zoomScaleNormal="70" workbookViewId="0">
      <pane ySplit="1" topLeftCell="A272" activePane="bottomLeft" state="frozen"/>
      <selection activeCell="D1" sqref="D1"/>
      <selection pane="bottomLeft" activeCell="E536" sqref="E536"/>
    </sheetView>
  </sheetViews>
  <sheetFormatPr defaultColWidth="9.109375" defaultRowHeight="14.4" x14ac:dyDescent="0.3"/>
  <cols>
    <col min="1" max="1" width="26.5546875" style="5" customWidth="1"/>
    <col min="2" max="2" width="9.5546875" customWidth="1"/>
    <col min="3" max="3" width="7.44140625" customWidth="1"/>
    <col min="4" max="4" width="17.5546875" customWidth="1"/>
    <col min="5" max="5" width="34.6640625" style="230" customWidth="1"/>
    <col min="6" max="6" width="20.44140625" customWidth="1"/>
    <col min="7" max="7" width="35.5546875" style="124" customWidth="1"/>
    <col min="8" max="8" width="14.5546875" style="6" customWidth="1"/>
    <col min="9" max="9" width="12.44140625" style="6" customWidth="1"/>
    <col min="10" max="10" width="16.44140625" style="8" customWidth="1"/>
    <col min="11" max="11" width="16.5546875" customWidth="1"/>
    <col min="12" max="12" width="33.44140625" style="6" customWidth="1"/>
    <col min="13" max="13" width="18.6640625" style="425" customWidth="1"/>
    <col min="14" max="14" width="27.44140625" style="416" customWidth="1"/>
  </cols>
  <sheetData>
    <row r="1" spans="1:14" s="2" customFormat="1" ht="86.4" x14ac:dyDescent="0.3">
      <c r="A1" s="139" t="s">
        <v>482</v>
      </c>
      <c r="B1" s="140" t="s">
        <v>1</v>
      </c>
      <c r="C1" s="140" t="s">
        <v>2</v>
      </c>
      <c r="D1" s="140" t="s">
        <v>3729</v>
      </c>
      <c r="E1" s="229" t="s">
        <v>3730</v>
      </c>
      <c r="F1" s="140" t="s">
        <v>3731</v>
      </c>
      <c r="G1" s="141" t="s">
        <v>3732</v>
      </c>
      <c r="H1" s="141" t="s">
        <v>3733</v>
      </c>
      <c r="I1" s="141" t="s">
        <v>489</v>
      </c>
      <c r="J1" s="141" t="s">
        <v>3734</v>
      </c>
      <c r="K1" s="141" t="s">
        <v>490</v>
      </c>
      <c r="L1" s="140" t="s">
        <v>491</v>
      </c>
      <c r="M1" s="441" t="s">
        <v>493</v>
      </c>
      <c r="N1" s="414"/>
    </row>
    <row r="2" spans="1:14" s="4" customFormat="1" ht="28.8" hidden="1" x14ac:dyDescent="0.3">
      <c r="A2" s="9" t="s">
        <v>235</v>
      </c>
      <c r="B2" s="13">
        <f>VLOOKUP(Table2[[#This Row],[Location 
(drop-down)]],'List source'!D$2:E$60,2,FALSE)</f>
        <v>160</v>
      </c>
      <c r="C2" s="11" t="s">
        <v>15</v>
      </c>
      <c r="D2" s="108" t="str">
        <f t="shared" ref="D2:D65" si="0">"C" &amp; C2 &amp; "-" &amp; B2 &amp; "-" &amp; "24"</f>
        <v>C001-160-24</v>
      </c>
      <c r="E2" s="11" t="s">
        <v>3735</v>
      </c>
      <c r="F2" s="11" t="s">
        <v>3736</v>
      </c>
      <c r="G2" s="103" t="s">
        <v>3617</v>
      </c>
      <c r="H2" s="10" t="s">
        <v>3737</v>
      </c>
      <c r="I2" s="12" t="s">
        <v>18</v>
      </c>
      <c r="J2" s="12">
        <v>45294</v>
      </c>
      <c r="K2" s="77">
        <v>45309</v>
      </c>
      <c r="L2" s="50" t="s">
        <v>3738</v>
      </c>
      <c r="M2" s="13" t="str">
        <f ca="1">IF(ISBLANK(K2), TODAY()-J2, "CLOSED")</f>
        <v>CLOSED</v>
      </c>
      <c r="N2" s="415">
        <f>+Table2[[#This Row],[Effectiveness Review &amp; date deemed effective]]-Table2[[#This Row],[CAR initialized date]]</f>
        <v>15</v>
      </c>
    </row>
    <row r="3" spans="1:14" s="4" customFormat="1" ht="35.25" hidden="1" customHeight="1" x14ac:dyDescent="0.3">
      <c r="A3" s="9" t="s">
        <v>3636</v>
      </c>
      <c r="B3" s="13">
        <f>VLOOKUP(Table2[[#This Row],[Location 
(drop-down)]],'List source'!D$2:E$60,2,FALSE)</f>
        <v>101</v>
      </c>
      <c r="C3" s="11" t="s">
        <v>22</v>
      </c>
      <c r="D3" s="108" t="str">
        <f t="shared" si="0"/>
        <v>C002-101-24</v>
      </c>
      <c r="E3" s="11" t="s">
        <v>3735</v>
      </c>
      <c r="F3" s="11" t="s">
        <v>170</v>
      </c>
      <c r="G3" s="103" t="s">
        <v>3739</v>
      </c>
      <c r="H3" s="10" t="s">
        <v>3737</v>
      </c>
      <c r="I3" s="12" t="s">
        <v>168</v>
      </c>
      <c r="J3" s="12">
        <v>45302</v>
      </c>
      <c r="K3" s="77">
        <v>45402</v>
      </c>
      <c r="L3" s="432">
        <v>45404</v>
      </c>
      <c r="M3" s="13" t="str">
        <f t="shared" ref="M3:M66" ca="1" si="1">IF(ISBLANK(K3), TODAY()-J3, "CLOSED")</f>
        <v>CLOSED</v>
      </c>
      <c r="N3" s="415">
        <f>+Table2[[#This Row],[Effectiveness Review &amp; date deemed effective]]-Table2[[#This Row],[CAR initialized date]]</f>
        <v>100</v>
      </c>
    </row>
    <row r="4" spans="1:14" s="4" customFormat="1" ht="28.8" hidden="1" x14ac:dyDescent="0.3">
      <c r="A4" s="9" t="s">
        <v>138</v>
      </c>
      <c r="B4" s="13">
        <f>VLOOKUP(Table2[[#This Row],[Location 
(drop-down)]],'List source'!D$2:E$60,2,FALSE)</f>
        <v>110</v>
      </c>
      <c r="C4" s="11" t="s">
        <v>25</v>
      </c>
      <c r="D4" s="108" t="str">
        <f t="shared" si="0"/>
        <v>C003-110-24</v>
      </c>
      <c r="E4" s="11" t="s">
        <v>3735</v>
      </c>
      <c r="F4" s="11" t="s">
        <v>165</v>
      </c>
      <c r="G4" s="90" t="s">
        <v>3620</v>
      </c>
      <c r="H4" s="10" t="s">
        <v>3621</v>
      </c>
      <c r="I4" s="12" t="s">
        <v>18</v>
      </c>
      <c r="J4" s="12">
        <v>45306</v>
      </c>
      <c r="K4" s="77">
        <v>45309</v>
      </c>
      <c r="L4" s="432"/>
      <c r="M4" s="13" t="str">
        <f t="shared" ca="1" si="1"/>
        <v>CLOSED</v>
      </c>
      <c r="N4" s="415">
        <f>+Table2[[#This Row],[Effectiveness Review &amp; date deemed effective]]-Table2[[#This Row],[CAR initialized date]]</f>
        <v>3</v>
      </c>
    </row>
    <row r="5" spans="1:14" s="4" customFormat="1" ht="18" hidden="1" x14ac:dyDescent="0.3">
      <c r="A5" s="9" t="s">
        <v>14</v>
      </c>
      <c r="B5" s="13">
        <f>VLOOKUP(Table2[[#This Row],[Location 
(drop-down)]],'List source'!D$2:E$60,2,FALSE)</f>
        <v>178</v>
      </c>
      <c r="C5" s="11" t="s">
        <v>30</v>
      </c>
      <c r="D5" s="108" t="str">
        <f t="shared" si="0"/>
        <v>C004-178-24</v>
      </c>
      <c r="E5" s="11" t="s">
        <v>3740</v>
      </c>
      <c r="F5" s="11"/>
      <c r="G5" s="9" t="s">
        <v>3741</v>
      </c>
      <c r="H5" s="10" t="s">
        <v>3621</v>
      </c>
      <c r="I5" s="12" t="s">
        <v>18</v>
      </c>
      <c r="J5" s="12">
        <v>45308</v>
      </c>
      <c r="K5" s="77">
        <v>45349</v>
      </c>
      <c r="L5" s="50"/>
      <c r="M5" s="13" t="str">
        <f t="shared" ca="1" si="1"/>
        <v>CLOSED</v>
      </c>
      <c r="N5" s="415">
        <f>+Table2[[#This Row],[Effectiveness Review &amp; date deemed effective]]-Table2[[#This Row],[CAR initialized date]]</f>
        <v>41</v>
      </c>
    </row>
    <row r="6" spans="1:14" s="4" customFormat="1" ht="18" hidden="1" x14ac:dyDescent="0.3">
      <c r="A6" s="9" t="s">
        <v>14</v>
      </c>
      <c r="B6" s="13">
        <f>VLOOKUP(Table2[[#This Row],[Location 
(drop-down)]],'List source'!D$2:E$60,2,FALSE)</f>
        <v>178</v>
      </c>
      <c r="C6" s="11" t="s">
        <v>36</v>
      </c>
      <c r="D6" s="108" t="str">
        <f t="shared" si="0"/>
        <v>C005-178-24</v>
      </c>
      <c r="E6" s="11" t="s">
        <v>3740</v>
      </c>
      <c r="F6" s="11"/>
      <c r="G6" s="102" t="s">
        <v>3742</v>
      </c>
      <c r="H6" s="10" t="s">
        <v>3621</v>
      </c>
      <c r="I6" s="12" t="s">
        <v>18</v>
      </c>
      <c r="J6" s="12">
        <v>45308</v>
      </c>
      <c r="K6" s="77">
        <v>45349</v>
      </c>
      <c r="L6" s="50"/>
      <c r="M6" s="13" t="str">
        <f t="shared" ca="1" si="1"/>
        <v>CLOSED</v>
      </c>
      <c r="N6" s="415">
        <f>+Table2[[#This Row],[Effectiveness Review &amp; date deemed effective]]-Table2[[#This Row],[CAR initialized date]]</f>
        <v>41</v>
      </c>
    </row>
    <row r="7" spans="1:14" s="4" customFormat="1" ht="18" hidden="1" x14ac:dyDescent="0.3">
      <c r="A7" s="9" t="s">
        <v>14</v>
      </c>
      <c r="B7" s="13">
        <f>VLOOKUP(Table2[[#This Row],[Location 
(drop-down)]],'List source'!D$2:E$60,2,FALSE)</f>
        <v>178</v>
      </c>
      <c r="C7" s="11" t="s">
        <v>38</v>
      </c>
      <c r="D7" s="108" t="str">
        <f t="shared" si="0"/>
        <v>C006-178-24</v>
      </c>
      <c r="E7" s="11" t="s">
        <v>3740</v>
      </c>
      <c r="F7" s="11"/>
      <c r="G7" s="102" t="s">
        <v>3743</v>
      </c>
      <c r="H7" s="10" t="s">
        <v>3621</v>
      </c>
      <c r="I7" s="12" t="s">
        <v>18</v>
      </c>
      <c r="J7" s="12">
        <v>45308</v>
      </c>
      <c r="K7" s="77">
        <v>45362</v>
      </c>
      <c r="L7" s="50"/>
      <c r="M7" s="13" t="str">
        <f t="shared" ca="1" si="1"/>
        <v>CLOSED</v>
      </c>
      <c r="N7" s="415">
        <f>+Table2[[#This Row],[Effectiveness Review &amp; date deemed effective]]-Table2[[#This Row],[CAR initialized date]]</f>
        <v>54</v>
      </c>
    </row>
    <row r="8" spans="1:14" s="4" customFormat="1" ht="18" hidden="1" x14ac:dyDescent="0.3">
      <c r="A8" s="9" t="s">
        <v>14</v>
      </c>
      <c r="B8" s="13">
        <f>VLOOKUP(Table2[[#This Row],[Location 
(drop-down)]],'List source'!D$2:E$60,2,FALSE)</f>
        <v>178</v>
      </c>
      <c r="C8" s="11" t="s">
        <v>40</v>
      </c>
      <c r="D8" s="108" t="str">
        <f t="shared" si="0"/>
        <v>C007-178-24</v>
      </c>
      <c r="E8" s="11" t="s">
        <v>3740</v>
      </c>
      <c r="F8" s="11"/>
      <c r="G8" s="102" t="s">
        <v>3744</v>
      </c>
      <c r="H8" s="10" t="s">
        <v>3621</v>
      </c>
      <c r="I8" s="12" t="s">
        <v>18</v>
      </c>
      <c r="J8" s="12">
        <v>45308</v>
      </c>
      <c r="K8" s="77">
        <v>45349</v>
      </c>
      <c r="L8" s="50"/>
      <c r="M8" s="13" t="str">
        <f t="shared" ca="1" si="1"/>
        <v>CLOSED</v>
      </c>
      <c r="N8" s="415">
        <f>+Table2[[#This Row],[Effectiveness Review &amp; date deemed effective]]-Table2[[#This Row],[CAR initialized date]]</f>
        <v>41</v>
      </c>
    </row>
    <row r="9" spans="1:14" s="4" customFormat="1" ht="18" hidden="1" x14ac:dyDescent="0.3">
      <c r="A9" s="9" t="s">
        <v>14</v>
      </c>
      <c r="B9" s="13">
        <f>VLOOKUP(Table2[[#This Row],[Location 
(drop-down)]],'List source'!D$2:E$60,2,FALSE)</f>
        <v>178</v>
      </c>
      <c r="C9" s="11" t="s">
        <v>43</v>
      </c>
      <c r="D9" s="108" t="str">
        <f t="shared" si="0"/>
        <v>C008-178-24</v>
      </c>
      <c r="E9" s="11" t="s">
        <v>3740</v>
      </c>
      <c r="F9" s="11"/>
      <c r="G9" s="102" t="s">
        <v>3745</v>
      </c>
      <c r="H9" s="10" t="s">
        <v>3621</v>
      </c>
      <c r="I9" s="12" t="s">
        <v>18</v>
      </c>
      <c r="J9" s="12">
        <v>45308</v>
      </c>
      <c r="K9" s="77">
        <v>45616</v>
      </c>
      <c r="L9" s="50"/>
      <c r="M9" s="13" t="str">
        <f t="shared" ca="1" si="1"/>
        <v>CLOSED</v>
      </c>
      <c r="N9" s="415">
        <f>+Table2[[#This Row],[Effectiveness Review &amp; date deemed effective]]-Table2[[#This Row],[CAR initialized date]]</f>
        <v>308</v>
      </c>
    </row>
    <row r="10" spans="1:14" s="4" customFormat="1" ht="18" hidden="1" x14ac:dyDescent="0.3">
      <c r="A10" s="9" t="s">
        <v>14</v>
      </c>
      <c r="B10" s="13">
        <f>VLOOKUP(Table2[[#This Row],[Location 
(drop-down)]],'List source'!D$2:E$60,2,FALSE)</f>
        <v>178</v>
      </c>
      <c r="C10" s="11" t="s">
        <v>45</v>
      </c>
      <c r="D10" s="108" t="str">
        <f t="shared" si="0"/>
        <v>C009-178-24</v>
      </c>
      <c r="E10" s="11" t="s">
        <v>3740</v>
      </c>
      <c r="F10" s="11"/>
      <c r="G10" s="102" t="s">
        <v>3746</v>
      </c>
      <c r="H10" s="10" t="s">
        <v>3737</v>
      </c>
      <c r="I10" s="12" t="s">
        <v>18</v>
      </c>
      <c r="J10" s="12">
        <v>45308</v>
      </c>
      <c r="K10" s="77">
        <v>45362</v>
      </c>
      <c r="L10" s="50"/>
      <c r="M10" s="13" t="str">
        <f t="shared" ca="1" si="1"/>
        <v>CLOSED</v>
      </c>
      <c r="N10" s="415">
        <f>+Table2[[#This Row],[Effectiveness Review &amp; date deemed effective]]-Table2[[#This Row],[CAR initialized date]]</f>
        <v>54</v>
      </c>
    </row>
    <row r="11" spans="1:14" s="4" customFormat="1" ht="28.8" hidden="1" x14ac:dyDescent="0.3">
      <c r="A11" s="9" t="s">
        <v>107</v>
      </c>
      <c r="B11" s="13">
        <f>VLOOKUP(Table2[[#This Row],[Location 
(drop-down)]],'List source'!D$2:E$60,2,FALSE)</f>
        <v>120</v>
      </c>
      <c r="C11" s="11" t="s">
        <v>48</v>
      </c>
      <c r="D11" s="108" t="str">
        <f t="shared" si="0"/>
        <v>C010-120-24</v>
      </c>
      <c r="E11" s="11" t="s">
        <v>3735</v>
      </c>
      <c r="F11" s="11" t="s">
        <v>143</v>
      </c>
      <c r="G11" s="102" t="s">
        <v>3623</v>
      </c>
      <c r="H11" s="10" t="s">
        <v>3737</v>
      </c>
      <c r="I11" s="12" t="s">
        <v>18</v>
      </c>
      <c r="J11" s="12">
        <v>45310</v>
      </c>
      <c r="K11" s="77">
        <v>45337</v>
      </c>
      <c r="L11" s="50" t="s">
        <v>3747</v>
      </c>
      <c r="M11" s="13" t="str">
        <f t="shared" ca="1" si="1"/>
        <v>CLOSED</v>
      </c>
      <c r="N11" s="415">
        <f>+Table2[[#This Row],[Effectiveness Review &amp; date deemed effective]]-Table2[[#This Row],[CAR initialized date]]</f>
        <v>27</v>
      </c>
    </row>
    <row r="12" spans="1:14" s="4" customFormat="1" ht="43.2" hidden="1" x14ac:dyDescent="0.3">
      <c r="A12" s="9" t="s">
        <v>21</v>
      </c>
      <c r="B12" s="13">
        <f>VLOOKUP(Table2[[#This Row],[Location 
(drop-down)]],'List source'!D$2:E$60,2,FALSE)</f>
        <v>131</v>
      </c>
      <c r="C12" s="11" t="s">
        <v>51</v>
      </c>
      <c r="D12" s="108" t="str">
        <f t="shared" si="0"/>
        <v>C011-131-24</v>
      </c>
      <c r="E12" s="11" t="s">
        <v>3740</v>
      </c>
      <c r="F12" s="11"/>
      <c r="G12" s="102" t="s">
        <v>3748</v>
      </c>
      <c r="H12" s="10" t="s">
        <v>3737</v>
      </c>
      <c r="I12" s="12" t="s">
        <v>23</v>
      </c>
      <c r="J12" s="12">
        <v>45317</v>
      </c>
      <c r="K12" s="77">
        <v>45454</v>
      </c>
      <c r="L12" s="433"/>
      <c r="M12" s="13" t="str">
        <f t="shared" ca="1" si="1"/>
        <v>CLOSED</v>
      </c>
      <c r="N12" s="415">
        <f>+Table2[[#This Row],[Effectiveness Review &amp; date deemed effective]]-Table2[[#This Row],[CAR initialized date]]</f>
        <v>137</v>
      </c>
    </row>
    <row r="13" spans="1:14" s="4" customFormat="1" ht="28.8" hidden="1" x14ac:dyDescent="0.3">
      <c r="A13" s="9" t="s">
        <v>21</v>
      </c>
      <c r="B13" s="13">
        <f>VLOOKUP(Table2[[#This Row],[Location 
(drop-down)]],'List source'!D$2:E$60,2,FALSE)</f>
        <v>131</v>
      </c>
      <c r="C13" s="11" t="s">
        <v>58</v>
      </c>
      <c r="D13" s="108" t="str">
        <f t="shared" si="0"/>
        <v>C012-131-24</v>
      </c>
      <c r="E13" s="11" t="s">
        <v>3740</v>
      </c>
      <c r="F13" s="11"/>
      <c r="G13" s="81" t="s">
        <v>3749</v>
      </c>
      <c r="H13" s="10" t="s">
        <v>3621</v>
      </c>
      <c r="I13" s="12" t="s">
        <v>23</v>
      </c>
      <c r="J13" s="12">
        <v>45317</v>
      </c>
      <c r="K13" s="77">
        <v>45504</v>
      </c>
      <c r="L13" s="50"/>
      <c r="M13" s="13" t="str">
        <f t="shared" ca="1" si="1"/>
        <v>CLOSED</v>
      </c>
      <c r="N13" s="415">
        <f>+Table2[[#This Row],[Effectiveness Review &amp; date deemed effective]]-Table2[[#This Row],[CAR initialized date]]</f>
        <v>187</v>
      </c>
    </row>
    <row r="14" spans="1:14" s="4" customFormat="1" ht="18" hidden="1" x14ac:dyDescent="0.3">
      <c r="A14" s="9" t="s">
        <v>21</v>
      </c>
      <c r="B14" s="13">
        <f>VLOOKUP(Table2[[#This Row],[Location 
(drop-down)]],'List source'!D$2:E$60,2,FALSE)</f>
        <v>131</v>
      </c>
      <c r="C14" s="11" t="s">
        <v>66</v>
      </c>
      <c r="D14" s="108" t="str">
        <f t="shared" si="0"/>
        <v>C013-131-24</v>
      </c>
      <c r="E14" s="11" t="s">
        <v>3740</v>
      </c>
      <c r="F14" s="11"/>
      <c r="G14" s="81" t="s">
        <v>3750</v>
      </c>
      <c r="H14" s="10" t="s">
        <v>3737</v>
      </c>
      <c r="I14" s="12" t="s">
        <v>23</v>
      </c>
      <c r="J14" s="12">
        <v>45317</v>
      </c>
      <c r="K14" s="77">
        <v>45454</v>
      </c>
      <c r="L14" s="50"/>
      <c r="M14" s="13" t="str">
        <f t="shared" ca="1" si="1"/>
        <v>CLOSED</v>
      </c>
      <c r="N14" s="415">
        <f>+Table2[[#This Row],[Effectiveness Review &amp; date deemed effective]]-Table2[[#This Row],[CAR initialized date]]</f>
        <v>137</v>
      </c>
    </row>
    <row r="15" spans="1:14" s="4" customFormat="1" ht="28.8" hidden="1" x14ac:dyDescent="0.3">
      <c r="A15" s="9" t="s">
        <v>113</v>
      </c>
      <c r="B15" s="13" t="str">
        <f>VLOOKUP(Table2[[#This Row],[Location 
(drop-down)]],'List source'!D$2:E$60,2,FALSE)</f>
        <v>VOID</v>
      </c>
      <c r="C15" s="11" t="s">
        <v>69</v>
      </c>
      <c r="D15" s="108" t="str">
        <f t="shared" si="0"/>
        <v>C014-VOID-24</v>
      </c>
      <c r="E15" s="11" t="s">
        <v>114</v>
      </c>
      <c r="F15" s="11" t="s">
        <v>114</v>
      </c>
      <c r="G15" s="9" t="s">
        <v>3751</v>
      </c>
      <c r="H15" s="10" t="s">
        <v>114</v>
      </c>
      <c r="I15" s="12" t="s">
        <v>114</v>
      </c>
      <c r="J15" s="12" t="s">
        <v>114</v>
      </c>
      <c r="K15" s="77" t="s">
        <v>114</v>
      </c>
      <c r="L15" s="50" t="s">
        <v>3752</v>
      </c>
      <c r="M15" s="13" t="str">
        <f t="shared" ca="1" si="1"/>
        <v>CLOSED</v>
      </c>
      <c r="N15" s="415" t="e">
        <f>+Table2[[#This Row],[Effectiveness Review &amp; date deemed effective]]-Table2[[#This Row],[CAR initialized date]]</f>
        <v>#VALUE!</v>
      </c>
    </row>
    <row r="16" spans="1:14" s="4" customFormat="1" ht="28.8" hidden="1" x14ac:dyDescent="0.3">
      <c r="A16" s="9" t="s">
        <v>21</v>
      </c>
      <c r="B16" s="13">
        <f>VLOOKUP(Table2[[#This Row],[Location 
(drop-down)]],'List source'!D$2:E$60,2,FALSE)</f>
        <v>131</v>
      </c>
      <c r="C16" s="11" t="s">
        <v>71</v>
      </c>
      <c r="D16" s="108" t="str">
        <f t="shared" si="0"/>
        <v>C015-131-24</v>
      </c>
      <c r="E16" s="11" t="s">
        <v>3740</v>
      </c>
      <c r="F16" s="11"/>
      <c r="G16" s="9" t="s">
        <v>3753</v>
      </c>
      <c r="H16" s="10" t="s">
        <v>3621</v>
      </c>
      <c r="I16" s="12" t="s">
        <v>23</v>
      </c>
      <c r="J16" s="12">
        <v>45317</v>
      </c>
      <c r="K16" s="77">
        <v>45377</v>
      </c>
      <c r="L16" s="50"/>
      <c r="M16" s="13" t="str">
        <f t="shared" ca="1" si="1"/>
        <v>CLOSED</v>
      </c>
      <c r="N16" s="415">
        <f>+Table2[[#This Row],[Effectiveness Review &amp; date deemed effective]]-Table2[[#This Row],[CAR initialized date]]</f>
        <v>60</v>
      </c>
    </row>
    <row r="17" spans="1:14" s="4" customFormat="1" ht="18" hidden="1" x14ac:dyDescent="0.3">
      <c r="A17" s="9" t="s">
        <v>21</v>
      </c>
      <c r="B17" s="13">
        <f>VLOOKUP(Table2[[#This Row],[Location 
(drop-down)]],'List source'!D$2:E$60,2,FALSE)</f>
        <v>131</v>
      </c>
      <c r="C17" s="11" t="s">
        <v>76</v>
      </c>
      <c r="D17" s="108" t="str">
        <f t="shared" si="0"/>
        <v>C016-131-24</v>
      </c>
      <c r="E17" s="301" t="s">
        <v>3740</v>
      </c>
      <c r="F17" s="301"/>
      <c r="G17" s="9" t="s">
        <v>3754</v>
      </c>
      <c r="H17" s="10" t="s">
        <v>3621</v>
      </c>
      <c r="I17" s="12" t="s">
        <v>23</v>
      </c>
      <c r="J17" s="12">
        <v>45317</v>
      </c>
      <c r="K17" s="250">
        <v>45644</v>
      </c>
      <c r="L17" s="50"/>
      <c r="M17" s="13" t="str">
        <f t="shared" ca="1" si="1"/>
        <v>CLOSED</v>
      </c>
      <c r="N17" s="415">
        <f>+Table2[[#This Row],[Effectiveness Review &amp; date deemed effective]]-Table2[[#This Row],[CAR initialized date]]</f>
        <v>327</v>
      </c>
    </row>
    <row r="18" spans="1:14" s="4" customFormat="1" ht="18" hidden="1" x14ac:dyDescent="0.3">
      <c r="A18" s="9" t="s">
        <v>21</v>
      </c>
      <c r="B18" s="13">
        <f>VLOOKUP(Table2[[#This Row],[Location 
(drop-down)]],'List source'!D$2:E$60,2,FALSE)</f>
        <v>131</v>
      </c>
      <c r="C18" s="11" t="s">
        <v>77</v>
      </c>
      <c r="D18" s="108" t="str">
        <f t="shared" si="0"/>
        <v>C017-131-24</v>
      </c>
      <c r="E18" s="301" t="s">
        <v>3740</v>
      </c>
      <c r="F18" s="301"/>
      <c r="G18" s="9" t="s">
        <v>3755</v>
      </c>
      <c r="H18" s="10" t="s">
        <v>3621</v>
      </c>
      <c r="I18" s="12" t="s">
        <v>23</v>
      </c>
      <c r="J18" s="12">
        <v>45317</v>
      </c>
      <c r="K18" s="77">
        <v>45631</v>
      </c>
      <c r="L18" s="50"/>
      <c r="M18" s="13" t="str">
        <f t="shared" ca="1" si="1"/>
        <v>CLOSED</v>
      </c>
      <c r="N18" s="415">
        <f>+Table2[[#This Row],[Effectiveness Review &amp; date deemed effective]]-Table2[[#This Row],[CAR initialized date]]</f>
        <v>314</v>
      </c>
    </row>
    <row r="19" spans="1:14" s="4" customFormat="1" ht="18" hidden="1" x14ac:dyDescent="0.3">
      <c r="A19" s="9" t="s">
        <v>21</v>
      </c>
      <c r="B19" s="13">
        <f>VLOOKUP(Table2[[#This Row],[Location 
(drop-down)]],'List source'!D$2:E$60,2,FALSE)</f>
        <v>131</v>
      </c>
      <c r="C19" s="11" t="s">
        <v>78</v>
      </c>
      <c r="D19" s="108" t="str">
        <f t="shared" si="0"/>
        <v>C018-131-24</v>
      </c>
      <c r="E19" s="11" t="s">
        <v>3740</v>
      </c>
      <c r="F19" s="11"/>
      <c r="G19" s="9" t="s">
        <v>3756</v>
      </c>
      <c r="H19" s="10" t="s">
        <v>3621</v>
      </c>
      <c r="I19" s="12" t="s">
        <v>23</v>
      </c>
      <c r="J19" s="12">
        <v>45317</v>
      </c>
      <c r="K19" s="77">
        <v>45631</v>
      </c>
      <c r="L19" s="50"/>
      <c r="M19" s="13" t="str">
        <f t="shared" ca="1" si="1"/>
        <v>CLOSED</v>
      </c>
      <c r="N19" s="415">
        <f>+Table2[[#This Row],[Effectiveness Review &amp; date deemed effective]]-Table2[[#This Row],[CAR initialized date]]</f>
        <v>314</v>
      </c>
    </row>
    <row r="20" spans="1:14" s="4" customFormat="1" ht="18" hidden="1" x14ac:dyDescent="0.3">
      <c r="A20" s="9" t="s">
        <v>21</v>
      </c>
      <c r="B20" s="13">
        <f>VLOOKUP(Table2[[#This Row],[Location 
(drop-down)]],'List source'!D$2:E$60,2,FALSE)</f>
        <v>131</v>
      </c>
      <c r="C20" s="11" t="s">
        <v>82</v>
      </c>
      <c r="D20" s="108" t="str">
        <f t="shared" si="0"/>
        <v>C019-131-24</v>
      </c>
      <c r="E20" s="301" t="s">
        <v>3740</v>
      </c>
      <c r="F20" s="301"/>
      <c r="G20" s="9" t="s">
        <v>3757</v>
      </c>
      <c r="H20" s="10" t="s">
        <v>3621</v>
      </c>
      <c r="I20" s="12" t="s">
        <v>23</v>
      </c>
      <c r="J20" s="12">
        <v>45317</v>
      </c>
      <c r="K20" s="77">
        <v>45631</v>
      </c>
      <c r="L20" s="50"/>
      <c r="M20" s="13" t="str">
        <f t="shared" ca="1" si="1"/>
        <v>CLOSED</v>
      </c>
      <c r="N20" s="415">
        <f>+Table2[[#This Row],[Effectiveness Review &amp; date deemed effective]]-Table2[[#This Row],[CAR initialized date]]</f>
        <v>314</v>
      </c>
    </row>
    <row r="21" spans="1:14" s="4" customFormat="1" ht="18" hidden="1" x14ac:dyDescent="0.3">
      <c r="A21" s="235" t="s">
        <v>21</v>
      </c>
      <c r="B21" s="236">
        <f>VLOOKUP(Table2[[#This Row],[Location 
(drop-down)]],'List source'!D$2:E$60,2,FALSE)</f>
        <v>131</v>
      </c>
      <c r="C21" s="248" t="s">
        <v>87</v>
      </c>
      <c r="D21" s="249" t="str">
        <f t="shared" si="0"/>
        <v>C020-131-24</v>
      </c>
      <c r="E21" s="11" t="s">
        <v>3740</v>
      </c>
      <c r="F21" s="11"/>
      <c r="G21" s="9" t="s">
        <v>3758</v>
      </c>
      <c r="H21" s="10" t="s">
        <v>3621</v>
      </c>
      <c r="I21" s="12" t="s">
        <v>23</v>
      </c>
      <c r="J21" s="12">
        <v>45317</v>
      </c>
      <c r="K21" s="250">
        <v>45643</v>
      </c>
      <c r="L21" s="50"/>
      <c r="M21" s="13" t="str">
        <f t="shared" ca="1" si="1"/>
        <v>CLOSED</v>
      </c>
      <c r="N21" s="415">
        <f>+Table2[[#This Row],[Effectiveness Review &amp; date deemed effective]]-Table2[[#This Row],[CAR initialized date]]</f>
        <v>326</v>
      </c>
    </row>
    <row r="22" spans="1:14" s="4" customFormat="1" ht="18" hidden="1" x14ac:dyDescent="0.3">
      <c r="A22" s="9" t="s">
        <v>21</v>
      </c>
      <c r="B22" s="13">
        <f>VLOOKUP(Table2[[#This Row],[Location 
(drop-down)]],'List source'!D$2:E$60,2,FALSE)</f>
        <v>131</v>
      </c>
      <c r="C22" s="11" t="s">
        <v>89</v>
      </c>
      <c r="D22" s="108" t="str">
        <f t="shared" si="0"/>
        <v>C021-131-24</v>
      </c>
      <c r="E22" s="11" t="s">
        <v>3740</v>
      </c>
      <c r="F22" s="11"/>
      <c r="G22" s="9" t="s">
        <v>3759</v>
      </c>
      <c r="H22" s="10" t="s">
        <v>3621</v>
      </c>
      <c r="I22" s="12" t="s">
        <v>23</v>
      </c>
      <c r="J22" s="12">
        <v>45317</v>
      </c>
      <c r="K22" s="77">
        <v>45638</v>
      </c>
      <c r="L22" s="50"/>
      <c r="M22" s="13" t="str">
        <f t="shared" ca="1" si="1"/>
        <v>CLOSED</v>
      </c>
      <c r="N22" s="415">
        <f>+Table2[[#This Row],[Effectiveness Review &amp; date deemed effective]]-Table2[[#This Row],[CAR initialized date]]</f>
        <v>321</v>
      </c>
    </row>
    <row r="23" spans="1:14" s="4" customFormat="1" ht="18" hidden="1" x14ac:dyDescent="0.3">
      <c r="A23" s="9" t="s">
        <v>35</v>
      </c>
      <c r="B23" s="13">
        <f>VLOOKUP(Table2[[#This Row],[Location 
(drop-down)]],'List source'!D$2:E$60,2,FALSE)</f>
        <v>158</v>
      </c>
      <c r="C23" s="11" t="s">
        <v>91</v>
      </c>
      <c r="D23" s="108" t="str">
        <f t="shared" si="0"/>
        <v>C022-158-24</v>
      </c>
      <c r="E23" s="11" t="s">
        <v>3740</v>
      </c>
      <c r="F23" s="11"/>
      <c r="G23" s="9" t="s">
        <v>3760</v>
      </c>
      <c r="H23" s="10" t="s">
        <v>3621</v>
      </c>
      <c r="I23" s="12" t="s">
        <v>18</v>
      </c>
      <c r="J23" s="12">
        <v>45317</v>
      </c>
      <c r="K23" s="77">
        <v>45485</v>
      </c>
      <c r="L23" s="432">
        <v>45414</v>
      </c>
      <c r="M23" s="13" t="str">
        <f t="shared" ca="1" si="1"/>
        <v>CLOSED</v>
      </c>
      <c r="N23" s="415">
        <f>+Table2[[#This Row],[Effectiveness Review &amp; date deemed effective]]-Table2[[#This Row],[CAR initialized date]]</f>
        <v>168</v>
      </c>
    </row>
    <row r="24" spans="1:14" s="4" customFormat="1" ht="18" hidden="1" x14ac:dyDescent="0.3">
      <c r="A24" s="9" t="s">
        <v>35</v>
      </c>
      <c r="B24" s="13">
        <f>VLOOKUP(Table2[[#This Row],[Location 
(drop-down)]],'List source'!D$2:E$60,2,FALSE)</f>
        <v>158</v>
      </c>
      <c r="C24" s="11" t="s">
        <v>94</v>
      </c>
      <c r="D24" s="108" t="str">
        <f t="shared" si="0"/>
        <v>C023-158-24</v>
      </c>
      <c r="E24" s="11" t="s">
        <v>3740</v>
      </c>
      <c r="F24" s="11"/>
      <c r="G24" s="9" t="s">
        <v>3761</v>
      </c>
      <c r="H24" s="10" t="s">
        <v>3621</v>
      </c>
      <c r="I24" s="12" t="s">
        <v>18</v>
      </c>
      <c r="J24" s="12">
        <v>45317</v>
      </c>
      <c r="K24" s="77">
        <v>45577</v>
      </c>
      <c r="L24" s="50"/>
      <c r="M24" s="13" t="str">
        <f t="shared" ca="1" si="1"/>
        <v>CLOSED</v>
      </c>
      <c r="N24" s="415">
        <f>+Table2[[#This Row],[Effectiveness Review &amp; date deemed effective]]-Table2[[#This Row],[CAR initialized date]]</f>
        <v>260</v>
      </c>
    </row>
    <row r="25" spans="1:14" s="4" customFormat="1" ht="18" hidden="1" x14ac:dyDescent="0.3">
      <c r="A25" s="9" t="s">
        <v>35</v>
      </c>
      <c r="B25" s="13">
        <f>VLOOKUP(Table2[[#This Row],[Location 
(drop-down)]],'List source'!D$2:E$60,2,FALSE)</f>
        <v>158</v>
      </c>
      <c r="C25" s="11" t="s">
        <v>96</v>
      </c>
      <c r="D25" s="108" t="str">
        <f t="shared" si="0"/>
        <v>C024-158-24</v>
      </c>
      <c r="E25" s="11" t="s">
        <v>3740</v>
      </c>
      <c r="F25" s="11"/>
      <c r="G25" s="9" t="s">
        <v>3762</v>
      </c>
      <c r="H25" s="10" t="s">
        <v>3621</v>
      </c>
      <c r="I25" s="12" t="s">
        <v>18</v>
      </c>
      <c r="J25" s="14">
        <v>45317</v>
      </c>
      <c r="K25" s="77">
        <v>45834</v>
      </c>
      <c r="L25" s="50"/>
      <c r="M25" s="13" t="str">
        <f t="shared" ca="1" si="1"/>
        <v>CLOSED</v>
      </c>
      <c r="N25" s="415">
        <f>+Table2[[#This Row],[Effectiveness Review &amp; date deemed effective]]-Table2[[#This Row],[CAR initialized date]]</f>
        <v>517</v>
      </c>
    </row>
    <row r="26" spans="1:14" s="4" customFormat="1" ht="18" hidden="1" x14ac:dyDescent="0.3">
      <c r="A26" s="9" t="s">
        <v>35</v>
      </c>
      <c r="B26" s="13">
        <f>VLOOKUP(Table2[[#This Row],[Location 
(drop-down)]],'List source'!D$2:E$60,2,FALSE)</f>
        <v>158</v>
      </c>
      <c r="C26" s="11" t="s">
        <v>97</v>
      </c>
      <c r="D26" s="108" t="str">
        <f t="shared" si="0"/>
        <v>C025-158-24</v>
      </c>
      <c r="E26" s="11" t="s">
        <v>3740</v>
      </c>
      <c r="F26" s="11"/>
      <c r="G26" s="9" t="s">
        <v>3763</v>
      </c>
      <c r="H26" s="10" t="s">
        <v>3621</v>
      </c>
      <c r="I26" s="12" t="s">
        <v>18</v>
      </c>
      <c r="J26" s="12">
        <v>45317</v>
      </c>
      <c r="K26" s="77">
        <v>45629</v>
      </c>
      <c r="L26" s="50"/>
      <c r="M26" s="13" t="str">
        <f t="shared" ca="1" si="1"/>
        <v>CLOSED</v>
      </c>
      <c r="N26" s="415">
        <f>+Table2[[#This Row],[Effectiveness Review &amp; date deemed effective]]-Table2[[#This Row],[CAR initialized date]]</f>
        <v>312</v>
      </c>
    </row>
    <row r="27" spans="1:14" s="4" customFormat="1" ht="18" hidden="1" x14ac:dyDescent="0.3">
      <c r="A27" s="9" t="s">
        <v>35</v>
      </c>
      <c r="B27" s="13">
        <f>VLOOKUP(Table2[[#This Row],[Location 
(drop-down)]],'List source'!D$2:E$60,2,FALSE)</f>
        <v>158</v>
      </c>
      <c r="C27" s="11" t="s">
        <v>100</v>
      </c>
      <c r="D27" s="108" t="str">
        <f t="shared" si="0"/>
        <v>C026-158-24</v>
      </c>
      <c r="E27" s="11" t="s">
        <v>3740</v>
      </c>
      <c r="F27" s="11"/>
      <c r="G27" s="9" t="s">
        <v>3764</v>
      </c>
      <c r="H27" s="10" t="s">
        <v>3621</v>
      </c>
      <c r="I27" s="12" t="s">
        <v>18</v>
      </c>
      <c r="J27" s="12">
        <v>45317</v>
      </c>
      <c r="K27" s="77">
        <v>45671</v>
      </c>
      <c r="L27" s="50"/>
      <c r="M27" s="13" t="str">
        <f t="shared" ca="1" si="1"/>
        <v>CLOSED</v>
      </c>
      <c r="N27" s="415">
        <f>+Table2[[#This Row],[Effectiveness Review &amp; date deemed effective]]-Table2[[#This Row],[CAR initialized date]]</f>
        <v>354</v>
      </c>
    </row>
    <row r="28" spans="1:14" s="4" customFormat="1" ht="18" hidden="1" x14ac:dyDescent="0.3">
      <c r="A28" s="9" t="s">
        <v>35</v>
      </c>
      <c r="B28" s="13">
        <f>VLOOKUP(Table2[[#This Row],[Location 
(drop-down)]],'List source'!D$2:E$60,2,FALSE)</f>
        <v>158</v>
      </c>
      <c r="C28" s="11" t="s">
        <v>104</v>
      </c>
      <c r="D28" s="108" t="str">
        <f t="shared" si="0"/>
        <v>C027-158-24</v>
      </c>
      <c r="E28" s="11" t="s">
        <v>3740</v>
      </c>
      <c r="F28" s="11"/>
      <c r="G28" s="9" t="s">
        <v>3765</v>
      </c>
      <c r="H28" s="10" t="s">
        <v>3621</v>
      </c>
      <c r="I28" s="12" t="s">
        <v>18</v>
      </c>
      <c r="J28" s="12">
        <v>45317</v>
      </c>
      <c r="K28" s="77">
        <v>45337</v>
      </c>
      <c r="L28" s="434"/>
      <c r="M28" s="13" t="str">
        <f t="shared" ca="1" si="1"/>
        <v>CLOSED</v>
      </c>
      <c r="N28" s="415">
        <f>+Table2[[#This Row],[Effectiveness Review &amp; date deemed effective]]-Table2[[#This Row],[CAR initialized date]]</f>
        <v>20</v>
      </c>
    </row>
    <row r="29" spans="1:14" s="4" customFormat="1" ht="28.8" hidden="1" x14ac:dyDescent="0.3">
      <c r="A29" s="9" t="s">
        <v>35</v>
      </c>
      <c r="B29" s="13">
        <f>VLOOKUP(Table2[[#This Row],[Location 
(drop-down)]],'List source'!D$2:E$60,2,FALSE)</f>
        <v>158</v>
      </c>
      <c r="C29" s="11" t="s">
        <v>108</v>
      </c>
      <c r="D29" s="108" t="str">
        <f t="shared" si="0"/>
        <v>C028-158-24</v>
      </c>
      <c r="E29" s="11" t="s">
        <v>3740</v>
      </c>
      <c r="F29" s="11"/>
      <c r="G29" s="9" t="s">
        <v>3766</v>
      </c>
      <c r="H29" s="10" t="s">
        <v>3737</v>
      </c>
      <c r="I29" s="12" t="s">
        <v>18</v>
      </c>
      <c r="J29" s="12">
        <v>45317</v>
      </c>
      <c r="K29" s="77">
        <v>45337</v>
      </c>
      <c r="L29" s="50"/>
      <c r="M29" s="13" t="str">
        <f t="shared" ca="1" si="1"/>
        <v>CLOSED</v>
      </c>
      <c r="N29" s="415">
        <f>+Table2[[#This Row],[Effectiveness Review &amp; date deemed effective]]-Table2[[#This Row],[CAR initialized date]]</f>
        <v>20</v>
      </c>
    </row>
    <row r="30" spans="1:14" s="4" customFormat="1" ht="18" hidden="1" x14ac:dyDescent="0.3">
      <c r="A30" s="9" t="s">
        <v>39</v>
      </c>
      <c r="B30" s="13">
        <f>VLOOKUP(Table2[[#This Row],[Location 
(drop-down)]],'List source'!D$2:E$60,2,FALSE)</f>
        <v>127</v>
      </c>
      <c r="C30" s="11" t="s">
        <v>115</v>
      </c>
      <c r="D30" s="108" t="str">
        <f t="shared" si="0"/>
        <v>C029-127-24</v>
      </c>
      <c r="E30" s="11" t="s">
        <v>3740</v>
      </c>
      <c r="F30" s="11"/>
      <c r="G30" s="9" t="s">
        <v>3767</v>
      </c>
      <c r="H30" s="10" t="s">
        <v>3621</v>
      </c>
      <c r="I30" s="12" t="s">
        <v>41</v>
      </c>
      <c r="J30" s="12">
        <v>45321</v>
      </c>
      <c r="K30" s="77">
        <v>45371</v>
      </c>
      <c r="L30" s="50"/>
      <c r="M30" s="13" t="str">
        <f t="shared" ca="1" si="1"/>
        <v>CLOSED</v>
      </c>
      <c r="N30" s="415">
        <f>+Table2[[#This Row],[Effectiveness Review &amp; date deemed effective]]-Table2[[#This Row],[CAR initialized date]]</f>
        <v>50</v>
      </c>
    </row>
    <row r="31" spans="1:14" s="4" customFormat="1" ht="18" hidden="1" x14ac:dyDescent="0.3">
      <c r="A31" s="9" t="s">
        <v>39</v>
      </c>
      <c r="B31" s="13">
        <f>VLOOKUP(Table2[[#This Row],[Location 
(drop-down)]],'List source'!D$2:E$60,2,FALSE)</f>
        <v>127</v>
      </c>
      <c r="C31" s="11" t="s">
        <v>117</v>
      </c>
      <c r="D31" s="108" t="str">
        <f t="shared" si="0"/>
        <v>C030-127-24</v>
      </c>
      <c r="E31" s="11" t="s">
        <v>3740</v>
      </c>
      <c r="F31" s="11"/>
      <c r="G31" s="9" t="s">
        <v>3768</v>
      </c>
      <c r="H31" s="10" t="s">
        <v>3621</v>
      </c>
      <c r="I31" s="12" t="s">
        <v>41</v>
      </c>
      <c r="J31" s="12">
        <v>45321</v>
      </c>
      <c r="K31" s="77">
        <v>45385</v>
      </c>
      <c r="L31" s="50"/>
      <c r="M31" s="13" t="str">
        <f t="shared" ca="1" si="1"/>
        <v>CLOSED</v>
      </c>
      <c r="N31" s="415">
        <f>+Table2[[#This Row],[Effectiveness Review &amp; date deemed effective]]-Table2[[#This Row],[CAR initialized date]]</f>
        <v>64</v>
      </c>
    </row>
    <row r="32" spans="1:14" s="4" customFormat="1" ht="18" hidden="1" x14ac:dyDescent="0.3">
      <c r="A32" s="9" t="s">
        <v>39</v>
      </c>
      <c r="B32" s="13">
        <f>VLOOKUP(Table2[[#This Row],[Location 
(drop-down)]],'List source'!D$2:E$60,2,FALSE)</f>
        <v>127</v>
      </c>
      <c r="C32" s="11" t="s">
        <v>118</v>
      </c>
      <c r="D32" s="108" t="str">
        <f t="shared" si="0"/>
        <v>C031-127-24</v>
      </c>
      <c r="E32" s="11" t="s">
        <v>3740</v>
      </c>
      <c r="F32" s="11"/>
      <c r="G32" s="99" t="s">
        <v>3769</v>
      </c>
      <c r="H32" s="12" t="s">
        <v>3737</v>
      </c>
      <c r="I32" s="12" t="s">
        <v>41</v>
      </c>
      <c r="J32" s="12">
        <v>45321</v>
      </c>
      <c r="K32" s="77">
        <v>45440</v>
      </c>
      <c r="L32" s="216"/>
      <c r="M32" s="13" t="str">
        <f t="shared" ca="1" si="1"/>
        <v>CLOSED</v>
      </c>
      <c r="N32" s="415">
        <f>+Table2[[#This Row],[Effectiveness Review &amp; date deemed effective]]-Table2[[#This Row],[CAR initialized date]]</f>
        <v>119</v>
      </c>
    </row>
    <row r="33" spans="1:14" s="4" customFormat="1" ht="28.8" hidden="1" x14ac:dyDescent="0.3">
      <c r="A33" s="9" t="s">
        <v>235</v>
      </c>
      <c r="B33" s="13">
        <f>VLOOKUP(Table2[[#This Row],[Location 
(drop-down)]],'List source'!D$2:E$60,2,FALSE)</f>
        <v>160</v>
      </c>
      <c r="C33" s="11" t="s">
        <v>120</v>
      </c>
      <c r="D33" s="108" t="str">
        <f t="shared" si="0"/>
        <v>C032-160-24</v>
      </c>
      <c r="E33" s="11" t="s">
        <v>3770</v>
      </c>
      <c r="F33" s="11"/>
      <c r="G33" s="9" t="s">
        <v>3771</v>
      </c>
      <c r="H33" s="10" t="s">
        <v>3621</v>
      </c>
      <c r="I33" s="12" t="s">
        <v>134</v>
      </c>
      <c r="J33" s="12">
        <v>45324</v>
      </c>
      <c r="K33" s="77">
        <v>45334</v>
      </c>
      <c r="L33" s="432">
        <v>45328</v>
      </c>
      <c r="M33" s="13" t="str">
        <f t="shared" ca="1" si="1"/>
        <v>CLOSED</v>
      </c>
      <c r="N33" s="415">
        <f>+Table2[[#This Row],[Effectiveness Review &amp; date deemed effective]]-Table2[[#This Row],[CAR initialized date]]</f>
        <v>10</v>
      </c>
    </row>
    <row r="34" spans="1:14" s="4" customFormat="1" ht="57.6" hidden="1" x14ac:dyDescent="0.3">
      <c r="A34" s="9" t="s">
        <v>126</v>
      </c>
      <c r="B34" s="13">
        <f>VLOOKUP(Table2[[#This Row],[Location 
(drop-down)]],'List source'!D$2:E$60,2,FALSE)</f>
        <v>125</v>
      </c>
      <c r="C34" s="11" t="s">
        <v>121</v>
      </c>
      <c r="D34" s="108" t="str">
        <f t="shared" si="0"/>
        <v>C033-125-24</v>
      </c>
      <c r="E34" s="11" t="s">
        <v>3735</v>
      </c>
      <c r="F34" s="11" t="s">
        <v>99</v>
      </c>
      <c r="G34" s="101" t="s">
        <v>3628</v>
      </c>
      <c r="H34" s="10" t="s">
        <v>3737</v>
      </c>
      <c r="I34" s="12" t="s">
        <v>18</v>
      </c>
      <c r="J34" s="12">
        <v>45324</v>
      </c>
      <c r="K34" s="77">
        <v>45329</v>
      </c>
      <c r="L34" s="432"/>
      <c r="M34" s="13" t="str">
        <f t="shared" ca="1" si="1"/>
        <v>CLOSED</v>
      </c>
      <c r="N34" s="415">
        <f>+Table2[[#This Row],[Effectiveness Review &amp; date deemed effective]]-Table2[[#This Row],[CAR initialized date]]</f>
        <v>5</v>
      </c>
    </row>
    <row r="35" spans="1:14" s="4" customFormat="1" ht="43.2" hidden="1" x14ac:dyDescent="0.3">
      <c r="A35" s="9" t="s">
        <v>93</v>
      </c>
      <c r="B35" s="13">
        <f>VLOOKUP(Table2[[#This Row],[Location 
(drop-down)]],'List source'!D$2:E$60,2,FALSE)</f>
        <v>128</v>
      </c>
      <c r="C35" s="11" t="s">
        <v>123</v>
      </c>
      <c r="D35" s="108" t="str">
        <f t="shared" si="0"/>
        <v>C034-128-24</v>
      </c>
      <c r="E35" s="11" t="s">
        <v>3735</v>
      </c>
      <c r="F35" s="11" t="s">
        <v>3772</v>
      </c>
      <c r="G35" s="9" t="s">
        <v>3630</v>
      </c>
      <c r="H35" s="10" t="s">
        <v>3621</v>
      </c>
      <c r="I35" s="12" t="s">
        <v>18</v>
      </c>
      <c r="J35" s="12">
        <v>45330</v>
      </c>
      <c r="K35" s="77">
        <v>45341</v>
      </c>
      <c r="L35" s="50"/>
      <c r="M35" s="13" t="str">
        <f t="shared" ca="1" si="1"/>
        <v>CLOSED</v>
      </c>
      <c r="N35" s="415">
        <f>+Table2[[#This Row],[Effectiveness Review &amp; date deemed effective]]-Table2[[#This Row],[CAR initialized date]]</f>
        <v>11</v>
      </c>
    </row>
    <row r="36" spans="1:14" s="321" customFormat="1" ht="28.8" hidden="1" x14ac:dyDescent="0.3">
      <c r="A36" s="235" t="s">
        <v>70</v>
      </c>
      <c r="B36" s="236">
        <f>VLOOKUP(Table2[[#This Row],[Location 
(drop-down)]],'List source'!D$2:E$60,2,FALSE)</f>
        <v>146</v>
      </c>
      <c r="C36" s="248" t="s">
        <v>127</v>
      </c>
      <c r="D36" s="249" t="str">
        <f t="shared" si="0"/>
        <v>C035-146-24</v>
      </c>
      <c r="E36" s="248" t="s">
        <v>3773</v>
      </c>
      <c r="F36" s="248"/>
      <c r="G36" s="235" t="s">
        <v>3774</v>
      </c>
      <c r="H36" s="263" t="s">
        <v>3621</v>
      </c>
      <c r="I36" s="264" t="s">
        <v>49</v>
      </c>
      <c r="J36" s="264">
        <v>45331</v>
      </c>
      <c r="K36" s="250">
        <v>45799</v>
      </c>
      <c r="L36" s="435"/>
      <c r="M36" s="13" t="str">
        <f t="shared" ca="1" si="1"/>
        <v>CLOSED</v>
      </c>
      <c r="N36" s="415">
        <f>+Table2[[#This Row],[Effectiveness Review &amp; date deemed effective]]-Table2[[#This Row],[CAR initialized date]]</f>
        <v>468</v>
      </c>
    </row>
    <row r="37" spans="1:14" s="4" customFormat="1" ht="18" hidden="1" x14ac:dyDescent="0.3">
      <c r="A37" s="9" t="s">
        <v>44</v>
      </c>
      <c r="B37" s="13">
        <f>VLOOKUP(Table2[[#This Row],[Location 
(drop-down)]],'List source'!D$2:E$60,2,FALSE)</f>
        <v>192</v>
      </c>
      <c r="C37" s="11" t="s">
        <v>128</v>
      </c>
      <c r="D37" s="108" t="str">
        <f t="shared" si="0"/>
        <v>C036-192-24</v>
      </c>
      <c r="E37" s="11" t="s">
        <v>3740</v>
      </c>
      <c r="F37" s="11"/>
      <c r="G37" s="9" t="s">
        <v>3775</v>
      </c>
      <c r="H37" s="10" t="s">
        <v>3737</v>
      </c>
      <c r="I37" s="12" t="s">
        <v>18</v>
      </c>
      <c r="J37" s="12">
        <v>45335</v>
      </c>
      <c r="K37" s="77">
        <v>45362</v>
      </c>
      <c r="L37" s="50"/>
      <c r="M37" s="13" t="str">
        <f t="shared" ca="1" si="1"/>
        <v>CLOSED</v>
      </c>
      <c r="N37" s="415">
        <f>+Table2[[#This Row],[Effectiveness Review &amp; date deemed effective]]-Table2[[#This Row],[CAR initialized date]]</f>
        <v>27</v>
      </c>
    </row>
    <row r="38" spans="1:14" s="4" customFormat="1" ht="18" hidden="1" x14ac:dyDescent="0.3">
      <c r="A38" s="9" t="s">
        <v>44</v>
      </c>
      <c r="B38" s="13">
        <f>VLOOKUP(Table2[[#This Row],[Location 
(drop-down)]],'List source'!D$2:E$60,2,FALSE)</f>
        <v>192</v>
      </c>
      <c r="C38" s="11" t="s">
        <v>131</v>
      </c>
      <c r="D38" s="108" t="str">
        <f t="shared" si="0"/>
        <v>C037-192-24</v>
      </c>
      <c r="E38" s="11" t="s">
        <v>3740</v>
      </c>
      <c r="F38" s="11"/>
      <c r="G38" s="9" t="s">
        <v>3776</v>
      </c>
      <c r="H38" s="10" t="s">
        <v>3621</v>
      </c>
      <c r="I38" s="12" t="s">
        <v>18</v>
      </c>
      <c r="J38" s="12">
        <v>45335</v>
      </c>
      <c r="K38" s="77">
        <v>45369</v>
      </c>
      <c r="L38" s="50"/>
      <c r="M38" s="13" t="str">
        <f t="shared" ca="1" si="1"/>
        <v>CLOSED</v>
      </c>
      <c r="N38" s="415">
        <f>+Table2[[#This Row],[Effectiveness Review &amp; date deemed effective]]-Table2[[#This Row],[CAR initialized date]]</f>
        <v>34</v>
      </c>
    </row>
    <row r="39" spans="1:14" s="4" customFormat="1" ht="18" hidden="1" x14ac:dyDescent="0.3">
      <c r="A39" s="9" t="s">
        <v>44</v>
      </c>
      <c r="B39" s="13">
        <f>VLOOKUP(Table2[[#This Row],[Location 
(drop-down)]],'List source'!D$2:E$60,2,FALSE)</f>
        <v>192</v>
      </c>
      <c r="C39" s="11" t="s">
        <v>132</v>
      </c>
      <c r="D39" s="108" t="str">
        <f t="shared" si="0"/>
        <v>C038-192-24</v>
      </c>
      <c r="E39" s="11" t="s">
        <v>3740</v>
      </c>
      <c r="F39" s="11"/>
      <c r="G39" s="9" t="s">
        <v>3777</v>
      </c>
      <c r="H39" s="10" t="s">
        <v>3621</v>
      </c>
      <c r="I39" s="12" t="s">
        <v>18</v>
      </c>
      <c r="J39" s="12">
        <v>45335</v>
      </c>
      <c r="K39" s="77">
        <v>45371</v>
      </c>
      <c r="L39" s="50"/>
      <c r="M39" s="13" t="str">
        <f t="shared" ca="1" si="1"/>
        <v>CLOSED</v>
      </c>
      <c r="N39" s="415">
        <f>+Table2[[#This Row],[Effectiveness Review &amp; date deemed effective]]-Table2[[#This Row],[CAR initialized date]]</f>
        <v>36</v>
      </c>
    </row>
    <row r="40" spans="1:14" s="4" customFormat="1" ht="18" hidden="1" x14ac:dyDescent="0.3">
      <c r="A40" s="9" t="s">
        <v>44</v>
      </c>
      <c r="B40" s="13">
        <f>VLOOKUP(Table2[[#This Row],[Location 
(drop-down)]],'List source'!D$2:E$60,2,FALSE)</f>
        <v>192</v>
      </c>
      <c r="C40" s="11" t="s">
        <v>133</v>
      </c>
      <c r="D40" s="108" t="str">
        <f t="shared" si="0"/>
        <v>C039-192-24</v>
      </c>
      <c r="E40" s="11" t="s">
        <v>3740</v>
      </c>
      <c r="F40" s="11"/>
      <c r="G40" s="9" t="s">
        <v>3778</v>
      </c>
      <c r="H40" s="10" t="s">
        <v>3621</v>
      </c>
      <c r="I40" s="12" t="s">
        <v>18</v>
      </c>
      <c r="J40" s="12">
        <v>45335</v>
      </c>
      <c r="K40" s="77">
        <v>45371</v>
      </c>
      <c r="L40" s="50"/>
      <c r="M40" s="13" t="str">
        <f t="shared" ca="1" si="1"/>
        <v>CLOSED</v>
      </c>
      <c r="N40" s="415">
        <f>+Table2[[#This Row],[Effectiveness Review &amp; date deemed effective]]-Table2[[#This Row],[CAR initialized date]]</f>
        <v>36</v>
      </c>
    </row>
    <row r="41" spans="1:14" s="4" customFormat="1" ht="18" hidden="1" x14ac:dyDescent="0.3">
      <c r="A41" s="9" t="s">
        <v>44</v>
      </c>
      <c r="B41" s="13">
        <f>VLOOKUP(Table2[[#This Row],[Location 
(drop-down)]],'List source'!D$2:E$60,2,FALSE)</f>
        <v>192</v>
      </c>
      <c r="C41" s="11" t="s">
        <v>139</v>
      </c>
      <c r="D41" s="108" t="str">
        <f t="shared" si="0"/>
        <v>C040-192-24</v>
      </c>
      <c r="E41" s="11" t="s">
        <v>3740</v>
      </c>
      <c r="F41" s="11"/>
      <c r="G41" s="9" t="s">
        <v>3779</v>
      </c>
      <c r="H41" s="10" t="s">
        <v>3621</v>
      </c>
      <c r="I41" s="12" t="s">
        <v>18</v>
      </c>
      <c r="J41" s="12">
        <v>45335</v>
      </c>
      <c r="K41" s="77">
        <v>45376</v>
      </c>
      <c r="L41" s="50"/>
      <c r="M41" s="13" t="str">
        <f t="shared" ca="1" si="1"/>
        <v>CLOSED</v>
      </c>
      <c r="N41" s="415">
        <f>+Table2[[#This Row],[Effectiveness Review &amp; date deemed effective]]-Table2[[#This Row],[CAR initialized date]]</f>
        <v>41</v>
      </c>
    </row>
    <row r="42" spans="1:14" s="4" customFormat="1" ht="28.8" hidden="1" x14ac:dyDescent="0.3">
      <c r="A42" s="9" t="s">
        <v>113</v>
      </c>
      <c r="B42" s="13" t="str">
        <f>VLOOKUP(Table2[[#This Row],[Location 
(drop-down)]],'List source'!D$2:E$60,2,FALSE)</f>
        <v>VOID</v>
      </c>
      <c r="C42" s="11" t="s">
        <v>142</v>
      </c>
      <c r="D42" s="108" t="str">
        <f t="shared" si="0"/>
        <v>C041-VOID-24</v>
      </c>
      <c r="E42" s="11" t="s">
        <v>114</v>
      </c>
      <c r="F42" s="11" t="s">
        <v>114</v>
      </c>
      <c r="G42" s="90" t="s">
        <v>3632</v>
      </c>
      <c r="H42" s="10" t="s">
        <v>114</v>
      </c>
      <c r="I42" s="12" t="s">
        <v>114</v>
      </c>
      <c r="J42" s="12" t="s">
        <v>114</v>
      </c>
      <c r="K42" s="77" t="s">
        <v>114</v>
      </c>
      <c r="L42" s="432">
        <v>45441</v>
      </c>
      <c r="M42" s="13" t="str">
        <f t="shared" ca="1" si="1"/>
        <v>CLOSED</v>
      </c>
      <c r="N42" s="415" t="e">
        <f>+Table2[[#This Row],[Effectiveness Review &amp; date deemed effective]]-Table2[[#This Row],[CAR initialized date]]</f>
        <v>#VALUE!</v>
      </c>
    </row>
    <row r="43" spans="1:14" s="4" customFormat="1" ht="28.8" hidden="1" x14ac:dyDescent="0.3">
      <c r="A43" s="9" t="s">
        <v>429</v>
      </c>
      <c r="B43" s="13">
        <f>VLOOKUP(Table2[[#This Row],[Location 
(drop-down)]],'List source'!D$2:E$60,2,FALSE)</f>
        <v>133</v>
      </c>
      <c r="C43" s="11" t="s">
        <v>146</v>
      </c>
      <c r="D43" s="108" t="str">
        <f t="shared" si="0"/>
        <v>C042-133-24</v>
      </c>
      <c r="E43" s="11" t="s">
        <v>3770</v>
      </c>
      <c r="F43" s="11"/>
      <c r="G43" s="9" t="s">
        <v>3780</v>
      </c>
      <c r="H43" s="10" t="s">
        <v>3621</v>
      </c>
      <c r="I43" s="12" t="s">
        <v>18</v>
      </c>
      <c r="J43" s="12">
        <v>45337</v>
      </c>
      <c r="K43" s="77">
        <v>45524</v>
      </c>
      <c r="L43" s="50"/>
      <c r="M43" s="13" t="str">
        <f t="shared" ca="1" si="1"/>
        <v>CLOSED</v>
      </c>
      <c r="N43" s="415">
        <f>+Table2[[#This Row],[Effectiveness Review &amp; date deemed effective]]-Table2[[#This Row],[CAR initialized date]]</f>
        <v>187</v>
      </c>
    </row>
    <row r="44" spans="1:14" s="4" customFormat="1" ht="28.8" hidden="1" x14ac:dyDescent="0.3">
      <c r="A44" s="9" t="s">
        <v>113</v>
      </c>
      <c r="B44" s="13" t="str">
        <f>VLOOKUP(Table2[[#This Row],[Location 
(drop-down)]],'List source'!D$2:E$60,2,FALSE)</f>
        <v>VOID</v>
      </c>
      <c r="C44" s="11" t="s">
        <v>148</v>
      </c>
      <c r="D44" s="108" t="str">
        <f t="shared" si="0"/>
        <v>C043-VOID-24</v>
      </c>
      <c r="E44" s="11" t="s">
        <v>114</v>
      </c>
      <c r="F44" s="11" t="s">
        <v>114</v>
      </c>
      <c r="G44" s="9" t="s">
        <v>3781</v>
      </c>
      <c r="H44" s="10" t="s">
        <v>114</v>
      </c>
      <c r="I44" s="12" t="s">
        <v>114</v>
      </c>
      <c r="J44" s="12" t="s">
        <v>114</v>
      </c>
      <c r="K44" s="77" t="s">
        <v>114</v>
      </c>
      <c r="L44" s="50" t="s">
        <v>3782</v>
      </c>
      <c r="M44" s="13" t="str">
        <f t="shared" ca="1" si="1"/>
        <v>CLOSED</v>
      </c>
      <c r="N44" s="415" t="e">
        <f>+Table2[[#This Row],[Effectiveness Review &amp; date deemed effective]]-Table2[[#This Row],[CAR initialized date]]</f>
        <v>#VALUE!</v>
      </c>
    </row>
    <row r="45" spans="1:14" s="4" customFormat="1" ht="28.8" hidden="1" x14ac:dyDescent="0.3">
      <c r="A45" s="9" t="s">
        <v>42</v>
      </c>
      <c r="B45" s="13">
        <f>VLOOKUP(Table2[[#This Row],[Location 
(drop-down)]],'List source'!D$2:E$60,2,FALSE)</f>
        <v>138</v>
      </c>
      <c r="C45" s="11" t="s">
        <v>150</v>
      </c>
      <c r="D45" s="108" t="str">
        <f t="shared" si="0"/>
        <v>C044-138-24</v>
      </c>
      <c r="E45" s="11" t="s">
        <v>3770</v>
      </c>
      <c r="F45" s="11"/>
      <c r="G45" s="9" t="s">
        <v>3780</v>
      </c>
      <c r="H45" s="10" t="s">
        <v>3737</v>
      </c>
      <c r="I45" s="12" t="s">
        <v>18</v>
      </c>
      <c r="J45" s="12">
        <v>45337</v>
      </c>
      <c r="K45" s="77">
        <v>45371</v>
      </c>
      <c r="L45" s="50"/>
      <c r="M45" s="13" t="str">
        <f t="shared" ca="1" si="1"/>
        <v>CLOSED</v>
      </c>
      <c r="N45" s="415">
        <f>+Table2[[#This Row],[Effectiveness Review &amp; date deemed effective]]-Table2[[#This Row],[CAR initialized date]]</f>
        <v>34</v>
      </c>
    </row>
    <row r="46" spans="1:14" s="4" customFormat="1" ht="28.8" hidden="1" x14ac:dyDescent="0.3">
      <c r="A46" s="9" t="s">
        <v>310</v>
      </c>
      <c r="B46" s="13">
        <f>VLOOKUP(Table2[[#This Row],[Location 
(drop-down)]],'List source'!D$2:E$60,2,FALSE)</f>
        <v>144</v>
      </c>
      <c r="C46" s="11" t="s">
        <v>152</v>
      </c>
      <c r="D46" s="108" t="str">
        <f t="shared" si="0"/>
        <v>C045-144-24</v>
      </c>
      <c r="E46" s="11" t="s">
        <v>3770</v>
      </c>
      <c r="F46" s="11"/>
      <c r="G46" s="9" t="s">
        <v>3780</v>
      </c>
      <c r="H46" s="10" t="s">
        <v>3737</v>
      </c>
      <c r="I46" s="12" t="s">
        <v>18</v>
      </c>
      <c r="J46" s="12">
        <v>45337</v>
      </c>
      <c r="K46" s="77">
        <v>45475</v>
      </c>
      <c r="L46" s="50"/>
      <c r="M46" s="13" t="str">
        <f t="shared" ca="1" si="1"/>
        <v>CLOSED</v>
      </c>
      <c r="N46" s="415">
        <f>+Table2[[#This Row],[Effectiveness Review &amp; date deemed effective]]-Table2[[#This Row],[CAR initialized date]]</f>
        <v>138</v>
      </c>
    </row>
    <row r="47" spans="1:14" s="4" customFormat="1" ht="18" hidden="1" x14ac:dyDescent="0.3">
      <c r="A47" s="9" t="s">
        <v>107</v>
      </c>
      <c r="B47" s="13">
        <f>VLOOKUP(Table2[[#This Row],[Location 
(drop-down)]],'List source'!D$2:E$60,2,FALSE)</f>
        <v>120</v>
      </c>
      <c r="C47" s="11" t="s">
        <v>154</v>
      </c>
      <c r="D47" s="108" t="str">
        <f t="shared" si="0"/>
        <v>C046-120-24</v>
      </c>
      <c r="E47" s="11" t="s">
        <v>3783</v>
      </c>
      <c r="F47" s="11" t="s">
        <v>348</v>
      </c>
      <c r="G47" s="9" t="s">
        <v>3784</v>
      </c>
      <c r="H47" s="10" t="s">
        <v>3785</v>
      </c>
      <c r="I47" s="12" t="s">
        <v>18</v>
      </c>
      <c r="J47" s="12">
        <v>45338</v>
      </c>
      <c r="K47" s="77">
        <v>45414</v>
      </c>
      <c r="L47" s="434" t="s">
        <v>3786</v>
      </c>
      <c r="M47" s="13" t="str">
        <f t="shared" ca="1" si="1"/>
        <v>CLOSED</v>
      </c>
      <c r="N47" s="415">
        <f>+Table2[[#This Row],[Effectiveness Review &amp; date deemed effective]]-Table2[[#This Row],[CAR initialized date]]</f>
        <v>76</v>
      </c>
    </row>
    <row r="48" spans="1:14" s="4" customFormat="1" ht="27" hidden="1" customHeight="1" x14ac:dyDescent="0.3">
      <c r="A48" s="9" t="s">
        <v>29</v>
      </c>
      <c r="B48" s="13">
        <f>VLOOKUP(Table2[[#This Row],[Location 
(drop-down)]],'List source'!D$2:E$60,2,FALSE)</f>
        <v>141</v>
      </c>
      <c r="C48" s="11" t="s">
        <v>158</v>
      </c>
      <c r="D48" s="108" t="str">
        <f t="shared" si="0"/>
        <v>C047-141-24</v>
      </c>
      <c r="E48" s="11" t="s">
        <v>3735</v>
      </c>
      <c r="F48" s="11" t="s">
        <v>85</v>
      </c>
      <c r="G48" s="99" t="s">
        <v>3787</v>
      </c>
      <c r="H48" s="10" t="s">
        <v>3737</v>
      </c>
      <c r="I48" s="12" t="s">
        <v>18</v>
      </c>
      <c r="J48" s="12">
        <v>45338</v>
      </c>
      <c r="K48" s="77">
        <v>45358</v>
      </c>
      <c r="L48" s="50"/>
      <c r="M48" s="13" t="str">
        <f t="shared" ca="1" si="1"/>
        <v>CLOSED</v>
      </c>
      <c r="N48" s="415">
        <f>+Table2[[#This Row],[Effectiveness Review &amp; date deemed effective]]-Table2[[#This Row],[CAR initialized date]]</f>
        <v>20</v>
      </c>
    </row>
    <row r="49" spans="1:14" s="4" customFormat="1" ht="18" hidden="1" x14ac:dyDescent="0.3">
      <c r="A49" s="9" t="s">
        <v>47</v>
      </c>
      <c r="B49" s="13" t="str">
        <f>VLOOKUP(Table2[[#This Row],[Location 
(drop-down)]],'List source'!D$2:E$60,2,FALSE)</f>
        <v>120a</v>
      </c>
      <c r="C49" s="11" t="s">
        <v>160</v>
      </c>
      <c r="D49" s="108" t="str">
        <f t="shared" si="0"/>
        <v>C048-120a-24</v>
      </c>
      <c r="E49" s="11" t="s">
        <v>3740</v>
      </c>
      <c r="F49" s="11"/>
      <c r="G49" s="9" t="s">
        <v>3788</v>
      </c>
      <c r="H49" s="10" t="s">
        <v>3621</v>
      </c>
      <c r="I49" s="12" t="s">
        <v>49</v>
      </c>
      <c r="J49" s="12">
        <v>45341</v>
      </c>
      <c r="K49" s="77">
        <v>45463</v>
      </c>
      <c r="L49" s="50"/>
      <c r="M49" s="13" t="str">
        <f t="shared" ca="1" si="1"/>
        <v>CLOSED</v>
      </c>
      <c r="N49" s="415">
        <f>+Table2[[#This Row],[Effectiveness Review &amp; date deemed effective]]-Table2[[#This Row],[CAR initialized date]]</f>
        <v>122</v>
      </c>
    </row>
    <row r="50" spans="1:14" s="4" customFormat="1" ht="18" hidden="1" x14ac:dyDescent="0.3">
      <c r="A50" s="9" t="s">
        <v>47</v>
      </c>
      <c r="B50" s="13" t="str">
        <f>VLOOKUP(Table2[[#This Row],[Location 
(drop-down)]],'List source'!D$2:E$60,2,FALSE)</f>
        <v>120a</v>
      </c>
      <c r="C50" s="11" t="s">
        <v>162</v>
      </c>
      <c r="D50" s="108" t="str">
        <f t="shared" si="0"/>
        <v>C049-120a-24</v>
      </c>
      <c r="E50" s="11" t="s">
        <v>3740</v>
      </c>
      <c r="F50" s="11"/>
      <c r="G50" s="9" t="s">
        <v>3789</v>
      </c>
      <c r="H50" s="10" t="s">
        <v>3621</v>
      </c>
      <c r="I50" s="12" t="s">
        <v>49</v>
      </c>
      <c r="J50" s="12">
        <v>45341</v>
      </c>
      <c r="K50" s="77">
        <v>45531</v>
      </c>
      <c r="L50" s="50"/>
      <c r="M50" s="13" t="str">
        <f t="shared" ca="1" si="1"/>
        <v>CLOSED</v>
      </c>
      <c r="N50" s="415">
        <f>+Table2[[#This Row],[Effectiveness Review &amp; date deemed effective]]-Table2[[#This Row],[CAR initialized date]]</f>
        <v>190</v>
      </c>
    </row>
    <row r="51" spans="1:14" s="4" customFormat="1" ht="18" hidden="1" x14ac:dyDescent="0.3">
      <c r="A51" s="9" t="s">
        <v>47</v>
      </c>
      <c r="B51" s="13" t="str">
        <f>VLOOKUP(Table2[[#This Row],[Location 
(drop-down)]],'List source'!D$2:E$60,2,FALSE)</f>
        <v>120a</v>
      </c>
      <c r="C51" s="11" t="s">
        <v>163</v>
      </c>
      <c r="D51" s="108" t="str">
        <f t="shared" si="0"/>
        <v>C050-120a-24</v>
      </c>
      <c r="E51" s="11" t="s">
        <v>3740</v>
      </c>
      <c r="F51" s="11"/>
      <c r="G51" s="9" t="s">
        <v>3790</v>
      </c>
      <c r="H51" s="10" t="s">
        <v>3621</v>
      </c>
      <c r="I51" s="12" t="s">
        <v>49</v>
      </c>
      <c r="J51" s="12">
        <v>45341</v>
      </c>
      <c r="K51" s="77">
        <v>45551</v>
      </c>
      <c r="L51" s="50"/>
      <c r="M51" s="13" t="str">
        <f t="shared" ca="1" si="1"/>
        <v>CLOSED</v>
      </c>
      <c r="N51" s="415">
        <f>+Table2[[#This Row],[Effectiveness Review &amp; date deemed effective]]-Table2[[#This Row],[CAR initialized date]]</f>
        <v>210</v>
      </c>
    </row>
    <row r="52" spans="1:14" s="4" customFormat="1" ht="18" hidden="1" x14ac:dyDescent="0.3">
      <c r="A52" s="9" t="s">
        <v>47</v>
      </c>
      <c r="B52" s="13" t="str">
        <f>VLOOKUP(Table2[[#This Row],[Location 
(drop-down)]],'List source'!D$2:E$60,2,FALSE)</f>
        <v>120a</v>
      </c>
      <c r="C52" s="11" t="s">
        <v>167</v>
      </c>
      <c r="D52" s="108" t="str">
        <f t="shared" si="0"/>
        <v>C051-120a-24</v>
      </c>
      <c r="E52" s="11" t="s">
        <v>3740</v>
      </c>
      <c r="F52" s="11"/>
      <c r="G52" s="99" t="s">
        <v>3791</v>
      </c>
      <c r="H52" s="10" t="s">
        <v>3621</v>
      </c>
      <c r="I52" s="12" t="s">
        <v>49</v>
      </c>
      <c r="J52" s="12">
        <v>45341</v>
      </c>
      <c r="K52" s="77">
        <v>45462</v>
      </c>
      <c r="L52" s="50"/>
      <c r="M52" s="13" t="str">
        <f t="shared" ca="1" si="1"/>
        <v>CLOSED</v>
      </c>
      <c r="N52" s="415">
        <f>+Table2[[#This Row],[Effectiveness Review &amp; date deemed effective]]-Table2[[#This Row],[CAR initialized date]]</f>
        <v>121</v>
      </c>
    </row>
    <row r="53" spans="1:14" s="4" customFormat="1" ht="18" hidden="1" x14ac:dyDescent="0.3">
      <c r="A53" s="9" t="s">
        <v>207</v>
      </c>
      <c r="B53" s="13">
        <f>VLOOKUP(Table2[[#This Row],[Location 
(drop-down)]],'List source'!D$2:E$60,2,FALSE)</f>
        <v>189</v>
      </c>
      <c r="C53" s="11" t="s">
        <v>172</v>
      </c>
      <c r="D53" s="108" t="str">
        <f t="shared" si="0"/>
        <v>C052-189-24</v>
      </c>
      <c r="E53" s="11" t="s">
        <v>3735</v>
      </c>
      <c r="F53" s="11" t="s">
        <v>170</v>
      </c>
      <c r="G53" s="9" t="s">
        <v>3643</v>
      </c>
      <c r="H53" s="10" t="s">
        <v>3621</v>
      </c>
      <c r="I53" s="12" t="s">
        <v>18</v>
      </c>
      <c r="J53" s="12">
        <v>45342</v>
      </c>
      <c r="K53" s="77">
        <v>45377</v>
      </c>
      <c r="L53" s="50" t="s">
        <v>3792</v>
      </c>
      <c r="M53" s="13" t="str">
        <f t="shared" ca="1" si="1"/>
        <v>CLOSED</v>
      </c>
      <c r="N53" s="415">
        <f>+Table2[[#This Row],[Effectiveness Review &amp; date deemed effective]]-Table2[[#This Row],[CAR initialized date]]</f>
        <v>35</v>
      </c>
    </row>
    <row r="54" spans="1:14" s="4" customFormat="1" ht="43.2" hidden="1" x14ac:dyDescent="0.3">
      <c r="A54" s="9" t="s">
        <v>250</v>
      </c>
      <c r="B54" s="13">
        <f>VLOOKUP(Table2[[#This Row],[Location 
(drop-down)]],'List source'!D$2:E$60,2,FALSE)</f>
        <v>199</v>
      </c>
      <c r="C54" s="11" t="s">
        <v>176</v>
      </c>
      <c r="D54" s="108" t="str">
        <f t="shared" si="0"/>
        <v>C053-199-24</v>
      </c>
      <c r="E54" s="11" t="s">
        <v>3735</v>
      </c>
      <c r="F54" s="11" t="s">
        <v>170</v>
      </c>
      <c r="G54" s="9" t="s">
        <v>3793</v>
      </c>
      <c r="H54" s="10" t="s">
        <v>3737</v>
      </c>
      <c r="I54" s="12" t="s">
        <v>168</v>
      </c>
      <c r="J54" s="12">
        <v>45342</v>
      </c>
      <c r="K54" s="77">
        <v>45414</v>
      </c>
      <c r="L54" s="50" t="s">
        <v>3794</v>
      </c>
      <c r="M54" s="13" t="str">
        <f t="shared" ca="1" si="1"/>
        <v>CLOSED</v>
      </c>
      <c r="N54" s="415">
        <f>+Table2[[#This Row],[Effectiveness Review &amp; date deemed effective]]-Table2[[#This Row],[CAR initialized date]]</f>
        <v>72</v>
      </c>
    </row>
    <row r="55" spans="1:14" s="4" customFormat="1" ht="28.8" hidden="1" x14ac:dyDescent="0.3">
      <c r="A55" s="9" t="s">
        <v>42</v>
      </c>
      <c r="B55" s="13">
        <f>VLOOKUP(Table2[[#This Row],[Location 
(drop-down)]],'List source'!D$2:E$60,2,FALSE)</f>
        <v>138</v>
      </c>
      <c r="C55" s="11" t="s">
        <v>179</v>
      </c>
      <c r="D55" s="108" t="str">
        <f t="shared" si="0"/>
        <v>C054-138-24</v>
      </c>
      <c r="E55" s="11" t="s">
        <v>3740</v>
      </c>
      <c r="F55" s="11"/>
      <c r="G55" s="9" t="s">
        <v>3795</v>
      </c>
      <c r="H55" s="10" t="s">
        <v>3621</v>
      </c>
      <c r="I55" s="12" t="s">
        <v>23</v>
      </c>
      <c r="J55" s="12">
        <v>45345</v>
      </c>
      <c r="K55" s="77">
        <v>45387</v>
      </c>
      <c r="L55" s="50"/>
      <c r="M55" s="13" t="str">
        <f t="shared" ca="1" si="1"/>
        <v>CLOSED</v>
      </c>
      <c r="N55" s="415">
        <f>+Table2[[#This Row],[Effectiveness Review &amp; date deemed effective]]-Table2[[#This Row],[CAR initialized date]]</f>
        <v>42</v>
      </c>
    </row>
    <row r="56" spans="1:14" s="4" customFormat="1" ht="43.2" hidden="1" x14ac:dyDescent="0.3">
      <c r="A56" s="9" t="s">
        <v>42</v>
      </c>
      <c r="B56" s="13">
        <f>VLOOKUP(Table2[[#This Row],[Location 
(drop-down)]],'List source'!D$2:E$60,2,FALSE)</f>
        <v>138</v>
      </c>
      <c r="C56" s="11" t="s">
        <v>181</v>
      </c>
      <c r="D56" s="108" t="str">
        <f t="shared" si="0"/>
        <v>C055-138-24</v>
      </c>
      <c r="E56" s="11" t="s">
        <v>3740</v>
      </c>
      <c r="F56" s="11"/>
      <c r="G56" s="9" t="s">
        <v>3796</v>
      </c>
      <c r="H56" s="10" t="s">
        <v>3621</v>
      </c>
      <c r="I56" s="12" t="s">
        <v>23</v>
      </c>
      <c r="J56" s="12">
        <v>45345</v>
      </c>
      <c r="K56" s="77">
        <v>45534</v>
      </c>
      <c r="L56" s="50"/>
      <c r="M56" s="13" t="str">
        <f t="shared" ca="1" si="1"/>
        <v>CLOSED</v>
      </c>
      <c r="N56" s="415">
        <f>+Table2[[#This Row],[Effectiveness Review &amp; date deemed effective]]-Table2[[#This Row],[CAR initialized date]]</f>
        <v>189</v>
      </c>
    </row>
    <row r="57" spans="1:14" s="4" customFormat="1" ht="28.8" hidden="1" x14ac:dyDescent="0.3">
      <c r="A57" s="9" t="s">
        <v>42</v>
      </c>
      <c r="B57" s="13">
        <f>VLOOKUP(Table2[[#This Row],[Location 
(drop-down)]],'List source'!D$2:E$60,2,FALSE)</f>
        <v>138</v>
      </c>
      <c r="C57" s="11" t="s">
        <v>187</v>
      </c>
      <c r="D57" s="108" t="str">
        <f t="shared" si="0"/>
        <v>C056-138-24</v>
      </c>
      <c r="E57" s="11" t="s">
        <v>3740</v>
      </c>
      <c r="F57" s="11"/>
      <c r="G57" s="9" t="s">
        <v>3797</v>
      </c>
      <c r="H57" s="10" t="s">
        <v>3621</v>
      </c>
      <c r="I57" s="12" t="s">
        <v>23</v>
      </c>
      <c r="J57" s="12">
        <v>45345</v>
      </c>
      <c r="K57" s="77">
        <v>45392</v>
      </c>
      <c r="L57" s="50"/>
      <c r="M57" s="13" t="str">
        <f t="shared" ca="1" si="1"/>
        <v>CLOSED</v>
      </c>
      <c r="N57" s="415">
        <f>+Table2[[#This Row],[Effectiveness Review &amp; date deemed effective]]-Table2[[#This Row],[CAR initialized date]]</f>
        <v>47</v>
      </c>
    </row>
    <row r="58" spans="1:14" s="4" customFormat="1" ht="18" hidden="1" x14ac:dyDescent="0.3">
      <c r="A58" s="9" t="s">
        <v>42</v>
      </c>
      <c r="B58" s="13">
        <f>VLOOKUP(Table2[[#This Row],[Location 
(drop-down)]],'List source'!D$2:E$60,2,FALSE)</f>
        <v>138</v>
      </c>
      <c r="C58" s="11" t="s">
        <v>189</v>
      </c>
      <c r="D58" s="108" t="str">
        <f t="shared" si="0"/>
        <v>C057-138-24</v>
      </c>
      <c r="E58" s="11" t="s">
        <v>3740</v>
      </c>
      <c r="F58" s="11"/>
      <c r="G58" s="9" t="s">
        <v>3798</v>
      </c>
      <c r="H58" s="10" t="s">
        <v>3621</v>
      </c>
      <c r="I58" s="12" t="s">
        <v>23</v>
      </c>
      <c r="J58" s="12">
        <v>45345</v>
      </c>
      <c r="K58" s="77">
        <v>45490</v>
      </c>
      <c r="L58" s="50"/>
      <c r="M58" s="13" t="str">
        <f t="shared" ca="1" si="1"/>
        <v>CLOSED</v>
      </c>
      <c r="N58" s="415">
        <f>+Table2[[#This Row],[Effectiveness Review &amp; date deemed effective]]-Table2[[#This Row],[CAR initialized date]]</f>
        <v>145</v>
      </c>
    </row>
    <row r="59" spans="1:14" s="4" customFormat="1" ht="18" hidden="1" x14ac:dyDescent="0.3">
      <c r="A59" s="9" t="s">
        <v>42</v>
      </c>
      <c r="B59" s="13">
        <f>VLOOKUP(Table2[[#This Row],[Location 
(drop-down)]],'List source'!D$2:E$60,2,FALSE)</f>
        <v>138</v>
      </c>
      <c r="C59" s="11" t="s">
        <v>190</v>
      </c>
      <c r="D59" s="108" t="str">
        <f t="shared" si="0"/>
        <v>C058-138-24</v>
      </c>
      <c r="E59" s="11" t="s">
        <v>3740</v>
      </c>
      <c r="F59" s="11"/>
      <c r="G59" s="9" t="s">
        <v>3799</v>
      </c>
      <c r="H59" s="10" t="s">
        <v>3737</v>
      </c>
      <c r="I59" s="12" t="s">
        <v>23</v>
      </c>
      <c r="J59" s="12">
        <v>45345</v>
      </c>
      <c r="K59" s="77">
        <v>45387</v>
      </c>
      <c r="L59" s="50"/>
      <c r="M59" s="13" t="str">
        <f t="shared" ca="1" si="1"/>
        <v>CLOSED</v>
      </c>
      <c r="N59" s="415">
        <f>+Table2[[#This Row],[Effectiveness Review &amp; date deemed effective]]-Table2[[#This Row],[CAR initialized date]]</f>
        <v>42</v>
      </c>
    </row>
    <row r="60" spans="1:14" s="4" customFormat="1" ht="18" hidden="1" x14ac:dyDescent="0.3">
      <c r="A60" s="9" t="s">
        <v>65</v>
      </c>
      <c r="B60" s="13">
        <f>VLOOKUP(Table2[[#This Row],[Location 
(drop-down)]],'List source'!D$2:E$60,2,FALSE)</f>
        <v>155</v>
      </c>
      <c r="C60" s="11" t="s">
        <v>191</v>
      </c>
      <c r="D60" s="108" t="str">
        <f t="shared" si="0"/>
        <v>C059-155-24</v>
      </c>
      <c r="E60" s="11" t="s">
        <v>3740</v>
      </c>
      <c r="F60" s="11"/>
      <c r="G60" s="9" t="s">
        <v>3800</v>
      </c>
      <c r="H60" s="10" t="s">
        <v>3621</v>
      </c>
      <c r="I60" s="12" t="s">
        <v>23</v>
      </c>
      <c r="J60" s="12">
        <v>45357</v>
      </c>
      <c r="K60" s="77">
        <v>45396</v>
      </c>
      <c r="L60" s="50"/>
      <c r="M60" s="13" t="str">
        <f t="shared" ca="1" si="1"/>
        <v>CLOSED</v>
      </c>
      <c r="N60" s="415">
        <f>+Table2[[#This Row],[Effectiveness Review &amp; date deemed effective]]-Table2[[#This Row],[CAR initialized date]]</f>
        <v>39</v>
      </c>
    </row>
    <row r="61" spans="1:14" s="4" customFormat="1" ht="18" hidden="1" x14ac:dyDescent="0.3">
      <c r="A61" s="9" t="s">
        <v>65</v>
      </c>
      <c r="B61" s="13">
        <f>VLOOKUP(Table2[[#This Row],[Location 
(drop-down)]],'List source'!D$2:E$60,2,FALSE)</f>
        <v>155</v>
      </c>
      <c r="C61" s="11" t="s">
        <v>194</v>
      </c>
      <c r="D61" s="108" t="str">
        <f t="shared" si="0"/>
        <v>C060-155-24</v>
      </c>
      <c r="E61" s="11" t="s">
        <v>3740</v>
      </c>
      <c r="F61" s="11"/>
      <c r="G61" s="9" t="s">
        <v>3801</v>
      </c>
      <c r="H61" s="10" t="s">
        <v>3621</v>
      </c>
      <c r="I61" s="12" t="s">
        <v>23</v>
      </c>
      <c r="J61" s="12">
        <v>45357</v>
      </c>
      <c r="K61" s="77">
        <v>45400</v>
      </c>
      <c r="L61" s="50"/>
      <c r="M61" s="13" t="str">
        <f t="shared" ca="1" si="1"/>
        <v>CLOSED</v>
      </c>
      <c r="N61" s="415">
        <f>+Table2[[#This Row],[Effectiveness Review &amp; date deemed effective]]-Table2[[#This Row],[CAR initialized date]]</f>
        <v>43</v>
      </c>
    </row>
    <row r="62" spans="1:14" s="4" customFormat="1" ht="18" hidden="1" x14ac:dyDescent="0.3">
      <c r="A62" s="9" t="s">
        <v>65</v>
      </c>
      <c r="B62" s="13">
        <f>VLOOKUP(Table2[[#This Row],[Location 
(drop-down)]],'List source'!D$2:E$60,2,FALSE)</f>
        <v>155</v>
      </c>
      <c r="C62" s="11" t="s">
        <v>198</v>
      </c>
      <c r="D62" s="108" t="str">
        <f t="shared" si="0"/>
        <v>C061-155-24</v>
      </c>
      <c r="E62" s="11" t="s">
        <v>3740</v>
      </c>
      <c r="F62" s="11"/>
      <c r="G62" s="9" t="s">
        <v>3802</v>
      </c>
      <c r="H62" s="10" t="s">
        <v>3621</v>
      </c>
      <c r="I62" s="12" t="s">
        <v>23</v>
      </c>
      <c r="J62" s="12">
        <v>45357</v>
      </c>
      <c r="K62" s="77">
        <v>45396</v>
      </c>
      <c r="L62" s="50"/>
      <c r="M62" s="13" t="str">
        <f t="shared" ca="1" si="1"/>
        <v>CLOSED</v>
      </c>
      <c r="N62" s="415">
        <f>+Table2[[#This Row],[Effectiveness Review &amp; date deemed effective]]-Table2[[#This Row],[CAR initialized date]]</f>
        <v>39</v>
      </c>
    </row>
    <row r="63" spans="1:14" s="4" customFormat="1" ht="18" hidden="1" x14ac:dyDescent="0.3">
      <c r="A63" s="9" t="s">
        <v>65</v>
      </c>
      <c r="B63" s="13">
        <f>VLOOKUP(Table2[[#This Row],[Location 
(drop-down)]],'List source'!D$2:E$60,2,FALSE)</f>
        <v>155</v>
      </c>
      <c r="C63" s="11" t="s">
        <v>201</v>
      </c>
      <c r="D63" s="108" t="str">
        <f t="shared" si="0"/>
        <v>C062-155-24</v>
      </c>
      <c r="E63" s="11" t="s">
        <v>3740</v>
      </c>
      <c r="F63" s="11"/>
      <c r="G63" s="9" t="s">
        <v>3803</v>
      </c>
      <c r="H63" s="10" t="s">
        <v>3621</v>
      </c>
      <c r="I63" s="12" t="s">
        <v>23</v>
      </c>
      <c r="J63" s="12">
        <v>45357</v>
      </c>
      <c r="K63" s="77">
        <v>45400</v>
      </c>
      <c r="L63" s="50"/>
      <c r="M63" s="13" t="str">
        <f t="shared" ca="1" si="1"/>
        <v>CLOSED</v>
      </c>
      <c r="N63" s="415">
        <f>+Table2[[#This Row],[Effectiveness Review &amp; date deemed effective]]-Table2[[#This Row],[CAR initialized date]]</f>
        <v>43</v>
      </c>
    </row>
    <row r="64" spans="1:14" s="4" customFormat="1" ht="18" hidden="1" x14ac:dyDescent="0.3">
      <c r="A64" s="9" t="s">
        <v>65</v>
      </c>
      <c r="B64" s="13">
        <f>VLOOKUP(Table2[[#This Row],[Location 
(drop-down)]],'List source'!D$2:E$60,2,FALSE)</f>
        <v>155</v>
      </c>
      <c r="C64" s="11" t="s">
        <v>203</v>
      </c>
      <c r="D64" s="108" t="str">
        <f t="shared" si="0"/>
        <v>C063-155-24</v>
      </c>
      <c r="E64" s="11" t="s">
        <v>3740</v>
      </c>
      <c r="F64" s="11"/>
      <c r="G64" s="9" t="s">
        <v>3804</v>
      </c>
      <c r="H64" s="10" t="s">
        <v>3621</v>
      </c>
      <c r="I64" s="12" t="s">
        <v>23</v>
      </c>
      <c r="J64" s="12">
        <v>45357</v>
      </c>
      <c r="K64" s="77">
        <v>45400</v>
      </c>
      <c r="L64" s="50"/>
      <c r="M64" s="13" t="str">
        <f t="shared" ca="1" si="1"/>
        <v>CLOSED</v>
      </c>
      <c r="N64" s="415">
        <f>+Table2[[#This Row],[Effectiveness Review &amp; date deemed effective]]-Table2[[#This Row],[CAR initialized date]]</f>
        <v>43</v>
      </c>
    </row>
    <row r="65" spans="1:14" s="4" customFormat="1" ht="18" hidden="1" x14ac:dyDescent="0.3">
      <c r="A65" s="9" t="s">
        <v>65</v>
      </c>
      <c r="B65" s="13">
        <f>VLOOKUP(Table2[[#This Row],[Location 
(drop-down)]],'List source'!D$2:E$60,2,FALSE)</f>
        <v>155</v>
      </c>
      <c r="C65" s="11" t="s">
        <v>205</v>
      </c>
      <c r="D65" s="108" t="str">
        <f t="shared" si="0"/>
        <v>C064-155-24</v>
      </c>
      <c r="E65" s="11" t="s">
        <v>3740</v>
      </c>
      <c r="F65" s="11"/>
      <c r="G65" s="9" t="s">
        <v>3805</v>
      </c>
      <c r="H65" s="10" t="s">
        <v>3621</v>
      </c>
      <c r="I65" s="12" t="s">
        <v>23</v>
      </c>
      <c r="J65" s="12">
        <v>45357</v>
      </c>
      <c r="K65" s="77">
        <v>45414</v>
      </c>
      <c r="L65" s="50"/>
      <c r="M65" s="13" t="str">
        <f t="shared" ca="1" si="1"/>
        <v>CLOSED</v>
      </c>
      <c r="N65" s="415">
        <f>+Table2[[#This Row],[Effectiveness Review &amp; date deemed effective]]-Table2[[#This Row],[CAR initialized date]]</f>
        <v>57</v>
      </c>
    </row>
    <row r="66" spans="1:14" s="4" customFormat="1" ht="18" hidden="1" x14ac:dyDescent="0.3">
      <c r="A66" s="9" t="s">
        <v>65</v>
      </c>
      <c r="B66" s="13">
        <f>VLOOKUP(Table2[[#This Row],[Location 
(drop-down)]],'List source'!D$2:E$60,2,FALSE)</f>
        <v>155</v>
      </c>
      <c r="C66" s="11" t="s">
        <v>206</v>
      </c>
      <c r="D66" s="108" t="str">
        <f t="shared" ref="D66:D129" si="2">"C" &amp; C66 &amp; "-" &amp; B66 &amp; "-" &amp; "24"</f>
        <v>C065-155-24</v>
      </c>
      <c r="E66" s="11" t="s">
        <v>3740</v>
      </c>
      <c r="F66" s="11"/>
      <c r="G66" s="9" t="s">
        <v>3806</v>
      </c>
      <c r="H66" s="10" t="s">
        <v>3621</v>
      </c>
      <c r="I66" s="12" t="s">
        <v>23</v>
      </c>
      <c r="J66" s="12">
        <v>45357</v>
      </c>
      <c r="K66" s="77">
        <v>45554</v>
      </c>
      <c r="L66" s="50"/>
      <c r="M66" s="13" t="str">
        <f t="shared" ca="1" si="1"/>
        <v>CLOSED</v>
      </c>
      <c r="N66" s="415">
        <f>+Table2[[#This Row],[Effectiveness Review &amp; date deemed effective]]-Table2[[#This Row],[CAR initialized date]]</f>
        <v>197</v>
      </c>
    </row>
    <row r="67" spans="1:14" s="4" customFormat="1" ht="28.5" hidden="1" customHeight="1" x14ac:dyDescent="0.3">
      <c r="A67" s="9" t="s">
        <v>65</v>
      </c>
      <c r="B67" s="13">
        <v>155</v>
      </c>
      <c r="C67" s="11" t="s">
        <v>208</v>
      </c>
      <c r="D67" s="108" t="str">
        <f t="shared" si="2"/>
        <v>C066-155-24</v>
      </c>
      <c r="E67" s="11" t="s">
        <v>3740</v>
      </c>
      <c r="F67" s="11"/>
      <c r="G67" s="9" t="s">
        <v>3807</v>
      </c>
      <c r="H67" s="10" t="s">
        <v>3737</v>
      </c>
      <c r="I67" s="12" t="s">
        <v>23</v>
      </c>
      <c r="J67" s="12">
        <v>45357</v>
      </c>
      <c r="K67" s="77">
        <v>45393</v>
      </c>
      <c r="L67" s="50"/>
      <c r="M67" s="13" t="str">
        <f t="shared" ref="M67:M130" ca="1" si="3">IF(ISBLANK(K67), TODAY()-J67, "CLOSED")</f>
        <v>CLOSED</v>
      </c>
      <c r="N67" s="415">
        <f>+Table2[[#This Row],[Effectiveness Review &amp; date deemed effective]]-Table2[[#This Row],[CAR initialized date]]</f>
        <v>36</v>
      </c>
    </row>
    <row r="68" spans="1:14" s="4" customFormat="1" ht="18" hidden="1" x14ac:dyDescent="0.3">
      <c r="A68" s="9" t="s">
        <v>113</v>
      </c>
      <c r="B68" s="13" t="str">
        <f>VLOOKUP(Table2[[#This Row],[Location 
(drop-down)]],'List source'!D$2:E$60,2,FALSE)</f>
        <v>VOID</v>
      </c>
      <c r="C68" s="11" t="s">
        <v>210</v>
      </c>
      <c r="D68" s="108" t="str">
        <f t="shared" si="2"/>
        <v>C067-VOID-24</v>
      </c>
      <c r="E68" s="11" t="s">
        <v>114</v>
      </c>
      <c r="F68" s="11" t="s">
        <v>114</v>
      </c>
      <c r="G68" s="9" t="s">
        <v>3808</v>
      </c>
      <c r="H68" s="12" t="s">
        <v>114</v>
      </c>
      <c r="I68" s="12" t="s">
        <v>114</v>
      </c>
      <c r="J68" s="12" t="s">
        <v>114</v>
      </c>
      <c r="K68" s="12" t="s">
        <v>114</v>
      </c>
      <c r="L68" s="50"/>
      <c r="M68" s="13" t="str">
        <f t="shared" ca="1" si="3"/>
        <v>CLOSED</v>
      </c>
      <c r="N68" s="415" t="e">
        <f>+Table2[[#This Row],[Effectiveness Review &amp; date deemed effective]]-Table2[[#This Row],[CAR initialized date]]</f>
        <v>#VALUE!</v>
      </c>
    </row>
    <row r="69" spans="1:14" s="4" customFormat="1" ht="28.8" hidden="1" x14ac:dyDescent="0.3">
      <c r="A69" s="9" t="s">
        <v>65</v>
      </c>
      <c r="B69" s="13">
        <f>VLOOKUP(Table2[[#This Row],[Location 
(drop-down)]],'List source'!D$2:E$60,2,FALSE)</f>
        <v>155</v>
      </c>
      <c r="C69" s="11" t="s">
        <v>212</v>
      </c>
      <c r="D69" s="108" t="str">
        <f t="shared" si="2"/>
        <v>C068-155-24</v>
      </c>
      <c r="E69" s="11" t="s">
        <v>3735</v>
      </c>
      <c r="F69" s="11" t="s">
        <v>3809</v>
      </c>
      <c r="G69" s="122" t="s">
        <v>3641</v>
      </c>
      <c r="H69" s="10" t="s">
        <v>3737</v>
      </c>
      <c r="I69" s="12" t="s">
        <v>18</v>
      </c>
      <c r="J69" s="12">
        <v>45345</v>
      </c>
      <c r="K69" s="77">
        <v>45349</v>
      </c>
      <c r="L69" s="50"/>
      <c r="M69" s="13" t="str">
        <f t="shared" ca="1" si="3"/>
        <v>CLOSED</v>
      </c>
      <c r="N69" s="415">
        <f>+Table2[[#This Row],[Effectiveness Review &amp; date deemed effective]]-Table2[[#This Row],[CAR initialized date]]</f>
        <v>4</v>
      </c>
    </row>
    <row r="70" spans="1:14" s="4" customFormat="1" ht="28.8" hidden="1" x14ac:dyDescent="0.3">
      <c r="A70" s="9" t="s">
        <v>21</v>
      </c>
      <c r="B70" s="13">
        <f>VLOOKUP(Table2[[#This Row],[Location 
(drop-down)]],'List source'!D$2:E$60,2,FALSE)</f>
        <v>131</v>
      </c>
      <c r="C70" s="11" t="s">
        <v>216</v>
      </c>
      <c r="D70" s="108" t="str">
        <f t="shared" si="2"/>
        <v>C069-131-24</v>
      </c>
      <c r="E70" s="11" t="s">
        <v>3773</v>
      </c>
      <c r="F70" s="10" t="s">
        <v>80</v>
      </c>
      <c r="G70" s="9" t="s">
        <v>3810</v>
      </c>
      <c r="H70" s="10" t="s">
        <v>3621</v>
      </c>
      <c r="I70" s="12" t="s">
        <v>54</v>
      </c>
      <c r="J70" s="12">
        <v>45338</v>
      </c>
      <c r="K70" s="77">
        <v>45349</v>
      </c>
      <c r="L70" s="50" t="s">
        <v>80</v>
      </c>
      <c r="M70" s="13" t="str">
        <f t="shared" ca="1" si="3"/>
        <v>CLOSED</v>
      </c>
      <c r="N70" s="415">
        <f>+Table2[[#This Row],[Effectiveness Review &amp; date deemed effective]]-Table2[[#This Row],[CAR initialized date]]</f>
        <v>11</v>
      </c>
    </row>
    <row r="71" spans="1:14" s="4" customFormat="1" ht="28.8" hidden="1" x14ac:dyDescent="0.3">
      <c r="A71" s="9" t="s">
        <v>21</v>
      </c>
      <c r="B71" s="13">
        <f>VLOOKUP(Table2[[#This Row],[Location 
(drop-down)]],'List source'!D$2:E$60,2,FALSE)</f>
        <v>131</v>
      </c>
      <c r="C71" s="11" t="s">
        <v>218</v>
      </c>
      <c r="D71" s="108" t="str">
        <f t="shared" si="2"/>
        <v>C070-131-24</v>
      </c>
      <c r="E71" s="11" t="s">
        <v>3773</v>
      </c>
      <c r="F71" s="10" t="s">
        <v>80</v>
      </c>
      <c r="G71" s="9" t="s">
        <v>3811</v>
      </c>
      <c r="H71" s="10" t="s">
        <v>3621</v>
      </c>
      <c r="I71" s="12" t="s">
        <v>54</v>
      </c>
      <c r="J71" s="12">
        <v>45344</v>
      </c>
      <c r="K71" s="77">
        <v>45350</v>
      </c>
      <c r="L71" s="50" t="s">
        <v>80</v>
      </c>
      <c r="M71" s="13" t="str">
        <f t="shared" ca="1" si="3"/>
        <v>CLOSED</v>
      </c>
      <c r="N71" s="415">
        <f>+Table2[[#This Row],[Effectiveness Review &amp; date deemed effective]]-Table2[[#This Row],[CAR initialized date]]</f>
        <v>6</v>
      </c>
    </row>
    <row r="72" spans="1:14" s="4" customFormat="1" ht="28.8" hidden="1" x14ac:dyDescent="0.3">
      <c r="A72" s="9" t="s">
        <v>44</v>
      </c>
      <c r="B72" s="13">
        <f>VLOOKUP(Table2[[#This Row],[Location 
(drop-down)]],'List source'!D$2:E$60,2,FALSE)</f>
        <v>192</v>
      </c>
      <c r="C72" s="11" t="s">
        <v>222</v>
      </c>
      <c r="D72" s="108" t="str">
        <f t="shared" si="2"/>
        <v>C071-192-24</v>
      </c>
      <c r="E72" s="11" t="s">
        <v>3770</v>
      </c>
      <c r="F72" s="11" t="s">
        <v>3772</v>
      </c>
      <c r="G72" s="9" t="s">
        <v>3812</v>
      </c>
      <c r="H72" s="10" t="s">
        <v>3785</v>
      </c>
      <c r="I72" s="12" t="s">
        <v>330</v>
      </c>
      <c r="J72" s="12">
        <v>45348</v>
      </c>
      <c r="K72" s="77">
        <v>45373</v>
      </c>
      <c r="L72" s="50"/>
      <c r="M72" s="13" t="str">
        <f t="shared" ca="1" si="3"/>
        <v>CLOSED</v>
      </c>
      <c r="N72" s="415">
        <f>+Table2[[#This Row],[Effectiveness Review &amp; date deemed effective]]-Table2[[#This Row],[CAR initialized date]]</f>
        <v>25</v>
      </c>
    </row>
    <row r="73" spans="1:14" s="4" customFormat="1" ht="18" hidden="1" x14ac:dyDescent="0.3">
      <c r="A73" s="9" t="s">
        <v>75</v>
      </c>
      <c r="B73" s="13">
        <f>VLOOKUP(Table2[[#This Row],[Location 
(drop-down)]],'List source'!D$2:E$60,2,FALSE)</f>
        <v>190</v>
      </c>
      <c r="C73" s="11" t="s">
        <v>224</v>
      </c>
      <c r="D73" s="108" t="str">
        <f t="shared" si="2"/>
        <v>C072-190-24</v>
      </c>
      <c r="E73" s="11" t="s">
        <v>3740</v>
      </c>
      <c r="F73" s="11"/>
      <c r="G73" s="9" t="s">
        <v>3746</v>
      </c>
      <c r="H73" s="10" t="s">
        <v>3737</v>
      </c>
      <c r="I73" s="12" t="s">
        <v>18</v>
      </c>
      <c r="J73" s="12">
        <v>45352</v>
      </c>
      <c r="K73" s="77">
        <v>45376</v>
      </c>
      <c r="L73" s="50"/>
      <c r="M73" s="13" t="str">
        <f t="shared" ca="1" si="3"/>
        <v>CLOSED</v>
      </c>
      <c r="N73" s="415">
        <f>+Table2[[#This Row],[Effectiveness Review &amp; date deemed effective]]-Table2[[#This Row],[CAR initialized date]]</f>
        <v>24</v>
      </c>
    </row>
    <row r="74" spans="1:14" s="4" customFormat="1" ht="28.8" hidden="1" x14ac:dyDescent="0.3">
      <c r="A74" s="9" t="s">
        <v>75</v>
      </c>
      <c r="B74" s="13">
        <f>VLOOKUP(Table2[[#This Row],[Location 
(drop-down)]],'List source'!D$2:E$60,2,FALSE)</f>
        <v>190</v>
      </c>
      <c r="C74" s="11" t="s">
        <v>225</v>
      </c>
      <c r="D74" s="108" t="str">
        <f t="shared" si="2"/>
        <v>C073-190-24</v>
      </c>
      <c r="E74" s="11" t="s">
        <v>3740</v>
      </c>
      <c r="F74" s="11"/>
      <c r="G74" s="101" t="s">
        <v>3813</v>
      </c>
      <c r="H74" s="10" t="s">
        <v>3737</v>
      </c>
      <c r="I74" s="14" t="s">
        <v>18</v>
      </c>
      <c r="J74" s="12">
        <v>45352</v>
      </c>
      <c r="K74" s="77">
        <v>45376</v>
      </c>
      <c r="L74" s="50"/>
      <c r="M74" s="13" t="str">
        <f t="shared" ca="1" si="3"/>
        <v>CLOSED</v>
      </c>
      <c r="N74" s="415">
        <f>+Table2[[#This Row],[Effectiveness Review &amp; date deemed effective]]-Table2[[#This Row],[CAR initialized date]]</f>
        <v>24</v>
      </c>
    </row>
    <row r="75" spans="1:14" s="4" customFormat="1" ht="18" hidden="1" x14ac:dyDescent="0.3">
      <c r="A75" s="235" t="s">
        <v>65</v>
      </c>
      <c r="B75" s="236">
        <f>VLOOKUP(Table2[[#This Row],[Location 
(drop-down)]],'List source'!D$2:E$60,2,FALSE)</f>
        <v>155</v>
      </c>
      <c r="C75" s="248" t="s">
        <v>226</v>
      </c>
      <c r="D75" s="284" t="str">
        <f t="shared" si="2"/>
        <v>C074-155-24</v>
      </c>
      <c r="E75" s="248" t="s">
        <v>3740</v>
      </c>
      <c r="F75" s="248"/>
      <c r="G75" s="235" t="s">
        <v>3814</v>
      </c>
      <c r="H75" s="263" t="s">
        <v>3621</v>
      </c>
      <c r="I75" s="270" t="s">
        <v>23</v>
      </c>
      <c r="J75" s="264">
        <v>45357</v>
      </c>
      <c r="K75" s="250">
        <v>45642</v>
      </c>
      <c r="L75" s="50"/>
      <c r="M75" s="13" t="str">
        <f t="shared" ca="1" si="3"/>
        <v>CLOSED</v>
      </c>
      <c r="N75" s="415">
        <f>+Table2[[#This Row],[Effectiveness Review &amp; date deemed effective]]-Table2[[#This Row],[CAR initialized date]]</f>
        <v>285</v>
      </c>
    </row>
    <row r="76" spans="1:14" s="4" customFormat="1" ht="28.8" hidden="1" x14ac:dyDescent="0.3">
      <c r="A76" s="9" t="s">
        <v>90</v>
      </c>
      <c r="B76" s="13">
        <f>VLOOKUP(Table2[[#This Row],[Location 
(drop-down)]],'List source'!D$2:E$60,2,FALSE)</f>
        <v>157</v>
      </c>
      <c r="C76" s="11" t="s">
        <v>227</v>
      </c>
      <c r="D76" s="108" t="str">
        <f t="shared" si="2"/>
        <v>C075-157-24</v>
      </c>
      <c r="E76" s="11" t="s">
        <v>3770</v>
      </c>
      <c r="F76" s="11" t="s">
        <v>3815</v>
      </c>
      <c r="G76" s="101" t="s">
        <v>3816</v>
      </c>
      <c r="H76" s="10" t="s">
        <v>3737</v>
      </c>
      <c r="I76" s="14" t="s">
        <v>18</v>
      </c>
      <c r="J76" s="12">
        <v>45357</v>
      </c>
      <c r="K76" s="77">
        <v>45359</v>
      </c>
      <c r="L76" s="50"/>
      <c r="M76" s="13" t="str">
        <f t="shared" ca="1" si="3"/>
        <v>CLOSED</v>
      </c>
      <c r="N76" s="415">
        <f>+Table2[[#This Row],[Effectiveness Review &amp; date deemed effective]]-Table2[[#This Row],[CAR initialized date]]</f>
        <v>2</v>
      </c>
    </row>
    <row r="77" spans="1:14" s="4" customFormat="1" ht="28.8" hidden="1" x14ac:dyDescent="0.3">
      <c r="A77" s="9" t="s">
        <v>113</v>
      </c>
      <c r="B77" s="13" t="str">
        <f>VLOOKUP(Table2[[#This Row],[Location 
(drop-down)]],'List source'!D$2:E$60,2,FALSE)</f>
        <v>VOID</v>
      </c>
      <c r="C77" s="11" t="s">
        <v>229</v>
      </c>
      <c r="D77" s="108" t="str">
        <f t="shared" si="2"/>
        <v>C076-VOID-24</v>
      </c>
      <c r="E77" s="11" t="s">
        <v>114</v>
      </c>
      <c r="F77" s="11" t="s">
        <v>114</v>
      </c>
      <c r="G77" s="101" t="s">
        <v>3817</v>
      </c>
      <c r="H77" s="12" t="s">
        <v>114</v>
      </c>
      <c r="I77" s="11" t="s">
        <v>114</v>
      </c>
      <c r="J77" s="11" t="s">
        <v>114</v>
      </c>
      <c r="K77" s="77" t="s">
        <v>114</v>
      </c>
      <c r="L77" s="434" t="s">
        <v>3818</v>
      </c>
      <c r="M77" s="13" t="str">
        <f t="shared" ca="1" si="3"/>
        <v>CLOSED</v>
      </c>
      <c r="N77" s="415" t="e">
        <f>+Table2[[#This Row],[Effectiveness Review &amp; date deemed effective]]-Table2[[#This Row],[CAR initialized date]]</f>
        <v>#VALUE!</v>
      </c>
    </row>
    <row r="78" spans="1:14" s="4" customFormat="1" ht="43.2" hidden="1" x14ac:dyDescent="0.3">
      <c r="A78" s="9" t="s">
        <v>113</v>
      </c>
      <c r="B78" s="13" t="str">
        <f>VLOOKUP(Table2[[#This Row],[Location 
(drop-down)]],'List source'!D$2:E$60,2,FALSE)</f>
        <v>VOID</v>
      </c>
      <c r="C78" s="11" t="s">
        <v>233</v>
      </c>
      <c r="D78" s="108" t="str">
        <f t="shared" si="2"/>
        <v>C077-VOID-24</v>
      </c>
      <c r="E78" s="11" t="s">
        <v>114</v>
      </c>
      <c r="F78" s="11" t="s">
        <v>114</v>
      </c>
      <c r="G78" s="101" t="s">
        <v>3819</v>
      </c>
      <c r="H78" s="12" t="s">
        <v>114</v>
      </c>
      <c r="I78" s="11" t="s">
        <v>114</v>
      </c>
      <c r="J78" s="11" t="s">
        <v>114</v>
      </c>
      <c r="K78" s="77" t="s">
        <v>114</v>
      </c>
      <c r="L78" s="434" t="s">
        <v>3818</v>
      </c>
      <c r="M78" s="13" t="str">
        <f t="shared" ca="1" si="3"/>
        <v>CLOSED</v>
      </c>
      <c r="N78" s="415" t="e">
        <f>+Table2[[#This Row],[Effectiveness Review &amp; date deemed effective]]-Table2[[#This Row],[CAR initialized date]]</f>
        <v>#VALUE!</v>
      </c>
    </row>
    <row r="79" spans="1:14" s="4" customFormat="1" ht="18" hidden="1" x14ac:dyDescent="0.3">
      <c r="A79" s="9" t="s">
        <v>93</v>
      </c>
      <c r="B79" s="13">
        <f>VLOOKUP(Table2[[#This Row],[Location 
(drop-down)]],'List source'!D$2:E$60,2,FALSE)</f>
        <v>128</v>
      </c>
      <c r="C79" s="11" t="s">
        <v>236</v>
      </c>
      <c r="D79" s="108" t="str">
        <f t="shared" si="2"/>
        <v>C078-128-24</v>
      </c>
      <c r="E79" s="11" t="s">
        <v>3740</v>
      </c>
      <c r="F79" s="11"/>
      <c r="G79" s="101" t="s">
        <v>3820</v>
      </c>
      <c r="H79" s="10" t="s">
        <v>3621</v>
      </c>
      <c r="I79" s="14" t="s">
        <v>41</v>
      </c>
      <c r="J79" s="12">
        <v>45363</v>
      </c>
      <c r="K79" s="77">
        <v>45408</v>
      </c>
      <c r="L79" s="50"/>
      <c r="M79" s="13" t="str">
        <f t="shared" ca="1" si="3"/>
        <v>CLOSED</v>
      </c>
      <c r="N79" s="415">
        <f>+Table2[[#This Row],[Effectiveness Review &amp; date deemed effective]]-Table2[[#This Row],[CAR initialized date]]</f>
        <v>45</v>
      </c>
    </row>
    <row r="80" spans="1:14" s="4" customFormat="1" ht="18" hidden="1" x14ac:dyDescent="0.3">
      <c r="A80" s="9" t="s">
        <v>93</v>
      </c>
      <c r="B80" s="13">
        <f>VLOOKUP(Table2[[#This Row],[Location 
(drop-down)]],'List source'!D$2:E$60,2,FALSE)</f>
        <v>128</v>
      </c>
      <c r="C80" s="11" t="s">
        <v>238</v>
      </c>
      <c r="D80" s="108" t="str">
        <f t="shared" si="2"/>
        <v>C079-128-24</v>
      </c>
      <c r="E80" s="11" t="s">
        <v>3740</v>
      </c>
      <c r="F80" s="11"/>
      <c r="G80" s="90" t="s">
        <v>3821</v>
      </c>
      <c r="H80" s="10" t="s">
        <v>3621</v>
      </c>
      <c r="I80" s="14" t="s">
        <v>41</v>
      </c>
      <c r="J80" s="12">
        <v>45363</v>
      </c>
      <c r="K80" s="77">
        <v>45441</v>
      </c>
      <c r="L80" s="50"/>
      <c r="M80" s="13" t="str">
        <f t="shared" ca="1" si="3"/>
        <v>CLOSED</v>
      </c>
      <c r="N80" s="415">
        <f>+Table2[[#This Row],[Effectiveness Review &amp; date deemed effective]]-Table2[[#This Row],[CAR initialized date]]</f>
        <v>78</v>
      </c>
    </row>
    <row r="81" spans="1:14" s="4" customFormat="1" ht="18" hidden="1" x14ac:dyDescent="0.3">
      <c r="A81" s="9" t="s">
        <v>93</v>
      </c>
      <c r="B81" s="13">
        <f>VLOOKUP(Table2[[#This Row],[Location 
(drop-down)]],'List source'!D$2:E$60,2,FALSE)</f>
        <v>128</v>
      </c>
      <c r="C81" s="11" t="s">
        <v>240</v>
      </c>
      <c r="D81" s="108" t="str">
        <f t="shared" si="2"/>
        <v>C080-128-24</v>
      </c>
      <c r="E81" s="11" t="s">
        <v>3740</v>
      </c>
      <c r="F81" s="11"/>
      <c r="G81" s="101" t="s">
        <v>3822</v>
      </c>
      <c r="H81" s="10" t="s">
        <v>3621</v>
      </c>
      <c r="I81" s="14" t="s">
        <v>41</v>
      </c>
      <c r="J81" s="12">
        <v>45363</v>
      </c>
      <c r="K81" s="77">
        <v>45396</v>
      </c>
      <c r="L81" s="50"/>
      <c r="M81" s="13" t="str">
        <f t="shared" ca="1" si="3"/>
        <v>CLOSED</v>
      </c>
      <c r="N81" s="415">
        <f>+Table2[[#This Row],[Effectiveness Review &amp; date deemed effective]]-Table2[[#This Row],[CAR initialized date]]</f>
        <v>33</v>
      </c>
    </row>
    <row r="82" spans="1:14" s="4" customFormat="1" ht="18" hidden="1" x14ac:dyDescent="0.3">
      <c r="A82" s="9" t="s">
        <v>93</v>
      </c>
      <c r="B82" s="13">
        <f>VLOOKUP(Table2[[#This Row],[Location 
(drop-down)]],'List source'!D$2:E$60,2,FALSE)</f>
        <v>128</v>
      </c>
      <c r="C82" s="11" t="s">
        <v>242</v>
      </c>
      <c r="D82" s="108" t="str">
        <f t="shared" si="2"/>
        <v>C081-128-24</v>
      </c>
      <c r="E82" s="11" t="s">
        <v>3740</v>
      </c>
      <c r="F82" s="11"/>
      <c r="G82" s="101" t="s">
        <v>3823</v>
      </c>
      <c r="H82" s="10" t="s">
        <v>3621</v>
      </c>
      <c r="I82" s="14" t="s">
        <v>41</v>
      </c>
      <c r="J82" s="12">
        <v>45363</v>
      </c>
      <c r="K82" s="77">
        <v>45687</v>
      </c>
      <c r="L82" s="50"/>
      <c r="M82" s="13" t="str">
        <f t="shared" ca="1" si="3"/>
        <v>CLOSED</v>
      </c>
      <c r="N82" s="415">
        <f>+Table2[[#This Row],[Effectiveness Review &amp; date deemed effective]]-Table2[[#This Row],[CAR initialized date]]</f>
        <v>324</v>
      </c>
    </row>
    <row r="83" spans="1:14" s="4" customFormat="1" ht="18" hidden="1" x14ac:dyDescent="0.3">
      <c r="A83" s="9" t="s">
        <v>93</v>
      </c>
      <c r="B83" s="13">
        <f>VLOOKUP(Table2[[#This Row],[Location 
(drop-down)]],'List source'!D$2:E$60,2,FALSE)</f>
        <v>128</v>
      </c>
      <c r="C83" s="11" t="s">
        <v>243</v>
      </c>
      <c r="D83" s="108" t="str">
        <f t="shared" si="2"/>
        <v>C082-128-24</v>
      </c>
      <c r="E83" s="11" t="s">
        <v>3740</v>
      </c>
      <c r="F83" s="11"/>
      <c r="G83" s="101" t="s">
        <v>3824</v>
      </c>
      <c r="H83" s="10" t="s">
        <v>3621</v>
      </c>
      <c r="I83" s="14" t="s">
        <v>41</v>
      </c>
      <c r="J83" s="12">
        <v>45363</v>
      </c>
      <c r="K83" s="77">
        <v>45436</v>
      </c>
      <c r="L83" s="50"/>
      <c r="M83" s="13" t="str">
        <f t="shared" ca="1" si="3"/>
        <v>CLOSED</v>
      </c>
      <c r="N83" s="415">
        <f>+Table2[[#This Row],[Effectiveness Review &amp; date deemed effective]]-Table2[[#This Row],[CAR initialized date]]</f>
        <v>73</v>
      </c>
    </row>
    <row r="84" spans="1:14" s="4" customFormat="1" ht="18" hidden="1" x14ac:dyDescent="0.3">
      <c r="A84" s="9" t="s">
        <v>93</v>
      </c>
      <c r="B84" s="13">
        <f>VLOOKUP(Table2[[#This Row],[Location 
(drop-down)]],'List source'!D$2:E$60,2,FALSE)</f>
        <v>128</v>
      </c>
      <c r="C84" s="11" t="s">
        <v>246</v>
      </c>
      <c r="D84" s="108" t="str">
        <f t="shared" si="2"/>
        <v>C083-128-24</v>
      </c>
      <c r="E84" s="11" t="s">
        <v>3740</v>
      </c>
      <c r="F84" s="11"/>
      <c r="G84" s="9" t="s">
        <v>3825</v>
      </c>
      <c r="H84" s="10" t="s">
        <v>3621</v>
      </c>
      <c r="I84" s="14" t="s">
        <v>41</v>
      </c>
      <c r="J84" s="12">
        <v>45363</v>
      </c>
      <c r="K84" s="77">
        <v>45572</v>
      </c>
      <c r="L84" s="50"/>
      <c r="M84" s="13" t="str">
        <f t="shared" ca="1" si="3"/>
        <v>CLOSED</v>
      </c>
      <c r="N84" s="415">
        <f>+Table2[[#This Row],[Effectiveness Review &amp; date deemed effective]]-Table2[[#This Row],[CAR initialized date]]</f>
        <v>209</v>
      </c>
    </row>
    <row r="85" spans="1:14" s="4" customFormat="1" ht="18" hidden="1" x14ac:dyDescent="0.3">
      <c r="A85" s="9" t="s">
        <v>93</v>
      </c>
      <c r="B85" s="13">
        <f>VLOOKUP(Table2[[#This Row],[Location 
(drop-down)]],'List source'!D$2:E$60,2,FALSE)</f>
        <v>128</v>
      </c>
      <c r="C85" s="11" t="s">
        <v>251</v>
      </c>
      <c r="D85" s="108" t="str">
        <f t="shared" si="2"/>
        <v>C084-128-24</v>
      </c>
      <c r="E85" s="11" t="s">
        <v>3740</v>
      </c>
      <c r="F85" s="11"/>
      <c r="G85" s="9" t="s">
        <v>3826</v>
      </c>
      <c r="H85" s="14" t="s">
        <v>3737</v>
      </c>
      <c r="I85" s="14" t="s">
        <v>41</v>
      </c>
      <c r="J85" s="12">
        <v>45363</v>
      </c>
      <c r="K85" s="78">
        <v>45408</v>
      </c>
      <c r="L85" s="50"/>
      <c r="M85" s="13" t="str">
        <f t="shared" ca="1" si="3"/>
        <v>CLOSED</v>
      </c>
      <c r="N85" s="415">
        <f>+Table2[[#This Row],[Effectiveness Review &amp; date deemed effective]]-Table2[[#This Row],[CAR initialized date]]</f>
        <v>45</v>
      </c>
    </row>
    <row r="86" spans="1:14" s="4" customFormat="1" ht="18" hidden="1" x14ac:dyDescent="0.3">
      <c r="A86" s="9" t="s">
        <v>93</v>
      </c>
      <c r="B86" s="13">
        <f>VLOOKUP(Table2[[#This Row],[Location 
(drop-down)]],'List source'!D$2:E$60,2,FALSE)</f>
        <v>128</v>
      </c>
      <c r="C86" s="11" t="s">
        <v>253</v>
      </c>
      <c r="D86" s="108" t="str">
        <f t="shared" si="2"/>
        <v>C085-128-24</v>
      </c>
      <c r="E86" s="11" t="s">
        <v>3740</v>
      </c>
      <c r="F86" s="11"/>
      <c r="G86" s="9" t="s">
        <v>3827</v>
      </c>
      <c r="H86" s="10" t="s">
        <v>3737</v>
      </c>
      <c r="I86" s="14" t="s">
        <v>41</v>
      </c>
      <c r="J86" s="12">
        <v>45363</v>
      </c>
      <c r="K86" s="78">
        <v>45387</v>
      </c>
      <c r="L86" s="50"/>
      <c r="M86" s="13" t="str">
        <f t="shared" ca="1" si="3"/>
        <v>CLOSED</v>
      </c>
      <c r="N86" s="415">
        <f>+Table2[[#This Row],[Effectiveness Review &amp; date deemed effective]]-Table2[[#This Row],[CAR initialized date]]</f>
        <v>24</v>
      </c>
    </row>
    <row r="87" spans="1:14" s="4" customFormat="1" ht="18" hidden="1" x14ac:dyDescent="0.3">
      <c r="A87" s="9" t="s">
        <v>93</v>
      </c>
      <c r="B87" s="13">
        <f>VLOOKUP(Table2[[#This Row],[Location 
(drop-down)]],'List source'!D$2:E$60,2,FALSE)</f>
        <v>128</v>
      </c>
      <c r="C87" s="11" t="s">
        <v>257</v>
      </c>
      <c r="D87" s="108" t="str">
        <f t="shared" si="2"/>
        <v>C086-128-24</v>
      </c>
      <c r="E87" s="11" t="s">
        <v>3740</v>
      </c>
      <c r="F87" s="11"/>
      <c r="G87" s="9" t="s">
        <v>3828</v>
      </c>
      <c r="H87" s="10" t="s">
        <v>3621</v>
      </c>
      <c r="I87" s="14" t="s">
        <v>41</v>
      </c>
      <c r="J87" s="12">
        <v>45363</v>
      </c>
      <c r="K87" s="78">
        <v>45408</v>
      </c>
      <c r="L87" s="50"/>
      <c r="M87" s="13" t="str">
        <f t="shared" ca="1" si="3"/>
        <v>CLOSED</v>
      </c>
      <c r="N87" s="415">
        <f>+Table2[[#This Row],[Effectiveness Review &amp; date deemed effective]]-Table2[[#This Row],[CAR initialized date]]</f>
        <v>45</v>
      </c>
    </row>
    <row r="88" spans="1:14" s="4" customFormat="1" ht="18" hidden="1" x14ac:dyDescent="0.3">
      <c r="A88" s="9" t="s">
        <v>90</v>
      </c>
      <c r="B88" s="13">
        <f>VLOOKUP(Table2[[#This Row],[Location 
(drop-down)]],'List source'!D$2:E$60,2,FALSE)</f>
        <v>157</v>
      </c>
      <c r="C88" s="11" t="s">
        <v>259</v>
      </c>
      <c r="D88" s="108" t="str">
        <f t="shared" si="2"/>
        <v>C087-157-24</v>
      </c>
      <c r="E88" s="11" t="s">
        <v>3740</v>
      </c>
      <c r="F88" s="11"/>
      <c r="G88" s="9" t="s">
        <v>3824</v>
      </c>
      <c r="H88" s="10" t="s">
        <v>3621</v>
      </c>
      <c r="I88" s="14" t="s">
        <v>41</v>
      </c>
      <c r="J88" s="12">
        <v>45363</v>
      </c>
      <c r="K88" s="78">
        <v>45436</v>
      </c>
      <c r="L88" s="50"/>
      <c r="M88" s="13" t="str">
        <f t="shared" ca="1" si="3"/>
        <v>CLOSED</v>
      </c>
      <c r="N88" s="415">
        <f>+Table2[[#This Row],[Effectiveness Review &amp; date deemed effective]]-Table2[[#This Row],[CAR initialized date]]</f>
        <v>73</v>
      </c>
    </row>
    <row r="89" spans="1:14" s="4" customFormat="1" ht="18" hidden="1" x14ac:dyDescent="0.3">
      <c r="A89" s="9" t="s">
        <v>90</v>
      </c>
      <c r="B89" s="13">
        <f>VLOOKUP(Table2[[#This Row],[Location 
(drop-down)]],'List source'!D$2:E$60,2,FALSE)</f>
        <v>157</v>
      </c>
      <c r="C89" s="11" t="s">
        <v>262</v>
      </c>
      <c r="D89" s="108" t="str">
        <f t="shared" si="2"/>
        <v>C088-157-24</v>
      </c>
      <c r="E89" s="11" t="s">
        <v>3740</v>
      </c>
      <c r="F89" s="11"/>
      <c r="G89" s="9" t="s">
        <v>3829</v>
      </c>
      <c r="H89" s="10" t="s">
        <v>3621</v>
      </c>
      <c r="I89" s="14" t="s">
        <v>41</v>
      </c>
      <c r="J89" s="12">
        <v>45363</v>
      </c>
      <c r="K89" s="77">
        <v>45427</v>
      </c>
      <c r="L89" s="50"/>
      <c r="M89" s="13" t="str">
        <f t="shared" ca="1" si="3"/>
        <v>CLOSED</v>
      </c>
      <c r="N89" s="415">
        <f>+Table2[[#This Row],[Effectiveness Review &amp; date deemed effective]]-Table2[[#This Row],[CAR initialized date]]</f>
        <v>64</v>
      </c>
    </row>
    <row r="90" spans="1:14" s="4" customFormat="1" ht="18" hidden="1" x14ac:dyDescent="0.3">
      <c r="A90" s="9" t="s">
        <v>90</v>
      </c>
      <c r="B90" s="13">
        <f>VLOOKUP(Table2[[#This Row],[Location 
(drop-down)]],'List source'!D$2:E$60,2,FALSE)</f>
        <v>157</v>
      </c>
      <c r="C90" s="11" t="s">
        <v>265</v>
      </c>
      <c r="D90" s="108" t="str">
        <f t="shared" si="2"/>
        <v>C089-157-24</v>
      </c>
      <c r="E90" s="11" t="s">
        <v>3740</v>
      </c>
      <c r="F90" s="11"/>
      <c r="G90" s="9" t="s">
        <v>3830</v>
      </c>
      <c r="H90" s="10" t="s">
        <v>3621</v>
      </c>
      <c r="I90" s="14" t="s">
        <v>41</v>
      </c>
      <c r="J90" s="12">
        <v>45363</v>
      </c>
      <c r="K90" s="77">
        <v>45427</v>
      </c>
      <c r="L90" s="50"/>
      <c r="M90" s="13" t="str">
        <f t="shared" ca="1" si="3"/>
        <v>CLOSED</v>
      </c>
      <c r="N90" s="415">
        <f>+Table2[[#This Row],[Effectiveness Review &amp; date deemed effective]]-Table2[[#This Row],[CAR initialized date]]</f>
        <v>64</v>
      </c>
    </row>
    <row r="91" spans="1:14" s="4" customFormat="1" ht="18" hidden="1" x14ac:dyDescent="0.3">
      <c r="A91" s="9" t="s">
        <v>90</v>
      </c>
      <c r="B91" s="13">
        <f>VLOOKUP(Table2[[#This Row],[Location 
(drop-down)]],'List source'!D$2:E$60,2,FALSE)</f>
        <v>157</v>
      </c>
      <c r="C91" s="11" t="s">
        <v>267</v>
      </c>
      <c r="D91" s="108" t="str">
        <f t="shared" si="2"/>
        <v>C090-157-24</v>
      </c>
      <c r="E91" s="11" t="s">
        <v>3740</v>
      </c>
      <c r="F91" s="11"/>
      <c r="G91" s="102" t="s">
        <v>3831</v>
      </c>
      <c r="H91" s="10" t="s">
        <v>3785</v>
      </c>
      <c r="I91" s="14" t="s">
        <v>41</v>
      </c>
      <c r="J91" s="12">
        <v>45363</v>
      </c>
      <c r="K91" s="77">
        <v>45427</v>
      </c>
      <c r="L91" s="50"/>
      <c r="M91" s="13" t="str">
        <f t="shared" ca="1" si="3"/>
        <v>CLOSED</v>
      </c>
      <c r="N91" s="415">
        <f>+Table2[[#This Row],[Effectiveness Review &amp; date deemed effective]]-Table2[[#This Row],[CAR initialized date]]</f>
        <v>64</v>
      </c>
    </row>
    <row r="92" spans="1:14" s="4" customFormat="1" ht="18" hidden="1" x14ac:dyDescent="0.3">
      <c r="A92" s="9" t="s">
        <v>95</v>
      </c>
      <c r="B92" s="13">
        <f>VLOOKUP(Table2[[#This Row],[Location 
(drop-down)]],'List source'!D$2:E$60,2,FALSE)</f>
        <v>111</v>
      </c>
      <c r="C92" s="11" t="s">
        <v>269</v>
      </c>
      <c r="D92" s="108" t="str">
        <f t="shared" si="2"/>
        <v>C091-111-24</v>
      </c>
      <c r="E92" s="11" t="s">
        <v>3740</v>
      </c>
      <c r="F92" s="11"/>
      <c r="G92" s="9" t="s">
        <v>3832</v>
      </c>
      <c r="H92" s="10" t="s">
        <v>3737</v>
      </c>
      <c r="I92" s="12" t="s">
        <v>18</v>
      </c>
      <c r="J92" s="12">
        <v>45364</v>
      </c>
      <c r="K92" s="77">
        <v>45408</v>
      </c>
      <c r="L92" s="50"/>
      <c r="M92" s="13" t="str">
        <f t="shared" ca="1" si="3"/>
        <v>CLOSED</v>
      </c>
      <c r="N92" s="415">
        <f>+Table2[[#This Row],[Effectiveness Review &amp; date deemed effective]]-Table2[[#This Row],[CAR initialized date]]</f>
        <v>44</v>
      </c>
    </row>
    <row r="93" spans="1:14" s="4" customFormat="1" ht="18" hidden="1" x14ac:dyDescent="0.3">
      <c r="A93" s="9" t="s">
        <v>95</v>
      </c>
      <c r="B93" s="13">
        <f>VLOOKUP(Table2[[#This Row],[Location 
(drop-down)]],'List source'!D$2:E$60,2,FALSE)</f>
        <v>111</v>
      </c>
      <c r="C93" s="11" t="s">
        <v>270</v>
      </c>
      <c r="D93" s="108" t="str">
        <f t="shared" si="2"/>
        <v>C092-111-24</v>
      </c>
      <c r="E93" s="11" t="s">
        <v>3740</v>
      </c>
      <c r="F93" s="11"/>
      <c r="G93" s="9" t="s">
        <v>3833</v>
      </c>
      <c r="H93" s="10" t="s">
        <v>3737</v>
      </c>
      <c r="I93" s="12" t="s">
        <v>18</v>
      </c>
      <c r="J93" s="12">
        <v>45364</v>
      </c>
      <c r="K93" s="77">
        <v>45475</v>
      </c>
      <c r="L93" s="50"/>
      <c r="M93" s="13" t="str">
        <f t="shared" ca="1" si="3"/>
        <v>CLOSED</v>
      </c>
      <c r="N93" s="415">
        <f>+Table2[[#This Row],[Effectiveness Review &amp; date deemed effective]]-Table2[[#This Row],[CAR initialized date]]</f>
        <v>111</v>
      </c>
    </row>
    <row r="94" spans="1:14" s="4" customFormat="1" ht="18" hidden="1" x14ac:dyDescent="0.3">
      <c r="A94" s="9" t="s">
        <v>235</v>
      </c>
      <c r="B94" s="13">
        <f>VLOOKUP(Table2[[#This Row],[Location 
(drop-down)]],'List source'!D$2:E$60,2,FALSE)</f>
        <v>160</v>
      </c>
      <c r="C94" s="11" t="s">
        <v>272</v>
      </c>
      <c r="D94" s="108" t="str">
        <f t="shared" si="2"/>
        <v>C093-160-24</v>
      </c>
      <c r="E94" s="11" t="s">
        <v>3735</v>
      </c>
      <c r="F94" s="11" t="s">
        <v>3834</v>
      </c>
      <c r="G94" s="9" t="s">
        <v>3835</v>
      </c>
      <c r="H94" s="10" t="s">
        <v>3621</v>
      </c>
      <c r="I94" s="12" t="s">
        <v>18</v>
      </c>
      <c r="J94" s="12">
        <v>45364</v>
      </c>
      <c r="K94" s="77">
        <v>45371</v>
      </c>
      <c r="L94" s="432">
        <v>45372</v>
      </c>
      <c r="M94" s="13" t="str">
        <f t="shared" ca="1" si="3"/>
        <v>CLOSED</v>
      </c>
      <c r="N94" s="415">
        <f>+Table2[[#This Row],[Effectiveness Review &amp; date deemed effective]]-Table2[[#This Row],[CAR initialized date]]</f>
        <v>7</v>
      </c>
    </row>
    <row r="95" spans="1:14" s="4" customFormat="1" ht="18" hidden="1" x14ac:dyDescent="0.3">
      <c r="A95" s="9" t="s">
        <v>86</v>
      </c>
      <c r="B95" s="13">
        <f>VLOOKUP(Table2[[#This Row],[Location 
(drop-down)]],'List source'!D$2:E$60,2,FALSE)</f>
        <v>150</v>
      </c>
      <c r="C95" s="11" t="s">
        <v>274</v>
      </c>
      <c r="D95" s="108" t="str">
        <f t="shared" si="2"/>
        <v>C094-150-24</v>
      </c>
      <c r="E95" s="11" t="s">
        <v>3740</v>
      </c>
      <c r="F95" s="11"/>
      <c r="G95" s="9" t="s">
        <v>3836</v>
      </c>
      <c r="H95" s="10" t="s">
        <v>3621</v>
      </c>
      <c r="I95" s="12" t="s">
        <v>23</v>
      </c>
      <c r="J95" s="12">
        <v>45369</v>
      </c>
      <c r="K95" s="77">
        <v>45649</v>
      </c>
      <c r="L95" s="50"/>
      <c r="M95" s="13" t="str">
        <f t="shared" ca="1" si="3"/>
        <v>CLOSED</v>
      </c>
      <c r="N95" s="415">
        <f>+Table2[[#This Row],[Effectiveness Review &amp; date deemed effective]]-Table2[[#This Row],[CAR initialized date]]</f>
        <v>280</v>
      </c>
    </row>
    <row r="96" spans="1:14" s="4" customFormat="1" ht="18" hidden="1" x14ac:dyDescent="0.3">
      <c r="A96" s="9" t="s">
        <v>86</v>
      </c>
      <c r="B96" s="13">
        <f>VLOOKUP(Table2[[#This Row],[Location 
(drop-down)]],'List source'!D$2:E$60,2,FALSE)</f>
        <v>150</v>
      </c>
      <c r="C96" s="11" t="s">
        <v>276</v>
      </c>
      <c r="D96" s="108" t="str">
        <f t="shared" si="2"/>
        <v>C095-150-24</v>
      </c>
      <c r="E96" s="11" t="s">
        <v>3740</v>
      </c>
      <c r="F96" s="11"/>
      <c r="G96" s="9" t="s">
        <v>3837</v>
      </c>
      <c r="H96" s="10" t="s">
        <v>3621</v>
      </c>
      <c r="I96" s="12" t="s">
        <v>23</v>
      </c>
      <c r="J96" s="12">
        <v>45369</v>
      </c>
      <c r="K96" s="77">
        <v>45579</v>
      </c>
      <c r="L96" s="432"/>
      <c r="M96" s="13" t="str">
        <f t="shared" ca="1" si="3"/>
        <v>CLOSED</v>
      </c>
      <c r="N96" s="415">
        <f>+Table2[[#This Row],[Effectiveness Review &amp; date deemed effective]]-Table2[[#This Row],[CAR initialized date]]</f>
        <v>210</v>
      </c>
    </row>
    <row r="97" spans="1:14" s="4" customFormat="1" ht="18" hidden="1" x14ac:dyDescent="0.3">
      <c r="A97" s="9" t="s">
        <v>86</v>
      </c>
      <c r="B97" s="13">
        <f>VLOOKUP(Table2[[#This Row],[Location 
(drop-down)]],'List source'!D$2:E$60,2,FALSE)</f>
        <v>150</v>
      </c>
      <c r="C97" s="11" t="s">
        <v>277</v>
      </c>
      <c r="D97" s="108" t="str">
        <f t="shared" si="2"/>
        <v>C096-150-24</v>
      </c>
      <c r="E97" s="11" t="s">
        <v>3740</v>
      </c>
      <c r="F97" s="11"/>
      <c r="G97" s="9" t="s">
        <v>3838</v>
      </c>
      <c r="H97" s="10" t="s">
        <v>3621</v>
      </c>
      <c r="I97" s="12" t="s">
        <v>23</v>
      </c>
      <c r="J97" s="12">
        <v>45369</v>
      </c>
      <c r="K97" s="77">
        <v>45586</v>
      </c>
      <c r="L97" s="50"/>
      <c r="M97" s="13" t="str">
        <f t="shared" ca="1" si="3"/>
        <v>CLOSED</v>
      </c>
      <c r="N97" s="415">
        <f>+Table2[[#This Row],[Effectiveness Review &amp; date deemed effective]]-Table2[[#This Row],[CAR initialized date]]</f>
        <v>217</v>
      </c>
    </row>
    <row r="98" spans="1:14" s="4" customFormat="1" ht="18" hidden="1" x14ac:dyDescent="0.3">
      <c r="A98" s="9" t="s">
        <v>86</v>
      </c>
      <c r="B98" s="13">
        <f>VLOOKUP(Table2[[#This Row],[Location 
(drop-down)]],'List source'!D$2:E$60,2,FALSE)</f>
        <v>150</v>
      </c>
      <c r="C98" s="11" t="s">
        <v>278</v>
      </c>
      <c r="D98" s="108" t="str">
        <f t="shared" si="2"/>
        <v>C097-150-24</v>
      </c>
      <c r="E98" s="11" t="s">
        <v>3740</v>
      </c>
      <c r="F98" s="11"/>
      <c r="G98" s="9" t="s">
        <v>3839</v>
      </c>
      <c r="H98" s="10" t="s">
        <v>3621</v>
      </c>
      <c r="I98" s="12" t="s">
        <v>23</v>
      </c>
      <c r="J98" s="12">
        <v>45369</v>
      </c>
      <c r="K98" s="77">
        <v>45807</v>
      </c>
      <c r="L98" s="50"/>
      <c r="M98" s="13" t="str">
        <f t="shared" ca="1" si="3"/>
        <v>CLOSED</v>
      </c>
      <c r="N98" s="415">
        <f>+Table2[[#This Row],[Effectiveness Review &amp; date deemed effective]]-Table2[[#This Row],[CAR initialized date]]</f>
        <v>438</v>
      </c>
    </row>
    <row r="99" spans="1:14" s="4" customFormat="1" ht="18" hidden="1" x14ac:dyDescent="0.3">
      <c r="A99" s="9" t="s">
        <v>86</v>
      </c>
      <c r="B99" s="13">
        <f>VLOOKUP(Table2[[#This Row],[Location 
(drop-down)]],'List source'!D$2:E$60,2,FALSE)</f>
        <v>150</v>
      </c>
      <c r="C99" s="11" t="s">
        <v>282</v>
      </c>
      <c r="D99" s="108" t="str">
        <f t="shared" si="2"/>
        <v>C098-150-24</v>
      </c>
      <c r="E99" s="11" t="s">
        <v>3740</v>
      </c>
      <c r="F99" s="11"/>
      <c r="G99" s="9" t="s">
        <v>3840</v>
      </c>
      <c r="H99" s="10" t="s">
        <v>3621</v>
      </c>
      <c r="I99" s="12" t="s">
        <v>23</v>
      </c>
      <c r="J99" s="12">
        <v>45369</v>
      </c>
      <c r="K99" s="77">
        <v>45433</v>
      </c>
      <c r="L99" s="50"/>
      <c r="M99" s="13" t="str">
        <f t="shared" ca="1" si="3"/>
        <v>CLOSED</v>
      </c>
      <c r="N99" s="415">
        <f>+Table2[[#This Row],[Effectiveness Review &amp; date deemed effective]]-Table2[[#This Row],[CAR initialized date]]</f>
        <v>64</v>
      </c>
    </row>
    <row r="100" spans="1:14" s="4" customFormat="1" ht="18" hidden="1" x14ac:dyDescent="0.3">
      <c r="A100" s="9" t="s">
        <v>86</v>
      </c>
      <c r="B100" s="13">
        <f>VLOOKUP(Table2[[#This Row],[Location 
(drop-down)]],'List source'!D$2:E$60,2,FALSE)</f>
        <v>150</v>
      </c>
      <c r="C100" s="11" t="s">
        <v>284</v>
      </c>
      <c r="D100" s="108" t="str">
        <f t="shared" si="2"/>
        <v>C099-150-24</v>
      </c>
      <c r="E100" s="11" t="s">
        <v>3740</v>
      </c>
      <c r="F100" s="11"/>
      <c r="G100" s="9" t="s">
        <v>3841</v>
      </c>
      <c r="H100" s="10" t="s">
        <v>3621</v>
      </c>
      <c r="I100" s="12" t="s">
        <v>23</v>
      </c>
      <c r="J100" s="12">
        <v>45369</v>
      </c>
      <c r="K100" s="77">
        <v>45496</v>
      </c>
      <c r="L100" s="50" t="s">
        <v>3842</v>
      </c>
      <c r="M100" s="13" t="str">
        <f t="shared" ca="1" si="3"/>
        <v>CLOSED</v>
      </c>
      <c r="N100" s="415">
        <f>+Table2[[#This Row],[Effectiveness Review &amp; date deemed effective]]-Table2[[#This Row],[CAR initialized date]]</f>
        <v>127</v>
      </c>
    </row>
    <row r="101" spans="1:14" s="4" customFormat="1" ht="18" hidden="1" x14ac:dyDescent="0.3">
      <c r="A101" s="9" t="s">
        <v>86</v>
      </c>
      <c r="B101" s="13">
        <f>VLOOKUP(Table2[[#This Row],[Location 
(drop-down)]],'List source'!D$2:E$60,2,FALSE)</f>
        <v>150</v>
      </c>
      <c r="C101" s="11" t="s">
        <v>286</v>
      </c>
      <c r="D101" s="108" t="str">
        <f t="shared" si="2"/>
        <v>C100-150-24</v>
      </c>
      <c r="E101" s="11" t="s">
        <v>3740</v>
      </c>
      <c r="F101" s="11"/>
      <c r="G101" s="9" t="s">
        <v>3843</v>
      </c>
      <c r="H101" s="10" t="s">
        <v>3621</v>
      </c>
      <c r="I101" s="12" t="s">
        <v>23</v>
      </c>
      <c r="J101" s="12">
        <v>45369</v>
      </c>
      <c r="K101" s="77">
        <v>45496</v>
      </c>
      <c r="L101" s="50"/>
      <c r="M101" s="13" t="str">
        <f t="shared" ca="1" si="3"/>
        <v>CLOSED</v>
      </c>
      <c r="N101" s="415">
        <f>+Table2[[#This Row],[Effectiveness Review &amp; date deemed effective]]-Table2[[#This Row],[CAR initialized date]]</f>
        <v>127</v>
      </c>
    </row>
    <row r="102" spans="1:14" s="4" customFormat="1" ht="18" hidden="1" x14ac:dyDescent="0.3">
      <c r="A102" s="9" t="s">
        <v>86</v>
      </c>
      <c r="B102" s="13">
        <f>VLOOKUP(Table2[[#This Row],[Location 
(drop-down)]],'List source'!D$2:E$60,2,FALSE)</f>
        <v>150</v>
      </c>
      <c r="C102" s="11" t="s">
        <v>289</v>
      </c>
      <c r="D102" s="108" t="str">
        <f t="shared" si="2"/>
        <v>C101-150-24</v>
      </c>
      <c r="E102" s="11" t="s">
        <v>3740</v>
      </c>
      <c r="F102" s="11"/>
      <c r="G102" s="9" t="s">
        <v>3844</v>
      </c>
      <c r="H102" s="10" t="s">
        <v>3737</v>
      </c>
      <c r="I102" s="12" t="s">
        <v>23</v>
      </c>
      <c r="J102" s="12">
        <v>45369</v>
      </c>
      <c r="K102" s="77">
        <v>46036</v>
      </c>
      <c r="L102" s="50"/>
      <c r="M102" s="13" t="str">
        <f t="shared" ca="1" si="3"/>
        <v>CLOSED</v>
      </c>
      <c r="N102" s="415">
        <f>+Table2[[#This Row],[Effectiveness Review &amp; date deemed effective]]-Table2[[#This Row],[CAR initialized date]]</f>
        <v>667</v>
      </c>
    </row>
    <row r="103" spans="1:14" s="4" customFormat="1" ht="64.5" hidden="1" customHeight="1" x14ac:dyDescent="0.3">
      <c r="A103" s="9" t="s">
        <v>86</v>
      </c>
      <c r="B103" s="13">
        <f>VLOOKUP(Table2[[#This Row],[Location 
(drop-down)]],'List source'!D$2:E$60,2,FALSE)</f>
        <v>150</v>
      </c>
      <c r="C103" s="11" t="s">
        <v>291</v>
      </c>
      <c r="D103" s="108" t="str">
        <f t="shared" si="2"/>
        <v>C102-150-24</v>
      </c>
      <c r="E103" s="11" t="s">
        <v>3740</v>
      </c>
      <c r="F103" s="11"/>
      <c r="G103" s="9" t="s">
        <v>3845</v>
      </c>
      <c r="H103" s="10" t="s">
        <v>3737</v>
      </c>
      <c r="I103" s="12" t="s">
        <v>23</v>
      </c>
      <c r="J103" s="12">
        <v>45369</v>
      </c>
      <c r="K103" s="77">
        <v>46036</v>
      </c>
      <c r="L103" s="50" t="s">
        <v>3846</v>
      </c>
      <c r="M103" s="13" t="str">
        <f t="shared" ca="1" si="3"/>
        <v>CLOSED</v>
      </c>
      <c r="N103" s="415">
        <f>+Table2[[#This Row],[Effectiveness Review &amp; date deemed effective]]-Table2[[#This Row],[CAR initialized date]]</f>
        <v>667</v>
      </c>
    </row>
    <row r="104" spans="1:14" s="4" customFormat="1" ht="18" hidden="1" x14ac:dyDescent="0.3">
      <c r="A104" s="9" t="s">
        <v>29</v>
      </c>
      <c r="B104" s="13">
        <f>VLOOKUP(Table2[[#This Row],[Location 
(drop-down)]],'List source'!D$2:E$60,2,FALSE)</f>
        <v>141</v>
      </c>
      <c r="C104" s="11" t="s">
        <v>292</v>
      </c>
      <c r="D104" s="108" t="str">
        <f t="shared" si="2"/>
        <v>C103-141-24</v>
      </c>
      <c r="E104" s="11" t="s">
        <v>3740</v>
      </c>
      <c r="F104" s="11"/>
      <c r="G104" s="90" t="s">
        <v>3847</v>
      </c>
      <c r="H104" s="10" t="s">
        <v>3621</v>
      </c>
      <c r="I104" s="12" t="s">
        <v>23</v>
      </c>
      <c r="J104" s="12">
        <v>45371</v>
      </c>
      <c r="K104" s="77">
        <v>45390</v>
      </c>
      <c r="L104" s="50"/>
      <c r="M104" s="13" t="str">
        <f t="shared" ca="1" si="3"/>
        <v>CLOSED</v>
      </c>
      <c r="N104" s="415">
        <f>+Table2[[#This Row],[Effectiveness Review &amp; date deemed effective]]-Table2[[#This Row],[CAR initialized date]]</f>
        <v>19</v>
      </c>
    </row>
    <row r="105" spans="1:14" s="4" customFormat="1" ht="18" hidden="1" x14ac:dyDescent="0.3">
      <c r="A105" s="9" t="s">
        <v>29</v>
      </c>
      <c r="B105" s="13">
        <f>VLOOKUP(Table2[[#This Row],[Location 
(drop-down)]],'List source'!D$2:E$60,2,FALSE)</f>
        <v>141</v>
      </c>
      <c r="C105" s="11" t="s">
        <v>295</v>
      </c>
      <c r="D105" s="108" t="str">
        <f t="shared" si="2"/>
        <v>C104-141-24</v>
      </c>
      <c r="E105" s="11" t="s">
        <v>3740</v>
      </c>
      <c r="F105" s="11"/>
      <c r="G105" s="9" t="s">
        <v>3848</v>
      </c>
      <c r="H105" s="10" t="s">
        <v>3785</v>
      </c>
      <c r="I105" s="12" t="s">
        <v>23</v>
      </c>
      <c r="J105" s="12">
        <v>45371</v>
      </c>
      <c r="K105" s="77">
        <v>45390</v>
      </c>
      <c r="L105" s="50"/>
      <c r="M105" s="13" t="str">
        <f t="shared" ca="1" si="3"/>
        <v>CLOSED</v>
      </c>
      <c r="N105" s="415">
        <f>+Table2[[#This Row],[Effectiveness Review &amp; date deemed effective]]-Table2[[#This Row],[CAR initialized date]]</f>
        <v>19</v>
      </c>
    </row>
    <row r="106" spans="1:14" s="4" customFormat="1" ht="28.8" hidden="1" x14ac:dyDescent="0.3">
      <c r="A106" s="9" t="s">
        <v>264</v>
      </c>
      <c r="B106" s="13">
        <f>VLOOKUP(Table2[[#This Row],[Location 
(drop-down)]],'List source'!D$2:E$60,2,FALSE)</f>
        <v>132</v>
      </c>
      <c r="C106" s="11" t="s">
        <v>298</v>
      </c>
      <c r="D106" s="108" t="str">
        <f t="shared" si="2"/>
        <v>C105-132-24</v>
      </c>
      <c r="E106" s="11" t="s">
        <v>3770</v>
      </c>
      <c r="F106" s="11"/>
      <c r="G106" s="9" t="s">
        <v>3849</v>
      </c>
      <c r="H106" s="10" t="s">
        <v>3621</v>
      </c>
      <c r="I106" s="12" t="s">
        <v>54</v>
      </c>
      <c r="J106" s="12">
        <v>45371</v>
      </c>
      <c r="K106" s="77">
        <v>45686</v>
      </c>
      <c r="L106" s="50"/>
      <c r="M106" s="13" t="str">
        <f t="shared" ca="1" si="3"/>
        <v>CLOSED</v>
      </c>
      <c r="N106" s="415">
        <f>+Table2[[#This Row],[Effectiveness Review &amp; date deemed effective]]-Table2[[#This Row],[CAR initialized date]]</f>
        <v>315</v>
      </c>
    </row>
    <row r="107" spans="1:14" s="4" customFormat="1" ht="28.8" hidden="1" x14ac:dyDescent="0.3">
      <c r="A107" s="9" t="s">
        <v>325</v>
      </c>
      <c r="B107" s="13">
        <f>VLOOKUP(Table2[[#This Row],[Location 
(drop-down)]],'List source'!D$2:E$60,2,FALSE)</f>
        <v>180</v>
      </c>
      <c r="C107" s="11" t="s">
        <v>300</v>
      </c>
      <c r="D107" s="108" t="str">
        <f t="shared" si="2"/>
        <v>C106-180-24</v>
      </c>
      <c r="E107" s="11" t="s">
        <v>3735</v>
      </c>
      <c r="F107" s="11" t="s">
        <v>3850</v>
      </c>
      <c r="G107" s="9" t="s">
        <v>3851</v>
      </c>
      <c r="H107" s="10" t="s">
        <v>3621</v>
      </c>
      <c r="I107" s="12" t="s">
        <v>18</v>
      </c>
      <c r="J107" s="12">
        <v>45373</v>
      </c>
      <c r="K107" s="77">
        <v>45404</v>
      </c>
      <c r="L107" s="432" t="s">
        <v>3852</v>
      </c>
      <c r="M107" s="13" t="str">
        <f t="shared" ca="1" si="3"/>
        <v>CLOSED</v>
      </c>
      <c r="N107" s="415">
        <f>+Table2[[#This Row],[Effectiveness Review &amp; date deemed effective]]-Table2[[#This Row],[CAR initialized date]]</f>
        <v>31</v>
      </c>
    </row>
    <row r="108" spans="1:14" s="4" customFormat="1" ht="43.2" hidden="1" x14ac:dyDescent="0.3">
      <c r="A108" s="9" t="s">
        <v>186</v>
      </c>
      <c r="B108" s="13">
        <f>VLOOKUP(Table2[[#This Row],[Location 
(drop-down)]],'List source'!D$2:E$60,2,FALSE)</f>
        <v>130</v>
      </c>
      <c r="C108" s="11" t="s">
        <v>304</v>
      </c>
      <c r="D108" s="108" t="str">
        <f t="shared" si="2"/>
        <v>C107-130-24</v>
      </c>
      <c r="E108" s="11" t="s">
        <v>3783</v>
      </c>
      <c r="F108" s="11" t="s">
        <v>84</v>
      </c>
      <c r="G108" s="9" t="s">
        <v>3853</v>
      </c>
      <c r="H108" s="10" t="s">
        <v>3621</v>
      </c>
      <c r="I108" s="12" t="s">
        <v>54</v>
      </c>
      <c r="J108" s="12">
        <v>45373</v>
      </c>
      <c r="K108" s="77">
        <v>45420</v>
      </c>
      <c r="L108" s="50"/>
      <c r="M108" s="13" t="str">
        <f t="shared" ca="1" si="3"/>
        <v>CLOSED</v>
      </c>
      <c r="N108" s="415">
        <f>+Table2[[#This Row],[Effectiveness Review &amp; date deemed effective]]-Table2[[#This Row],[CAR initialized date]]</f>
        <v>47</v>
      </c>
    </row>
    <row r="109" spans="1:14" s="4" customFormat="1" ht="43.2" hidden="1" x14ac:dyDescent="0.3">
      <c r="A109" s="9" t="s">
        <v>186</v>
      </c>
      <c r="B109" s="13">
        <f>VLOOKUP(Table2[[#This Row],[Location 
(drop-down)]],'List source'!D$2:E$60,2,FALSE)</f>
        <v>130</v>
      </c>
      <c r="C109" s="11" t="s">
        <v>305</v>
      </c>
      <c r="D109" s="108" t="str">
        <f t="shared" si="2"/>
        <v>C108-130-24</v>
      </c>
      <c r="E109" s="11" t="s">
        <v>3783</v>
      </c>
      <c r="F109" s="11" t="s">
        <v>84</v>
      </c>
      <c r="G109" s="9" t="s">
        <v>3854</v>
      </c>
      <c r="H109" s="10" t="s">
        <v>3621</v>
      </c>
      <c r="I109" s="12" t="s">
        <v>54</v>
      </c>
      <c r="J109" s="12">
        <v>45373</v>
      </c>
      <c r="K109" s="77">
        <v>45420</v>
      </c>
      <c r="L109" s="50"/>
      <c r="M109" s="13" t="str">
        <f t="shared" ca="1" si="3"/>
        <v>CLOSED</v>
      </c>
      <c r="N109" s="415">
        <f>+Table2[[#This Row],[Effectiveness Review &amp; date deemed effective]]-Table2[[#This Row],[CAR initialized date]]</f>
        <v>47</v>
      </c>
    </row>
    <row r="110" spans="1:14" s="4" customFormat="1" ht="43.2" hidden="1" x14ac:dyDescent="0.3">
      <c r="A110" s="9" t="s">
        <v>186</v>
      </c>
      <c r="B110" s="13">
        <f>VLOOKUP(Table2[[#This Row],[Location 
(drop-down)]],'List source'!D$2:E$60,2,FALSE)</f>
        <v>130</v>
      </c>
      <c r="C110" s="11" t="s">
        <v>307</v>
      </c>
      <c r="D110" s="108" t="str">
        <f t="shared" si="2"/>
        <v>C109-130-24</v>
      </c>
      <c r="E110" s="11" t="s">
        <v>3783</v>
      </c>
      <c r="F110" s="11" t="s">
        <v>84</v>
      </c>
      <c r="G110" s="9" t="s">
        <v>3855</v>
      </c>
      <c r="H110" s="10" t="s">
        <v>3621</v>
      </c>
      <c r="I110" s="12" t="s">
        <v>54</v>
      </c>
      <c r="J110" s="12">
        <v>45373</v>
      </c>
      <c r="K110" s="77">
        <v>45509</v>
      </c>
      <c r="L110" s="50" t="s">
        <v>3856</v>
      </c>
      <c r="M110" s="13" t="str">
        <f t="shared" ca="1" si="3"/>
        <v>CLOSED</v>
      </c>
      <c r="N110" s="415">
        <f>+Table2[[#This Row],[Effectiveness Review &amp; date deemed effective]]-Table2[[#This Row],[CAR initialized date]]</f>
        <v>136</v>
      </c>
    </row>
    <row r="111" spans="1:14" s="4" customFormat="1" ht="28.8" hidden="1" x14ac:dyDescent="0.3">
      <c r="A111" s="9" t="s">
        <v>186</v>
      </c>
      <c r="B111" s="13">
        <f>VLOOKUP(Table2[[#This Row],[Location 
(drop-down)]],'List source'!D$2:E$60,2,FALSE)</f>
        <v>130</v>
      </c>
      <c r="C111" s="11" t="s">
        <v>311</v>
      </c>
      <c r="D111" s="108" t="str">
        <f t="shared" si="2"/>
        <v>C110-130-24</v>
      </c>
      <c r="E111" s="11" t="s">
        <v>3783</v>
      </c>
      <c r="F111" s="11" t="s">
        <v>84</v>
      </c>
      <c r="G111" s="9" t="s">
        <v>3857</v>
      </c>
      <c r="H111" s="10" t="s">
        <v>3621</v>
      </c>
      <c r="I111" s="12" t="s">
        <v>54</v>
      </c>
      <c r="J111" s="12">
        <v>45373</v>
      </c>
      <c r="K111" s="77">
        <v>45509</v>
      </c>
      <c r="L111" s="50"/>
      <c r="M111" s="13" t="str">
        <f t="shared" ca="1" si="3"/>
        <v>CLOSED</v>
      </c>
      <c r="N111" s="415">
        <f>+Table2[[#This Row],[Effectiveness Review &amp; date deemed effective]]-Table2[[#This Row],[CAR initialized date]]</f>
        <v>136</v>
      </c>
    </row>
    <row r="112" spans="1:14" s="4" customFormat="1" ht="28.8" hidden="1" x14ac:dyDescent="0.3">
      <c r="A112" s="9" t="s">
        <v>186</v>
      </c>
      <c r="B112" s="13">
        <f>VLOOKUP(Table2[[#This Row],[Location 
(drop-down)]],'List source'!D$2:E$60,2,FALSE)</f>
        <v>130</v>
      </c>
      <c r="C112" s="11" t="s">
        <v>313</v>
      </c>
      <c r="D112" s="108" t="str">
        <f t="shared" si="2"/>
        <v>C111-130-24</v>
      </c>
      <c r="E112" s="11" t="s">
        <v>3783</v>
      </c>
      <c r="F112" s="11" t="s">
        <v>84</v>
      </c>
      <c r="G112" s="9" t="s">
        <v>3858</v>
      </c>
      <c r="H112" s="10" t="s">
        <v>3621</v>
      </c>
      <c r="I112" s="12" t="s">
        <v>54</v>
      </c>
      <c r="J112" s="12">
        <v>45373</v>
      </c>
      <c r="K112" s="77">
        <v>45509</v>
      </c>
      <c r="L112" s="50"/>
      <c r="M112" s="13" t="str">
        <f t="shared" ca="1" si="3"/>
        <v>CLOSED</v>
      </c>
      <c r="N112" s="415">
        <f>+Table2[[#This Row],[Effectiveness Review &amp; date deemed effective]]-Table2[[#This Row],[CAR initialized date]]</f>
        <v>136</v>
      </c>
    </row>
    <row r="113" spans="1:14" s="4" customFormat="1" ht="28.8" hidden="1" x14ac:dyDescent="0.3">
      <c r="A113" s="9" t="s">
        <v>186</v>
      </c>
      <c r="B113" s="13">
        <f>VLOOKUP(Table2[[#This Row],[Location 
(drop-down)]],'List source'!D$2:E$60,2,FALSE)</f>
        <v>130</v>
      </c>
      <c r="C113" s="11" t="s">
        <v>315</v>
      </c>
      <c r="D113" s="108" t="str">
        <f t="shared" si="2"/>
        <v>C112-130-24</v>
      </c>
      <c r="E113" s="11" t="s">
        <v>3783</v>
      </c>
      <c r="F113" s="11" t="s">
        <v>84</v>
      </c>
      <c r="G113" s="142" t="s">
        <v>3859</v>
      </c>
      <c r="H113" s="10" t="s">
        <v>3621</v>
      </c>
      <c r="I113" s="12" t="s">
        <v>54</v>
      </c>
      <c r="J113" s="12">
        <v>45373</v>
      </c>
      <c r="K113" s="77">
        <v>45405</v>
      </c>
      <c r="L113" s="50"/>
      <c r="M113" s="13" t="str">
        <f t="shared" ca="1" si="3"/>
        <v>CLOSED</v>
      </c>
      <c r="N113" s="415">
        <f>+Table2[[#This Row],[Effectiveness Review &amp; date deemed effective]]-Table2[[#This Row],[CAR initialized date]]</f>
        <v>32</v>
      </c>
    </row>
    <row r="114" spans="1:14" s="4" customFormat="1" ht="28.8" hidden="1" x14ac:dyDescent="0.3">
      <c r="A114" s="9" t="s">
        <v>186</v>
      </c>
      <c r="B114" s="13">
        <f>VLOOKUP(Table2[[#This Row],[Location 
(drop-down)]],'List source'!D$2:E$60,2,FALSE)</f>
        <v>130</v>
      </c>
      <c r="C114" s="11" t="s">
        <v>317</v>
      </c>
      <c r="D114" s="108" t="str">
        <f t="shared" si="2"/>
        <v>C113-130-24</v>
      </c>
      <c r="E114" s="11" t="s">
        <v>3783</v>
      </c>
      <c r="F114" s="11" t="s">
        <v>84</v>
      </c>
      <c r="G114" s="9" t="s">
        <v>3860</v>
      </c>
      <c r="H114" s="10" t="s">
        <v>3621</v>
      </c>
      <c r="I114" s="12" t="s">
        <v>54</v>
      </c>
      <c r="J114" s="12">
        <v>45373</v>
      </c>
      <c r="K114" s="77">
        <v>45504</v>
      </c>
      <c r="L114" s="50"/>
      <c r="M114" s="13" t="str">
        <f t="shared" ca="1" si="3"/>
        <v>CLOSED</v>
      </c>
      <c r="N114" s="415">
        <f>+Table2[[#This Row],[Effectiveness Review &amp; date deemed effective]]-Table2[[#This Row],[CAR initialized date]]</f>
        <v>131</v>
      </c>
    </row>
    <row r="115" spans="1:14" s="4" customFormat="1" ht="28.8" hidden="1" x14ac:dyDescent="0.3">
      <c r="A115" s="9" t="s">
        <v>186</v>
      </c>
      <c r="B115" s="13">
        <f>VLOOKUP(Table2[[#This Row],[Location 
(drop-down)]],'List source'!D$2:E$60,2,FALSE)</f>
        <v>130</v>
      </c>
      <c r="C115" s="11" t="s">
        <v>319</v>
      </c>
      <c r="D115" s="108" t="str">
        <f t="shared" si="2"/>
        <v>C114-130-24</v>
      </c>
      <c r="E115" s="11" t="s">
        <v>3783</v>
      </c>
      <c r="F115" s="11" t="s">
        <v>84</v>
      </c>
      <c r="G115" s="9" t="s">
        <v>3861</v>
      </c>
      <c r="H115" s="10" t="s">
        <v>3621</v>
      </c>
      <c r="I115" s="12" t="s">
        <v>54</v>
      </c>
      <c r="J115" s="12">
        <v>45373</v>
      </c>
      <c r="K115" s="77">
        <v>45504</v>
      </c>
      <c r="L115" s="50"/>
      <c r="M115" s="13" t="str">
        <f t="shared" ca="1" si="3"/>
        <v>CLOSED</v>
      </c>
      <c r="N115" s="415">
        <f>+Table2[[#This Row],[Effectiveness Review &amp; date deemed effective]]-Table2[[#This Row],[CAR initialized date]]</f>
        <v>131</v>
      </c>
    </row>
    <row r="116" spans="1:14" s="4" customFormat="1" ht="18" hidden="1" x14ac:dyDescent="0.3">
      <c r="A116" s="9" t="s">
        <v>75</v>
      </c>
      <c r="B116" s="13">
        <f>VLOOKUP(Table2[[#This Row],[Location 
(drop-down)]],'List source'!D$2:E$60,2,FALSE)</f>
        <v>190</v>
      </c>
      <c r="C116" s="11" t="s">
        <v>321</v>
      </c>
      <c r="D116" s="108" t="str">
        <f t="shared" si="2"/>
        <v>C115-190-24</v>
      </c>
      <c r="E116" s="11" t="s">
        <v>3740</v>
      </c>
      <c r="F116" s="11"/>
      <c r="G116" s="9" t="s">
        <v>3862</v>
      </c>
      <c r="H116" s="10" t="s">
        <v>3621</v>
      </c>
      <c r="I116" s="12" t="s">
        <v>41</v>
      </c>
      <c r="J116" s="12">
        <v>45379</v>
      </c>
      <c r="K116" s="77">
        <v>45408</v>
      </c>
      <c r="L116" s="50"/>
      <c r="M116" s="13" t="str">
        <f t="shared" ca="1" si="3"/>
        <v>CLOSED</v>
      </c>
      <c r="N116" s="415">
        <f>+Table2[[#This Row],[Effectiveness Review &amp; date deemed effective]]-Table2[[#This Row],[CAR initialized date]]</f>
        <v>29</v>
      </c>
    </row>
    <row r="117" spans="1:14" s="4" customFormat="1" ht="28.8" hidden="1" x14ac:dyDescent="0.3">
      <c r="A117" s="9" t="s">
        <v>57</v>
      </c>
      <c r="B117" s="13">
        <f>VLOOKUP(Table2[[#This Row],[Location 
(drop-down)]],'List source'!D$2:E$60,2,FALSE)</f>
        <v>170</v>
      </c>
      <c r="C117" s="11" t="s">
        <v>326</v>
      </c>
      <c r="D117" s="108" t="str">
        <f t="shared" si="2"/>
        <v>C116-170-24</v>
      </c>
      <c r="E117" s="11" t="s">
        <v>3783</v>
      </c>
      <c r="F117" s="11" t="s">
        <v>99</v>
      </c>
      <c r="G117" s="9" t="s">
        <v>3863</v>
      </c>
      <c r="H117" s="10" t="s">
        <v>3621</v>
      </c>
      <c r="I117" s="12" t="s">
        <v>60</v>
      </c>
      <c r="J117" s="12">
        <v>45384</v>
      </c>
      <c r="K117" s="77">
        <v>45406</v>
      </c>
      <c r="L117" s="50"/>
      <c r="M117" s="13" t="str">
        <f t="shared" ca="1" si="3"/>
        <v>CLOSED</v>
      </c>
      <c r="N117" s="415">
        <f>+Table2[[#This Row],[Effectiveness Review &amp; date deemed effective]]-Table2[[#This Row],[CAR initialized date]]</f>
        <v>22</v>
      </c>
    </row>
    <row r="118" spans="1:14" s="4" customFormat="1" ht="18" hidden="1" x14ac:dyDescent="0.3">
      <c r="A118" s="9" t="s">
        <v>57</v>
      </c>
      <c r="B118" s="13">
        <f>VLOOKUP(Table2[[#This Row],[Location 
(drop-down)]],'List source'!D$2:E$60,2,FALSE)</f>
        <v>170</v>
      </c>
      <c r="C118" s="11" t="s">
        <v>328</v>
      </c>
      <c r="D118" s="108" t="str">
        <f t="shared" si="2"/>
        <v>C117-170-24</v>
      </c>
      <c r="E118" s="11" t="s">
        <v>3735</v>
      </c>
      <c r="F118" s="11" t="s">
        <v>3850</v>
      </c>
      <c r="G118" s="9" t="s">
        <v>3864</v>
      </c>
      <c r="H118" s="10" t="s">
        <v>3621</v>
      </c>
      <c r="I118" s="12" t="s">
        <v>60</v>
      </c>
      <c r="J118" s="12">
        <v>45384</v>
      </c>
      <c r="K118" s="77">
        <v>45425</v>
      </c>
      <c r="L118" s="432" t="s">
        <v>3865</v>
      </c>
      <c r="M118" s="13" t="str">
        <f t="shared" ca="1" si="3"/>
        <v>CLOSED</v>
      </c>
      <c r="N118" s="415">
        <f>+Table2[[#This Row],[Effectiveness Review &amp; date deemed effective]]-Table2[[#This Row],[CAR initialized date]]</f>
        <v>41</v>
      </c>
    </row>
    <row r="119" spans="1:14" s="4" customFormat="1" ht="18" hidden="1" x14ac:dyDescent="0.3">
      <c r="A119" s="9" t="s">
        <v>57</v>
      </c>
      <c r="B119" s="13">
        <f>VLOOKUP(Table2[[#This Row],[Location 
(drop-down)]],'List source'!D$2:E$60,2,FALSE)</f>
        <v>170</v>
      </c>
      <c r="C119" s="11" t="s">
        <v>329</v>
      </c>
      <c r="D119" s="108" t="str">
        <f t="shared" si="2"/>
        <v>C118-170-24</v>
      </c>
      <c r="E119" s="11" t="s">
        <v>3740</v>
      </c>
      <c r="F119" s="11"/>
      <c r="G119" s="9" t="s">
        <v>3866</v>
      </c>
      <c r="H119" s="10" t="s">
        <v>3785</v>
      </c>
      <c r="I119" s="12" t="s">
        <v>41</v>
      </c>
      <c r="J119" s="12">
        <v>45387</v>
      </c>
      <c r="K119" s="77">
        <v>45490</v>
      </c>
      <c r="L119" s="50"/>
      <c r="M119" s="13" t="str">
        <f t="shared" ca="1" si="3"/>
        <v>CLOSED</v>
      </c>
      <c r="N119" s="415">
        <f>+Table2[[#This Row],[Effectiveness Review &amp; date deemed effective]]-Table2[[#This Row],[CAR initialized date]]</f>
        <v>103</v>
      </c>
    </row>
    <row r="120" spans="1:14" s="4" customFormat="1" ht="18" hidden="1" x14ac:dyDescent="0.3">
      <c r="A120" s="9" t="s">
        <v>57</v>
      </c>
      <c r="B120" s="13">
        <f>VLOOKUP(Table2[[#This Row],[Location 
(drop-down)]],'List source'!D$2:E$60,2,FALSE)</f>
        <v>170</v>
      </c>
      <c r="C120" s="11" t="s">
        <v>335</v>
      </c>
      <c r="D120" s="108" t="str">
        <f t="shared" si="2"/>
        <v>C119-170-24</v>
      </c>
      <c r="E120" s="11" t="s">
        <v>3740</v>
      </c>
      <c r="F120" s="11"/>
      <c r="G120" s="9" t="s">
        <v>3867</v>
      </c>
      <c r="H120" s="10" t="s">
        <v>3621</v>
      </c>
      <c r="I120" s="12" t="s">
        <v>41</v>
      </c>
      <c r="J120" s="12">
        <v>45387</v>
      </c>
      <c r="K120" s="77">
        <v>45427</v>
      </c>
      <c r="L120" s="50"/>
      <c r="M120" s="13" t="str">
        <f t="shared" ca="1" si="3"/>
        <v>CLOSED</v>
      </c>
      <c r="N120" s="415">
        <f>+Table2[[#This Row],[Effectiveness Review &amp; date deemed effective]]-Table2[[#This Row],[CAR initialized date]]</f>
        <v>40</v>
      </c>
    </row>
    <row r="121" spans="1:14" s="4" customFormat="1" ht="18" hidden="1" x14ac:dyDescent="0.3">
      <c r="A121" s="9" t="s">
        <v>57</v>
      </c>
      <c r="B121" s="13">
        <f>VLOOKUP(Table2[[#This Row],[Location 
(drop-down)]],'List source'!D$2:E$60,2,FALSE)</f>
        <v>170</v>
      </c>
      <c r="C121" s="11" t="s">
        <v>339</v>
      </c>
      <c r="D121" s="108" t="str">
        <f t="shared" si="2"/>
        <v>C120-170-24</v>
      </c>
      <c r="E121" s="11" t="s">
        <v>3740</v>
      </c>
      <c r="F121" s="11"/>
      <c r="G121" s="9" t="s">
        <v>3868</v>
      </c>
      <c r="H121" s="10" t="s">
        <v>3621</v>
      </c>
      <c r="I121" s="12" t="s">
        <v>41</v>
      </c>
      <c r="J121" s="12">
        <v>45387</v>
      </c>
      <c r="K121" s="77">
        <v>45427</v>
      </c>
      <c r="L121" s="50"/>
      <c r="M121" s="13" t="str">
        <f t="shared" ca="1" si="3"/>
        <v>CLOSED</v>
      </c>
      <c r="N121" s="415">
        <f>+Table2[[#This Row],[Effectiveness Review &amp; date deemed effective]]-Table2[[#This Row],[CAR initialized date]]</f>
        <v>40</v>
      </c>
    </row>
    <row r="122" spans="1:14" s="4" customFormat="1" ht="18" hidden="1" x14ac:dyDescent="0.3">
      <c r="A122" s="9" t="s">
        <v>57</v>
      </c>
      <c r="B122" s="13">
        <f>VLOOKUP(Table2[[#This Row],[Location 
(drop-down)]],'List source'!D$2:E$60,2,FALSE)</f>
        <v>170</v>
      </c>
      <c r="C122" s="11" t="s">
        <v>341</v>
      </c>
      <c r="D122" s="108" t="str">
        <f t="shared" si="2"/>
        <v>C121-170-24</v>
      </c>
      <c r="E122" s="11" t="s">
        <v>3740</v>
      </c>
      <c r="F122" s="11"/>
      <c r="G122" s="9" t="s">
        <v>3869</v>
      </c>
      <c r="H122" s="10" t="s">
        <v>3621</v>
      </c>
      <c r="I122" s="12" t="s">
        <v>41</v>
      </c>
      <c r="J122" s="12">
        <v>45387</v>
      </c>
      <c r="K122" s="77">
        <v>45806</v>
      </c>
      <c r="L122" s="50"/>
      <c r="M122" s="13" t="str">
        <f t="shared" ca="1" si="3"/>
        <v>CLOSED</v>
      </c>
      <c r="N122" s="415">
        <f>+Table2[[#This Row],[Effectiveness Review &amp; date deemed effective]]-Table2[[#This Row],[CAR initialized date]]</f>
        <v>419</v>
      </c>
    </row>
    <row r="123" spans="1:14" s="4" customFormat="1" ht="18" hidden="1" x14ac:dyDescent="0.3">
      <c r="A123" s="9" t="s">
        <v>57</v>
      </c>
      <c r="B123" s="13">
        <f>VLOOKUP(Table2[[#This Row],[Location 
(drop-down)]],'List source'!D$2:E$60,2,FALSE)</f>
        <v>170</v>
      </c>
      <c r="C123" s="11" t="s">
        <v>343</v>
      </c>
      <c r="D123" s="108" t="str">
        <f t="shared" si="2"/>
        <v>C122-170-24</v>
      </c>
      <c r="E123" s="11" t="s">
        <v>3740</v>
      </c>
      <c r="F123" s="11"/>
      <c r="G123" s="9" t="s">
        <v>3870</v>
      </c>
      <c r="H123" s="10" t="s">
        <v>3621</v>
      </c>
      <c r="I123" s="12" t="s">
        <v>41</v>
      </c>
      <c r="J123" s="12">
        <v>45387</v>
      </c>
      <c r="K123" s="77">
        <v>45436</v>
      </c>
      <c r="L123" s="50"/>
      <c r="M123" s="13" t="str">
        <f t="shared" ca="1" si="3"/>
        <v>CLOSED</v>
      </c>
      <c r="N123" s="415">
        <f>+Table2[[#This Row],[Effectiveness Review &amp; date deemed effective]]-Table2[[#This Row],[CAR initialized date]]</f>
        <v>49</v>
      </c>
    </row>
    <row r="124" spans="1:14" s="4" customFormat="1" ht="18" hidden="1" x14ac:dyDescent="0.3">
      <c r="A124" s="9" t="s">
        <v>57</v>
      </c>
      <c r="B124" s="13">
        <f>VLOOKUP(Table2[[#This Row],[Location 
(drop-down)]],'List source'!D$2:E$60,2,FALSE)</f>
        <v>170</v>
      </c>
      <c r="C124" s="11" t="s">
        <v>346</v>
      </c>
      <c r="D124" s="108" t="str">
        <f t="shared" si="2"/>
        <v>C123-170-24</v>
      </c>
      <c r="E124" s="11" t="s">
        <v>3740</v>
      </c>
      <c r="F124" s="11"/>
      <c r="G124" s="9" t="s">
        <v>3871</v>
      </c>
      <c r="H124" s="10" t="s">
        <v>3621</v>
      </c>
      <c r="I124" s="12" t="s">
        <v>41</v>
      </c>
      <c r="J124" s="12">
        <v>45387</v>
      </c>
      <c r="K124" s="77">
        <v>45436</v>
      </c>
      <c r="L124" s="50"/>
      <c r="M124" s="13" t="str">
        <f t="shared" ca="1" si="3"/>
        <v>CLOSED</v>
      </c>
      <c r="N124" s="415">
        <f>+Table2[[#This Row],[Effectiveness Review &amp; date deemed effective]]-Table2[[#This Row],[CAR initialized date]]</f>
        <v>49</v>
      </c>
    </row>
    <row r="125" spans="1:14" s="4" customFormat="1" ht="18" hidden="1" x14ac:dyDescent="0.3">
      <c r="A125" s="9" t="s">
        <v>57</v>
      </c>
      <c r="B125" s="13">
        <f>VLOOKUP(Table2[[#This Row],[Location 
(drop-down)]],'List source'!D$2:E$60,2,FALSE)</f>
        <v>170</v>
      </c>
      <c r="C125" s="11" t="s">
        <v>350</v>
      </c>
      <c r="D125" s="108" t="str">
        <f t="shared" si="2"/>
        <v>C124-170-24</v>
      </c>
      <c r="E125" s="11" t="s">
        <v>3740</v>
      </c>
      <c r="F125" s="11"/>
      <c r="G125" s="9" t="s">
        <v>3872</v>
      </c>
      <c r="H125" s="10" t="s">
        <v>3621</v>
      </c>
      <c r="I125" s="12" t="s">
        <v>41</v>
      </c>
      <c r="J125" s="12">
        <v>45387</v>
      </c>
      <c r="K125" s="77">
        <v>45475</v>
      </c>
      <c r="L125" s="50"/>
      <c r="M125" s="13" t="str">
        <f t="shared" ca="1" si="3"/>
        <v>CLOSED</v>
      </c>
      <c r="N125" s="415">
        <f>+Table2[[#This Row],[Effectiveness Review &amp; date deemed effective]]-Table2[[#This Row],[CAR initialized date]]</f>
        <v>88</v>
      </c>
    </row>
    <row r="126" spans="1:14" s="4" customFormat="1" ht="43.2" hidden="1" x14ac:dyDescent="0.3">
      <c r="A126" s="9" t="s">
        <v>186</v>
      </c>
      <c r="B126" s="13">
        <f>VLOOKUP(Table2[[#This Row],[Location 
(drop-down)]],'List source'!D$2:E$60,2,FALSE)</f>
        <v>130</v>
      </c>
      <c r="C126" s="11" t="s">
        <v>352</v>
      </c>
      <c r="D126" s="108" t="str">
        <f t="shared" si="2"/>
        <v>C125-130-24</v>
      </c>
      <c r="E126" s="11" t="s">
        <v>3770</v>
      </c>
      <c r="F126" s="11"/>
      <c r="G126" s="9" t="s">
        <v>3873</v>
      </c>
      <c r="H126" s="10" t="s">
        <v>3621</v>
      </c>
      <c r="I126" s="12" t="s">
        <v>54</v>
      </c>
      <c r="J126" s="12">
        <v>45387</v>
      </c>
      <c r="K126" s="77">
        <v>45566</v>
      </c>
      <c r="L126" s="50"/>
      <c r="M126" s="13" t="str">
        <f t="shared" ca="1" si="3"/>
        <v>CLOSED</v>
      </c>
      <c r="N126" s="415">
        <f>+Table2[[#This Row],[Effectiveness Review &amp; date deemed effective]]-Table2[[#This Row],[CAR initialized date]]</f>
        <v>179</v>
      </c>
    </row>
    <row r="127" spans="1:14" s="4" customFormat="1" ht="18" hidden="1" x14ac:dyDescent="0.3">
      <c r="A127" s="9" t="s">
        <v>130</v>
      </c>
      <c r="B127" s="13">
        <f>VLOOKUP(Table2[[#This Row],[Location 
(drop-down)]],'List source'!D$2:E$60,2,FALSE)</f>
        <v>194</v>
      </c>
      <c r="C127" s="11" t="s">
        <v>354</v>
      </c>
      <c r="D127" s="108" t="str">
        <f t="shared" si="2"/>
        <v>C126-194-24</v>
      </c>
      <c r="E127" s="11" t="s">
        <v>3740</v>
      </c>
      <c r="F127" s="11"/>
      <c r="G127" s="9" t="s">
        <v>3874</v>
      </c>
      <c r="H127" s="10" t="s">
        <v>3737</v>
      </c>
      <c r="I127" s="12" t="s">
        <v>49</v>
      </c>
      <c r="J127" s="12">
        <v>45390</v>
      </c>
      <c r="K127" s="77">
        <v>45427</v>
      </c>
      <c r="L127" s="50"/>
      <c r="M127" s="13" t="str">
        <f t="shared" ca="1" si="3"/>
        <v>CLOSED</v>
      </c>
      <c r="N127" s="415">
        <f>+Table2[[#This Row],[Effectiveness Review &amp; date deemed effective]]-Table2[[#This Row],[CAR initialized date]]</f>
        <v>37</v>
      </c>
    </row>
    <row r="128" spans="1:14" s="4" customFormat="1" ht="18" hidden="1" x14ac:dyDescent="0.3">
      <c r="A128" s="9" t="s">
        <v>130</v>
      </c>
      <c r="B128" s="13">
        <f>VLOOKUP(Table2[[#This Row],[Location 
(drop-down)]],'List source'!D$2:E$60,2,FALSE)</f>
        <v>194</v>
      </c>
      <c r="C128" s="11" t="s">
        <v>356</v>
      </c>
      <c r="D128" s="108" t="str">
        <f t="shared" si="2"/>
        <v>C127-194-24</v>
      </c>
      <c r="E128" s="11" t="s">
        <v>3740</v>
      </c>
      <c r="F128" s="11"/>
      <c r="G128" s="9" t="s">
        <v>3875</v>
      </c>
      <c r="H128" s="10" t="s">
        <v>3737</v>
      </c>
      <c r="I128" s="12" t="s">
        <v>49</v>
      </c>
      <c r="J128" s="12">
        <v>45390</v>
      </c>
      <c r="K128" s="77">
        <v>45409</v>
      </c>
      <c r="L128" s="50"/>
      <c r="M128" s="13" t="str">
        <f t="shared" ca="1" si="3"/>
        <v>CLOSED</v>
      </c>
      <c r="N128" s="415">
        <f>+Table2[[#This Row],[Effectiveness Review &amp; date deemed effective]]-Table2[[#This Row],[CAR initialized date]]</f>
        <v>19</v>
      </c>
    </row>
    <row r="129" spans="1:14" s="4" customFormat="1" ht="18" hidden="1" x14ac:dyDescent="0.3">
      <c r="A129" s="9" t="s">
        <v>130</v>
      </c>
      <c r="B129" s="13">
        <f>VLOOKUP(Table2[[#This Row],[Location 
(drop-down)]],'List source'!D$2:E$60,2,FALSE)</f>
        <v>194</v>
      </c>
      <c r="C129" s="11" t="s">
        <v>358</v>
      </c>
      <c r="D129" s="108" t="str">
        <f t="shared" si="2"/>
        <v>C128-194-24</v>
      </c>
      <c r="E129" s="11" t="s">
        <v>3740</v>
      </c>
      <c r="F129" s="11"/>
      <c r="G129" s="9" t="s">
        <v>3876</v>
      </c>
      <c r="H129" s="10" t="s">
        <v>3737</v>
      </c>
      <c r="I129" s="12" t="s">
        <v>49</v>
      </c>
      <c r="J129" s="12">
        <v>45390</v>
      </c>
      <c r="K129" s="77">
        <v>45408</v>
      </c>
      <c r="L129" s="50"/>
      <c r="M129" s="13" t="str">
        <f t="shared" ca="1" si="3"/>
        <v>CLOSED</v>
      </c>
      <c r="N129" s="415">
        <f>+Table2[[#This Row],[Effectiveness Review &amp; date deemed effective]]-Table2[[#This Row],[CAR initialized date]]</f>
        <v>18</v>
      </c>
    </row>
    <row r="130" spans="1:14" s="4" customFormat="1" ht="18" hidden="1" x14ac:dyDescent="0.3">
      <c r="A130" s="9" t="s">
        <v>130</v>
      </c>
      <c r="B130" s="13">
        <f>VLOOKUP(Table2[[#This Row],[Location 
(drop-down)]],'List source'!D$2:E$60,2,FALSE)</f>
        <v>194</v>
      </c>
      <c r="C130" s="11" t="s">
        <v>359</v>
      </c>
      <c r="D130" s="108" t="str">
        <f t="shared" ref="D130:D193" si="4">"C" &amp; C130 &amp; "-" &amp; B130 &amp; "-" &amp; "24"</f>
        <v>C129-194-24</v>
      </c>
      <c r="E130" s="11" t="s">
        <v>3740</v>
      </c>
      <c r="F130" s="11"/>
      <c r="G130" s="9" t="s">
        <v>3877</v>
      </c>
      <c r="H130" s="10" t="s">
        <v>3621</v>
      </c>
      <c r="I130" s="12" t="s">
        <v>49</v>
      </c>
      <c r="J130" s="12">
        <v>45390</v>
      </c>
      <c r="K130" s="77">
        <v>45408</v>
      </c>
      <c r="L130" s="50"/>
      <c r="M130" s="13" t="str">
        <f t="shared" ca="1" si="3"/>
        <v>CLOSED</v>
      </c>
      <c r="N130" s="415">
        <f>+Table2[[#This Row],[Effectiveness Review &amp; date deemed effective]]-Table2[[#This Row],[CAR initialized date]]</f>
        <v>18</v>
      </c>
    </row>
    <row r="131" spans="1:14" s="4" customFormat="1" ht="18" hidden="1" x14ac:dyDescent="0.3">
      <c r="A131" s="9" t="s">
        <v>130</v>
      </c>
      <c r="B131" s="13">
        <f>VLOOKUP(Table2[[#This Row],[Location 
(drop-down)]],'List source'!D$2:E$60,2,FALSE)</f>
        <v>194</v>
      </c>
      <c r="C131" s="11" t="s">
        <v>362</v>
      </c>
      <c r="D131" s="108" t="str">
        <f t="shared" si="4"/>
        <v>C130-194-24</v>
      </c>
      <c r="E131" s="11" t="s">
        <v>3740</v>
      </c>
      <c r="F131" s="11"/>
      <c r="G131" s="9" t="s">
        <v>3878</v>
      </c>
      <c r="H131" s="10" t="s">
        <v>3621</v>
      </c>
      <c r="I131" s="12" t="s">
        <v>49</v>
      </c>
      <c r="J131" s="12">
        <v>45390</v>
      </c>
      <c r="K131" s="77">
        <v>45426</v>
      </c>
      <c r="L131" s="50"/>
      <c r="M131" s="13" t="str">
        <f t="shared" ref="M131:M194" ca="1" si="5">IF(ISBLANK(K131), TODAY()-J131, "CLOSED")</f>
        <v>CLOSED</v>
      </c>
      <c r="N131" s="415">
        <f>+Table2[[#This Row],[Effectiveness Review &amp; date deemed effective]]-Table2[[#This Row],[CAR initialized date]]</f>
        <v>36</v>
      </c>
    </row>
    <row r="132" spans="1:14" s="4" customFormat="1" ht="43.2" hidden="1" x14ac:dyDescent="0.3">
      <c r="A132" s="9" t="s">
        <v>90</v>
      </c>
      <c r="B132" s="13">
        <f>VLOOKUP(Table2[[#This Row],[Location 
(drop-down)]],'List source'!D$2:E$60,2,FALSE)</f>
        <v>157</v>
      </c>
      <c r="C132" s="11" t="s">
        <v>364</v>
      </c>
      <c r="D132" s="108" t="str">
        <f t="shared" si="4"/>
        <v>C131-157-24</v>
      </c>
      <c r="E132" s="11" t="s">
        <v>3735</v>
      </c>
      <c r="F132" s="11" t="s">
        <v>85</v>
      </c>
      <c r="G132" s="9" t="s">
        <v>3657</v>
      </c>
      <c r="H132" s="10" t="s">
        <v>3737</v>
      </c>
      <c r="I132" s="12" t="s">
        <v>18</v>
      </c>
      <c r="J132" s="12">
        <v>45390</v>
      </c>
      <c r="K132" s="77">
        <v>45393</v>
      </c>
      <c r="L132" s="50" t="s">
        <v>3879</v>
      </c>
      <c r="M132" s="13" t="str">
        <f t="shared" ca="1" si="5"/>
        <v>CLOSED</v>
      </c>
      <c r="N132" s="415">
        <f>+Table2[[#This Row],[Effectiveness Review &amp; date deemed effective]]-Table2[[#This Row],[CAR initialized date]]</f>
        <v>3</v>
      </c>
    </row>
    <row r="133" spans="1:14" s="4" customFormat="1" ht="18" hidden="1" x14ac:dyDescent="0.3">
      <c r="A133" s="9" t="s">
        <v>29</v>
      </c>
      <c r="B133" s="13">
        <f>VLOOKUP(Table2[[#This Row],[Location 
(drop-down)]],'List source'!D$2:E$60,2,FALSE)</f>
        <v>141</v>
      </c>
      <c r="C133" s="11" t="s">
        <v>366</v>
      </c>
      <c r="D133" s="108" t="str">
        <f t="shared" si="4"/>
        <v>C132-141-24</v>
      </c>
      <c r="E133" s="11" t="s">
        <v>3773</v>
      </c>
      <c r="F133" s="11" t="s">
        <v>3880</v>
      </c>
      <c r="G133" s="9" t="s">
        <v>3881</v>
      </c>
      <c r="H133" s="10" t="s">
        <v>3621</v>
      </c>
      <c r="I133" s="12" t="s">
        <v>438</v>
      </c>
      <c r="J133" s="12">
        <v>45392</v>
      </c>
      <c r="K133" s="77">
        <v>45411</v>
      </c>
      <c r="L133" s="50"/>
      <c r="M133" s="13" t="str">
        <f t="shared" ca="1" si="5"/>
        <v>CLOSED</v>
      </c>
      <c r="N133" s="415">
        <f>+Table2[[#This Row],[Effectiveness Review &amp; date deemed effective]]-Table2[[#This Row],[CAR initialized date]]</f>
        <v>19</v>
      </c>
    </row>
    <row r="134" spans="1:14" s="4" customFormat="1" ht="43.2" hidden="1" x14ac:dyDescent="0.3">
      <c r="A134" s="9" t="s">
        <v>29</v>
      </c>
      <c r="B134" s="13">
        <f>VLOOKUP(Table2[[#This Row],[Location 
(drop-down)]],'List source'!D$2:E$60,2,FALSE)</f>
        <v>141</v>
      </c>
      <c r="C134" s="11" t="s">
        <v>370</v>
      </c>
      <c r="D134" s="108" t="str">
        <f t="shared" si="4"/>
        <v>C133-141-24</v>
      </c>
      <c r="E134" s="11" t="s">
        <v>3773</v>
      </c>
      <c r="F134" s="11" t="s">
        <v>3880</v>
      </c>
      <c r="G134" s="9" t="s">
        <v>3882</v>
      </c>
      <c r="H134" s="10" t="s">
        <v>3621</v>
      </c>
      <c r="I134" s="12" t="s">
        <v>182</v>
      </c>
      <c r="J134" s="12">
        <v>45392</v>
      </c>
      <c r="K134" s="77">
        <v>45411</v>
      </c>
      <c r="L134" s="50"/>
      <c r="M134" s="13" t="str">
        <f t="shared" ca="1" si="5"/>
        <v>CLOSED</v>
      </c>
      <c r="N134" s="415">
        <f>+Table2[[#This Row],[Effectiveness Review &amp; date deemed effective]]-Table2[[#This Row],[CAR initialized date]]</f>
        <v>19</v>
      </c>
    </row>
    <row r="135" spans="1:14" s="4" customFormat="1" ht="18" hidden="1" x14ac:dyDescent="0.3">
      <c r="A135" s="9" t="s">
        <v>29</v>
      </c>
      <c r="B135" s="13">
        <f>VLOOKUP(Table2[[#This Row],[Location 
(drop-down)]],'List source'!D$2:E$60,2,FALSE)</f>
        <v>141</v>
      </c>
      <c r="C135" s="11" t="s">
        <v>372</v>
      </c>
      <c r="D135" s="108" t="str">
        <f t="shared" si="4"/>
        <v>C134-141-24</v>
      </c>
      <c r="E135" s="11" t="s">
        <v>3773</v>
      </c>
      <c r="F135" s="11" t="s">
        <v>3880</v>
      </c>
      <c r="G135" s="9" t="s">
        <v>3883</v>
      </c>
      <c r="H135" s="10" t="s">
        <v>3621</v>
      </c>
      <c r="I135" s="12" t="s">
        <v>182</v>
      </c>
      <c r="J135" s="12">
        <v>45392</v>
      </c>
      <c r="K135" s="77">
        <v>45411</v>
      </c>
      <c r="L135" s="50"/>
      <c r="M135" s="13" t="str">
        <f t="shared" ca="1" si="5"/>
        <v>CLOSED</v>
      </c>
      <c r="N135" s="415">
        <f>+Table2[[#This Row],[Effectiveness Review &amp; date deemed effective]]-Table2[[#This Row],[CAR initialized date]]</f>
        <v>19</v>
      </c>
    </row>
    <row r="136" spans="1:14" s="4" customFormat="1" ht="29.1" hidden="1" customHeight="1" x14ac:dyDescent="0.3">
      <c r="A136" s="9" t="s">
        <v>113</v>
      </c>
      <c r="B136" s="13" t="str">
        <f>VLOOKUP(Table2[[#This Row],[Location 
(drop-down)]],'List source'!D$2:E$60,2,FALSE)</f>
        <v>VOID</v>
      </c>
      <c r="C136" s="11" t="s">
        <v>374</v>
      </c>
      <c r="D136" s="108" t="str">
        <f t="shared" si="4"/>
        <v>C135-VOID-24</v>
      </c>
      <c r="E136" s="11" t="s">
        <v>114</v>
      </c>
      <c r="F136" s="11" t="s">
        <v>114</v>
      </c>
      <c r="G136" s="11" t="s">
        <v>114</v>
      </c>
      <c r="H136" s="11" t="s">
        <v>114</v>
      </c>
      <c r="I136" s="11" t="s">
        <v>114</v>
      </c>
      <c r="J136" s="11" t="s">
        <v>114</v>
      </c>
      <c r="K136" s="11" t="s">
        <v>114</v>
      </c>
      <c r="L136" s="50"/>
      <c r="M136" s="13" t="str">
        <f t="shared" ca="1" si="5"/>
        <v>CLOSED</v>
      </c>
      <c r="N136" s="415" t="e">
        <f>+Table2[[#This Row],[Effectiveness Review &amp; date deemed effective]]-Table2[[#This Row],[CAR initialized date]]</f>
        <v>#VALUE!</v>
      </c>
    </row>
    <row r="137" spans="1:14" s="4" customFormat="1" ht="28.8" hidden="1" x14ac:dyDescent="0.3">
      <c r="A137" s="9" t="s">
        <v>57</v>
      </c>
      <c r="B137" s="13">
        <f>VLOOKUP(Table2[[#This Row],[Location 
(drop-down)]],'List source'!D$2:E$60,2,FALSE)</f>
        <v>170</v>
      </c>
      <c r="C137" s="11" t="s">
        <v>375</v>
      </c>
      <c r="D137" s="108" t="str">
        <f t="shared" si="4"/>
        <v>C136-170-24</v>
      </c>
      <c r="E137" s="11" t="s">
        <v>3735</v>
      </c>
      <c r="F137" s="11" t="s">
        <v>3884</v>
      </c>
      <c r="G137" s="9" t="s">
        <v>3885</v>
      </c>
      <c r="H137" s="10" t="s">
        <v>3737</v>
      </c>
      <c r="I137" s="12" t="s">
        <v>60</v>
      </c>
      <c r="J137" s="12">
        <v>45393</v>
      </c>
      <c r="K137" s="77">
        <v>45407</v>
      </c>
      <c r="L137" s="50"/>
      <c r="M137" s="13" t="str">
        <f t="shared" ca="1" si="5"/>
        <v>CLOSED</v>
      </c>
      <c r="N137" s="415">
        <f>+Table2[[#This Row],[Effectiveness Review &amp; date deemed effective]]-Table2[[#This Row],[CAR initialized date]]</f>
        <v>14</v>
      </c>
    </row>
    <row r="138" spans="1:14" s="4" customFormat="1" ht="62.4" hidden="1" x14ac:dyDescent="0.3">
      <c r="A138" s="9" t="s">
        <v>325</v>
      </c>
      <c r="B138" s="13">
        <f>VLOOKUP(Table2[[#This Row],[Location 
(drop-down)]],'List source'!D$2:E$60,2,FALSE)</f>
        <v>180</v>
      </c>
      <c r="C138" s="11" t="s">
        <v>376</v>
      </c>
      <c r="D138" s="108" t="str">
        <f t="shared" si="4"/>
        <v>C137-180-24</v>
      </c>
      <c r="E138" s="11" t="s">
        <v>3735</v>
      </c>
      <c r="F138" s="11" t="s">
        <v>3850</v>
      </c>
      <c r="G138" s="421" t="s">
        <v>3886</v>
      </c>
      <c r="H138" s="10" t="s">
        <v>3621</v>
      </c>
      <c r="I138" s="12" t="s">
        <v>18</v>
      </c>
      <c r="J138" s="12">
        <v>45393</v>
      </c>
      <c r="K138" s="77">
        <v>45469</v>
      </c>
      <c r="L138" s="50"/>
      <c r="M138" s="13" t="str">
        <f t="shared" ca="1" si="5"/>
        <v>CLOSED</v>
      </c>
      <c r="N138" s="415">
        <f>+Table2[[#This Row],[Effectiveness Review &amp; date deemed effective]]-Table2[[#This Row],[CAR initialized date]]</f>
        <v>76</v>
      </c>
    </row>
    <row r="139" spans="1:14" s="4" customFormat="1" ht="43.2" hidden="1" x14ac:dyDescent="0.3">
      <c r="A139" s="9" t="s">
        <v>113</v>
      </c>
      <c r="B139" s="13" t="str">
        <f>VLOOKUP(Table2[[#This Row],[Location 
(drop-down)]],'List source'!D$2:E$60,2,FALSE)</f>
        <v>VOID</v>
      </c>
      <c r="C139" s="11" t="s">
        <v>378</v>
      </c>
      <c r="D139" s="108" t="str">
        <f t="shared" si="4"/>
        <v>C138-VOID-24</v>
      </c>
      <c r="E139" s="11" t="s">
        <v>114</v>
      </c>
      <c r="F139" s="11" t="s">
        <v>114</v>
      </c>
      <c r="G139" s="101" t="s">
        <v>3887</v>
      </c>
      <c r="H139" s="12" t="s">
        <v>114</v>
      </c>
      <c r="I139" s="11" t="s">
        <v>114</v>
      </c>
      <c r="J139" s="11" t="s">
        <v>114</v>
      </c>
      <c r="K139" s="77" t="s">
        <v>114</v>
      </c>
      <c r="L139" s="434" t="s">
        <v>3818</v>
      </c>
      <c r="M139" s="13" t="str">
        <f t="shared" ca="1" si="5"/>
        <v>CLOSED</v>
      </c>
      <c r="N139" s="415" t="e">
        <f>+Table2[[#This Row],[Effectiveness Review &amp; date deemed effective]]-Table2[[#This Row],[CAR initialized date]]</f>
        <v>#VALUE!</v>
      </c>
    </row>
    <row r="140" spans="1:14" s="4" customFormat="1" ht="28.8" hidden="1" x14ac:dyDescent="0.3">
      <c r="A140" s="9" t="s">
        <v>57</v>
      </c>
      <c r="B140" s="13">
        <f>VLOOKUP(Table2[[#This Row],[Location 
(drop-down)]],'List source'!D$2:E$60,2,FALSE)</f>
        <v>170</v>
      </c>
      <c r="C140" s="11" t="s">
        <v>380</v>
      </c>
      <c r="D140" s="108" t="str">
        <f t="shared" si="4"/>
        <v>C139-170-24</v>
      </c>
      <c r="E140" s="11" t="s">
        <v>3783</v>
      </c>
      <c r="F140" s="109" t="s">
        <v>125</v>
      </c>
      <c r="G140" s="101" t="s">
        <v>3888</v>
      </c>
      <c r="H140" s="10" t="s">
        <v>3621</v>
      </c>
      <c r="I140" s="12" t="s">
        <v>60</v>
      </c>
      <c r="J140" s="12">
        <v>45397</v>
      </c>
      <c r="K140" s="77">
        <v>45433</v>
      </c>
      <c r="L140" s="50"/>
      <c r="M140" s="13" t="str">
        <f t="shared" ca="1" si="5"/>
        <v>CLOSED</v>
      </c>
      <c r="N140" s="415">
        <f>+Table2[[#This Row],[Effectiveness Review &amp; date deemed effective]]-Table2[[#This Row],[CAR initialized date]]</f>
        <v>36</v>
      </c>
    </row>
    <row r="141" spans="1:14" s="4" customFormat="1" ht="43.2" hidden="1" x14ac:dyDescent="0.3">
      <c r="A141" s="9" t="s">
        <v>57</v>
      </c>
      <c r="B141" s="13">
        <f>VLOOKUP(Table2[[#This Row],[Location 
(drop-down)]],'List source'!D$2:E$60,2,FALSE)</f>
        <v>170</v>
      </c>
      <c r="C141" s="11" t="s">
        <v>381</v>
      </c>
      <c r="D141" s="108" t="str">
        <f t="shared" si="4"/>
        <v>C140-170-24</v>
      </c>
      <c r="E141" s="183" t="s">
        <v>3783</v>
      </c>
      <c r="F141" s="187" t="s">
        <v>125</v>
      </c>
      <c r="G141" s="184" t="s">
        <v>3889</v>
      </c>
      <c r="H141" s="10" t="s">
        <v>3621</v>
      </c>
      <c r="I141" s="12" t="s">
        <v>60</v>
      </c>
      <c r="J141" s="12">
        <v>45397</v>
      </c>
      <c r="K141" s="77">
        <v>45426</v>
      </c>
      <c r="L141" s="50"/>
      <c r="M141" s="13" t="str">
        <f t="shared" ca="1" si="5"/>
        <v>CLOSED</v>
      </c>
      <c r="N141" s="415">
        <f>+Table2[[#This Row],[Effectiveness Review &amp; date deemed effective]]-Table2[[#This Row],[CAR initialized date]]</f>
        <v>29</v>
      </c>
    </row>
    <row r="142" spans="1:14" s="4" customFormat="1" ht="43.2" hidden="1" x14ac:dyDescent="0.3">
      <c r="A142" s="9" t="s">
        <v>57</v>
      </c>
      <c r="B142" s="13">
        <f>VLOOKUP(Table2[[#This Row],[Location 
(drop-down)]],'List source'!D$2:E$60,2,FALSE)</f>
        <v>170</v>
      </c>
      <c r="C142" s="11" t="s">
        <v>382</v>
      </c>
      <c r="D142" s="108" t="str">
        <f t="shared" si="4"/>
        <v>C141-170-24</v>
      </c>
      <c r="E142" s="183" t="s">
        <v>3783</v>
      </c>
      <c r="F142" s="312" t="s">
        <v>125</v>
      </c>
      <c r="G142" s="184" t="s">
        <v>3890</v>
      </c>
      <c r="H142" s="10" t="s">
        <v>3621</v>
      </c>
      <c r="I142" s="12" t="s">
        <v>60</v>
      </c>
      <c r="J142" s="21">
        <v>45397</v>
      </c>
      <c r="K142" s="77">
        <v>45481</v>
      </c>
      <c r="L142" s="50"/>
      <c r="M142" s="13" t="str">
        <f t="shared" ca="1" si="5"/>
        <v>CLOSED</v>
      </c>
      <c r="N142" s="415">
        <f>+Table2[[#This Row],[Effectiveness Review &amp; date deemed effective]]-Table2[[#This Row],[CAR initialized date]]</f>
        <v>84</v>
      </c>
    </row>
    <row r="143" spans="1:14" s="4" customFormat="1" ht="28.8" hidden="1" x14ac:dyDescent="0.3">
      <c r="A143" s="9" t="s">
        <v>57</v>
      </c>
      <c r="B143" s="13">
        <f>VLOOKUP(Table2[[#This Row],[Location 
(drop-down)]],'List source'!D$2:E$60,2,FALSE)</f>
        <v>170</v>
      </c>
      <c r="C143" s="11" t="s">
        <v>383</v>
      </c>
      <c r="D143" s="108" t="str">
        <f t="shared" si="4"/>
        <v>C142-170-24</v>
      </c>
      <c r="E143" s="183" t="s">
        <v>3783</v>
      </c>
      <c r="F143" s="313" t="s">
        <v>125</v>
      </c>
      <c r="G143" s="185" t="s">
        <v>3891</v>
      </c>
      <c r="H143" s="10" t="s">
        <v>3621</v>
      </c>
      <c r="I143" s="12" t="s">
        <v>60</v>
      </c>
      <c r="J143" s="12">
        <v>45397</v>
      </c>
      <c r="K143" s="77">
        <v>45426</v>
      </c>
      <c r="L143" s="50"/>
      <c r="M143" s="13" t="str">
        <f t="shared" ca="1" si="5"/>
        <v>CLOSED</v>
      </c>
      <c r="N143" s="415">
        <f>+Table2[[#This Row],[Effectiveness Review &amp; date deemed effective]]-Table2[[#This Row],[CAR initialized date]]</f>
        <v>29</v>
      </c>
    </row>
    <row r="144" spans="1:14" s="4" customFormat="1" ht="57.6" hidden="1" x14ac:dyDescent="0.3">
      <c r="A144" s="9" t="s">
        <v>57</v>
      </c>
      <c r="B144" s="13">
        <f>VLOOKUP(Table2[[#This Row],[Location 
(drop-down)]],'List source'!D$2:E$60,2,FALSE)</f>
        <v>170</v>
      </c>
      <c r="C144" s="11" t="s">
        <v>386</v>
      </c>
      <c r="D144" s="108" t="str">
        <f t="shared" si="4"/>
        <v>C143-170-24</v>
      </c>
      <c r="E144" s="11" t="s">
        <v>3783</v>
      </c>
      <c r="F144" s="199" t="s">
        <v>125</v>
      </c>
      <c r="G144" s="159" t="s">
        <v>3892</v>
      </c>
      <c r="H144" s="10" t="s">
        <v>3621</v>
      </c>
      <c r="I144" s="12" t="s">
        <v>60</v>
      </c>
      <c r="J144" s="110">
        <v>45397</v>
      </c>
      <c r="K144" s="77">
        <v>45425</v>
      </c>
      <c r="L144" s="50"/>
      <c r="M144" s="13" t="str">
        <f t="shared" ca="1" si="5"/>
        <v>CLOSED</v>
      </c>
      <c r="N144" s="415">
        <f>+Table2[[#This Row],[Effectiveness Review &amp; date deemed effective]]-Table2[[#This Row],[CAR initialized date]]</f>
        <v>28</v>
      </c>
    </row>
    <row r="145" spans="1:14" s="4" customFormat="1" ht="43.2" hidden="1" x14ac:dyDescent="0.3">
      <c r="A145" s="9" t="s">
        <v>57</v>
      </c>
      <c r="B145" s="13">
        <f>VLOOKUP(Table2[[#This Row],[Location 
(drop-down)]],'List source'!D$2:E$60,2,FALSE)</f>
        <v>170</v>
      </c>
      <c r="C145" s="11" t="s">
        <v>389</v>
      </c>
      <c r="D145" s="108" t="str">
        <f t="shared" si="4"/>
        <v>C144-170-24</v>
      </c>
      <c r="E145" s="183" t="s">
        <v>3783</v>
      </c>
      <c r="F145" s="313" t="s">
        <v>125</v>
      </c>
      <c r="G145" s="186" t="s">
        <v>3893</v>
      </c>
      <c r="H145" s="10" t="s">
        <v>3621</v>
      </c>
      <c r="I145" s="12" t="s">
        <v>60</v>
      </c>
      <c r="J145" s="12">
        <v>45397</v>
      </c>
      <c r="K145" s="77">
        <v>45433</v>
      </c>
      <c r="L145" s="50"/>
      <c r="M145" s="13" t="str">
        <f t="shared" ca="1" si="5"/>
        <v>CLOSED</v>
      </c>
      <c r="N145" s="415">
        <f>+Table2[[#This Row],[Effectiveness Review &amp; date deemed effective]]-Table2[[#This Row],[CAR initialized date]]</f>
        <v>36</v>
      </c>
    </row>
    <row r="146" spans="1:14" s="4" customFormat="1" ht="43.2" hidden="1" x14ac:dyDescent="0.3">
      <c r="A146" s="9" t="s">
        <v>57</v>
      </c>
      <c r="B146" s="13">
        <f>VLOOKUP(Table2[[#This Row],[Location 
(drop-down)]],'List source'!D$2:E$60,2,FALSE)</f>
        <v>170</v>
      </c>
      <c r="C146" s="11" t="s">
        <v>390</v>
      </c>
      <c r="D146" s="108" t="str">
        <f t="shared" si="4"/>
        <v>C145-170-24</v>
      </c>
      <c r="E146" s="11" t="s">
        <v>3783</v>
      </c>
      <c r="F146" s="23" t="s">
        <v>125</v>
      </c>
      <c r="G146" s="184" t="s">
        <v>3894</v>
      </c>
      <c r="H146" s="10" t="s">
        <v>3621</v>
      </c>
      <c r="I146" s="12" t="s">
        <v>60</v>
      </c>
      <c r="J146" s="12">
        <v>45397</v>
      </c>
      <c r="K146" s="77">
        <v>45469</v>
      </c>
      <c r="L146" s="50"/>
      <c r="M146" s="13" t="str">
        <f t="shared" ca="1" si="5"/>
        <v>CLOSED</v>
      </c>
      <c r="N146" s="415">
        <f>+Table2[[#This Row],[Effectiveness Review &amp; date deemed effective]]-Table2[[#This Row],[CAR initialized date]]</f>
        <v>72</v>
      </c>
    </row>
    <row r="147" spans="1:14" s="4" customFormat="1" ht="18" hidden="1" x14ac:dyDescent="0.3">
      <c r="A147" s="9" t="s">
        <v>126</v>
      </c>
      <c r="B147" s="13">
        <f>VLOOKUP(Table2[[#This Row],[Location 
(drop-down)]],'List source'!D$2:E$60,2,FALSE)</f>
        <v>125</v>
      </c>
      <c r="C147" s="11" t="s">
        <v>392</v>
      </c>
      <c r="D147" s="108" t="str">
        <f t="shared" si="4"/>
        <v>C146-125-24</v>
      </c>
      <c r="E147" s="11" t="s">
        <v>3740</v>
      </c>
      <c r="F147" s="11"/>
      <c r="G147" s="101" t="s">
        <v>3895</v>
      </c>
      <c r="H147" s="10" t="s">
        <v>3621</v>
      </c>
      <c r="I147" s="12" t="s">
        <v>23</v>
      </c>
      <c r="J147" s="12">
        <v>45398</v>
      </c>
      <c r="K147" s="77">
        <v>45490</v>
      </c>
      <c r="L147" s="50"/>
      <c r="M147" s="13" t="str">
        <f t="shared" ca="1" si="5"/>
        <v>CLOSED</v>
      </c>
      <c r="N147" s="415">
        <f>+Table2[[#This Row],[Effectiveness Review &amp; date deemed effective]]-Table2[[#This Row],[CAR initialized date]]</f>
        <v>92</v>
      </c>
    </row>
    <row r="148" spans="1:14" s="4" customFormat="1" ht="18" hidden="1" x14ac:dyDescent="0.3">
      <c r="A148" s="9" t="s">
        <v>126</v>
      </c>
      <c r="B148" s="13">
        <f>VLOOKUP(Table2[[#This Row],[Location 
(drop-down)]],'List source'!D$2:E$60,2,FALSE)</f>
        <v>125</v>
      </c>
      <c r="C148" s="11" t="s">
        <v>395</v>
      </c>
      <c r="D148" s="108" t="str">
        <f t="shared" si="4"/>
        <v>C147-125-24</v>
      </c>
      <c r="E148" s="11" t="s">
        <v>3740</v>
      </c>
      <c r="F148" s="11"/>
      <c r="G148" s="101" t="s">
        <v>3896</v>
      </c>
      <c r="H148" s="10" t="s">
        <v>3621</v>
      </c>
      <c r="I148" s="12" t="s">
        <v>23</v>
      </c>
      <c r="J148" s="12">
        <v>45398</v>
      </c>
      <c r="K148" s="77">
        <v>45545</v>
      </c>
      <c r="L148" s="436"/>
      <c r="M148" s="13" t="str">
        <f t="shared" ca="1" si="5"/>
        <v>CLOSED</v>
      </c>
      <c r="N148" s="415">
        <f>+Table2[[#This Row],[Effectiveness Review &amp; date deemed effective]]-Table2[[#This Row],[CAR initialized date]]</f>
        <v>147</v>
      </c>
    </row>
    <row r="149" spans="1:14" s="4" customFormat="1" ht="18" hidden="1" x14ac:dyDescent="0.3">
      <c r="A149" s="9" t="s">
        <v>126</v>
      </c>
      <c r="B149" s="13">
        <f>VLOOKUP(Table2[[#This Row],[Location 
(drop-down)]],'List source'!D$2:E$60,2,FALSE)</f>
        <v>125</v>
      </c>
      <c r="C149" s="11" t="s">
        <v>398</v>
      </c>
      <c r="D149" s="108" t="str">
        <f t="shared" si="4"/>
        <v>C148-125-24</v>
      </c>
      <c r="E149" s="11" t="s">
        <v>3740</v>
      </c>
      <c r="F149" s="11"/>
      <c r="G149" s="101" t="s">
        <v>3897</v>
      </c>
      <c r="H149" s="10" t="s">
        <v>3621</v>
      </c>
      <c r="I149" s="12" t="s">
        <v>23</v>
      </c>
      <c r="J149" s="12">
        <v>45398</v>
      </c>
      <c r="K149" s="79">
        <v>46036</v>
      </c>
      <c r="L149" s="50"/>
      <c r="M149" s="13" t="str">
        <f t="shared" ca="1" si="5"/>
        <v>CLOSED</v>
      </c>
      <c r="N149" s="415">
        <f>+Table2[[#This Row],[Effectiveness Review &amp; date deemed effective]]-Table2[[#This Row],[CAR initialized date]]</f>
        <v>638</v>
      </c>
    </row>
    <row r="150" spans="1:14" s="4" customFormat="1" ht="18" hidden="1" x14ac:dyDescent="0.3">
      <c r="A150" s="9" t="s">
        <v>126</v>
      </c>
      <c r="B150" s="13">
        <f>VLOOKUP(Table2[[#This Row],[Location 
(drop-down)]],'List source'!D$2:E$60,2,FALSE)</f>
        <v>125</v>
      </c>
      <c r="C150" s="11" t="s">
        <v>400</v>
      </c>
      <c r="D150" s="108" t="str">
        <f t="shared" si="4"/>
        <v>C149-125-24</v>
      </c>
      <c r="E150" s="11" t="s">
        <v>3740</v>
      </c>
      <c r="F150" s="11"/>
      <c r="G150" s="101" t="s">
        <v>3898</v>
      </c>
      <c r="H150" s="13" t="s">
        <v>3621</v>
      </c>
      <c r="I150" s="12" t="s">
        <v>23</v>
      </c>
      <c r="J150" s="12">
        <v>45398</v>
      </c>
      <c r="K150" s="79">
        <v>45524</v>
      </c>
      <c r="L150" s="50"/>
      <c r="M150" s="13" t="str">
        <f t="shared" ca="1" si="5"/>
        <v>CLOSED</v>
      </c>
      <c r="N150" s="415">
        <f>+Table2[[#This Row],[Effectiveness Review &amp; date deemed effective]]-Table2[[#This Row],[CAR initialized date]]</f>
        <v>126</v>
      </c>
    </row>
    <row r="151" spans="1:14" s="4" customFormat="1" ht="18" hidden="1" x14ac:dyDescent="0.3">
      <c r="A151" s="9" t="s">
        <v>126</v>
      </c>
      <c r="B151" s="13">
        <f>VLOOKUP(Table2[[#This Row],[Location 
(drop-down)]],'List source'!D$2:E$60,2,FALSE)</f>
        <v>125</v>
      </c>
      <c r="C151" s="11" t="s">
        <v>403</v>
      </c>
      <c r="D151" s="108" t="str">
        <f t="shared" si="4"/>
        <v>C150-125-24</v>
      </c>
      <c r="E151" s="11" t="s">
        <v>3740</v>
      </c>
      <c r="F151" s="11"/>
      <c r="G151" s="101" t="s">
        <v>3899</v>
      </c>
      <c r="H151" s="13" t="s">
        <v>3621</v>
      </c>
      <c r="I151" s="12" t="s">
        <v>23</v>
      </c>
      <c r="J151" s="12">
        <v>45398</v>
      </c>
      <c r="K151" s="79">
        <v>45473</v>
      </c>
      <c r="L151" s="50"/>
      <c r="M151" s="13" t="str">
        <f t="shared" ca="1" si="5"/>
        <v>CLOSED</v>
      </c>
      <c r="N151" s="415">
        <f>+Table2[[#This Row],[Effectiveness Review &amp; date deemed effective]]-Table2[[#This Row],[CAR initialized date]]</f>
        <v>75</v>
      </c>
    </row>
    <row r="152" spans="1:14" s="4" customFormat="1" ht="18" hidden="1" x14ac:dyDescent="0.3">
      <c r="A152" s="9" t="s">
        <v>159</v>
      </c>
      <c r="B152" s="13">
        <f>VLOOKUP(Table2[[#This Row],[Location 
(drop-down)]],'List source'!D$2:E$60,2,FALSE)</f>
        <v>156</v>
      </c>
      <c r="C152" s="11" t="s">
        <v>406</v>
      </c>
      <c r="D152" s="100" t="str">
        <f t="shared" si="4"/>
        <v>C151-156-24</v>
      </c>
      <c r="E152" s="11" t="s">
        <v>3740</v>
      </c>
      <c r="F152" s="11"/>
      <c r="G152" s="101" t="s">
        <v>3900</v>
      </c>
      <c r="H152" s="13" t="s">
        <v>3785</v>
      </c>
      <c r="I152" s="14" t="s">
        <v>49</v>
      </c>
      <c r="J152" s="21">
        <v>45401</v>
      </c>
      <c r="K152" s="79">
        <v>45433</v>
      </c>
      <c r="L152" s="50"/>
      <c r="M152" s="13" t="str">
        <f t="shared" ca="1" si="5"/>
        <v>CLOSED</v>
      </c>
      <c r="N152" s="415">
        <f>+Table2[[#This Row],[Effectiveness Review &amp; date deemed effective]]-Table2[[#This Row],[CAR initialized date]]</f>
        <v>32</v>
      </c>
    </row>
    <row r="153" spans="1:14" s="4" customFormat="1" ht="18" hidden="1" x14ac:dyDescent="0.3">
      <c r="A153" s="9" t="s">
        <v>159</v>
      </c>
      <c r="B153" s="13">
        <f>VLOOKUP(Table2[[#This Row],[Location 
(drop-down)]],'List source'!D$2:E$60,2,FALSE)</f>
        <v>156</v>
      </c>
      <c r="C153" s="11" t="s">
        <v>408</v>
      </c>
      <c r="D153" s="108" t="str">
        <f t="shared" si="4"/>
        <v>C152-156-24</v>
      </c>
      <c r="E153" s="11" t="s">
        <v>3740</v>
      </c>
      <c r="F153" s="11"/>
      <c r="G153" s="101" t="s">
        <v>3901</v>
      </c>
      <c r="H153" s="13" t="s">
        <v>3785</v>
      </c>
      <c r="I153" s="14" t="s">
        <v>49</v>
      </c>
      <c r="J153" s="21">
        <v>45401</v>
      </c>
      <c r="K153" s="79">
        <v>45433</v>
      </c>
      <c r="L153" s="50"/>
      <c r="M153" s="13" t="str">
        <f t="shared" ca="1" si="5"/>
        <v>CLOSED</v>
      </c>
      <c r="N153" s="415">
        <f>+Table2[[#This Row],[Effectiveness Review &amp; date deemed effective]]-Table2[[#This Row],[CAR initialized date]]</f>
        <v>32</v>
      </c>
    </row>
    <row r="154" spans="1:14" s="4" customFormat="1" ht="18" hidden="1" x14ac:dyDescent="0.3">
      <c r="A154" s="9" t="s">
        <v>159</v>
      </c>
      <c r="B154" s="13">
        <f>VLOOKUP(Table2[[#This Row],[Location 
(drop-down)]],'List source'!D$2:E$60,2,FALSE)</f>
        <v>156</v>
      </c>
      <c r="C154" s="11" t="s">
        <v>411</v>
      </c>
      <c r="D154" s="108" t="str">
        <f t="shared" si="4"/>
        <v>C153-156-24</v>
      </c>
      <c r="E154" s="11" t="s">
        <v>3740</v>
      </c>
      <c r="F154" s="11"/>
      <c r="G154" s="101" t="s">
        <v>3902</v>
      </c>
      <c r="H154" s="13" t="s">
        <v>3737</v>
      </c>
      <c r="I154" s="14" t="s">
        <v>49</v>
      </c>
      <c r="J154" s="21">
        <v>45401</v>
      </c>
      <c r="K154" s="79">
        <v>45433</v>
      </c>
      <c r="L154" s="50"/>
      <c r="M154" s="13" t="str">
        <f t="shared" ca="1" si="5"/>
        <v>CLOSED</v>
      </c>
      <c r="N154" s="415">
        <f>+Table2[[#This Row],[Effectiveness Review &amp; date deemed effective]]-Table2[[#This Row],[CAR initialized date]]</f>
        <v>32</v>
      </c>
    </row>
    <row r="155" spans="1:14" s="4" customFormat="1" ht="18" hidden="1" x14ac:dyDescent="0.3">
      <c r="A155" s="9" t="s">
        <v>159</v>
      </c>
      <c r="B155" s="13">
        <f>VLOOKUP(Table2[[#This Row],[Location 
(drop-down)]],'List source'!D$2:E$60,2,FALSE)</f>
        <v>156</v>
      </c>
      <c r="C155" s="11" t="s">
        <v>413</v>
      </c>
      <c r="D155" s="108" t="str">
        <f t="shared" si="4"/>
        <v>C154-156-24</v>
      </c>
      <c r="E155" s="11" t="s">
        <v>3740</v>
      </c>
      <c r="F155" s="11"/>
      <c r="G155" s="101" t="s">
        <v>3903</v>
      </c>
      <c r="H155" s="13" t="s">
        <v>3621</v>
      </c>
      <c r="I155" s="14" t="s">
        <v>49</v>
      </c>
      <c r="J155" s="21">
        <v>45401</v>
      </c>
      <c r="K155" s="79">
        <v>45433</v>
      </c>
      <c r="L155" s="50"/>
      <c r="M155" s="13" t="str">
        <f t="shared" ca="1" si="5"/>
        <v>CLOSED</v>
      </c>
      <c r="N155" s="415">
        <f>+Table2[[#This Row],[Effectiveness Review &amp; date deemed effective]]-Table2[[#This Row],[CAR initialized date]]</f>
        <v>32</v>
      </c>
    </row>
    <row r="156" spans="1:14" s="4" customFormat="1" ht="18" hidden="1" x14ac:dyDescent="0.3">
      <c r="A156" s="9" t="s">
        <v>159</v>
      </c>
      <c r="B156" s="13">
        <f>VLOOKUP(Table2[[#This Row],[Location 
(drop-down)]],'List source'!D$2:E$60,2,FALSE)</f>
        <v>156</v>
      </c>
      <c r="C156" s="11" t="s">
        <v>416</v>
      </c>
      <c r="D156" s="108" t="str">
        <f t="shared" si="4"/>
        <v>C155-156-24</v>
      </c>
      <c r="E156" s="11" t="s">
        <v>3740</v>
      </c>
      <c r="F156" s="11"/>
      <c r="G156" s="143" t="s">
        <v>3904</v>
      </c>
      <c r="H156" s="16" t="s">
        <v>3621</v>
      </c>
      <c r="I156" s="14" t="s">
        <v>49</v>
      </c>
      <c r="J156" s="21">
        <v>45401</v>
      </c>
      <c r="K156" s="80">
        <v>45433</v>
      </c>
      <c r="L156" s="436"/>
      <c r="M156" s="13" t="str">
        <f t="shared" ca="1" si="5"/>
        <v>CLOSED</v>
      </c>
      <c r="N156" s="415">
        <f>+Table2[[#This Row],[Effectiveness Review &amp; date deemed effective]]-Table2[[#This Row],[CAR initialized date]]</f>
        <v>32</v>
      </c>
    </row>
    <row r="157" spans="1:14" s="4" customFormat="1" ht="18" hidden="1" x14ac:dyDescent="0.3">
      <c r="A157" s="9" t="s">
        <v>159</v>
      </c>
      <c r="B157" s="13">
        <f>VLOOKUP(Table2[[#This Row],[Location 
(drop-down)]],'List source'!D$2:E$60,2,FALSE)</f>
        <v>156</v>
      </c>
      <c r="C157" s="11" t="s">
        <v>419</v>
      </c>
      <c r="D157" s="108" t="str">
        <f t="shared" si="4"/>
        <v>C156-156-24</v>
      </c>
      <c r="E157" s="11" t="s">
        <v>3740</v>
      </c>
      <c r="F157" s="11"/>
      <c r="G157" s="101" t="s">
        <v>3898</v>
      </c>
      <c r="H157" s="13" t="s">
        <v>3621</v>
      </c>
      <c r="I157" s="14" t="s">
        <v>49</v>
      </c>
      <c r="J157" s="21">
        <v>45401</v>
      </c>
      <c r="K157" s="79">
        <v>45460</v>
      </c>
      <c r="L157" s="50"/>
      <c r="M157" s="13" t="str">
        <f t="shared" ca="1" si="5"/>
        <v>CLOSED</v>
      </c>
      <c r="N157" s="415">
        <f>+Table2[[#This Row],[Effectiveness Review &amp; date deemed effective]]-Table2[[#This Row],[CAR initialized date]]</f>
        <v>59</v>
      </c>
    </row>
    <row r="158" spans="1:14" s="4" customFormat="1" ht="28.8" hidden="1" x14ac:dyDescent="0.3">
      <c r="A158" s="9" t="s">
        <v>147</v>
      </c>
      <c r="B158" s="13">
        <f>VLOOKUP(Table2[[#This Row],[Location 
(drop-down)]],'List source'!D$2:E$61,2,FALSE)</f>
        <v>185</v>
      </c>
      <c r="C158" s="11" t="s">
        <v>420</v>
      </c>
      <c r="D158" s="108" t="str">
        <f t="shared" si="4"/>
        <v>C157-185-24</v>
      </c>
      <c r="E158" s="11" t="s">
        <v>3740</v>
      </c>
      <c r="F158" s="11"/>
      <c r="G158" s="9" t="s">
        <v>3905</v>
      </c>
      <c r="H158" s="16" t="s">
        <v>3621</v>
      </c>
      <c r="I158" s="19" t="s">
        <v>41</v>
      </c>
      <c r="J158" s="20">
        <v>45401</v>
      </c>
      <c r="K158" s="80">
        <v>45546</v>
      </c>
      <c r="L158" s="436"/>
      <c r="M158" s="13" t="str">
        <f t="shared" ca="1" si="5"/>
        <v>CLOSED</v>
      </c>
      <c r="N158" s="415">
        <f>+Table2[[#This Row],[Effectiveness Review &amp; date deemed effective]]-Table2[[#This Row],[CAR initialized date]]</f>
        <v>145</v>
      </c>
    </row>
    <row r="159" spans="1:14" s="4" customFormat="1" ht="18" hidden="1" x14ac:dyDescent="0.3">
      <c r="A159" s="9" t="s">
        <v>147</v>
      </c>
      <c r="B159" s="13">
        <f>VLOOKUP(Table2[[#This Row],[Location 
(drop-down)]],'List source'!D$2:E$61,2,FALSE)</f>
        <v>185</v>
      </c>
      <c r="C159" s="11" t="s">
        <v>422</v>
      </c>
      <c r="D159" s="108" t="str">
        <f t="shared" si="4"/>
        <v>C158-185-24</v>
      </c>
      <c r="E159" s="11" t="s">
        <v>3740</v>
      </c>
      <c r="F159" s="11"/>
      <c r="G159" s="101" t="s">
        <v>3906</v>
      </c>
      <c r="H159" s="13" t="s">
        <v>3737</v>
      </c>
      <c r="I159" s="14" t="s">
        <v>41</v>
      </c>
      <c r="J159" s="21">
        <v>45401</v>
      </c>
      <c r="K159" s="79">
        <v>45915</v>
      </c>
      <c r="L159" s="50"/>
      <c r="M159" s="13" t="str">
        <f t="shared" ca="1" si="5"/>
        <v>CLOSED</v>
      </c>
      <c r="N159" s="415">
        <f>+Table2[[#This Row],[Effectiveness Review &amp; date deemed effective]]-Table2[[#This Row],[CAR initialized date]]</f>
        <v>514</v>
      </c>
    </row>
    <row r="160" spans="1:14" s="4" customFormat="1" ht="18" hidden="1" x14ac:dyDescent="0.3">
      <c r="A160" s="9" t="s">
        <v>147</v>
      </c>
      <c r="B160" s="13">
        <f>VLOOKUP(Table2[[#This Row],[Location 
(drop-down)]],'List source'!D$2:E$61,2,FALSE)</f>
        <v>185</v>
      </c>
      <c r="C160" s="11" t="s">
        <v>424</v>
      </c>
      <c r="D160" s="108" t="str">
        <f t="shared" si="4"/>
        <v>C159-185-24</v>
      </c>
      <c r="E160" s="11" t="s">
        <v>3740</v>
      </c>
      <c r="F160" s="11"/>
      <c r="G160" s="104" t="s">
        <v>3907</v>
      </c>
      <c r="H160" s="16" t="s">
        <v>3621</v>
      </c>
      <c r="I160" s="19" t="s">
        <v>41</v>
      </c>
      <c r="J160" s="20">
        <v>45401</v>
      </c>
      <c r="K160" s="79">
        <v>45530</v>
      </c>
      <c r="L160" s="436"/>
      <c r="M160" s="13" t="str">
        <f t="shared" ca="1" si="5"/>
        <v>CLOSED</v>
      </c>
      <c r="N160" s="415">
        <f>+Table2[[#This Row],[Effectiveness Review &amp; date deemed effective]]-Table2[[#This Row],[CAR initialized date]]</f>
        <v>129</v>
      </c>
    </row>
    <row r="161" spans="1:14" s="4" customFormat="1" ht="18" hidden="1" x14ac:dyDescent="0.3">
      <c r="A161" s="9" t="s">
        <v>147</v>
      </c>
      <c r="B161" s="13">
        <f>VLOOKUP(Table2[[#This Row],[Location 
(drop-down)]],'List source'!D$2:E$61,2,FALSE)</f>
        <v>185</v>
      </c>
      <c r="C161" s="11" t="s">
        <v>426</v>
      </c>
      <c r="D161" s="108" t="str">
        <f t="shared" si="4"/>
        <v>C160-185-24</v>
      </c>
      <c r="E161" s="11" t="s">
        <v>3740</v>
      </c>
      <c r="F161" s="11"/>
      <c r="G161" s="101" t="s">
        <v>3908</v>
      </c>
      <c r="H161" s="13" t="s">
        <v>3621</v>
      </c>
      <c r="I161" s="19" t="s">
        <v>41</v>
      </c>
      <c r="J161" s="20">
        <v>45401</v>
      </c>
      <c r="K161" s="79">
        <v>45441</v>
      </c>
      <c r="L161" s="50"/>
      <c r="M161" s="13" t="str">
        <f t="shared" ca="1" si="5"/>
        <v>CLOSED</v>
      </c>
      <c r="N161" s="415">
        <f>+Table2[[#This Row],[Effectiveness Review &amp; date deemed effective]]-Table2[[#This Row],[CAR initialized date]]</f>
        <v>40</v>
      </c>
    </row>
    <row r="162" spans="1:14" s="4" customFormat="1" ht="18" hidden="1" x14ac:dyDescent="0.3">
      <c r="A162" s="9" t="s">
        <v>147</v>
      </c>
      <c r="B162" s="13">
        <f>VLOOKUP(Table2[[#This Row],[Location 
(drop-down)]],'List source'!D$2:E$61,2,FALSE)</f>
        <v>185</v>
      </c>
      <c r="C162" s="11" t="s">
        <v>430</v>
      </c>
      <c r="D162" s="108" t="str">
        <f t="shared" si="4"/>
        <v>C161-185-24</v>
      </c>
      <c r="E162" s="10" t="s">
        <v>3740</v>
      </c>
      <c r="F162" s="9"/>
      <c r="G162" s="188" t="s">
        <v>3909</v>
      </c>
      <c r="H162" s="10" t="s">
        <v>3621</v>
      </c>
      <c r="I162" s="19" t="s">
        <v>41</v>
      </c>
      <c r="J162" s="20">
        <v>45401</v>
      </c>
      <c r="K162" s="79">
        <v>45441</v>
      </c>
      <c r="L162" s="437"/>
      <c r="M162" s="13" t="str">
        <f t="shared" ca="1" si="5"/>
        <v>CLOSED</v>
      </c>
      <c r="N162" s="415">
        <f>+Table2[[#This Row],[Effectiveness Review &amp; date deemed effective]]-Table2[[#This Row],[CAR initialized date]]</f>
        <v>40</v>
      </c>
    </row>
    <row r="163" spans="1:14" s="4" customFormat="1" ht="18" hidden="1" x14ac:dyDescent="0.3">
      <c r="A163" s="9" t="s">
        <v>147</v>
      </c>
      <c r="B163" s="13">
        <f>VLOOKUP(Table2[[#This Row],[Location 
(drop-down)]],'List source'!D$2:E$61,2,FALSE)</f>
        <v>185</v>
      </c>
      <c r="C163" s="11" t="s">
        <v>431</v>
      </c>
      <c r="D163" s="108" t="str">
        <f t="shared" si="4"/>
        <v>C162-185-24</v>
      </c>
      <c r="E163" s="10" t="s">
        <v>3740</v>
      </c>
      <c r="F163" s="9"/>
      <c r="G163" s="188" t="s">
        <v>3910</v>
      </c>
      <c r="H163" s="10" t="s">
        <v>3621</v>
      </c>
      <c r="I163" s="19" t="s">
        <v>41</v>
      </c>
      <c r="J163" s="20">
        <v>45401</v>
      </c>
      <c r="K163" s="79">
        <v>45532</v>
      </c>
      <c r="L163" s="437"/>
      <c r="M163" s="13" t="str">
        <f t="shared" ca="1" si="5"/>
        <v>CLOSED</v>
      </c>
      <c r="N163" s="415">
        <f>+Table2[[#This Row],[Effectiveness Review &amp; date deemed effective]]-Table2[[#This Row],[CAR initialized date]]</f>
        <v>131</v>
      </c>
    </row>
    <row r="164" spans="1:14" s="4" customFormat="1" ht="18" hidden="1" x14ac:dyDescent="0.3">
      <c r="A164" s="9" t="s">
        <v>159</v>
      </c>
      <c r="B164" s="13">
        <f>VLOOKUP(Table2[[#This Row],[Location 
(drop-down)]],'List source'!D$2:E$60,2,FALSE)</f>
        <v>156</v>
      </c>
      <c r="C164" s="11" t="s">
        <v>433</v>
      </c>
      <c r="D164" s="108" t="str">
        <f t="shared" si="4"/>
        <v>C163-156-24</v>
      </c>
      <c r="E164" s="10" t="s">
        <v>3740</v>
      </c>
      <c r="F164" s="9"/>
      <c r="G164" s="188" t="s">
        <v>3911</v>
      </c>
      <c r="H164" s="10" t="s">
        <v>3621</v>
      </c>
      <c r="I164" s="77" t="s">
        <v>49</v>
      </c>
      <c r="J164" s="12">
        <v>45401</v>
      </c>
      <c r="K164" s="79">
        <v>45433</v>
      </c>
      <c r="L164" s="437"/>
      <c r="M164" s="13" t="str">
        <f t="shared" ca="1" si="5"/>
        <v>CLOSED</v>
      </c>
      <c r="N164" s="415">
        <f>+Table2[[#This Row],[Effectiveness Review &amp; date deemed effective]]-Table2[[#This Row],[CAR initialized date]]</f>
        <v>32</v>
      </c>
    </row>
    <row r="165" spans="1:14" s="4" customFormat="1" ht="18" hidden="1" x14ac:dyDescent="0.3">
      <c r="A165" s="9" t="s">
        <v>166</v>
      </c>
      <c r="B165" s="13">
        <f>VLOOKUP(Table2[[#This Row],[Location 
(drop-down)]],'List source'!D$2:E$60,2,FALSE)</f>
        <v>198</v>
      </c>
      <c r="C165" s="11" t="s">
        <v>434</v>
      </c>
      <c r="D165" s="108" t="str">
        <f t="shared" si="4"/>
        <v>C164-198-24</v>
      </c>
      <c r="E165" s="11" t="s">
        <v>3783</v>
      </c>
      <c r="F165" s="11" t="s">
        <v>170</v>
      </c>
      <c r="G165" s="101" t="s">
        <v>3912</v>
      </c>
      <c r="H165" s="13" t="s">
        <v>3621</v>
      </c>
      <c r="I165" s="12" t="s">
        <v>49</v>
      </c>
      <c r="J165" s="21">
        <v>45401</v>
      </c>
      <c r="K165" s="77">
        <v>45433</v>
      </c>
      <c r="L165" s="152"/>
      <c r="M165" s="13" t="str">
        <f t="shared" ca="1" si="5"/>
        <v>CLOSED</v>
      </c>
      <c r="N165" s="415">
        <f>+Table2[[#This Row],[Effectiveness Review &amp; date deemed effective]]-Table2[[#This Row],[CAR initialized date]]</f>
        <v>32</v>
      </c>
    </row>
    <row r="166" spans="1:14" s="4" customFormat="1" ht="28.8" hidden="1" x14ac:dyDescent="0.3">
      <c r="A166" s="9" t="s">
        <v>166</v>
      </c>
      <c r="B166" s="13">
        <f>VLOOKUP(Table2[[#This Row],[Location 
(drop-down)]],'List source'!D$2:E$60,2,FALSE)</f>
        <v>198</v>
      </c>
      <c r="C166" s="11" t="s">
        <v>437</v>
      </c>
      <c r="D166" s="108" t="str">
        <f t="shared" si="4"/>
        <v>C165-198-24</v>
      </c>
      <c r="E166" s="11" t="s">
        <v>3783</v>
      </c>
      <c r="F166" s="11" t="s">
        <v>170</v>
      </c>
      <c r="G166" s="104" t="s">
        <v>3913</v>
      </c>
      <c r="H166" s="16" t="s">
        <v>3621</v>
      </c>
      <c r="I166" s="12" t="s">
        <v>49</v>
      </c>
      <c r="J166" s="21">
        <v>45401</v>
      </c>
      <c r="K166" s="80">
        <v>45433</v>
      </c>
      <c r="L166" s="420"/>
      <c r="M166" s="13" t="str">
        <f t="shared" ca="1" si="5"/>
        <v>CLOSED</v>
      </c>
      <c r="N166" s="415">
        <f>+Table2[[#This Row],[Effectiveness Review &amp; date deemed effective]]-Table2[[#This Row],[CAR initialized date]]</f>
        <v>32</v>
      </c>
    </row>
    <row r="167" spans="1:14" s="4" customFormat="1" ht="18" hidden="1" x14ac:dyDescent="0.3">
      <c r="A167" s="9" t="s">
        <v>166</v>
      </c>
      <c r="B167" s="13">
        <f>VLOOKUP(Table2[[#This Row],[Location 
(drop-down)]],'List source'!D$2:E$60,2,FALSE)</f>
        <v>198</v>
      </c>
      <c r="C167" s="11" t="s">
        <v>439</v>
      </c>
      <c r="D167" s="108" t="str">
        <f t="shared" si="4"/>
        <v>C166-198-24</v>
      </c>
      <c r="E167" s="11" t="s">
        <v>3783</v>
      </c>
      <c r="F167" s="11" t="s">
        <v>170</v>
      </c>
      <c r="G167" s="101" t="s">
        <v>3914</v>
      </c>
      <c r="H167" s="13" t="s">
        <v>3621</v>
      </c>
      <c r="I167" s="12" t="s">
        <v>49</v>
      </c>
      <c r="J167" s="21">
        <v>45401</v>
      </c>
      <c r="K167" s="77">
        <v>45433</v>
      </c>
      <c r="L167" s="152"/>
      <c r="M167" s="13" t="str">
        <f t="shared" ca="1" si="5"/>
        <v>CLOSED</v>
      </c>
      <c r="N167" s="415">
        <f>+Table2[[#This Row],[Effectiveness Review &amp; date deemed effective]]-Table2[[#This Row],[CAR initialized date]]</f>
        <v>32</v>
      </c>
    </row>
    <row r="168" spans="1:14" s="4" customFormat="1" ht="18" hidden="1" x14ac:dyDescent="0.3">
      <c r="A168" s="9" t="s">
        <v>166</v>
      </c>
      <c r="B168" s="13">
        <f>VLOOKUP(Table2[[#This Row],[Location 
(drop-down)]],'List source'!D$2:E$60,2,FALSE)</f>
        <v>198</v>
      </c>
      <c r="C168" s="11" t="s">
        <v>441</v>
      </c>
      <c r="D168" s="108" t="str">
        <f t="shared" si="4"/>
        <v>C167-198-24</v>
      </c>
      <c r="E168" s="11" t="s">
        <v>3783</v>
      </c>
      <c r="F168" s="11" t="s">
        <v>170</v>
      </c>
      <c r="G168" s="104" t="s">
        <v>3915</v>
      </c>
      <c r="H168" s="16" t="s">
        <v>3621</v>
      </c>
      <c r="I168" s="12" t="s">
        <v>49</v>
      </c>
      <c r="J168" s="21">
        <v>45401</v>
      </c>
      <c r="K168" s="80">
        <v>45433</v>
      </c>
      <c r="L168" s="436"/>
      <c r="M168" s="13" t="str">
        <f t="shared" ca="1" si="5"/>
        <v>CLOSED</v>
      </c>
      <c r="N168" s="415">
        <f>+Table2[[#This Row],[Effectiveness Review &amp; date deemed effective]]-Table2[[#This Row],[CAR initialized date]]</f>
        <v>32</v>
      </c>
    </row>
    <row r="169" spans="1:14" s="4" customFormat="1" ht="18" hidden="1" x14ac:dyDescent="0.3">
      <c r="A169" s="9" t="s">
        <v>166</v>
      </c>
      <c r="B169" s="13">
        <f>VLOOKUP(Table2[[#This Row],[Location 
(drop-down)]],'List source'!D$2:E$60,2,FALSE)</f>
        <v>198</v>
      </c>
      <c r="C169" s="11" t="s">
        <v>443</v>
      </c>
      <c r="D169" s="108" t="str">
        <f t="shared" si="4"/>
        <v>C168-198-24</v>
      </c>
      <c r="E169" s="11" t="s">
        <v>3783</v>
      </c>
      <c r="F169" s="11" t="s">
        <v>170</v>
      </c>
      <c r="G169" s="9" t="s">
        <v>3916</v>
      </c>
      <c r="H169" s="10" t="s">
        <v>3621</v>
      </c>
      <c r="I169" s="12" t="s">
        <v>49</v>
      </c>
      <c r="J169" s="21">
        <v>45401</v>
      </c>
      <c r="K169" s="77">
        <v>45433</v>
      </c>
      <c r="L169" s="50"/>
      <c r="M169" s="13" t="str">
        <f t="shared" ca="1" si="5"/>
        <v>CLOSED</v>
      </c>
      <c r="N169" s="415">
        <f>+Table2[[#This Row],[Effectiveness Review &amp; date deemed effective]]-Table2[[#This Row],[CAR initialized date]]</f>
        <v>32</v>
      </c>
    </row>
    <row r="170" spans="1:14" s="4" customFormat="1" ht="28.8" hidden="1" x14ac:dyDescent="0.3">
      <c r="A170" s="9" t="s">
        <v>149</v>
      </c>
      <c r="B170" s="13">
        <f>VLOOKUP(Table2[[#This Row],[Location 
(drop-down)]],'List source'!D$2:E$60,2,FALSE)</f>
        <v>119</v>
      </c>
      <c r="C170" s="11" t="s">
        <v>445</v>
      </c>
      <c r="D170" s="108" t="str">
        <f t="shared" si="4"/>
        <v>C169-119-24</v>
      </c>
      <c r="E170" s="11" t="s">
        <v>3740</v>
      </c>
      <c r="F170" s="11"/>
      <c r="G170" s="28" t="s">
        <v>3917</v>
      </c>
      <c r="H170" s="11" t="s">
        <v>3737</v>
      </c>
      <c r="I170" s="11" t="s">
        <v>18</v>
      </c>
      <c r="J170" s="21">
        <v>45406</v>
      </c>
      <c r="K170" s="21">
        <v>45436</v>
      </c>
      <c r="L170" s="50"/>
      <c r="M170" s="13" t="str">
        <f t="shared" ca="1" si="5"/>
        <v>CLOSED</v>
      </c>
      <c r="N170" s="415">
        <f>+Table2[[#This Row],[Effectiveness Review &amp; date deemed effective]]-Table2[[#This Row],[CAR initialized date]]</f>
        <v>30</v>
      </c>
    </row>
    <row r="171" spans="1:14" s="4" customFormat="1" ht="18" hidden="1" x14ac:dyDescent="0.3">
      <c r="A171" s="9" t="s">
        <v>151</v>
      </c>
      <c r="B171" s="13">
        <f>VLOOKUP(Table2[[#This Row],[Location 
(drop-down)]],'List source'!D$2:E$60,2,FALSE)</f>
        <v>124</v>
      </c>
      <c r="C171" s="11" t="s">
        <v>449</v>
      </c>
      <c r="D171" s="108" t="str">
        <f t="shared" si="4"/>
        <v>C170-124-24</v>
      </c>
      <c r="E171" s="11" t="s">
        <v>3740</v>
      </c>
      <c r="F171" s="11"/>
      <c r="G171" s="90" t="s">
        <v>3918</v>
      </c>
      <c r="H171" s="10" t="s">
        <v>3621</v>
      </c>
      <c r="I171" s="12" t="s">
        <v>18</v>
      </c>
      <c r="J171" s="21">
        <v>45408</v>
      </c>
      <c r="K171" s="77">
        <v>45414</v>
      </c>
      <c r="L171" s="50"/>
      <c r="M171" s="13" t="str">
        <f t="shared" ca="1" si="5"/>
        <v>CLOSED</v>
      </c>
      <c r="N171" s="415">
        <f>+Table2[[#This Row],[Effectiveness Review &amp; date deemed effective]]-Table2[[#This Row],[CAR initialized date]]</f>
        <v>6</v>
      </c>
    </row>
    <row r="172" spans="1:14" s="4" customFormat="1" ht="18" hidden="1" x14ac:dyDescent="0.3">
      <c r="A172" s="9" t="s">
        <v>161</v>
      </c>
      <c r="B172" s="13">
        <f>VLOOKUP(Table2[[#This Row],[Location 
(drop-down)]],'List source'!D$2:E$60,2,FALSE)</f>
        <v>142</v>
      </c>
      <c r="C172" s="11" t="s">
        <v>452</v>
      </c>
      <c r="D172" s="108" t="str">
        <f t="shared" si="4"/>
        <v>C171-142-24</v>
      </c>
      <c r="E172" s="11" t="s">
        <v>3740</v>
      </c>
      <c r="F172" s="11"/>
      <c r="G172" s="9" t="s">
        <v>3909</v>
      </c>
      <c r="H172" s="10" t="s">
        <v>3621</v>
      </c>
      <c r="I172" s="14" t="s">
        <v>41</v>
      </c>
      <c r="J172" s="21">
        <v>45413</v>
      </c>
      <c r="K172" s="79">
        <v>45470</v>
      </c>
      <c r="L172" s="50"/>
      <c r="M172" s="13" t="str">
        <f t="shared" ca="1" si="5"/>
        <v>CLOSED</v>
      </c>
      <c r="N172" s="415">
        <f>+Table2[[#This Row],[Effectiveness Review &amp; date deemed effective]]-Table2[[#This Row],[CAR initialized date]]</f>
        <v>57</v>
      </c>
    </row>
    <row r="173" spans="1:14" s="4" customFormat="1" ht="18" hidden="1" x14ac:dyDescent="0.3">
      <c r="A173" s="9" t="s">
        <v>138</v>
      </c>
      <c r="B173" s="13">
        <f>VLOOKUP(Table2[[#This Row],[Location 
(drop-down)]],'List source'!D$2:E$60,2,FALSE)</f>
        <v>110</v>
      </c>
      <c r="C173" s="11" t="s">
        <v>453</v>
      </c>
      <c r="D173" s="108" t="str">
        <f t="shared" si="4"/>
        <v>C172-110-24</v>
      </c>
      <c r="E173" s="11" t="s">
        <v>3783</v>
      </c>
      <c r="F173" s="11" t="s">
        <v>141</v>
      </c>
      <c r="G173" s="9" t="s">
        <v>3919</v>
      </c>
      <c r="H173" s="10" t="s">
        <v>3785</v>
      </c>
      <c r="I173" s="12" t="s">
        <v>49</v>
      </c>
      <c r="J173" s="21">
        <v>45391</v>
      </c>
      <c r="K173" s="77">
        <v>45413</v>
      </c>
      <c r="L173" s="50"/>
      <c r="M173" s="13" t="str">
        <f t="shared" ca="1" si="5"/>
        <v>CLOSED</v>
      </c>
      <c r="N173" s="415">
        <f>+Table2[[#This Row],[Effectiveness Review &amp; date deemed effective]]-Table2[[#This Row],[CAR initialized date]]</f>
        <v>22</v>
      </c>
    </row>
    <row r="174" spans="1:14" s="4" customFormat="1" ht="18" hidden="1" x14ac:dyDescent="0.3">
      <c r="A174" s="9" t="s">
        <v>138</v>
      </c>
      <c r="B174" s="13">
        <f>VLOOKUP(Table2[[#This Row],[Location 
(drop-down)]],'List source'!D$2:E$60,2,FALSE)</f>
        <v>110</v>
      </c>
      <c r="C174" s="11" t="s">
        <v>454</v>
      </c>
      <c r="D174" s="108" t="str">
        <f t="shared" si="4"/>
        <v>C173-110-24</v>
      </c>
      <c r="E174" s="11" t="s">
        <v>3783</v>
      </c>
      <c r="F174" s="11" t="s">
        <v>141</v>
      </c>
      <c r="G174" s="9" t="s">
        <v>3920</v>
      </c>
      <c r="H174" s="10" t="s">
        <v>3621</v>
      </c>
      <c r="I174" s="12" t="s">
        <v>49</v>
      </c>
      <c r="J174" s="21">
        <v>45391</v>
      </c>
      <c r="K174" s="77">
        <v>45413</v>
      </c>
      <c r="L174" s="50"/>
      <c r="M174" s="13" t="str">
        <f t="shared" ca="1" si="5"/>
        <v>CLOSED</v>
      </c>
      <c r="N174" s="415">
        <f>+Table2[[#This Row],[Effectiveness Review &amp; date deemed effective]]-Table2[[#This Row],[CAR initialized date]]</f>
        <v>22</v>
      </c>
    </row>
    <row r="175" spans="1:14" s="4" customFormat="1" ht="18" hidden="1" x14ac:dyDescent="0.3">
      <c r="A175" s="9" t="s">
        <v>138</v>
      </c>
      <c r="B175" s="13">
        <f>VLOOKUP(Table2[[#This Row],[Location 
(drop-down)]],'List source'!D$2:E$60,2,FALSE)</f>
        <v>110</v>
      </c>
      <c r="C175" s="11" t="s">
        <v>455</v>
      </c>
      <c r="D175" s="108" t="str">
        <f t="shared" si="4"/>
        <v>C174-110-24</v>
      </c>
      <c r="E175" s="11" t="s">
        <v>3783</v>
      </c>
      <c r="F175" s="11" t="s">
        <v>141</v>
      </c>
      <c r="G175" s="9" t="s">
        <v>3921</v>
      </c>
      <c r="H175" s="10" t="s">
        <v>3737</v>
      </c>
      <c r="I175" s="12" t="s">
        <v>49</v>
      </c>
      <c r="J175" s="21">
        <v>45391</v>
      </c>
      <c r="K175" s="77">
        <v>45414</v>
      </c>
      <c r="L175" s="50"/>
      <c r="M175" s="13" t="str">
        <f t="shared" ca="1" si="5"/>
        <v>CLOSED</v>
      </c>
      <c r="N175" s="415">
        <f>+Table2[[#This Row],[Effectiveness Review &amp; date deemed effective]]-Table2[[#This Row],[CAR initialized date]]</f>
        <v>23</v>
      </c>
    </row>
    <row r="176" spans="1:14" s="4" customFormat="1" ht="28.8" hidden="1" x14ac:dyDescent="0.3">
      <c r="A176" s="9" t="s">
        <v>138</v>
      </c>
      <c r="B176" s="13">
        <f>VLOOKUP(Table2[[#This Row],[Location 
(drop-down)]],'List source'!D$2:E$60,2,FALSE)</f>
        <v>110</v>
      </c>
      <c r="C176" s="11" t="s">
        <v>456</v>
      </c>
      <c r="D176" s="108" t="str">
        <f t="shared" si="4"/>
        <v>C175-110-24</v>
      </c>
      <c r="E176" s="11" t="s">
        <v>3783</v>
      </c>
      <c r="F176" s="11" t="s">
        <v>141</v>
      </c>
      <c r="G176" s="9" t="s">
        <v>3922</v>
      </c>
      <c r="H176" s="10" t="s">
        <v>3621</v>
      </c>
      <c r="I176" s="12" t="s">
        <v>49</v>
      </c>
      <c r="J176" s="21">
        <v>45391</v>
      </c>
      <c r="K176" s="77">
        <v>45413</v>
      </c>
      <c r="L176" s="50"/>
      <c r="M176" s="13" t="str">
        <f t="shared" ca="1" si="5"/>
        <v>CLOSED</v>
      </c>
      <c r="N176" s="415">
        <f>+Table2[[#This Row],[Effectiveness Review &amp; date deemed effective]]-Table2[[#This Row],[CAR initialized date]]</f>
        <v>22</v>
      </c>
    </row>
    <row r="177" spans="1:14" s="4" customFormat="1" ht="28.8" hidden="1" x14ac:dyDescent="0.3">
      <c r="A177" s="9" t="s">
        <v>138</v>
      </c>
      <c r="B177" s="13">
        <f>VLOOKUP(Table2[[#This Row],[Location 
(drop-down)]],'List source'!D$2:E$60,2,FALSE)</f>
        <v>110</v>
      </c>
      <c r="C177" s="11" t="s">
        <v>457</v>
      </c>
      <c r="D177" s="108" t="str">
        <f t="shared" si="4"/>
        <v>C176-110-24</v>
      </c>
      <c r="E177" s="11" t="s">
        <v>3783</v>
      </c>
      <c r="F177" s="11" t="s">
        <v>141</v>
      </c>
      <c r="G177" s="9" t="s">
        <v>3923</v>
      </c>
      <c r="H177" s="10" t="s">
        <v>3621</v>
      </c>
      <c r="I177" s="12" t="s">
        <v>49</v>
      </c>
      <c r="J177" s="21">
        <v>45391</v>
      </c>
      <c r="K177" s="77">
        <v>45425</v>
      </c>
      <c r="L177" s="50"/>
      <c r="M177" s="13" t="str">
        <f t="shared" ca="1" si="5"/>
        <v>CLOSED</v>
      </c>
      <c r="N177" s="415">
        <f>+Table2[[#This Row],[Effectiveness Review &amp; date deemed effective]]-Table2[[#This Row],[CAR initialized date]]</f>
        <v>34</v>
      </c>
    </row>
    <row r="178" spans="1:14" s="4" customFormat="1" ht="18" hidden="1" x14ac:dyDescent="0.3">
      <c r="A178" s="9" t="s">
        <v>138</v>
      </c>
      <c r="B178" s="13">
        <f>VLOOKUP(Table2[[#This Row],[Location 
(drop-down)]],'List source'!D$2:E$60,2,FALSE)</f>
        <v>110</v>
      </c>
      <c r="C178" s="11" t="s">
        <v>458</v>
      </c>
      <c r="D178" s="108" t="str">
        <f t="shared" si="4"/>
        <v>C177-110-24</v>
      </c>
      <c r="E178" s="11" t="s">
        <v>3783</v>
      </c>
      <c r="F178" s="11" t="s">
        <v>141</v>
      </c>
      <c r="G178" s="9" t="s">
        <v>3924</v>
      </c>
      <c r="H178" s="10" t="s">
        <v>3621</v>
      </c>
      <c r="I178" s="12" t="s">
        <v>49</v>
      </c>
      <c r="J178" s="21">
        <v>45391</v>
      </c>
      <c r="K178" s="77">
        <v>45413</v>
      </c>
      <c r="L178" s="50"/>
      <c r="M178" s="13" t="str">
        <f t="shared" ca="1" si="5"/>
        <v>CLOSED</v>
      </c>
      <c r="N178" s="415">
        <f>+Table2[[#This Row],[Effectiveness Review &amp; date deemed effective]]-Table2[[#This Row],[CAR initialized date]]</f>
        <v>22</v>
      </c>
    </row>
    <row r="179" spans="1:14" s="4" customFormat="1" ht="18" hidden="1" x14ac:dyDescent="0.3">
      <c r="A179" s="9" t="s">
        <v>138</v>
      </c>
      <c r="B179" s="13">
        <f>VLOOKUP(Table2[[#This Row],[Location 
(drop-down)]],'List source'!D$2:E$60,2,FALSE)</f>
        <v>110</v>
      </c>
      <c r="C179" s="11" t="s">
        <v>459</v>
      </c>
      <c r="D179" s="108" t="str">
        <f t="shared" si="4"/>
        <v>C178-110-24</v>
      </c>
      <c r="E179" s="11" t="s">
        <v>3783</v>
      </c>
      <c r="F179" s="11" t="s">
        <v>141</v>
      </c>
      <c r="G179" s="9" t="s">
        <v>3925</v>
      </c>
      <c r="H179" s="10" t="s">
        <v>3621</v>
      </c>
      <c r="I179" s="12" t="s">
        <v>49</v>
      </c>
      <c r="J179" s="21">
        <v>45391</v>
      </c>
      <c r="K179" s="77">
        <v>45413</v>
      </c>
      <c r="L179" s="50"/>
      <c r="M179" s="13" t="str">
        <f t="shared" ca="1" si="5"/>
        <v>CLOSED</v>
      </c>
      <c r="N179" s="415">
        <f>+Table2[[#This Row],[Effectiveness Review &amp; date deemed effective]]-Table2[[#This Row],[CAR initialized date]]</f>
        <v>22</v>
      </c>
    </row>
    <row r="180" spans="1:14" s="4" customFormat="1" ht="18" hidden="1" x14ac:dyDescent="0.3">
      <c r="A180" s="9" t="s">
        <v>138</v>
      </c>
      <c r="B180" s="13">
        <f>VLOOKUP(Table2[[#This Row],[Location 
(drop-down)]],'List source'!D$2:E$60,2,FALSE)</f>
        <v>110</v>
      </c>
      <c r="C180" s="11" t="s">
        <v>460</v>
      </c>
      <c r="D180" s="108" t="str">
        <f t="shared" si="4"/>
        <v>C179-110-24</v>
      </c>
      <c r="E180" s="11" t="s">
        <v>3783</v>
      </c>
      <c r="F180" s="11" t="s">
        <v>141</v>
      </c>
      <c r="G180" s="9" t="s">
        <v>3926</v>
      </c>
      <c r="H180" s="10" t="s">
        <v>3737</v>
      </c>
      <c r="I180" s="12" t="s">
        <v>49</v>
      </c>
      <c r="J180" s="21">
        <v>45391</v>
      </c>
      <c r="K180" s="77">
        <v>45413</v>
      </c>
      <c r="L180" s="50"/>
      <c r="M180" s="13" t="str">
        <f t="shared" ca="1" si="5"/>
        <v>CLOSED</v>
      </c>
      <c r="N180" s="415">
        <f>+Table2[[#This Row],[Effectiveness Review &amp; date deemed effective]]-Table2[[#This Row],[CAR initialized date]]</f>
        <v>22</v>
      </c>
    </row>
    <row r="181" spans="1:14" s="4" customFormat="1" ht="18" hidden="1" x14ac:dyDescent="0.3">
      <c r="A181" s="9" t="s">
        <v>153</v>
      </c>
      <c r="B181" s="13">
        <f>VLOOKUP(Table2[[#This Row],[Location 
(drop-down)]],'List source'!D$2:E$60,2,FALSE)</f>
        <v>126</v>
      </c>
      <c r="C181" s="11" t="s">
        <v>461</v>
      </c>
      <c r="D181" s="108" t="str">
        <f t="shared" si="4"/>
        <v>C180-126-24</v>
      </c>
      <c r="E181" s="11" t="s">
        <v>3740</v>
      </c>
      <c r="F181" s="11"/>
      <c r="G181" s="9" t="s">
        <v>3777</v>
      </c>
      <c r="H181" s="10" t="s">
        <v>3621</v>
      </c>
      <c r="I181" s="12" t="s">
        <v>18</v>
      </c>
      <c r="J181" s="21">
        <v>45413</v>
      </c>
      <c r="K181" s="77">
        <v>45545</v>
      </c>
      <c r="L181" s="50"/>
      <c r="M181" s="13" t="str">
        <f t="shared" ca="1" si="5"/>
        <v>CLOSED</v>
      </c>
      <c r="N181" s="415">
        <f>+Table2[[#This Row],[Effectiveness Review &amp; date deemed effective]]-Table2[[#This Row],[CAR initialized date]]</f>
        <v>132</v>
      </c>
    </row>
    <row r="182" spans="1:14" s="4" customFormat="1" ht="18" hidden="1" x14ac:dyDescent="0.3">
      <c r="A182" s="9" t="s">
        <v>153</v>
      </c>
      <c r="B182" s="13">
        <f>VLOOKUP(Table2[[#This Row],[Location 
(drop-down)]],'List source'!D$2:E$60,2,FALSE)</f>
        <v>126</v>
      </c>
      <c r="C182" s="11" t="s">
        <v>462</v>
      </c>
      <c r="D182" s="108" t="str">
        <f t="shared" si="4"/>
        <v>C181-126-24</v>
      </c>
      <c r="E182" s="11" t="s">
        <v>3740</v>
      </c>
      <c r="F182" s="11"/>
      <c r="G182" s="9" t="s">
        <v>3927</v>
      </c>
      <c r="H182" s="10" t="s">
        <v>3621</v>
      </c>
      <c r="I182" s="12" t="s">
        <v>18</v>
      </c>
      <c r="J182" s="21">
        <v>45413</v>
      </c>
      <c r="K182" s="77">
        <v>46014</v>
      </c>
      <c r="L182" s="50"/>
      <c r="M182" s="13" t="str">
        <f t="shared" ca="1" si="5"/>
        <v>CLOSED</v>
      </c>
      <c r="N182" s="415">
        <f>+Table2[[#This Row],[Effectiveness Review &amp; date deemed effective]]-Table2[[#This Row],[CAR initialized date]]</f>
        <v>601</v>
      </c>
    </row>
    <row r="183" spans="1:14" s="4" customFormat="1" ht="18" hidden="1" x14ac:dyDescent="0.3">
      <c r="A183" s="9" t="s">
        <v>153</v>
      </c>
      <c r="B183" s="13">
        <f>VLOOKUP(Table2[[#This Row],[Location 
(drop-down)]],'List source'!D$2:E$60,2,FALSE)</f>
        <v>126</v>
      </c>
      <c r="C183" s="11" t="s">
        <v>463</v>
      </c>
      <c r="D183" s="108" t="str">
        <f t="shared" si="4"/>
        <v>C182-126-24</v>
      </c>
      <c r="E183" s="11" t="s">
        <v>3740</v>
      </c>
      <c r="F183" s="11"/>
      <c r="G183" s="9" t="s">
        <v>3928</v>
      </c>
      <c r="H183" s="10" t="s">
        <v>3621</v>
      </c>
      <c r="I183" s="12" t="s">
        <v>18</v>
      </c>
      <c r="J183" s="21">
        <v>45413</v>
      </c>
      <c r="K183" s="77">
        <v>46014</v>
      </c>
      <c r="L183" s="50"/>
      <c r="M183" s="13" t="str">
        <f t="shared" ca="1" si="5"/>
        <v>CLOSED</v>
      </c>
      <c r="N183" s="415">
        <f>+Table2[[#This Row],[Effectiveness Review &amp; date deemed effective]]-Table2[[#This Row],[CAR initialized date]]</f>
        <v>601</v>
      </c>
    </row>
    <row r="184" spans="1:14" s="4" customFormat="1" ht="28.8" hidden="1" x14ac:dyDescent="0.3">
      <c r="A184" s="9" t="s">
        <v>153</v>
      </c>
      <c r="B184" s="13">
        <f>VLOOKUP(Table2[[#This Row],[Location 
(drop-down)]],'List source'!D$2:E$60,2,FALSE)</f>
        <v>126</v>
      </c>
      <c r="C184" s="11" t="s">
        <v>464</v>
      </c>
      <c r="D184" s="108" t="str">
        <f t="shared" si="4"/>
        <v>C183-126-24</v>
      </c>
      <c r="E184" s="11" t="s">
        <v>3740</v>
      </c>
      <c r="F184" s="11"/>
      <c r="G184" s="9" t="s">
        <v>3929</v>
      </c>
      <c r="H184" s="10" t="s">
        <v>3621</v>
      </c>
      <c r="I184" s="12" t="s">
        <v>18</v>
      </c>
      <c r="J184" s="21">
        <v>45413</v>
      </c>
      <c r="K184" s="77">
        <v>45769</v>
      </c>
      <c r="L184" s="50"/>
      <c r="M184" s="13" t="str">
        <f t="shared" ca="1" si="5"/>
        <v>CLOSED</v>
      </c>
      <c r="N184" s="415">
        <f>+Table2[[#This Row],[Effectiveness Review &amp; date deemed effective]]-Table2[[#This Row],[CAR initialized date]]</f>
        <v>356</v>
      </c>
    </row>
    <row r="185" spans="1:14" s="4" customFormat="1" ht="18" hidden="1" x14ac:dyDescent="0.3">
      <c r="A185" s="9" t="s">
        <v>153</v>
      </c>
      <c r="B185" s="13">
        <f>VLOOKUP(Table2[[#This Row],[Location 
(drop-down)]],'List source'!D$2:E$60,2,FALSE)</f>
        <v>126</v>
      </c>
      <c r="C185" s="11" t="s">
        <v>465</v>
      </c>
      <c r="D185" s="108" t="str">
        <f t="shared" si="4"/>
        <v>C184-126-24</v>
      </c>
      <c r="E185" s="11" t="s">
        <v>3740</v>
      </c>
      <c r="F185" s="11"/>
      <c r="G185" s="9" t="s">
        <v>3930</v>
      </c>
      <c r="H185" s="10" t="s">
        <v>3621</v>
      </c>
      <c r="I185" s="12" t="s">
        <v>18</v>
      </c>
      <c r="J185" s="21">
        <v>45413</v>
      </c>
      <c r="K185" s="77">
        <v>45768</v>
      </c>
      <c r="L185" s="50"/>
      <c r="M185" s="13" t="str">
        <f t="shared" ca="1" si="5"/>
        <v>CLOSED</v>
      </c>
      <c r="N185" s="415">
        <f>+Table2[[#This Row],[Effectiveness Review &amp; date deemed effective]]-Table2[[#This Row],[CAR initialized date]]</f>
        <v>355</v>
      </c>
    </row>
    <row r="186" spans="1:14" s="4" customFormat="1" ht="18" hidden="1" x14ac:dyDescent="0.3">
      <c r="A186" s="9" t="s">
        <v>153</v>
      </c>
      <c r="B186" s="13">
        <f>VLOOKUP(Table2[[#This Row],[Location 
(drop-down)]],'List source'!D$2:E$60,2,FALSE)</f>
        <v>126</v>
      </c>
      <c r="C186" s="11" t="s">
        <v>466</v>
      </c>
      <c r="D186" s="108" t="str">
        <f t="shared" si="4"/>
        <v>C185-126-24</v>
      </c>
      <c r="E186" s="11" t="s">
        <v>3740</v>
      </c>
      <c r="F186" s="11"/>
      <c r="G186" s="9" t="s">
        <v>3931</v>
      </c>
      <c r="H186" s="10" t="s">
        <v>3621</v>
      </c>
      <c r="I186" s="12" t="s">
        <v>18</v>
      </c>
      <c r="J186" s="21">
        <v>45413</v>
      </c>
      <c r="K186" s="77">
        <v>46014</v>
      </c>
      <c r="L186" s="50"/>
      <c r="M186" s="13" t="str">
        <f t="shared" ca="1" si="5"/>
        <v>CLOSED</v>
      </c>
      <c r="N186" s="415">
        <f>+Table2[[#This Row],[Effectiveness Review &amp; date deemed effective]]-Table2[[#This Row],[CAR initialized date]]</f>
        <v>601</v>
      </c>
    </row>
    <row r="187" spans="1:14" s="4" customFormat="1" ht="18" hidden="1" x14ac:dyDescent="0.3">
      <c r="A187" s="9" t="s">
        <v>145</v>
      </c>
      <c r="B187" s="13">
        <f>VLOOKUP(Table2[[#This Row],[Location 
(drop-down)]],'List source'!D$2:E$60,2,FALSE)</f>
        <v>145</v>
      </c>
      <c r="C187" s="11" t="s">
        <v>467</v>
      </c>
      <c r="D187" s="108" t="str">
        <f t="shared" si="4"/>
        <v>C186-145-24</v>
      </c>
      <c r="E187" s="11" t="s">
        <v>3740</v>
      </c>
      <c r="F187" s="11"/>
      <c r="G187" s="9" t="s">
        <v>3932</v>
      </c>
      <c r="H187" s="10" t="s">
        <v>3621</v>
      </c>
      <c r="I187" s="12" t="s">
        <v>23</v>
      </c>
      <c r="J187" s="21">
        <v>45419</v>
      </c>
      <c r="K187" s="77">
        <v>45688</v>
      </c>
      <c r="L187" s="50"/>
      <c r="M187" s="13" t="str">
        <f t="shared" ca="1" si="5"/>
        <v>CLOSED</v>
      </c>
      <c r="N187" s="415">
        <f>+Table2[[#This Row],[Effectiveness Review &amp; date deemed effective]]-Table2[[#This Row],[CAR initialized date]]</f>
        <v>269</v>
      </c>
    </row>
    <row r="188" spans="1:14" s="4" customFormat="1" ht="18" hidden="1" x14ac:dyDescent="0.3">
      <c r="A188" s="9" t="s">
        <v>145</v>
      </c>
      <c r="B188" s="13">
        <f>VLOOKUP(Table2[[#This Row],[Location 
(drop-down)]],'List source'!D$2:E$60,2,FALSE)</f>
        <v>145</v>
      </c>
      <c r="C188" s="11" t="s">
        <v>468</v>
      </c>
      <c r="D188" s="108" t="str">
        <f t="shared" si="4"/>
        <v>C187-145-24</v>
      </c>
      <c r="E188" s="11" t="s">
        <v>3740</v>
      </c>
      <c r="F188" s="11"/>
      <c r="G188" s="9" t="s">
        <v>3933</v>
      </c>
      <c r="H188" s="10" t="s">
        <v>3737</v>
      </c>
      <c r="I188" s="12" t="s">
        <v>23</v>
      </c>
      <c r="J188" s="21">
        <v>45419</v>
      </c>
      <c r="K188" s="77">
        <v>45671</v>
      </c>
      <c r="L188" s="50"/>
      <c r="M188" s="13" t="str">
        <f t="shared" ca="1" si="5"/>
        <v>CLOSED</v>
      </c>
      <c r="N188" s="415">
        <f>+Table2[[#This Row],[Effectiveness Review &amp; date deemed effective]]-Table2[[#This Row],[CAR initialized date]]</f>
        <v>252</v>
      </c>
    </row>
    <row r="189" spans="1:14" s="4" customFormat="1" ht="18" hidden="1" x14ac:dyDescent="0.3">
      <c r="A189" s="9" t="s">
        <v>145</v>
      </c>
      <c r="B189" s="13">
        <f>VLOOKUP(Table2[[#This Row],[Location 
(drop-down)]],'List source'!D$2:E$60,2,FALSE)</f>
        <v>145</v>
      </c>
      <c r="C189" s="11" t="s">
        <v>469</v>
      </c>
      <c r="D189" s="108" t="str">
        <f t="shared" si="4"/>
        <v>C188-145-24</v>
      </c>
      <c r="E189" s="11" t="s">
        <v>3740</v>
      </c>
      <c r="F189" s="11"/>
      <c r="G189" s="9" t="s">
        <v>3934</v>
      </c>
      <c r="H189" s="10" t="s">
        <v>3737</v>
      </c>
      <c r="I189" s="12" t="s">
        <v>23</v>
      </c>
      <c r="J189" s="21">
        <v>45419</v>
      </c>
      <c r="K189" s="77">
        <v>45671</v>
      </c>
      <c r="L189" s="50"/>
      <c r="M189" s="13" t="str">
        <f t="shared" ca="1" si="5"/>
        <v>CLOSED</v>
      </c>
      <c r="N189" s="415">
        <f>+Table2[[#This Row],[Effectiveness Review &amp; date deemed effective]]-Table2[[#This Row],[CAR initialized date]]</f>
        <v>252</v>
      </c>
    </row>
    <row r="190" spans="1:14" s="4" customFormat="1" ht="18" hidden="1" x14ac:dyDescent="0.3">
      <c r="A190" s="9" t="s">
        <v>145</v>
      </c>
      <c r="B190" s="13">
        <f>VLOOKUP(Table2[[#This Row],[Location 
(drop-down)]],'List source'!D$2:E$60,2,FALSE)</f>
        <v>145</v>
      </c>
      <c r="C190" s="11" t="s">
        <v>470</v>
      </c>
      <c r="D190" s="108" t="str">
        <f t="shared" si="4"/>
        <v>C189-145-24</v>
      </c>
      <c r="E190" s="11" t="s">
        <v>3740</v>
      </c>
      <c r="F190" s="11"/>
      <c r="G190" s="9" t="s">
        <v>3935</v>
      </c>
      <c r="H190" s="10" t="s">
        <v>3785</v>
      </c>
      <c r="I190" s="12" t="s">
        <v>23</v>
      </c>
      <c r="J190" s="21">
        <v>45419</v>
      </c>
      <c r="K190" s="77">
        <v>45705</v>
      </c>
      <c r="L190" s="50"/>
      <c r="M190" s="13" t="str">
        <f t="shared" ca="1" si="5"/>
        <v>CLOSED</v>
      </c>
      <c r="N190" s="415">
        <f>+Table2[[#This Row],[Effectiveness Review &amp; date deemed effective]]-Table2[[#This Row],[CAR initialized date]]</f>
        <v>286</v>
      </c>
    </row>
    <row r="191" spans="1:14" s="4" customFormat="1" ht="18" hidden="1" x14ac:dyDescent="0.3">
      <c r="A191" s="9" t="s">
        <v>157</v>
      </c>
      <c r="B191" s="13">
        <f>VLOOKUP(Table2[[#This Row],[Location 
(drop-down)]],'List source'!D$2:E$60,2,FALSE)</f>
        <v>136</v>
      </c>
      <c r="C191" s="11" t="s">
        <v>471</v>
      </c>
      <c r="D191" s="108" t="str">
        <f t="shared" si="4"/>
        <v>C190-136-24</v>
      </c>
      <c r="E191" s="11" t="s">
        <v>3740</v>
      </c>
      <c r="F191" s="11"/>
      <c r="G191" s="9" t="s">
        <v>3936</v>
      </c>
      <c r="H191" s="10" t="s">
        <v>3737</v>
      </c>
      <c r="I191" s="12" t="s">
        <v>18</v>
      </c>
      <c r="J191" s="21">
        <v>45422</v>
      </c>
      <c r="K191" s="77">
        <v>45491</v>
      </c>
      <c r="L191" s="50"/>
      <c r="M191" s="13" t="str">
        <f t="shared" ca="1" si="5"/>
        <v>CLOSED</v>
      </c>
      <c r="N191" s="415">
        <f>+Table2[[#This Row],[Effectiveness Review &amp; date deemed effective]]-Table2[[#This Row],[CAR initialized date]]</f>
        <v>69</v>
      </c>
    </row>
    <row r="192" spans="1:14" s="4" customFormat="1" ht="18" hidden="1" x14ac:dyDescent="0.3">
      <c r="A192" s="9" t="s">
        <v>157</v>
      </c>
      <c r="B192" s="13">
        <f>VLOOKUP(Table2[[#This Row],[Location 
(drop-down)]],'List source'!D$2:E$60,2,FALSE)</f>
        <v>136</v>
      </c>
      <c r="C192" s="11" t="s">
        <v>472</v>
      </c>
      <c r="D192" s="108" t="str">
        <f t="shared" si="4"/>
        <v>C191-136-24</v>
      </c>
      <c r="E192" s="11" t="s">
        <v>3740</v>
      </c>
      <c r="F192" s="11"/>
      <c r="G192" s="9" t="s">
        <v>3937</v>
      </c>
      <c r="H192" s="10" t="s">
        <v>3737</v>
      </c>
      <c r="I192" s="12" t="s">
        <v>18</v>
      </c>
      <c r="J192" s="21">
        <v>45422</v>
      </c>
      <c r="K192" s="77">
        <v>45532</v>
      </c>
      <c r="L192" s="50"/>
      <c r="M192" s="13" t="str">
        <f t="shared" ca="1" si="5"/>
        <v>CLOSED</v>
      </c>
      <c r="N192" s="415">
        <f>+Table2[[#This Row],[Effectiveness Review &amp; date deemed effective]]-Table2[[#This Row],[CAR initialized date]]</f>
        <v>110</v>
      </c>
    </row>
    <row r="193" spans="1:14" s="4" customFormat="1" ht="18" hidden="1" x14ac:dyDescent="0.3">
      <c r="A193" s="9" t="s">
        <v>157</v>
      </c>
      <c r="B193" s="13">
        <f>VLOOKUP(Table2[[#This Row],[Location 
(drop-down)]],'List source'!D$2:E$60,2,FALSE)</f>
        <v>136</v>
      </c>
      <c r="C193" s="11" t="s">
        <v>473</v>
      </c>
      <c r="D193" s="108" t="str">
        <f t="shared" si="4"/>
        <v>C192-136-24</v>
      </c>
      <c r="E193" s="11" t="s">
        <v>3740</v>
      </c>
      <c r="F193" s="11"/>
      <c r="G193" s="9" t="s">
        <v>3938</v>
      </c>
      <c r="H193" s="10" t="s">
        <v>3621</v>
      </c>
      <c r="I193" s="12" t="s">
        <v>18</v>
      </c>
      <c r="J193" s="21">
        <v>45422</v>
      </c>
      <c r="K193" s="77">
        <v>45491</v>
      </c>
      <c r="L193" s="50"/>
      <c r="M193" s="13" t="str">
        <f t="shared" ca="1" si="5"/>
        <v>CLOSED</v>
      </c>
      <c r="N193" s="415">
        <f>+Table2[[#This Row],[Effectiveness Review &amp; date deemed effective]]-Table2[[#This Row],[CAR initialized date]]</f>
        <v>69</v>
      </c>
    </row>
    <row r="194" spans="1:14" s="4" customFormat="1" ht="18" hidden="1" x14ac:dyDescent="0.3">
      <c r="A194" s="9" t="s">
        <v>157</v>
      </c>
      <c r="B194" s="13">
        <f>VLOOKUP(Table2[[#This Row],[Location 
(drop-down)]],'List source'!D$2:E$60,2,FALSE)</f>
        <v>136</v>
      </c>
      <c r="C194" s="11" t="s">
        <v>474</v>
      </c>
      <c r="D194" s="108" t="str">
        <f t="shared" ref="D194:D257" si="6">"C" &amp; C194 &amp; "-" &amp; B194 &amp; "-" &amp; "24"</f>
        <v>C193-136-24</v>
      </c>
      <c r="E194" s="11" t="s">
        <v>3740</v>
      </c>
      <c r="F194" s="11"/>
      <c r="G194" s="9" t="s">
        <v>3939</v>
      </c>
      <c r="H194" s="10" t="s">
        <v>3621</v>
      </c>
      <c r="I194" s="12" t="s">
        <v>18</v>
      </c>
      <c r="J194" s="21">
        <v>45422</v>
      </c>
      <c r="K194" s="77">
        <v>45491</v>
      </c>
      <c r="L194" s="50"/>
      <c r="M194" s="13" t="str">
        <f t="shared" ca="1" si="5"/>
        <v>CLOSED</v>
      </c>
      <c r="N194" s="415">
        <f>+Table2[[#This Row],[Effectiveness Review &amp; date deemed effective]]-Table2[[#This Row],[CAR initialized date]]</f>
        <v>69</v>
      </c>
    </row>
    <row r="195" spans="1:14" s="4" customFormat="1" ht="18" hidden="1" x14ac:dyDescent="0.3">
      <c r="A195" s="9" t="s">
        <v>157</v>
      </c>
      <c r="B195" s="13">
        <f>VLOOKUP(Table2[[#This Row],[Location 
(drop-down)]],'List source'!D$2:E$60,2,FALSE)</f>
        <v>136</v>
      </c>
      <c r="C195" s="11" t="s">
        <v>475</v>
      </c>
      <c r="D195" s="108" t="str">
        <f t="shared" si="6"/>
        <v>C194-136-24</v>
      </c>
      <c r="E195" s="11" t="s">
        <v>3740</v>
      </c>
      <c r="F195" s="11"/>
      <c r="G195" s="9" t="s">
        <v>3940</v>
      </c>
      <c r="H195" s="10" t="s">
        <v>3621</v>
      </c>
      <c r="I195" s="12" t="s">
        <v>18</v>
      </c>
      <c r="J195" s="21">
        <v>45422</v>
      </c>
      <c r="K195" s="77">
        <v>45476</v>
      </c>
      <c r="L195" s="50"/>
      <c r="M195" s="13" t="str">
        <f t="shared" ref="M195:M258" ca="1" si="7">IF(ISBLANK(K195), TODAY()-J195, "CLOSED")</f>
        <v>CLOSED</v>
      </c>
      <c r="N195" s="415">
        <f>+Table2[[#This Row],[Effectiveness Review &amp; date deemed effective]]-Table2[[#This Row],[CAR initialized date]]</f>
        <v>54</v>
      </c>
    </row>
    <row r="196" spans="1:14" s="4" customFormat="1" ht="18" hidden="1" x14ac:dyDescent="0.3">
      <c r="A196" s="9" t="s">
        <v>157</v>
      </c>
      <c r="B196" s="13">
        <f>VLOOKUP(Table2[[#This Row],[Location 
(drop-down)]],'List source'!D$2:E$60,2,FALSE)</f>
        <v>136</v>
      </c>
      <c r="C196" s="11" t="s">
        <v>476</v>
      </c>
      <c r="D196" s="108" t="str">
        <f t="shared" si="6"/>
        <v>C195-136-24</v>
      </c>
      <c r="E196" s="11" t="s">
        <v>3740</v>
      </c>
      <c r="F196" s="11"/>
      <c r="G196" s="9" t="s">
        <v>3941</v>
      </c>
      <c r="H196" s="10" t="s">
        <v>3621</v>
      </c>
      <c r="I196" s="12" t="s">
        <v>18</v>
      </c>
      <c r="J196" s="21">
        <v>45422</v>
      </c>
      <c r="K196" s="77">
        <v>45518</v>
      </c>
      <c r="L196" s="50"/>
      <c r="M196" s="13" t="str">
        <f t="shared" ca="1" si="7"/>
        <v>CLOSED</v>
      </c>
      <c r="N196" s="415">
        <f>+Table2[[#This Row],[Effectiveness Review &amp; date deemed effective]]-Table2[[#This Row],[CAR initialized date]]</f>
        <v>96</v>
      </c>
    </row>
    <row r="197" spans="1:14" s="4" customFormat="1" ht="28.8" hidden="1" x14ac:dyDescent="0.3">
      <c r="A197" s="9" t="s">
        <v>178</v>
      </c>
      <c r="B197" s="13">
        <f>VLOOKUP(Table2[[#This Row],[Location 
(drop-down)]],'List source'!D$2:E$60,2,FALSE)</f>
        <v>147</v>
      </c>
      <c r="C197" s="11" t="s">
        <v>477</v>
      </c>
      <c r="D197" s="108" t="str">
        <f t="shared" si="6"/>
        <v>C196-147-24</v>
      </c>
      <c r="E197" s="11" t="s">
        <v>3740</v>
      </c>
      <c r="F197" s="11"/>
      <c r="G197" s="9" t="s">
        <v>3942</v>
      </c>
      <c r="H197" s="10" t="s">
        <v>3737</v>
      </c>
      <c r="I197" s="12" t="s">
        <v>23</v>
      </c>
      <c r="J197" s="21">
        <v>45422</v>
      </c>
      <c r="K197" s="77">
        <v>45531</v>
      </c>
      <c r="L197" s="50"/>
      <c r="M197" s="13" t="str">
        <f t="shared" ca="1" si="7"/>
        <v>CLOSED</v>
      </c>
      <c r="N197" s="415">
        <f>+Table2[[#This Row],[Effectiveness Review &amp; date deemed effective]]-Table2[[#This Row],[CAR initialized date]]</f>
        <v>109</v>
      </c>
    </row>
    <row r="198" spans="1:14" s="4" customFormat="1" ht="28.8" hidden="1" x14ac:dyDescent="0.3">
      <c r="A198" s="9" t="s">
        <v>178</v>
      </c>
      <c r="B198" s="13">
        <f>VLOOKUP(Table2[[#This Row],[Location 
(drop-down)]],'List source'!D$2:E$60,2,FALSE)</f>
        <v>147</v>
      </c>
      <c r="C198" s="11" t="s">
        <v>478</v>
      </c>
      <c r="D198" s="108" t="str">
        <f t="shared" si="6"/>
        <v>C197-147-24</v>
      </c>
      <c r="E198" s="11" t="s">
        <v>3740</v>
      </c>
      <c r="F198" s="11"/>
      <c r="G198" s="9" t="s">
        <v>3943</v>
      </c>
      <c r="H198" s="10" t="s">
        <v>3737</v>
      </c>
      <c r="I198" s="12" t="s">
        <v>23</v>
      </c>
      <c r="J198" s="21">
        <v>45422</v>
      </c>
      <c r="K198" s="77">
        <v>45531</v>
      </c>
      <c r="L198" s="50"/>
      <c r="M198" s="13" t="str">
        <f t="shared" ca="1" si="7"/>
        <v>CLOSED</v>
      </c>
      <c r="N198" s="415">
        <f>+Table2[[#This Row],[Effectiveness Review &amp; date deemed effective]]-Table2[[#This Row],[CAR initialized date]]</f>
        <v>109</v>
      </c>
    </row>
    <row r="199" spans="1:14" s="4" customFormat="1" ht="18" hidden="1" x14ac:dyDescent="0.3">
      <c r="A199" s="9" t="s">
        <v>178</v>
      </c>
      <c r="B199" s="13">
        <f>VLOOKUP(Table2[[#This Row],[Location 
(drop-down)]],'List source'!D$2:E$60,2,FALSE)</f>
        <v>147</v>
      </c>
      <c r="C199" s="11" t="s">
        <v>479</v>
      </c>
      <c r="D199" s="108" t="str">
        <f t="shared" si="6"/>
        <v>C198-147-24</v>
      </c>
      <c r="E199" s="11" t="s">
        <v>3740</v>
      </c>
      <c r="F199" s="11"/>
      <c r="G199" s="9" t="s">
        <v>3933</v>
      </c>
      <c r="H199" s="10" t="s">
        <v>3737</v>
      </c>
      <c r="I199" s="12" t="s">
        <v>23</v>
      </c>
      <c r="J199" s="21">
        <v>45422</v>
      </c>
      <c r="K199" s="77">
        <v>45531</v>
      </c>
      <c r="L199" s="50"/>
      <c r="M199" s="13" t="str">
        <f t="shared" ca="1" si="7"/>
        <v>CLOSED</v>
      </c>
      <c r="N199" s="415">
        <f>+Table2[[#This Row],[Effectiveness Review &amp; date deemed effective]]-Table2[[#This Row],[CAR initialized date]]</f>
        <v>109</v>
      </c>
    </row>
    <row r="200" spans="1:14" s="4" customFormat="1" ht="18" hidden="1" x14ac:dyDescent="0.3">
      <c r="A200" s="9" t="s">
        <v>178</v>
      </c>
      <c r="B200" s="13">
        <f>VLOOKUP(Table2[[#This Row],[Location 
(drop-down)]],'List source'!D$2:E$60,2,FALSE)</f>
        <v>147</v>
      </c>
      <c r="C200" s="11" t="s">
        <v>480</v>
      </c>
      <c r="D200" s="108" t="str">
        <f t="shared" si="6"/>
        <v>C199-147-24</v>
      </c>
      <c r="E200" s="11" t="s">
        <v>3740</v>
      </c>
      <c r="F200" s="11"/>
      <c r="G200" s="9" t="s">
        <v>3944</v>
      </c>
      <c r="H200" s="10" t="s">
        <v>3737</v>
      </c>
      <c r="I200" s="12" t="s">
        <v>23</v>
      </c>
      <c r="J200" s="21">
        <v>45422</v>
      </c>
      <c r="K200" s="77">
        <v>45539</v>
      </c>
      <c r="L200" s="50"/>
      <c r="M200" s="13" t="str">
        <f t="shared" ca="1" si="7"/>
        <v>CLOSED</v>
      </c>
      <c r="N200" s="415">
        <f>+Table2[[#This Row],[Effectiveness Review &amp; date deemed effective]]-Table2[[#This Row],[CAR initialized date]]</f>
        <v>117</v>
      </c>
    </row>
    <row r="201" spans="1:14" s="4" customFormat="1" ht="18" hidden="1" x14ac:dyDescent="0.3">
      <c r="A201" s="9" t="s">
        <v>178</v>
      </c>
      <c r="B201" s="13">
        <f>VLOOKUP(Table2[[#This Row],[Location 
(drop-down)]],'List source'!D$2:E$60,2,FALSE)</f>
        <v>147</v>
      </c>
      <c r="C201" s="11" t="s">
        <v>481</v>
      </c>
      <c r="D201" s="108" t="str">
        <f t="shared" si="6"/>
        <v>C200-147-24</v>
      </c>
      <c r="E201" s="11" t="s">
        <v>3740</v>
      </c>
      <c r="F201" s="11"/>
      <c r="G201" s="9" t="s">
        <v>3935</v>
      </c>
      <c r="H201" s="10" t="s">
        <v>3737</v>
      </c>
      <c r="I201" s="12" t="s">
        <v>23</v>
      </c>
      <c r="J201" s="21">
        <v>45422</v>
      </c>
      <c r="K201" s="77">
        <v>45531</v>
      </c>
      <c r="L201" s="50"/>
      <c r="M201" s="13" t="str">
        <f t="shared" ca="1" si="7"/>
        <v>CLOSED</v>
      </c>
      <c r="N201" s="415">
        <f>+Table2[[#This Row],[Effectiveness Review &amp; date deemed effective]]-Table2[[#This Row],[CAR initialized date]]</f>
        <v>109</v>
      </c>
    </row>
    <row r="202" spans="1:14" s="4" customFormat="1" ht="43.2" hidden="1" x14ac:dyDescent="0.3">
      <c r="A202" s="9" t="s">
        <v>107</v>
      </c>
      <c r="B202" s="13">
        <f>VLOOKUP(Table2[[#This Row],[Location 
(drop-down)]],'List source'!D$2:E$60,2,FALSE)</f>
        <v>120</v>
      </c>
      <c r="C202" s="11" t="s">
        <v>771</v>
      </c>
      <c r="D202" s="108" t="str">
        <f t="shared" si="6"/>
        <v>C201-120-24</v>
      </c>
      <c r="E202" s="11" t="s">
        <v>3783</v>
      </c>
      <c r="F202" s="11" t="s">
        <v>141</v>
      </c>
      <c r="G202" s="9" t="s">
        <v>3945</v>
      </c>
      <c r="H202" s="10" t="s">
        <v>3737</v>
      </c>
      <c r="I202" s="12" t="s">
        <v>134</v>
      </c>
      <c r="J202" s="21">
        <v>45422</v>
      </c>
      <c r="K202" s="77">
        <v>45432</v>
      </c>
      <c r="L202" s="50"/>
      <c r="M202" s="13" t="str">
        <f t="shared" ca="1" si="7"/>
        <v>CLOSED</v>
      </c>
      <c r="N202" s="415">
        <f>+Table2[[#This Row],[Effectiveness Review &amp; date deemed effective]]-Table2[[#This Row],[CAR initialized date]]</f>
        <v>10</v>
      </c>
    </row>
    <row r="203" spans="1:14" s="4" customFormat="1" ht="43.2" hidden="1" x14ac:dyDescent="0.3">
      <c r="A203" s="9" t="s">
        <v>107</v>
      </c>
      <c r="B203" s="13">
        <f>VLOOKUP(Table2[[#This Row],[Location 
(drop-down)]],'List source'!D$2:E$60,2,FALSE)</f>
        <v>120</v>
      </c>
      <c r="C203" s="11" t="s">
        <v>773</v>
      </c>
      <c r="D203" s="108" t="str">
        <f t="shared" si="6"/>
        <v>C202-120-24</v>
      </c>
      <c r="E203" s="11" t="s">
        <v>3783</v>
      </c>
      <c r="F203" s="11" t="s">
        <v>141</v>
      </c>
      <c r="G203" s="9" t="s">
        <v>3946</v>
      </c>
      <c r="H203" s="10" t="s">
        <v>3737</v>
      </c>
      <c r="I203" s="12" t="s">
        <v>134</v>
      </c>
      <c r="J203" s="21">
        <v>45422</v>
      </c>
      <c r="K203" s="77">
        <v>45432</v>
      </c>
      <c r="L203" s="50"/>
      <c r="M203" s="13" t="str">
        <f t="shared" ca="1" si="7"/>
        <v>CLOSED</v>
      </c>
      <c r="N203" s="415">
        <f>+Table2[[#This Row],[Effectiveness Review &amp; date deemed effective]]-Table2[[#This Row],[CAR initialized date]]</f>
        <v>10</v>
      </c>
    </row>
    <row r="204" spans="1:14" s="4" customFormat="1" ht="43.2" hidden="1" x14ac:dyDescent="0.3">
      <c r="A204" s="9" t="s">
        <v>107</v>
      </c>
      <c r="B204" s="13">
        <f>VLOOKUP(Table2[[#This Row],[Location 
(drop-down)]],'List source'!D$2:E$60,2,FALSE)</f>
        <v>120</v>
      </c>
      <c r="C204" s="11" t="s">
        <v>776</v>
      </c>
      <c r="D204" s="108" t="str">
        <f t="shared" si="6"/>
        <v>C203-120-24</v>
      </c>
      <c r="E204" s="11" t="s">
        <v>3783</v>
      </c>
      <c r="F204" s="11" t="s">
        <v>141</v>
      </c>
      <c r="G204" s="9" t="s">
        <v>3947</v>
      </c>
      <c r="H204" s="10" t="s">
        <v>3621</v>
      </c>
      <c r="I204" s="12" t="s">
        <v>134</v>
      </c>
      <c r="J204" s="21">
        <v>45422</v>
      </c>
      <c r="K204" s="77">
        <v>45427</v>
      </c>
      <c r="L204" s="50"/>
      <c r="M204" s="13" t="str">
        <f t="shared" ca="1" si="7"/>
        <v>CLOSED</v>
      </c>
      <c r="N204" s="415">
        <f>+Table2[[#This Row],[Effectiveness Review &amp; date deemed effective]]-Table2[[#This Row],[CAR initialized date]]</f>
        <v>5</v>
      </c>
    </row>
    <row r="205" spans="1:14" s="4" customFormat="1" ht="57.6" hidden="1" x14ac:dyDescent="0.3">
      <c r="A205" s="9" t="s">
        <v>107</v>
      </c>
      <c r="B205" s="13">
        <f>VLOOKUP(Table2[[#This Row],[Location 
(drop-down)]],'List source'!D$2:E$60,2,FALSE)</f>
        <v>120</v>
      </c>
      <c r="C205" s="11" t="s">
        <v>778</v>
      </c>
      <c r="D205" s="108" t="str">
        <f t="shared" si="6"/>
        <v>C204-120-24</v>
      </c>
      <c r="E205" s="11" t="s">
        <v>3783</v>
      </c>
      <c r="F205" s="11" t="s">
        <v>141</v>
      </c>
      <c r="G205" s="9" t="s">
        <v>3948</v>
      </c>
      <c r="H205" s="10" t="s">
        <v>3737</v>
      </c>
      <c r="I205" s="12" t="s">
        <v>134</v>
      </c>
      <c r="J205" s="21">
        <v>45422</v>
      </c>
      <c r="K205" s="77">
        <v>45432</v>
      </c>
      <c r="L205" s="50"/>
      <c r="M205" s="13" t="str">
        <f t="shared" ca="1" si="7"/>
        <v>CLOSED</v>
      </c>
      <c r="N205" s="415">
        <f>+Table2[[#This Row],[Effectiveness Review &amp; date deemed effective]]-Table2[[#This Row],[CAR initialized date]]</f>
        <v>10</v>
      </c>
    </row>
    <row r="206" spans="1:14" s="4" customFormat="1" ht="72" hidden="1" x14ac:dyDescent="0.3">
      <c r="A206" s="9" t="s">
        <v>107</v>
      </c>
      <c r="B206" s="13">
        <f>VLOOKUP(Table2[[#This Row],[Location 
(drop-down)]],'List source'!D$2:E$60,2,FALSE)</f>
        <v>120</v>
      </c>
      <c r="C206" s="11" t="s">
        <v>781</v>
      </c>
      <c r="D206" s="108" t="str">
        <f t="shared" si="6"/>
        <v>C205-120-24</v>
      </c>
      <c r="E206" s="11" t="s">
        <v>3783</v>
      </c>
      <c r="F206" s="11" t="s">
        <v>141</v>
      </c>
      <c r="G206" s="9" t="s">
        <v>3949</v>
      </c>
      <c r="H206" s="10" t="s">
        <v>3737</v>
      </c>
      <c r="I206" s="12" t="s">
        <v>134</v>
      </c>
      <c r="J206" s="21">
        <v>45422</v>
      </c>
      <c r="K206" s="77">
        <v>45432</v>
      </c>
      <c r="L206" s="50"/>
      <c r="M206" s="13" t="str">
        <f t="shared" ca="1" si="7"/>
        <v>CLOSED</v>
      </c>
      <c r="N206" s="415">
        <f>+Table2[[#This Row],[Effectiveness Review &amp; date deemed effective]]-Table2[[#This Row],[CAR initialized date]]</f>
        <v>10</v>
      </c>
    </row>
    <row r="207" spans="1:14" s="4" customFormat="1" ht="72" hidden="1" x14ac:dyDescent="0.3">
      <c r="A207" s="9" t="s">
        <v>107</v>
      </c>
      <c r="B207" s="13">
        <f>VLOOKUP(Table2[[#This Row],[Location 
(drop-down)]],'List source'!D$2:E$60,2,FALSE)</f>
        <v>120</v>
      </c>
      <c r="C207" s="11" t="s">
        <v>782</v>
      </c>
      <c r="D207" s="108" t="str">
        <f t="shared" si="6"/>
        <v>C206-120-24</v>
      </c>
      <c r="E207" s="11" t="s">
        <v>3783</v>
      </c>
      <c r="F207" s="11" t="s">
        <v>141</v>
      </c>
      <c r="G207" s="9" t="s">
        <v>3950</v>
      </c>
      <c r="H207" s="10" t="s">
        <v>3621</v>
      </c>
      <c r="I207" s="12" t="s">
        <v>134</v>
      </c>
      <c r="J207" s="21">
        <v>45422</v>
      </c>
      <c r="K207" s="77">
        <v>45427</v>
      </c>
      <c r="L207" s="50"/>
      <c r="M207" s="13" t="str">
        <f t="shared" ca="1" si="7"/>
        <v>CLOSED</v>
      </c>
      <c r="N207" s="415">
        <f>+Table2[[#This Row],[Effectiveness Review &amp; date deemed effective]]-Table2[[#This Row],[CAR initialized date]]</f>
        <v>5</v>
      </c>
    </row>
    <row r="208" spans="1:14" s="4" customFormat="1" ht="43.2" hidden="1" x14ac:dyDescent="0.3">
      <c r="A208" s="9" t="s">
        <v>113</v>
      </c>
      <c r="B208" s="13" t="str">
        <f>VLOOKUP(Table2[[#This Row],[Location 
(drop-down)]],'List source'!D$2:E$60,2,FALSE)</f>
        <v>VOID</v>
      </c>
      <c r="C208" s="11" t="s">
        <v>785</v>
      </c>
      <c r="D208" s="108" t="str">
        <f t="shared" si="6"/>
        <v>C207-VOID-24</v>
      </c>
      <c r="E208" s="11" t="s">
        <v>114</v>
      </c>
      <c r="F208" s="11" t="s">
        <v>114</v>
      </c>
      <c r="G208" s="9" t="s">
        <v>3951</v>
      </c>
      <c r="H208" s="77" t="s">
        <v>114</v>
      </c>
      <c r="I208" s="77" t="s">
        <v>114</v>
      </c>
      <c r="J208" s="77" t="s">
        <v>114</v>
      </c>
      <c r="K208" s="77" t="s">
        <v>114</v>
      </c>
      <c r="L208" s="50" t="s">
        <v>3952</v>
      </c>
      <c r="M208" s="13" t="str">
        <f t="shared" ca="1" si="7"/>
        <v>CLOSED</v>
      </c>
      <c r="N208" s="415" t="e">
        <f>+Table2[[#This Row],[Effectiveness Review &amp; date deemed effective]]-Table2[[#This Row],[CAR initialized date]]</f>
        <v>#VALUE!</v>
      </c>
    </row>
    <row r="209" spans="1:14" s="4" customFormat="1" ht="28.8" hidden="1" x14ac:dyDescent="0.3">
      <c r="A209" s="9" t="s">
        <v>21</v>
      </c>
      <c r="B209" s="13">
        <f>VLOOKUP(Table2[[#This Row],[Location 
(drop-down)]],'List source'!D$2:E$60,2,FALSE)</f>
        <v>131</v>
      </c>
      <c r="C209" s="11" t="s">
        <v>787</v>
      </c>
      <c r="D209" s="108" t="str">
        <f t="shared" si="6"/>
        <v>C208-131-24</v>
      </c>
      <c r="E209" s="11" t="s">
        <v>3783</v>
      </c>
      <c r="F209" s="11" t="s">
        <v>85</v>
      </c>
      <c r="G209" s="9" t="s">
        <v>3953</v>
      </c>
      <c r="H209" s="10" t="s">
        <v>3621</v>
      </c>
      <c r="I209" s="12" t="s">
        <v>54</v>
      </c>
      <c r="J209" s="21">
        <v>45422</v>
      </c>
      <c r="K209" s="77">
        <v>45454</v>
      </c>
      <c r="L209" s="50" t="s">
        <v>3954</v>
      </c>
      <c r="M209" s="13" t="str">
        <f t="shared" ca="1" si="7"/>
        <v>CLOSED</v>
      </c>
      <c r="N209" s="415">
        <f>+Table2[[#This Row],[Effectiveness Review &amp; date deemed effective]]-Table2[[#This Row],[CAR initialized date]]</f>
        <v>32</v>
      </c>
    </row>
    <row r="210" spans="1:14" s="4" customFormat="1" ht="18" hidden="1" x14ac:dyDescent="0.3">
      <c r="A210" s="9" t="s">
        <v>21</v>
      </c>
      <c r="B210" s="13">
        <f>VLOOKUP(Table2[[#This Row],[Location 
(drop-down)]],'List source'!D$2:E$60,2,FALSE)</f>
        <v>131</v>
      </c>
      <c r="C210" s="11" t="s">
        <v>789</v>
      </c>
      <c r="D210" s="108" t="str">
        <f t="shared" si="6"/>
        <v>C209-131-24</v>
      </c>
      <c r="E210" s="11" t="s">
        <v>3783</v>
      </c>
      <c r="F210" s="11" t="s">
        <v>85</v>
      </c>
      <c r="G210" s="9" t="s">
        <v>3788</v>
      </c>
      <c r="H210" s="10" t="s">
        <v>3621</v>
      </c>
      <c r="I210" s="12" t="s">
        <v>54</v>
      </c>
      <c r="J210" s="21">
        <v>45422</v>
      </c>
      <c r="K210" s="77">
        <v>45511</v>
      </c>
      <c r="L210" s="50" t="s">
        <v>3955</v>
      </c>
      <c r="M210" s="13" t="str">
        <f t="shared" ca="1" si="7"/>
        <v>CLOSED</v>
      </c>
      <c r="N210" s="415">
        <f>+Table2[[#This Row],[Effectiveness Review &amp; date deemed effective]]-Table2[[#This Row],[CAR initialized date]]</f>
        <v>89</v>
      </c>
    </row>
    <row r="211" spans="1:14" s="4" customFormat="1" ht="18" hidden="1" x14ac:dyDescent="0.3">
      <c r="A211" s="9" t="s">
        <v>21</v>
      </c>
      <c r="B211" s="13">
        <f>VLOOKUP(Table2[[#This Row],[Location 
(drop-down)]],'List source'!D$2:E$60,2,FALSE)</f>
        <v>131</v>
      </c>
      <c r="C211" s="11" t="s">
        <v>792</v>
      </c>
      <c r="D211" s="108" t="str">
        <f t="shared" si="6"/>
        <v>C210-131-24</v>
      </c>
      <c r="E211" s="11" t="s">
        <v>3783</v>
      </c>
      <c r="F211" s="11" t="s">
        <v>85</v>
      </c>
      <c r="G211" s="9" t="s">
        <v>3956</v>
      </c>
      <c r="H211" s="10" t="s">
        <v>3621</v>
      </c>
      <c r="I211" s="12" t="s">
        <v>54</v>
      </c>
      <c r="J211" s="21">
        <v>45422</v>
      </c>
      <c r="K211" s="77">
        <v>45539</v>
      </c>
      <c r="L211" s="50"/>
      <c r="M211" s="13" t="str">
        <f t="shared" ca="1" si="7"/>
        <v>CLOSED</v>
      </c>
      <c r="N211" s="415">
        <f>+Table2[[#This Row],[Effectiveness Review &amp; date deemed effective]]-Table2[[#This Row],[CAR initialized date]]</f>
        <v>117</v>
      </c>
    </row>
    <row r="212" spans="1:14" s="4" customFormat="1" ht="18" hidden="1" x14ac:dyDescent="0.3">
      <c r="A212" s="9" t="s">
        <v>21</v>
      </c>
      <c r="B212" s="13">
        <f>VLOOKUP(Table2[[#This Row],[Location 
(drop-down)]],'List source'!D$2:E$60,2,FALSE)</f>
        <v>131</v>
      </c>
      <c r="C212" s="11" t="s">
        <v>794</v>
      </c>
      <c r="D212" s="108" t="str">
        <f t="shared" si="6"/>
        <v>C211-131-24</v>
      </c>
      <c r="E212" s="11" t="s">
        <v>3783</v>
      </c>
      <c r="F212" s="11" t="s">
        <v>85</v>
      </c>
      <c r="G212" s="123" t="s">
        <v>3957</v>
      </c>
      <c r="H212" s="10" t="s">
        <v>3621</v>
      </c>
      <c r="I212" s="12" t="s">
        <v>54</v>
      </c>
      <c r="J212" s="21">
        <v>45422</v>
      </c>
      <c r="K212" s="77">
        <v>45539</v>
      </c>
      <c r="L212" s="50"/>
      <c r="M212" s="13" t="str">
        <f t="shared" ca="1" si="7"/>
        <v>CLOSED</v>
      </c>
      <c r="N212" s="415">
        <f>+Table2[[#This Row],[Effectiveness Review &amp; date deemed effective]]-Table2[[#This Row],[CAR initialized date]]</f>
        <v>117</v>
      </c>
    </row>
    <row r="213" spans="1:14" s="4" customFormat="1" ht="18" hidden="1" x14ac:dyDescent="0.3">
      <c r="A213" s="9" t="s">
        <v>21</v>
      </c>
      <c r="B213" s="13">
        <f>VLOOKUP(Table2[[#This Row],[Location 
(drop-down)]],'List source'!D$2:E$60,2,FALSE)</f>
        <v>131</v>
      </c>
      <c r="C213" s="11" t="s">
        <v>797</v>
      </c>
      <c r="D213" s="108" t="str">
        <f t="shared" si="6"/>
        <v>C212-131-24</v>
      </c>
      <c r="E213" s="11" t="s">
        <v>3783</v>
      </c>
      <c r="F213" s="11" t="s">
        <v>85</v>
      </c>
      <c r="G213" s="9" t="s">
        <v>3958</v>
      </c>
      <c r="H213" s="10" t="s">
        <v>3621</v>
      </c>
      <c r="I213" s="12" t="s">
        <v>54</v>
      </c>
      <c r="J213" s="21">
        <v>45422</v>
      </c>
      <c r="K213" s="77">
        <v>45464</v>
      </c>
      <c r="L213" s="50"/>
      <c r="M213" s="13" t="str">
        <f t="shared" ca="1" si="7"/>
        <v>CLOSED</v>
      </c>
      <c r="N213" s="415">
        <f>+Table2[[#This Row],[Effectiveness Review &amp; date deemed effective]]-Table2[[#This Row],[CAR initialized date]]</f>
        <v>42</v>
      </c>
    </row>
    <row r="214" spans="1:14" s="4" customFormat="1" ht="18" hidden="1" x14ac:dyDescent="0.3">
      <c r="A214" s="9" t="s">
        <v>21</v>
      </c>
      <c r="B214" s="13">
        <f>VLOOKUP(Table2[[#This Row],[Location 
(drop-down)]],'List source'!D$2:E$60,2,FALSE)</f>
        <v>131</v>
      </c>
      <c r="C214" s="11" t="s">
        <v>800</v>
      </c>
      <c r="D214" s="108" t="str">
        <f t="shared" si="6"/>
        <v>C213-131-24</v>
      </c>
      <c r="E214" s="11" t="s">
        <v>3783</v>
      </c>
      <c r="F214" s="11" t="s">
        <v>85</v>
      </c>
      <c r="G214" s="9" t="s">
        <v>3959</v>
      </c>
      <c r="H214" s="10" t="s">
        <v>3621</v>
      </c>
      <c r="I214" s="12" t="s">
        <v>54</v>
      </c>
      <c r="J214" s="21">
        <v>45422</v>
      </c>
      <c r="K214" s="77">
        <v>45460</v>
      </c>
      <c r="L214" s="50"/>
      <c r="M214" s="13" t="str">
        <f t="shared" ca="1" si="7"/>
        <v>CLOSED</v>
      </c>
      <c r="N214" s="415">
        <f>+Table2[[#This Row],[Effectiveness Review &amp; date deemed effective]]-Table2[[#This Row],[CAR initialized date]]</f>
        <v>38</v>
      </c>
    </row>
    <row r="215" spans="1:14" s="4" customFormat="1" ht="18" hidden="1" x14ac:dyDescent="0.3">
      <c r="A215" s="9" t="s">
        <v>175</v>
      </c>
      <c r="B215" s="13">
        <f>VLOOKUP(Table2[[#This Row],[Location 
(drop-down)]],'List source'!D$2:E$60,2,FALSE)</f>
        <v>159</v>
      </c>
      <c r="C215" s="11" t="s">
        <v>802</v>
      </c>
      <c r="D215" s="108" t="str">
        <f t="shared" si="6"/>
        <v>C214-159-24</v>
      </c>
      <c r="E215" s="11" t="s">
        <v>3740</v>
      </c>
      <c r="F215" s="11"/>
      <c r="G215" s="9" t="s">
        <v>3960</v>
      </c>
      <c r="H215" s="10" t="s">
        <v>3621</v>
      </c>
      <c r="I215" s="12" t="s">
        <v>41</v>
      </c>
      <c r="J215" s="21">
        <v>45426</v>
      </c>
      <c r="K215" s="77">
        <v>45490</v>
      </c>
      <c r="L215" s="50"/>
      <c r="M215" s="13" t="str">
        <f t="shared" ca="1" si="7"/>
        <v>CLOSED</v>
      </c>
      <c r="N215" s="415">
        <f>+Table2[[#This Row],[Effectiveness Review &amp; date deemed effective]]-Table2[[#This Row],[CAR initialized date]]</f>
        <v>64</v>
      </c>
    </row>
    <row r="216" spans="1:14" s="4" customFormat="1" ht="18" hidden="1" x14ac:dyDescent="0.3">
      <c r="A216" s="9" t="s">
        <v>175</v>
      </c>
      <c r="B216" s="13">
        <f>VLOOKUP(Table2[[#This Row],[Location 
(drop-down)]],'List source'!D$2:E$60,2,FALSE)</f>
        <v>159</v>
      </c>
      <c r="C216" s="11" t="s">
        <v>804</v>
      </c>
      <c r="D216" s="108" t="str">
        <f t="shared" si="6"/>
        <v>C215-159-24</v>
      </c>
      <c r="E216" s="11" t="s">
        <v>3740</v>
      </c>
      <c r="F216" s="11"/>
      <c r="G216" s="9" t="s">
        <v>3961</v>
      </c>
      <c r="H216" s="10" t="s">
        <v>3621</v>
      </c>
      <c r="I216" s="12" t="s">
        <v>41</v>
      </c>
      <c r="J216" s="21">
        <v>45426</v>
      </c>
      <c r="K216" s="77">
        <v>45490</v>
      </c>
      <c r="L216" s="50"/>
      <c r="M216" s="13" t="str">
        <f t="shared" ca="1" si="7"/>
        <v>CLOSED</v>
      </c>
      <c r="N216" s="415">
        <f>+Table2[[#This Row],[Effectiveness Review &amp; date deemed effective]]-Table2[[#This Row],[CAR initialized date]]</f>
        <v>64</v>
      </c>
    </row>
    <row r="217" spans="1:14" s="4" customFormat="1" ht="18" hidden="1" x14ac:dyDescent="0.3">
      <c r="A217" s="9" t="s">
        <v>175</v>
      </c>
      <c r="B217" s="13">
        <f>VLOOKUP(Table2[[#This Row],[Location 
(drop-down)]],'List source'!D$2:E$60,2,FALSE)</f>
        <v>159</v>
      </c>
      <c r="C217" s="11" t="s">
        <v>807</v>
      </c>
      <c r="D217" s="108" t="str">
        <f t="shared" si="6"/>
        <v>C216-159-24</v>
      </c>
      <c r="E217" s="11" t="s">
        <v>3740</v>
      </c>
      <c r="F217" s="11"/>
      <c r="G217" s="9" t="s">
        <v>3962</v>
      </c>
      <c r="H217" s="10" t="s">
        <v>3737</v>
      </c>
      <c r="I217" s="12" t="s">
        <v>41</v>
      </c>
      <c r="J217" s="21">
        <v>45426</v>
      </c>
      <c r="K217" s="77">
        <v>45530</v>
      </c>
      <c r="L217" s="50"/>
      <c r="M217" s="13" t="str">
        <f t="shared" ca="1" si="7"/>
        <v>CLOSED</v>
      </c>
      <c r="N217" s="415">
        <f>+Table2[[#This Row],[Effectiveness Review &amp; date deemed effective]]-Table2[[#This Row],[CAR initialized date]]</f>
        <v>104</v>
      </c>
    </row>
    <row r="218" spans="1:14" s="4" customFormat="1" ht="18" hidden="1" x14ac:dyDescent="0.3">
      <c r="A218" s="9" t="s">
        <v>175</v>
      </c>
      <c r="B218" s="13">
        <f>VLOOKUP(Table2[[#This Row],[Location 
(drop-down)]],'List source'!D$2:E$60,2,FALSE)</f>
        <v>159</v>
      </c>
      <c r="C218" s="11" t="s">
        <v>809</v>
      </c>
      <c r="D218" s="108" t="str">
        <f t="shared" si="6"/>
        <v>C217-159-24</v>
      </c>
      <c r="E218" s="11" t="s">
        <v>3740</v>
      </c>
      <c r="F218" s="11"/>
      <c r="G218" s="9" t="s">
        <v>3963</v>
      </c>
      <c r="H218" s="10" t="s">
        <v>3621</v>
      </c>
      <c r="I218" s="12" t="s">
        <v>41</v>
      </c>
      <c r="J218" s="21">
        <v>45426</v>
      </c>
      <c r="K218" s="77">
        <v>45490</v>
      </c>
      <c r="L218" s="50"/>
      <c r="M218" s="13" t="str">
        <f t="shared" ca="1" si="7"/>
        <v>CLOSED</v>
      </c>
      <c r="N218" s="415">
        <f>+Table2[[#This Row],[Effectiveness Review &amp; date deemed effective]]-Table2[[#This Row],[CAR initialized date]]</f>
        <v>64</v>
      </c>
    </row>
    <row r="219" spans="1:14" s="4" customFormat="1" ht="18" hidden="1" x14ac:dyDescent="0.3">
      <c r="A219" s="9" t="s">
        <v>175</v>
      </c>
      <c r="B219" s="13">
        <f>VLOOKUP(Table2[[#This Row],[Location 
(drop-down)]],'List source'!D$2:E$60,2,FALSE)</f>
        <v>159</v>
      </c>
      <c r="C219" s="11" t="s">
        <v>811</v>
      </c>
      <c r="D219" s="108" t="str">
        <f t="shared" si="6"/>
        <v>C218-159-24</v>
      </c>
      <c r="E219" s="11" t="s">
        <v>3740</v>
      </c>
      <c r="F219" s="11"/>
      <c r="G219" s="9" t="s">
        <v>3964</v>
      </c>
      <c r="H219" s="10" t="s">
        <v>3621</v>
      </c>
      <c r="I219" s="12" t="s">
        <v>41</v>
      </c>
      <c r="J219" s="21">
        <v>45426</v>
      </c>
      <c r="K219" s="77">
        <v>45490</v>
      </c>
      <c r="L219" s="50"/>
      <c r="M219" s="13" t="str">
        <f t="shared" ca="1" si="7"/>
        <v>CLOSED</v>
      </c>
      <c r="N219" s="415">
        <f>+Table2[[#This Row],[Effectiveness Review &amp; date deemed effective]]-Table2[[#This Row],[CAR initialized date]]</f>
        <v>64</v>
      </c>
    </row>
    <row r="220" spans="1:14" s="4" customFormat="1" ht="18" hidden="1" x14ac:dyDescent="0.3">
      <c r="A220" s="9" t="s">
        <v>175</v>
      </c>
      <c r="B220" s="13">
        <f>VLOOKUP(Table2[[#This Row],[Location 
(drop-down)]],'List source'!D$2:E$60,2,FALSE)</f>
        <v>159</v>
      </c>
      <c r="C220" s="11" t="s">
        <v>814</v>
      </c>
      <c r="D220" s="108" t="str">
        <f t="shared" si="6"/>
        <v>C219-159-24</v>
      </c>
      <c r="E220" s="11" t="s">
        <v>3740</v>
      </c>
      <c r="F220" s="11"/>
      <c r="G220" s="9" t="s">
        <v>3965</v>
      </c>
      <c r="H220" s="10" t="s">
        <v>3621</v>
      </c>
      <c r="I220" s="12" t="s">
        <v>41</v>
      </c>
      <c r="J220" s="21">
        <v>45426</v>
      </c>
      <c r="K220" s="77">
        <v>45476</v>
      </c>
      <c r="L220" s="50"/>
      <c r="M220" s="13" t="str">
        <f t="shared" ca="1" si="7"/>
        <v>CLOSED</v>
      </c>
      <c r="N220" s="415">
        <f>+Table2[[#This Row],[Effectiveness Review &amp; date deemed effective]]-Table2[[#This Row],[CAR initialized date]]</f>
        <v>50</v>
      </c>
    </row>
    <row r="221" spans="1:14" s="4" customFormat="1" ht="28.8" hidden="1" x14ac:dyDescent="0.3">
      <c r="A221" s="9" t="s">
        <v>57</v>
      </c>
      <c r="B221" s="13">
        <f>VLOOKUP(Table2[[#This Row],[Location 
(drop-down)]],'List source'!D$2:E$60,2,FALSE)</f>
        <v>170</v>
      </c>
      <c r="C221" s="11" t="s">
        <v>816</v>
      </c>
      <c r="D221" s="108" t="str">
        <f t="shared" si="6"/>
        <v>C220-170-24</v>
      </c>
      <c r="E221" s="11" t="s">
        <v>3783</v>
      </c>
      <c r="F221" s="11" t="s">
        <v>165</v>
      </c>
      <c r="G221" s="9" t="s">
        <v>3966</v>
      </c>
      <c r="H221" s="10" t="s">
        <v>3621</v>
      </c>
      <c r="I221" s="12" t="s">
        <v>60</v>
      </c>
      <c r="J221" s="21">
        <v>45427</v>
      </c>
      <c r="K221" s="77">
        <v>45497</v>
      </c>
      <c r="L221" s="50"/>
      <c r="M221" s="13" t="str">
        <f t="shared" ca="1" si="7"/>
        <v>CLOSED</v>
      </c>
      <c r="N221" s="415">
        <f>+Table2[[#This Row],[Effectiveness Review &amp; date deemed effective]]-Table2[[#This Row],[CAR initialized date]]</f>
        <v>70</v>
      </c>
    </row>
    <row r="222" spans="1:14" s="4" customFormat="1" ht="28.8" hidden="1" x14ac:dyDescent="0.3">
      <c r="A222" s="9" t="s">
        <v>57</v>
      </c>
      <c r="B222" s="13">
        <f>VLOOKUP(Table2[[#This Row],[Location 
(drop-down)]],'List source'!D$2:E$60,2,FALSE)</f>
        <v>170</v>
      </c>
      <c r="C222" s="11" t="s">
        <v>819</v>
      </c>
      <c r="D222" s="108" t="str">
        <f t="shared" si="6"/>
        <v>C221-170-24</v>
      </c>
      <c r="E222" s="11" t="s">
        <v>3783</v>
      </c>
      <c r="F222" s="11" t="s">
        <v>165</v>
      </c>
      <c r="G222" s="9" t="s">
        <v>3967</v>
      </c>
      <c r="H222" s="10" t="s">
        <v>3621</v>
      </c>
      <c r="I222" s="12" t="s">
        <v>60</v>
      </c>
      <c r="J222" s="21">
        <v>45427</v>
      </c>
      <c r="K222" s="77">
        <v>45497</v>
      </c>
      <c r="L222" s="50"/>
      <c r="M222" s="13" t="str">
        <f t="shared" ca="1" si="7"/>
        <v>CLOSED</v>
      </c>
      <c r="N222" s="415">
        <f>+Table2[[#This Row],[Effectiveness Review &amp; date deemed effective]]-Table2[[#This Row],[CAR initialized date]]</f>
        <v>70</v>
      </c>
    </row>
    <row r="223" spans="1:14" s="4" customFormat="1" ht="43.2" hidden="1" x14ac:dyDescent="0.3">
      <c r="A223" s="9" t="s">
        <v>75</v>
      </c>
      <c r="B223" s="13">
        <f>VLOOKUP(Table2[[#This Row],[Location 
(drop-down)]],'List source'!D$2:E$60,2,FALSE)</f>
        <v>190</v>
      </c>
      <c r="C223" s="11" t="s">
        <v>821</v>
      </c>
      <c r="D223" s="108" t="str">
        <f t="shared" si="6"/>
        <v>C222-190-24</v>
      </c>
      <c r="E223" s="11" t="s">
        <v>3773</v>
      </c>
      <c r="F223" s="11" t="s">
        <v>73</v>
      </c>
      <c r="G223" s="9" t="s">
        <v>3968</v>
      </c>
      <c r="H223" s="10" t="s">
        <v>3621</v>
      </c>
      <c r="I223" s="12" t="s">
        <v>60</v>
      </c>
      <c r="J223" s="21">
        <v>45432</v>
      </c>
      <c r="K223" s="77">
        <v>45460</v>
      </c>
      <c r="L223" s="50"/>
      <c r="M223" s="13" t="str">
        <f t="shared" ca="1" si="7"/>
        <v>CLOSED</v>
      </c>
      <c r="N223" s="415">
        <f>+Table2[[#This Row],[Effectiveness Review &amp; date deemed effective]]-Table2[[#This Row],[CAR initialized date]]</f>
        <v>28</v>
      </c>
    </row>
    <row r="224" spans="1:14" s="4" customFormat="1" ht="28.8" hidden="1" x14ac:dyDescent="0.3">
      <c r="A224" s="9" t="s">
        <v>75</v>
      </c>
      <c r="B224" s="13">
        <f>VLOOKUP(Table2[[#This Row],[Location 
(drop-down)]],'List source'!D$2:E$60,2,FALSE)</f>
        <v>190</v>
      </c>
      <c r="C224" s="11" t="s">
        <v>823</v>
      </c>
      <c r="D224" s="108" t="str">
        <f t="shared" si="6"/>
        <v>C223-190-24</v>
      </c>
      <c r="E224" s="11" t="s">
        <v>3773</v>
      </c>
      <c r="F224" s="11" t="s">
        <v>73</v>
      </c>
      <c r="G224" s="9" t="s">
        <v>3969</v>
      </c>
      <c r="H224" s="10" t="s">
        <v>3621</v>
      </c>
      <c r="I224" s="12" t="s">
        <v>60</v>
      </c>
      <c r="J224" s="21">
        <v>45432</v>
      </c>
      <c r="K224" s="77">
        <v>45460</v>
      </c>
      <c r="L224" s="50"/>
      <c r="M224" s="13" t="str">
        <f t="shared" ca="1" si="7"/>
        <v>CLOSED</v>
      </c>
      <c r="N224" s="415">
        <f>+Table2[[#This Row],[Effectiveness Review &amp; date deemed effective]]-Table2[[#This Row],[CAR initialized date]]</f>
        <v>28</v>
      </c>
    </row>
    <row r="225" spans="1:14" s="4" customFormat="1" ht="43.2" hidden="1" x14ac:dyDescent="0.3">
      <c r="A225" s="9" t="s">
        <v>75</v>
      </c>
      <c r="B225" s="13">
        <f>VLOOKUP(Table2[[#This Row],[Location 
(drop-down)]],'List source'!D$2:E$60,2,FALSE)</f>
        <v>190</v>
      </c>
      <c r="C225" s="11" t="s">
        <v>825</v>
      </c>
      <c r="D225" s="108" t="str">
        <f t="shared" si="6"/>
        <v>C224-190-24</v>
      </c>
      <c r="E225" s="11" t="s">
        <v>3773</v>
      </c>
      <c r="F225" s="11" t="s">
        <v>73</v>
      </c>
      <c r="G225" s="9" t="s">
        <v>3970</v>
      </c>
      <c r="H225" s="10" t="s">
        <v>3621</v>
      </c>
      <c r="I225" s="12" t="s">
        <v>60</v>
      </c>
      <c r="J225" s="21">
        <v>45432</v>
      </c>
      <c r="K225" s="77">
        <v>45462</v>
      </c>
      <c r="L225" s="50"/>
      <c r="M225" s="13" t="str">
        <f t="shared" ca="1" si="7"/>
        <v>CLOSED</v>
      </c>
      <c r="N225" s="415">
        <f>+Table2[[#This Row],[Effectiveness Review &amp; date deemed effective]]-Table2[[#This Row],[CAR initialized date]]</f>
        <v>30</v>
      </c>
    </row>
    <row r="226" spans="1:14" s="4" customFormat="1" ht="43.2" hidden="1" x14ac:dyDescent="0.3">
      <c r="A226" s="9" t="s">
        <v>75</v>
      </c>
      <c r="B226" s="13">
        <f>VLOOKUP(Table2[[#This Row],[Location 
(drop-down)]],'List source'!D$2:E$60,2,FALSE)</f>
        <v>190</v>
      </c>
      <c r="C226" s="11" t="s">
        <v>827</v>
      </c>
      <c r="D226" s="108" t="str">
        <f t="shared" si="6"/>
        <v>C225-190-24</v>
      </c>
      <c r="E226" s="11" t="s">
        <v>3773</v>
      </c>
      <c r="F226" s="11" t="s">
        <v>73</v>
      </c>
      <c r="G226" s="9" t="s">
        <v>3971</v>
      </c>
      <c r="H226" s="10" t="s">
        <v>3621</v>
      </c>
      <c r="I226" s="12" t="s">
        <v>60</v>
      </c>
      <c r="J226" s="21">
        <v>45432</v>
      </c>
      <c r="K226" s="77">
        <v>45462</v>
      </c>
      <c r="L226" s="50"/>
      <c r="M226" s="13" t="str">
        <f t="shared" ca="1" si="7"/>
        <v>CLOSED</v>
      </c>
      <c r="N226" s="415">
        <f>+Table2[[#This Row],[Effectiveness Review &amp; date deemed effective]]-Table2[[#This Row],[CAR initialized date]]</f>
        <v>30</v>
      </c>
    </row>
    <row r="227" spans="1:14" s="4" customFormat="1" ht="43.2" hidden="1" x14ac:dyDescent="0.3">
      <c r="A227" s="9" t="s">
        <v>75</v>
      </c>
      <c r="B227" s="13">
        <f>VLOOKUP(Table2[[#This Row],[Location 
(drop-down)]],'List source'!D$2:E$60,2,FALSE)</f>
        <v>190</v>
      </c>
      <c r="C227" s="11" t="s">
        <v>830</v>
      </c>
      <c r="D227" s="108" t="str">
        <f t="shared" si="6"/>
        <v>C226-190-24</v>
      </c>
      <c r="E227" s="11" t="s">
        <v>3773</v>
      </c>
      <c r="F227" s="11" t="s">
        <v>73</v>
      </c>
      <c r="G227" s="9" t="s">
        <v>3972</v>
      </c>
      <c r="H227" s="10" t="s">
        <v>3621</v>
      </c>
      <c r="I227" s="12" t="s">
        <v>60</v>
      </c>
      <c r="J227" s="21">
        <v>45432</v>
      </c>
      <c r="K227" s="77">
        <v>45460</v>
      </c>
      <c r="L227" s="50"/>
      <c r="M227" s="13" t="str">
        <f t="shared" ca="1" si="7"/>
        <v>CLOSED</v>
      </c>
      <c r="N227" s="415">
        <f>+Table2[[#This Row],[Effectiveness Review &amp; date deemed effective]]-Table2[[#This Row],[CAR initialized date]]</f>
        <v>28</v>
      </c>
    </row>
    <row r="228" spans="1:14" s="4" customFormat="1" ht="18" hidden="1" x14ac:dyDescent="0.3">
      <c r="A228" s="9" t="s">
        <v>157</v>
      </c>
      <c r="B228" s="13">
        <f>VLOOKUP(Table2[[#This Row],[Location 
(drop-down)]],'List source'!D$2:E$60,2,FALSE)</f>
        <v>136</v>
      </c>
      <c r="C228" s="11" t="s">
        <v>833</v>
      </c>
      <c r="D228" s="108" t="str">
        <f t="shared" si="6"/>
        <v>C227-136-24</v>
      </c>
      <c r="E228" s="11" t="s">
        <v>3773</v>
      </c>
      <c r="F228" s="11" t="s">
        <v>3973</v>
      </c>
      <c r="G228" s="9" t="s">
        <v>3974</v>
      </c>
      <c r="H228" s="10" t="s">
        <v>3621</v>
      </c>
      <c r="I228" s="12" t="s">
        <v>60</v>
      </c>
      <c r="J228" s="21">
        <v>45435</v>
      </c>
      <c r="K228" s="77">
        <v>45639</v>
      </c>
      <c r="L228" s="50"/>
      <c r="M228" s="13" t="str">
        <f t="shared" ca="1" si="7"/>
        <v>CLOSED</v>
      </c>
      <c r="N228" s="415">
        <f>+Table2[[#This Row],[Effectiveness Review &amp; date deemed effective]]-Table2[[#This Row],[CAR initialized date]]</f>
        <v>204</v>
      </c>
    </row>
    <row r="229" spans="1:14" s="4" customFormat="1" ht="57.6" hidden="1" x14ac:dyDescent="0.3">
      <c r="A229" s="9" t="s">
        <v>130</v>
      </c>
      <c r="B229" s="13">
        <f>VLOOKUP(Table2[[#This Row],[Location 
(drop-down)]],'List source'!D$2:E$60,2,FALSE)</f>
        <v>194</v>
      </c>
      <c r="C229" s="11" t="s">
        <v>835</v>
      </c>
      <c r="D229" s="108" t="str">
        <f t="shared" si="6"/>
        <v>C228-194-24</v>
      </c>
      <c r="E229" s="11" t="s">
        <v>3735</v>
      </c>
      <c r="F229" s="11" t="s">
        <v>165</v>
      </c>
      <c r="G229" s="9" t="s">
        <v>3975</v>
      </c>
      <c r="H229" s="10" t="s">
        <v>3737</v>
      </c>
      <c r="I229" s="12" t="s">
        <v>168</v>
      </c>
      <c r="J229" s="21">
        <v>45423</v>
      </c>
      <c r="K229" s="77">
        <v>45491</v>
      </c>
      <c r="L229" s="50"/>
      <c r="M229" s="13" t="str">
        <f t="shared" ca="1" si="7"/>
        <v>CLOSED</v>
      </c>
      <c r="N229" s="415">
        <f>+Table2[[#This Row],[Effectiveness Review &amp; date deemed effective]]-Table2[[#This Row],[CAR initialized date]]</f>
        <v>68</v>
      </c>
    </row>
    <row r="230" spans="1:14" s="4" customFormat="1" ht="18" hidden="1" x14ac:dyDescent="0.3">
      <c r="A230" s="9" t="s">
        <v>207</v>
      </c>
      <c r="B230" s="13">
        <f>VLOOKUP(Table2[[#This Row],[Location 
(drop-down)]],'List source'!D$2:E$60,2,FALSE)</f>
        <v>189</v>
      </c>
      <c r="C230" s="11" t="s">
        <v>837</v>
      </c>
      <c r="D230" s="108" t="str">
        <f t="shared" si="6"/>
        <v>C229-189-24</v>
      </c>
      <c r="E230" s="11" t="s">
        <v>3740</v>
      </c>
      <c r="F230" s="11"/>
      <c r="G230" s="28" t="s">
        <v>3976</v>
      </c>
      <c r="H230" s="10" t="s">
        <v>3621</v>
      </c>
      <c r="I230" s="12" t="s">
        <v>49</v>
      </c>
      <c r="J230" s="21">
        <v>45441</v>
      </c>
      <c r="K230" s="77">
        <v>45499</v>
      </c>
      <c r="L230" s="50"/>
      <c r="M230" s="13" t="str">
        <f t="shared" ca="1" si="7"/>
        <v>CLOSED</v>
      </c>
      <c r="N230" s="415">
        <f>+Table2[[#This Row],[Effectiveness Review &amp; date deemed effective]]-Table2[[#This Row],[CAR initialized date]]</f>
        <v>58</v>
      </c>
    </row>
    <row r="231" spans="1:14" s="4" customFormat="1" ht="18" hidden="1" x14ac:dyDescent="0.3">
      <c r="A231" s="9" t="s">
        <v>207</v>
      </c>
      <c r="B231" s="13">
        <f>VLOOKUP(Table2[[#This Row],[Location 
(drop-down)]],'List source'!D$2:E$60,2,FALSE)</f>
        <v>189</v>
      </c>
      <c r="C231" s="11" t="s">
        <v>839</v>
      </c>
      <c r="D231" s="108" t="str">
        <f t="shared" si="6"/>
        <v>C230-189-24</v>
      </c>
      <c r="E231" s="11" t="s">
        <v>3740</v>
      </c>
      <c r="F231" s="11"/>
      <c r="G231" s="9" t="s">
        <v>3977</v>
      </c>
      <c r="H231" s="10" t="s">
        <v>3621</v>
      </c>
      <c r="I231" s="12" t="s">
        <v>49</v>
      </c>
      <c r="J231" s="21">
        <v>45441</v>
      </c>
      <c r="K231" s="77">
        <v>45499</v>
      </c>
      <c r="L231" s="50"/>
      <c r="M231" s="13" t="str">
        <f t="shared" ca="1" si="7"/>
        <v>CLOSED</v>
      </c>
      <c r="N231" s="415">
        <f>+Table2[[#This Row],[Effectiveness Review &amp; date deemed effective]]-Table2[[#This Row],[CAR initialized date]]</f>
        <v>58</v>
      </c>
    </row>
    <row r="232" spans="1:14" s="4" customFormat="1" ht="18" hidden="1" x14ac:dyDescent="0.3">
      <c r="A232" s="9" t="s">
        <v>207</v>
      </c>
      <c r="B232" s="13">
        <f>VLOOKUP(Table2[[#This Row],[Location 
(drop-down)]],'List source'!D$2:E$60,2,FALSE)</f>
        <v>189</v>
      </c>
      <c r="C232" s="11" t="s">
        <v>842</v>
      </c>
      <c r="D232" s="108" t="str">
        <f t="shared" si="6"/>
        <v>C231-189-24</v>
      </c>
      <c r="E232" s="11" t="s">
        <v>3740</v>
      </c>
      <c r="F232" s="11"/>
      <c r="G232" s="9" t="s">
        <v>3978</v>
      </c>
      <c r="H232" s="10" t="s">
        <v>3621</v>
      </c>
      <c r="I232" s="12" t="s">
        <v>49</v>
      </c>
      <c r="J232" s="21">
        <v>45441</v>
      </c>
      <c r="K232" s="86">
        <v>45485</v>
      </c>
      <c r="L232" s="50"/>
      <c r="M232" s="13" t="str">
        <f t="shared" ca="1" si="7"/>
        <v>CLOSED</v>
      </c>
      <c r="N232" s="415">
        <f>+Table2[[#This Row],[Effectiveness Review &amp; date deemed effective]]-Table2[[#This Row],[CAR initialized date]]</f>
        <v>44</v>
      </c>
    </row>
    <row r="233" spans="1:14" s="4" customFormat="1" ht="18" hidden="1" x14ac:dyDescent="0.3">
      <c r="A233" s="9" t="s">
        <v>207</v>
      </c>
      <c r="B233" s="13">
        <f>VLOOKUP(Table2[[#This Row],[Location 
(drop-down)]],'List source'!D$2:E$60,2,FALSE)</f>
        <v>189</v>
      </c>
      <c r="C233" s="11" t="s">
        <v>844</v>
      </c>
      <c r="D233" s="108" t="str">
        <f t="shared" si="6"/>
        <v>C232-189-24</v>
      </c>
      <c r="E233" s="11" t="s">
        <v>3740</v>
      </c>
      <c r="F233" s="11"/>
      <c r="G233" s="9" t="s">
        <v>3979</v>
      </c>
      <c r="H233" s="10" t="s">
        <v>3621</v>
      </c>
      <c r="I233" s="12" t="s">
        <v>49</v>
      </c>
      <c r="J233" s="21">
        <v>45441</v>
      </c>
      <c r="K233" s="77">
        <v>45492</v>
      </c>
      <c r="L233" s="50"/>
      <c r="M233" s="13" t="str">
        <f t="shared" ca="1" si="7"/>
        <v>CLOSED</v>
      </c>
      <c r="N233" s="415">
        <f>+Table2[[#This Row],[Effectiveness Review &amp; date deemed effective]]-Table2[[#This Row],[CAR initialized date]]</f>
        <v>51</v>
      </c>
    </row>
    <row r="234" spans="1:14" s="4" customFormat="1" ht="18" hidden="1" x14ac:dyDescent="0.3">
      <c r="A234" s="9" t="s">
        <v>207</v>
      </c>
      <c r="B234" s="13">
        <f>VLOOKUP(Table2[[#This Row],[Location 
(drop-down)]],'List source'!D$2:E$60,2,FALSE)</f>
        <v>189</v>
      </c>
      <c r="C234" s="11" t="s">
        <v>846</v>
      </c>
      <c r="D234" s="108" t="str">
        <f t="shared" si="6"/>
        <v>C233-189-24</v>
      </c>
      <c r="E234" s="11" t="s">
        <v>3740</v>
      </c>
      <c r="F234" s="11"/>
      <c r="G234" s="9" t="s">
        <v>3980</v>
      </c>
      <c r="H234" s="10" t="s">
        <v>3621</v>
      </c>
      <c r="I234" s="12" t="s">
        <v>49</v>
      </c>
      <c r="J234" s="21">
        <v>45441</v>
      </c>
      <c r="K234" s="86">
        <v>45485</v>
      </c>
      <c r="L234" s="50"/>
      <c r="M234" s="13" t="str">
        <f t="shared" ca="1" si="7"/>
        <v>CLOSED</v>
      </c>
      <c r="N234" s="415">
        <f>+Table2[[#This Row],[Effectiveness Review &amp; date deemed effective]]-Table2[[#This Row],[CAR initialized date]]</f>
        <v>44</v>
      </c>
    </row>
    <row r="235" spans="1:14" s="4" customFormat="1" ht="43.2" hidden="1" x14ac:dyDescent="0.3">
      <c r="A235" s="9" t="s">
        <v>57</v>
      </c>
      <c r="B235" s="13">
        <f>VLOOKUP(Table2[[#This Row],[Location 
(drop-down)]],'List source'!D$2:E$60,2,FALSE)</f>
        <v>170</v>
      </c>
      <c r="C235" s="11" t="s">
        <v>848</v>
      </c>
      <c r="D235" s="108" t="str">
        <f t="shared" si="6"/>
        <v>C234-170-24</v>
      </c>
      <c r="E235" s="11" t="s">
        <v>3735</v>
      </c>
      <c r="F235" s="11" t="s">
        <v>3850</v>
      </c>
      <c r="G235" s="9" t="s">
        <v>3981</v>
      </c>
      <c r="H235" s="10" t="s">
        <v>3621</v>
      </c>
      <c r="I235" s="10" t="s">
        <v>60</v>
      </c>
      <c r="J235" s="21">
        <v>45441</v>
      </c>
      <c r="K235" s="86">
        <v>45443</v>
      </c>
      <c r="L235" s="50"/>
      <c r="M235" s="13" t="str">
        <f t="shared" ca="1" si="7"/>
        <v>CLOSED</v>
      </c>
      <c r="N235" s="415">
        <f>+Table2[[#This Row],[Effectiveness Review &amp; date deemed effective]]-Table2[[#This Row],[CAR initialized date]]</f>
        <v>2</v>
      </c>
    </row>
    <row r="236" spans="1:14" s="4" customFormat="1" ht="43.2" hidden="1" x14ac:dyDescent="0.3">
      <c r="A236" s="9" t="s">
        <v>42</v>
      </c>
      <c r="B236" s="13">
        <f>VLOOKUP(Table2[[#This Row],[Location 
(drop-down)]],'List source'!D$2:E$60,2,FALSE)</f>
        <v>138</v>
      </c>
      <c r="C236" s="11" t="s">
        <v>850</v>
      </c>
      <c r="D236" s="108" t="str">
        <f t="shared" si="6"/>
        <v>C235-138-24</v>
      </c>
      <c r="E236" s="11" t="s">
        <v>3773</v>
      </c>
      <c r="F236" s="11" t="s">
        <v>3982</v>
      </c>
      <c r="G236" s="9" t="s">
        <v>3983</v>
      </c>
      <c r="H236" s="10" t="s">
        <v>3621</v>
      </c>
      <c r="I236" s="10" t="s">
        <v>60</v>
      </c>
      <c r="J236" s="21">
        <v>45442</v>
      </c>
      <c r="K236" s="77">
        <v>45476</v>
      </c>
      <c r="L236" s="50"/>
      <c r="M236" s="13" t="str">
        <f t="shared" ca="1" si="7"/>
        <v>CLOSED</v>
      </c>
      <c r="N236" s="415">
        <f>+Table2[[#This Row],[Effectiveness Review &amp; date deemed effective]]-Table2[[#This Row],[CAR initialized date]]</f>
        <v>34</v>
      </c>
    </row>
    <row r="237" spans="1:14" s="4" customFormat="1" ht="43.2" hidden="1" x14ac:dyDescent="0.3">
      <c r="A237" s="9" t="s">
        <v>42</v>
      </c>
      <c r="B237" s="13">
        <f>VLOOKUP(Table2[[#This Row],[Location 
(drop-down)]],'List source'!D$2:E$60,2,FALSE)</f>
        <v>138</v>
      </c>
      <c r="C237" s="11" t="s">
        <v>852</v>
      </c>
      <c r="D237" s="108" t="str">
        <f t="shared" si="6"/>
        <v>C236-138-24</v>
      </c>
      <c r="E237" s="11" t="s">
        <v>3773</v>
      </c>
      <c r="F237" s="11" t="s">
        <v>3982</v>
      </c>
      <c r="G237" s="9" t="s">
        <v>3984</v>
      </c>
      <c r="H237" s="10" t="s">
        <v>3621</v>
      </c>
      <c r="I237" s="10" t="s">
        <v>60</v>
      </c>
      <c r="J237" s="21">
        <v>45442</v>
      </c>
      <c r="K237" s="77">
        <v>45476</v>
      </c>
      <c r="L237" s="50"/>
      <c r="M237" s="13" t="str">
        <f t="shared" ca="1" si="7"/>
        <v>CLOSED</v>
      </c>
      <c r="N237" s="415">
        <f>+Table2[[#This Row],[Effectiveness Review &amp; date deemed effective]]-Table2[[#This Row],[CAR initialized date]]</f>
        <v>34</v>
      </c>
    </row>
    <row r="238" spans="1:14" s="4" customFormat="1" ht="43.2" hidden="1" x14ac:dyDescent="0.3">
      <c r="A238" s="9" t="s">
        <v>42</v>
      </c>
      <c r="B238" s="13">
        <f>VLOOKUP(Table2[[#This Row],[Location 
(drop-down)]],'List source'!D$2:E$60,2,FALSE)</f>
        <v>138</v>
      </c>
      <c r="C238" s="11" t="s">
        <v>854</v>
      </c>
      <c r="D238" s="108" t="str">
        <f t="shared" si="6"/>
        <v>C237-138-24</v>
      </c>
      <c r="E238" s="11" t="s">
        <v>3773</v>
      </c>
      <c r="F238" s="11" t="s">
        <v>3982</v>
      </c>
      <c r="G238" s="9" t="s">
        <v>3985</v>
      </c>
      <c r="H238" s="10" t="s">
        <v>3621</v>
      </c>
      <c r="I238" s="10" t="s">
        <v>60</v>
      </c>
      <c r="J238" s="21">
        <v>45442</v>
      </c>
      <c r="K238" s="77">
        <v>45476</v>
      </c>
      <c r="L238" s="50"/>
      <c r="M238" s="13" t="str">
        <f t="shared" ca="1" si="7"/>
        <v>CLOSED</v>
      </c>
      <c r="N238" s="415">
        <f>+Table2[[#This Row],[Effectiveness Review &amp; date deemed effective]]-Table2[[#This Row],[CAR initialized date]]</f>
        <v>34</v>
      </c>
    </row>
    <row r="239" spans="1:14" s="4" customFormat="1" ht="43.2" hidden="1" x14ac:dyDescent="0.3">
      <c r="A239" s="9" t="s">
        <v>42</v>
      </c>
      <c r="B239" s="13">
        <f>VLOOKUP(Table2[[#This Row],[Location 
(drop-down)]],'List source'!D$2:E$60,2,FALSE)</f>
        <v>138</v>
      </c>
      <c r="C239" s="11" t="s">
        <v>857</v>
      </c>
      <c r="D239" s="108" t="str">
        <f t="shared" si="6"/>
        <v>C238-138-24</v>
      </c>
      <c r="E239" s="11" t="s">
        <v>3773</v>
      </c>
      <c r="F239" s="11" t="s">
        <v>3982</v>
      </c>
      <c r="G239" s="9" t="s">
        <v>3986</v>
      </c>
      <c r="H239" s="10" t="s">
        <v>3621</v>
      </c>
      <c r="I239" s="10" t="s">
        <v>60</v>
      </c>
      <c r="J239" s="21">
        <v>45442</v>
      </c>
      <c r="K239" s="77">
        <v>45485</v>
      </c>
      <c r="L239" s="50"/>
      <c r="M239" s="13" t="str">
        <f t="shared" ca="1" si="7"/>
        <v>CLOSED</v>
      </c>
      <c r="N239" s="415">
        <f>+Table2[[#This Row],[Effectiveness Review &amp; date deemed effective]]-Table2[[#This Row],[CAR initialized date]]</f>
        <v>43</v>
      </c>
    </row>
    <row r="240" spans="1:14" s="4" customFormat="1" ht="43.2" hidden="1" x14ac:dyDescent="0.3">
      <c r="A240" s="9" t="s">
        <v>42</v>
      </c>
      <c r="B240" s="13">
        <f>VLOOKUP(Table2[[#This Row],[Location 
(drop-down)]],'List source'!D$2:E$60,2,FALSE)</f>
        <v>138</v>
      </c>
      <c r="C240" s="11" t="s">
        <v>859</v>
      </c>
      <c r="D240" s="108" t="str">
        <f t="shared" si="6"/>
        <v>C239-138-24</v>
      </c>
      <c r="E240" s="11" t="s">
        <v>3773</v>
      </c>
      <c r="F240" s="11" t="s">
        <v>3982</v>
      </c>
      <c r="G240" s="9" t="s">
        <v>3987</v>
      </c>
      <c r="H240" s="10" t="s">
        <v>3621</v>
      </c>
      <c r="I240" s="10" t="s">
        <v>60</v>
      </c>
      <c r="J240" s="21">
        <v>45442</v>
      </c>
      <c r="K240" s="77">
        <v>45478</v>
      </c>
      <c r="L240" s="50"/>
      <c r="M240" s="13" t="str">
        <f t="shared" ca="1" si="7"/>
        <v>CLOSED</v>
      </c>
      <c r="N240" s="415">
        <f>+Table2[[#This Row],[Effectiveness Review &amp; date deemed effective]]-Table2[[#This Row],[CAR initialized date]]</f>
        <v>36</v>
      </c>
    </row>
    <row r="241" spans="1:14" s="4" customFormat="1" ht="43.2" hidden="1" x14ac:dyDescent="0.3">
      <c r="A241" s="9" t="s">
        <v>42</v>
      </c>
      <c r="B241" s="13">
        <f>VLOOKUP(Table2[[#This Row],[Location 
(drop-down)]],'List source'!D$2:E$60,2,FALSE)</f>
        <v>138</v>
      </c>
      <c r="C241" s="11" t="s">
        <v>862</v>
      </c>
      <c r="D241" s="108" t="str">
        <f t="shared" si="6"/>
        <v>C240-138-24</v>
      </c>
      <c r="E241" s="11" t="s">
        <v>3773</v>
      </c>
      <c r="F241" s="11" t="s">
        <v>3982</v>
      </c>
      <c r="G241" s="9" t="s">
        <v>3988</v>
      </c>
      <c r="H241" s="10" t="s">
        <v>3621</v>
      </c>
      <c r="I241" s="10" t="s">
        <v>60</v>
      </c>
      <c r="J241" s="21">
        <v>45442</v>
      </c>
      <c r="K241" s="77">
        <v>45483</v>
      </c>
      <c r="L241" s="50"/>
      <c r="M241" s="13" t="str">
        <f t="shared" ca="1" si="7"/>
        <v>CLOSED</v>
      </c>
      <c r="N241" s="415">
        <f>+Table2[[#This Row],[Effectiveness Review &amp; date deemed effective]]-Table2[[#This Row],[CAR initialized date]]</f>
        <v>41</v>
      </c>
    </row>
    <row r="242" spans="1:14" s="4" customFormat="1" ht="18" hidden="1" x14ac:dyDescent="0.3">
      <c r="A242" s="9" t="s">
        <v>42</v>
      </c>
      <c r="B242" s="13">
        <f>VLOOKUP(Table2[[#This Row],[Location 
(drop-down)]],'List source'!D$2:E$60,2,FALSE)</f>
        <v>138</v>
      </c>
      <c r="C242" s="11" t="s">
        <v>864</v>
      </c>
      <c r="D242" s="108" t="str">
        <f t="shared" si="6"/>
        <v>C241-138-24</v>
      </c>
      <c r="E242" s="11" t="s">
        <v>3773</v>
      </c>
      <c r="F242" s="11" t="s">
        <v>3982</v>
      </c>
      <c r="G242" s="9" t="s">
        <v>3989</v>
      </c>
      <c r="H242" s="10" t="s">
        <v>3621</v>
      </c>
      <c r="I242" s="10" t="s">
        <v>60</v>
      </c>
      <c r="J242" s="21">
        <v>45442</v>
      </c>
      <c r="K242" s="79">
        <v>45483</v>
      </c>
      <c r="L242" s="193"/>
      <c r="M242" s="13" t="str">
        <f t="shared" ca="1" si="7"/>
        <v>CLOSED</v>
      </c>
      <c r="N242" s="415">
        <f>+Table2[[#This Row],[Effectiveness Review &amp; date deemed effective]]-Table2[[#This Row],[CAR initialized date]]</f>
        <v>41</v>
      </c>
    </row>
    <row r="243" spans="1:14" s="4" customFormat="1" ht="28.8" hidden="1" x14ac:dyDescent="0.3">
      <c r="A243" s="9" t="s">
        <v>42</v>
      </c>
      <c r="B243" s="13">
        <f>VLOOKUP(Table2[[#This Row],[Location 
(drop-down)]],'List source'!D$2:E$60,2,FALSE)</f>
        <v>138</v>
      </c>
      <c r="C243" s="11" t="s">
        <v>866</v>
      </c>
      <c r="D243" s="108" t="str">
        <f t="shared" si="6"/>
        <v>C242-138-24</v>
      </c>
      <c r="E243" s="11" t="s">
        <v>3773</v>
      </c>
      <c r="F243" s="11" t="s">
        <v>3982</v>
      </c>
      <c r="G243" s="9" t="s">
        <v>3990</v>
      </c>
      <c r="H243" s="10" t="s">
        <v>3621</v>
      </c>
      <c r="I243" s="10" t="s">
        <v>60</v>
      </c>
      <c r="J243" s="21">
        <v>45442</v>
      </c>
      <c r="K243" s="79">
        <v>45483</v>
      </c>
      <c r="L243" s="193"/>
      <c r="M243" s="13" t="str">
        <f t="shared" ca="1" si="7"/>
        <v>CLOSED</v>
      </c>
      <c r="N243" s="415">
        <f>+Table2[[#This Row],[Effectiveness Review &amp; date deemed effective]]-Table2[[#This Row],[CAR initialized date]]</f>
        <v>41</v>
      </c>
    </row>
    <row r="244" spans="1:14" s="4" customFormat="1" ht="28.8" hidden="1" x14ac:dyDescent="0.3">
      <c r="A244" s="9" t="s">
        <v>90</v>
      </c>
      <c r="B244" s="13">
        <f>VLOOKUP(Table2[[#This Row],[Location 
(drop-down)]],'List source'!D$2:E$60,2,FALSE)</f>
        <v>157</v>
      </c>
      <c r="C244" s="11" t="s">
        <v>869</v>
      </c>
      <c r="D244" s="108" t="str">
        <f t="shared" si="6"/>
        <v>C243-157-24</v>
      </c>
      <c r="E244" s="11" t="s">
        <v>3735</v>
      </c>
      <c r="F244" s="11" t="s">
        <v>3991</v>
      </c>
      <c r="G244" s="302" t="s">
        <v>3992</v>
      </c>
      <c r="H244" s="10" t="s">
        <v>3737</v>
      </c>
      <c r="I244" s="12" t="s">
        <v>18</v>
      </c>
      <c r="J244" s="21">
        <v>45448</v>
      </c>
      <c r="K244" s="78">
        <v>45449</v>
      </c>
      <c r="L244" s="193" t="s">
        <v>3993</v>
      </c>
      <c r="M244" s="13" t="str">
        <f t="shared" ca="1" si="7"/>
        <v>CLOSED</v>
      </c>
      <c r="N244" s="415">
        <f>+Table2[[#This Row],[Effectiveness Review &amp; date deemed effective]]-Table2[[#This Row],[CAR initialized date]]</f>
        <v>1</v>
      </c>
    </row>
    <row r="245" spans="1:14" s="4" customFormat="1" ht="18" hidden="1" x14ac:dyDescent="0.3">
      <c r="A245" s="9" t="s">
        <v>186</v>
      </c>
      <c r="B245" s="13">
        <f>VLOOKUP(Table2[[#This Row],[Location 
(drop-down)]],'List source'!D$2:E$60,2,FALSE)</f>
        <v>130</v>
      </c>
      <c r="C245" s="11" t="s">
        <v>871</v>
      </c>
      <c r="D245" s="108" t="str">
        <f t="shared" si="6"/>
        <v>C244-130-24</v>
      </c>
      <c r="E245" s="11" t="s">
        <v>3735</v>
      </c>
      <c r="F245" s="11" t="s">
        <v>3994</v>
      </c>
      <c r="G245" s="144" t="s">
        <v>3995</v>
      </c>
      <c r="H245" s="14" t="s">
        <v>3621</v>
      </c>
      <c r="I245" s="14" t="s">
        <v>54</v>
      </c>
      <c r="J245" s="21">
        <v>45448</v>
      </c>
      <c r="K245" s="78">
        <v>45483</v>
      </c>
      <c r="L245" s="193"/>
      <c r="M245" s="13" t="str">
        <f t="shared" ca="1" si="7"/>
        <v>CLOSED</v>
      </c>
      <c r="N245" s="415">
        <f>+Table2[[#This Row],[Effectiveness Review &amp; date deemed effective]]-Table2[[#This Row],[CAR initialized date]]</f>
        <v>35</v>
      </c>
    </row>
    <row r="246" spans="1:14" s="4" customFormat="1" ht="18" hidden="1" x14ac:dyDescent="0.3">
      <c r="A246" s="9" t="s">
        <v>186</v>
      </c>
      <c r="B246" s="13">
        <f>VLOOKUP(Table2[[#This Row],[Location 
(drop-down)]],'List source'!D$2:E$60,2,FALSE)</f>
        <v>130</v>
      </c>
      <c r="C246" s="11" t="s">
        <v>874</v>
      </c>
      <c r="D246" s="108" t="str">
        <f t="shared" si="6"/>
        <v>C245-130-24</v>
      </c>
      <c r="E246" s="11" t="s">
        <v>3735</v>
      </c>
      <c r="F246" s="11" t="s">
        <v>3850</v>
      </c>
      <c r="G246" s="9" t="s">
        <v>3996</v>
      </c>
      <c r="H246" s="10" t="s">
        <v>114</v>
      </c>
      <c r="I246" s="12" t="s">
        <v>54</v>
      </c>
      <c r="J246" s="21">
        <v>45454</v>
      </c>
      <c r="K246" s="77">
        <v>45475</v>
      </c>
      <c r="L246" s="50" t="s">
        <v>3997</v>
      </c>
      <c r="M246" s="13" t="str">
        <f t="shared" ca="1" si="7"/>
        <v>CLOSED</v>
      </c>
      <c r="N246" s="415">
        <f>+Table2[[#This Row],[Effectiveness Review &amp; date deemed effective]]-Table2[[#This Row],[CAR initialized date]]</f>
        <v>21</v>
      </c>
    </row>
    <row r="247" spans="1:14" s="4" customFormat="1" ht="28.8" hidden="1" x14ac:dyDescent="0.3">
      <c r="A247" s="9" t="s">
        <v>186</v>
      </c>
      <c r="B247" s="13">
        <f>VLOOKUP(Table2[[#This Row],[Location 
(drop-down)]],'List source'!D$2:E$60,2,FALSE)</f>
        <v>130</v>
      </c>
      <c r="C247" s="11" t="s">
        <v>877</v>
      </c>
      <c r="D247" s="108" t="str">
        <f t="shared" si="6"/>
        <v>C246-130-24</v>
      </c>
      <c r="E247" s="11" t="s">
        <v>3740</v>
      </c>
      <c r="F247" s="11"/>
      <c r="G247" s="9" t="s">
        <v>3998</v>
      </c>
      <c r="H247" s="10" t="s">
        <v>3621</v>
      </c>
      <c r="I247" s="12" t="s">
        <v>23</v>
      </c>
      <c r="J247" s="21">
        <v>45474</v>
      </c>
      <c r="K247" s="77">
        <v>45530</v>
      </c>
      <c r="L247" s="50"/>
      <c r="M247" s="13" t="str">
        <f t="shared" ca="1" si="7"/>
        <v>CLOSED</v>
      </c>
      <c r="N247" s="415">
        <f>+Table2[[#This Row],[Effectiveness Review &amp; date deemed effective]]-Table2[[#This Row],[CAR initialized date]]</f>
        <v>56</v>
      </c>
    </row>
    <row r="248" spans="1:14" s="4" customFormat="1" ht="43.2" hidden="1" x14ac:dyDescent="0.3">
      <c r="A248" s="9" t="s">
        <v>186</v>
      </c>
      <c r="B248" s="13">
        <f>VLOOKUP(Table2[[#This Row],[Location 
(drop-down)]],'List source'!D$2:E$60,2,FALSE)</f>
        <v>130</v>
      </c>
      <c r="C248" s="11" t="s">
        <v>880</v>
      </c>
      <c r="D248" s="108" t="str">
        <f t="shared" si="6"/>
        <v>C247-130-24</v>
      </c>
      <c r="E248" s="11" t="s">
        <v>3740</v>
      </c>
      <c r="F248" s="11"/>
      <c r="G248" s="9" t="s">
        <v>3999</v>
      </c>
      <c r="H248" s="10" t="s">
        <v>3621</v>
      </c>
      <c r="I248" s="12" t="s">
        <v>23</v>
      </c>
      <c r="J248" s="21">
        <v>45474</v>
      </c>
      <c r="K248" s="77">
        <v>45532</v>
      </c>
      <c r="L248" s="50"/>
      <c r="M248" s="13" t="str">
        <f t="shared" ca="1" si="7"/>
        <v>CLOSED</v>
      </c>
      <c r="N248" s="415">
        <f>+Table2[[#This Row],[Effectiveness Review &amp; date deemed effective]]-Table2[[#This Row],[CAR initialized date]]</f>
        <v>58</v>
      </c>
    </row>
    <row r="249" spans="1:14" s="4" customFormat="1" ht="28.8" hidden="1" x14ac:dyDescent="0.3">
      <c r="A249" s="9" t="s">
        <v>186</v>
      </c>
      <c r="B249" s="13">
        <f>VLOOKUP(Table2[[#This Row],[Location 
(drop-down)]],'List source'!D$2:E$60,2,FALSE)</f>
        <v>130</v>
      </c>
      <c r="C249" s="11" t="s">
        <v>883</v>
      </c>
      <c r="D249" s="108" t="str">
        <f t="shared" si="6"/>
        <v>C248-130-24</v>
      </c>
      <c r="E249" s="11" t="s">
        <v>3740</v>
      </c>
      <c r="F249" s="11"/>
      <c r="G249" s="9" t="s">
        <v>4000</v>
      </c>
      <c r="H249" s="10" t="s">
        <v>3621</v>
      </c>
      <c r="I249" s="12" t="s">
        <v>23</v>
      </c>
      <c r="J249" s="21">
        <v>45474</v>
      </c>
      <c r="K249" s="77">
        <v>45635</v>
      </c>
      <c r="L249" s="50"/>
      <c r="M249" s="13" t="str">
        <f t="shared" ca="1" si="7"/>
        <v>CLOSED</v>
      </c>
      <c r="N249" s="415">
        <f>+Table2[[#This Row],[Effectiveness Review &amp; date deemed effective]]-Table2[[#This Row],[CAR initialized date]]</f>
        <v>161</v>
      </c>
    </row>
    <row r="250" spans="1:14" s="4" customFormat="1" ht="43.2" hidden="1" x14ac:dyDescent="0.3">
      <c r="A250" s="9" t="s">
        <v>186</v>
      </c>
      <c r="B250" s="13">
        <f>VLOOKUP(Table2[[#This Row],[Location 
(drop-down)]],'List source'!D$2:E$60,2,FALSE)</f>
        <v>130</v>
      </c>
      <c r="C250" s="11" t="s">
        <v>887</v>
      </c>
      <c r="D250" s="108" t="str">
        <f t="shared" si="6"/>
        <v>C249-130-24</v>
      </c>
      <c r="E250" s="11" t="s">
        <v>3740</v>
      </c>
      <c r="F250" s="11"/>
      <c r="G250" s="9" t="s">
        <v>4001</v>
      </c>
      <c r="H250" s="10" t="s">
        <v>3621</v>
      </c>
      <c r="I250" s="12" t="s">
        <v>23</v>
      </c>
      <c r="J250" s="21">
        <v>45474</v>
      </c>
      <c r="K250" s="77">
        <v>45566</v>
      </c>
      <c r="L250" s="50"/>
      <c r="M250" s="13" t="str">
        <f t="shared" ca="1" si="7"/>
        <v>CLOSED</v>
      </c>
      <c r="N250" s="415">
        <f>+Table2[[#This Row],[Effectiveness Review &amp; date deemed effective]]-Table2[[#This Row],[CAR initialized date]]</f>
        <v>92</v>
      </c>
    </row>
    <row r="251" spans="1:14" s="4" customFormat="1" ht="43.2" hidden="1" x14ac:dyDescent="0.3">
      <c r="A251" s="9" t="s">
        <v>186</v>
      </c>
      <c r="B251" s="13">
        <f>VLOOKUP(Table2[[#This Row],[Location 
(drop-down)]],'List source'!D$2:E$60,2,FALSE)</f>
        <v>130</v>
      </c>
      <c r="C251" s="11" t="s">
        <v>890</v>
      </c>
      <c r="D251" s="108" t="str">
        <f t="shared" si="6"/>
        <v>C250-130-24</v>
      </c>
      <c r="E251" s="11" t="s">
        <v>3740</v>
      </c>
      <c r="F251" s="11"/>
      <c r="G251" s="9" t="s">
        <v>4002</v>
      </c>
      <c r="H251" s="10" t="s">
        <v>3621</v>
      </c>
      <c r="I251" s="12" t="s">
        <v>23</v>
      </c>
      <c r="J251" s="21">
        <v>45474</v>
      </c>
      <c r="K251" s="77">
        <v>45559</v>
      </c>
      <c r="L251" s="50"/>
      <c r="M251" s="13" t="str">
        <f t="shared" ca="1" si="7"/>
        <v>CLOSED</v>
      </c>
      <c r="N251" s="415">
        <f>+Table2[[#This Row],[Effectiveness Review &amp; date deemed effective]]-Table2[[#This Row],[CAR initialized date]]</f>
        <v>85</v>
      </c>
    </row>
    <row r="252" spans="1:14" s="4" customFormat="1" ht="43.2" hidden="1" x14ac:dyDescent="0.3">
      <c r="A252" s="9" t="s">
        <v>186</v>
      </c>
      <c r="B252" s="13">
        <f>VLOOKUP(Table2[[#This Row],[Location 
(drop-down)]],'List source'!D$2:E$60,2,FALSE)</f>
        <v>130</v>
      </c>
      <c r="C252" s="11" t="s">
        <v>893</v>
      </c>
      <c r="D252" s="108" t="str">
        <f t="shared" si="6"/>
        <v>C251-130-24</v>
      </c>
      <c r="E252" s="11" t="s">
        <v>3740</v>
      </c>
      <c r="F252" s="11"/>
      <c r="G252" s="9" t="s">
        <v>4003</v>
      </c>
      <c r="H252" s="10" t="s">
        <v>3621</v>
      </c>
      <c r="I252" s="12" t="s">
        <v>23</v>
      </c>
      <c r="J252" s="21">
        <v>45474</v>
      </c>
      <c r="K252" s="77">
        <v>45535</v>
      </c>
      <c r="L252" s="50"/>
      <c r="M252" s="13" t="str">
        <f t="shared" ca="1" si="7"/>
        <v>CLOSED</v>
      </c>
      <c r="N252" s="415">
        <f>+Table2[[#This Row],[Effectiveness Review &amp; date deemed effective]]-Table2[[#This Row],[CAR initialized date]]</f>
        <v>61</v>
      </c>
    </row>
    <row r="253" spans="1:14" s="4" customFormat="1" ht="43.2" hidden="1" x14ac:dyDescent="0.3">
      <c r="A253" s="9" t="s">
        <v>186</v>
      </c>
      <c r="B253" s="13">
        <f>VLOOKUP(Table2[[#This Row],[Location 
(drop-down)]],'List source'!D$2:E$60,2,FALSE)</f>
        <v>130</v>
      </c>
      <c r="C253" s="11" t="s">
        <v>896</v>
      </c>
      <c r="D253" s="108" t="str">
        <f t="shared" si="6"/>
        <v>C252-130-24</v>
      </c>
      <c r="E253" s="11" t="s">
        <v>3740</v>
      </c>
      <c r="F253" s="11"/>
      <c r="G253" s="9" t="s">
        <v>4004</v>
      </c>
      <c r="H253" s="10" t="s">
        <v>3621</v>
      </c>
      <c r="I253" s="12" t="s">
        <v>23</v>
      </c>
      <c r="J253" s="21">
        <v>45474</v>
      </c>
      <c r="K253" s="77">
        <v>45601</v>
      </c>
      <c r="L253" s="50"/>
      <c r="M253" s="13" t="str">
        <f t="shared" ca="1" si="7"/>
        <v>CLOSED</v>
      </c>
      <c r="N253" s="415">
        <f>+Table2[[#This Row],[Effectiveness Review &amp; date deemed effective]]-Table2[[#This Row],[CAR initialized date]]</f>
        <v>127</v>
      </c>
    </row>
    <row r="254" spans="1:14" s="4" customFormat="1" ht="18" hidden="1" x14ac:dyDescent="0.3">
      <c r="A254" s="9" t="s">
        <v>186</v>
      </c>
      <c r="B254" s="13">
        <f>VLOOKUP(Table2[[#This Row],[Location 
(drop-down)]],'List source'!D$2:E$60,2,FALSE)</f>
        <v>130</v>
      </c>
      <c r="C254" s="11" t="s">
        <v>899</v>
      </c>
      <c r="D254" s="108" t="str">
        <f t="shared" si="6"/>
        <v>C253-130-24</v>
      </c>
      <c r="E254" s="11" t="s">
        <v>3740</v>
      </c>
      <c r="F254" s="11"/>
      <c r="G254" s="9" t="s">
        <v>4005</v>
      </c>
      <c r="H254" s="10" t="s">
        <v>3621</v>
      </c>
      <c r="I254" s="12" t="s">
        <v>23</v>
      </c>
      <c r="J254" s="21">
        <v>45474</v>
      </c>
      <c r="K254" s="77">
        <v>45566</v>
      </c>
      <c r="L254" s="50"/>
      <c r="M254" s="13" t="str">
        <f t="shared" ca="1" si="7"/>
        <v>CLOSED</v>
      </c>
      <c r="N254" s="415">
        <f>+Table2[[#This Row],[Effectiveness Review &amp; date deemed effective]]-Table2[[#This Row],[CAR initialized date]]</f>
        <v>92</v>
      </c>
    </row>
    <row r="255" spans="1:14" s="4" customFormat="1" ht="28.8" hidden="1" x14ac:dyDescent="0.3">
      <c r="A255" s="9" t="s">
        <v>186</v>
      </c>
      <c r="B255" s="13">
        <f>VLOOKUP(Table2[[#This Row],[Location 
(drop-down)]],'List source'!D$2:E$60,2,FALSE)</f>
        <v>130</v>
      </c>
      <c r="C255" s="11" t="s">
        <v>901</v>
      </c>
      <c r="D255" s="108" t="str">
        <f t="shared" si="6"/>
        <v>C254-130-24</v>
      </c>
      <c r="E255" s="11" t="s">
        <v>3740</v>
      </c>
      <c r="F255" s="11"/>
      <c r="G255" s="91" t="s">
        <v>4006</v>
      </c>
      <c r="H255" s="10" t="s">
        <v>3621</v>
      </c>
      <c r="I255" s="12" t="s">
        <v>23</v>
      </c>
      <c r="J255" s="21">
        <v>45474</v>
      </c>
      <c r="K255" s="77">
        <v>45532</v>
      </c>
      <c r="L255" s="50"/>
      <c r="M255" s="13" t="str">
        <f t="shared" ca="1" si="7"/>
        <v>CLOSED</v>
      </c>
      <c r="N255" s="415">
        <f>+Table2[[#This Row],[Effectiveness Review &amp; date deemed effective]]-Table2[[#This Row],[CAR initialized date]]</f>
        <v>58</v>
      </c>
    </row>
    <row r="256" spans="1:14" s="4" customFormat="1" ht="43.2" hidden="1" x14ac:dyDescent="0.3">
      <c r="A256" s="9" t="s">
        <v>186</v>
      </c>
      <c r="B256" s="13">
        <f>VLOOKUP(Table2[[#This Row],[Location 
(drop-down)]],'List source'!D$2:E$60,2,FALSE)</f>
        <v>130</v>
      </c>
      <c r="C256" s="11" t="s">
        <v>905</v>
      </c>
      <c r="D256" s="108" t="str">
        <f t="shared" si="6"/>
        <v>C255-130-24</v>
      </c>
      <c r="E256" s="11" t="s">
        <v>3740</v>
      </c>
      <c r="F256" s="11"/>
      <c r="G256" s="105" t="s">
        <v>4007</v>
      </c>
      <c r="H256" s="10" t="s">
        <v>3621</v>
      </c>
      <c r="I256" s="12" t="s">
        <v>23</v>
      </c>
      <c r="J256" s="21">
        <v>45474</v>
      </c>
      <c r="K256" s="77">
        <v>45566</v>
      </c>
      <c r="L256" s="50"/>
      <c r="M256" s="13" t="str">
        <f t="shared" ca="1" si="7"/>
        <v>CLOSED</v>
      </c>
      <c r="N256" s="415">
        <f>+Table2[[#This Row],[Effectiveness Review &amp; date deemed effective]]-Table2[[#This Row],[CAR initialized date]]</f>
        <v>92</v>
      </c>
    </row>
    <row r="257" spans="1:14" s="4" customFormat="1" ht="18" hidden="1" x14ac:dyDescent="0.3">
      <c r="A257" s="9" t="s">
        <v>186</v>
      </c>
      <c r="B257" s="13">
        <f>VLOOKUP(Table2[[#This Row],[Location 
(drop-down)]],'List source'!D$2:E$60,2,FALSE)</f>
        <v>130</v>
      </c>
      <c r="C257" s="11" t="s">
        <v>908</v>
      </c>
      <c r="D257" s="108" t="str">
        <f t="shared" si="6"/>
        <v>C256-130-24</v>
      </c>
      <c r="E257" s="11" t="s">
        <v>3740</v>
      </c>
      <c r="F257" s="11"/>
      <c r="G257" s="105" t="s">
        <v>4008</v>
      </c>
      <c r="H257" s="10" t="s">
        <v>3737</v>
      </c>
      <c r="I257" s="12" t="s">
        <v>23</v>
      </c>
      <c r="J257" s="21">
        <v>45474</v>
      </c>
      <c r="K257" s="77">
        <v>45559</v>
      </c>
      <c r="L257" s="50"/>
      <c r="M257" s="13" t="str">
        <f t="shared" ca="1" si="7"/>
        <v>CLOSED</v>
      </c>
      <c r="N257" s="415">
        <f>+Table2[[#This Row],[Effectiveness Review &amp; date deemed effective]]-Table2[[#This Row],[CAR initialized date]]</f>
        <v>85</v>
      </c>
    </row>
    <row r="258" spans="1:14" s="4" customFormat="1" ht="18" hidden="1" x14ac:dyDescent="0.3">
      <c r="A258" s="9" t="s">
        <v>186</v>
      </c>
      <c r="B258" s="13">
        <f>VLOOKUP(Table2[[#This Row],[Location 
(drop-down)]],'List source'!D$2:E$60,2,FALSE)</f>
        <v>130</v>
      </c>
      <c r="C258" s="11" t="s">
        <v>911</v>
      </c>
      <c r="D258" s="108" t="str">
        <f t="shared" ref="D258:D321" si="8">"C" &amp; C258 &amp; "-" &amp; B258 &amp; "-" &amp; "24"</f>
        <v>C257-130-24</v>
      </c>
      <c r="E258" s="11" t="s">
        <v>3740</v>
      </c>
      <c r="F258" s="11"/>
      <c r="G258" s="9" t="s">
        <v>3875</v>
      </c>
      <c r="H258" s="10" t="s">
        <v>3737</v>
      </c>
      <c r="I258" s="12" t="s">
        <v>23</v>
      </c>
      <c r="J258" s="21">
        <v>45474</v>
      </c>
      <c r="K258" s="77">
        <v>45559</v>
      </c>
      <c r="L258" s="50"/>
      <c r="M258" s="13" t="str">
        <f t="shared" ca="1" si="7"/>
        <v>CLOSED</v>
      </c>
      <c r="N258" s="415">
        <f>+Table2[[#This Row],[Effectiveness Review &amp; date deemed effective]]-Table2[[#This Row],[CAR initialized date]]</f>
        <v>85</v>
      </c>
    </row>
    <row r="259" spans="1:14" s="4" customFormat="1" ht="18" hidden="1" x14ac:dyDescent="0.3">
      <c r="A259" s="9" t="s">
        <v>186</v>
      </c>
      <c r="B259" s="13">
        <f>VLOOKUP(Table2[[#This Row],[Location 
(drop-down)]],'List source'!D$2:E$60,2,FALSE)</f>
        <v>130</v>
      </c>
      <c r="C259" s="11" t="s">
        <v>913</v>
      </c>
      <c r="D259" s="108" t="str">
        <f t="shared" si="8"/>
        <v>C258-130-24</v>
      </c>
      <c r="E259" s="11" t="s">
        <v>3740</v>
      </c>
      <c r="F259" s="11"/>
      <c r="G259" s="153" t="s">
        <v>3844</v>
      </c>
      <c r="H259" s="10" t="s">
        <v>3737</v>
      </c>
      <c r="I259" s="12" t="s">
        <v>23</v>
      </c>
      <c r="J259" s="21">
        <v>45474</v>
      </c>
      <c r="K259" s="77">
        <v>45601</v>
      </c>
      <c r="L259" s="50"/>
      <c r="M259" s="13" t="str">
        <f t="shared" ref="M259:M322" ca="1" si="9">IF(ISBLANK(K259), TODAY()-J259, "CLOSED")</f>
        <v>CLOSED</v>
      </c>
      <c r="N259" s="415">
        <f>+Table2[[#This Row],[Effectiveness Review &amp; date deemed effective]]-Table2[[#This Row],[CAR initialized date]]</f>
        <v>127</v>
      </c>
    </row>
    <row r="260" spans="1:14" s="4" customFormat="1" ht="28.8" hidden="1" x14ac:dyDescent="0.3">
      <c r="A260" s="9" t="s">
        <v>107</v>
      </c>
      <c r="B260" s="13">
        <f>VLOOKUP(Table2[[#This Row],[Location 
(drop-down)]],'List source'!D$2:E$60,2,FALSE)</f>
        <v>120</v>
      </c>
      <c r="C260" s="11" t="s">
        <v>916</v>
      </c>
      <c r="D260" s="108" t="str">
        <f t="shared" si="8"/>
        <v>C259-120-24</v>
      </c>
      <c r="E260" s="11" t="s">
        <v>3735</v>
      </c>
      <c r="F260" s="199" t="s">
        <v>4009</v>
      </c>
      <c r="G260" s="9" t="s">
        <v>4010</v>
      </c>
      <c r="H260" s="10" t="s">
        <v>3621</v>
      </c>
      <c r="I260" s="12" t="s">
        <v>134</v>
      </c>
      <c r="J260" s="12">
        <v>45454</v>
      </c>
      <c r="K260" s="77">
        <v>45481</v>
      </c>
      <c r="L260" s="50"/>
      <c r="M260" s="13" t="str">
        <f t="shared" ca="1" si="9"/>
        <v>CLOSED</v>
      </c>
      <c r="N260" s="415">
        <f>+Table2[[#This Row],[Effectiveness Review &amp; date deemed effective]]-Table2[[#This Row],[CAR initialized date]]</f>
        <v>27</v>
      </c>
    </row>
    <row r="261" spans="1:14" s="4" customFormat="1" ht="28.8" hidden="1" x14ac:dyDescent="0.3">
      <c r="A261" s="9" t="s">
        <v>107</v>
      </c>
      <c r="B261" s="13">
        <f>VLOOKUP(Table2[[#This Row],[Location 
(drop-down)]],'List source'!D$2:E$60,2,FALSE)</f>
        <v>120</v>
      </c>
      <c r="C261" s="11" t="s">
        <v>919</v>
      </c>
      <c r="D261" s="108" t="str">
        <f t="shared" si="8"/>
        <v>C260-120-24</v>
      </c>
      <c r="E261" s="11" t="s">
        <v>3735</v>
      </c>
      <c r="F261" s="199" t="s">
        <v>4009</v>
      </c>
      <c r="G261" s="102" t="s">
        <v>4011</v>
      </c>
      <c r="H261" s="10" t="s">
        <v>3621</v>
      </c>
      <c r="I261" s="12" t="s">
        <v>134</v>
      </c>
      <c r="J261" s="12">
        <v>45454</v>
      </c>
      <c r="K261" s="77">
        <v>45474</v>
      </c>
      <c r="L261" s="50" t="s">
        <v>4012</v>
      </c>
      <c r="M261" s="13" t="str">
        <f t="shared" ca="1" si="9"/>
        <v>CLOSED</v>
      </c>
      <c r="N261" s="415">
        <f>+Table2[[#This Row],[Effectiveness Review &amp; date deemed effective]]-Table2[[#This Row],[CAR initialized date]]</f>
        <v>20</v>
      </c>
    </row>
    <row r="262" spans="1:14" s="4" customFormat="1" ht="18" hidden="1" x14ac:dyDescent="0.3">
      <c r="A262" s="9" t="s">
        <v>235</v>
      </c>
      <c r="B262" s="13">
        <f>VLOOKUP(Table2[[#This Row],[Location 
(drop-down)]],'List source'!D$2:E$60,2,FALSE)</f>
        <v>160</v>
      </c>
      <c r="C262" s="11" t="s">
        <v>921</v>
      </c>
      <c r="D262" s="108" t="str">
        <f t="shared" si="8"/>
        <v>C261-160-24</v>
      </c>
      <c r="E262" s="11" t="s">
        <v>3735</v>
      </c>
      <c r="F262" s="11" t="s">
        <v>4013</v>
      </c>
      <c r="G262" s="102" t="s">
        <v>4014</v>
      </c>
      <c r="H262" s="10" t="s">
        <v>3621</v>
      </c>
      <c r="I262" s="12" t="s">
        <v>109</v>
      </c>
      <c r="J262" s="12">
        <v>45434</v>
      </c>
      <c r="K262" s="77">
        <v>45555</v>
      </c>
      <c r="L262" s="50"/>
      <c r="M262" s="13" t="str">
        <f t="shared" ca="1" si="9"/>
        <v>CLOSED</v>
      </c>
      <c r="N262" s="415">
        <f>+Table2[[#This Row],[Effectiveness Review &amp; date deemed effective]]-Table2[[#This Row],[CAR initialized date]]</f>
        <v>121</v>
      </c>
    </row>
    <row r="263" spans="1:14" s="4" customFormat="1" ht="18" hidden="1" x14ac:dyDescent="0.3">
      <c r="A263" s="9" t="s">
        <v>235</v>
      </c>
      <c r="B263" s="13">
        <f>VLOOKUP(Table2[[#This Row],[Location 
(drop-down)]],'List source'!D$2:E$60,2,FALSE)</f>
        <v>160</v>
      </c>
      <c r="C263" s="11" t="s">
        <v>924</v>
      </c>
      <c r="D263" s="108" t="str">
        <f t="shared" si="8"/>
        <v>C262-160-24</v>
      </c>
      <c r="E263" s="11" t="s">
        <v>3735</v>
      </c>
      <c r="F263" s="11" t="s">
        <v>4013</v>
      </c>
      <c r="G263" s="102" t="s">
        <v>4015</v>
      </c>
      <c r="H263" s="10" t="s">
        <v>3621</v>
      </c>
      <c r="I263" s="12" t="s">
        <v>109</v>
      </c>
      <c r="J263" s="12">
        <v>45434</v>
      </c>
      <c r="K263" s="77">
        <v>45555</v>
      </c>
      <c r="L263" s="50"/>
      <c r="M263" s="13" t="str">
        <f t="shared" ca="1" si="9"/>
        <v>CLOSED</v>
      </c>
      <c r="N263" s="415">
        <f>+Table2[[#This Row],[Effectiveness Review &amp; date deemed effective]]-Table2[[#This Row],[CAR initialized date]]</f>
        <v>121</v>
      </c>
    </row>
    <row r="264" spans="1:14" s="4" customFormat="1" ht="28.8" hidden="1" x14ac:dyDescent="0.3">
      <c r="A264" s="9" t="s">
        <v>21</v>
      </c>
      <c r="B264" s="13">
        <f>VLOOKUP(Table2[[#This Row],[Location 
(drop-down)]],'List source'!D$2:E$60,2,FALSE)</f>
        <v>131</v>
      </c>
      <c r="C264" s="11" t="s">
        <v>927</v>
      </c>
      <c r="D264" s="108" t="str">
        <f t="shared" si="8"/>
        <v>C263-131-24</v>
      </c>
      <c r="E264" s="11" t="s">
        <v>3770</v>
      </c>
      <c r="F264" s="11"/>
      <c r="G264" s="102" t="s">
        <v>4016</v>
      </c>
      <c r="H264" s="10" t="s">
        <v>3621</v>
      </c>
      <c r="I264" s="12" t="s">
        <v>54</v>
      </c>
      <c r="J264" s="12">
        <v>45462</v>
      </c>
      <c r="K264" s="77">
        <v>45847</v>
      </c>
      <c r="L264" s="50"/>
      <c r="M264" s="13" t="str">
        <f t="shared" ca="1" si="9"/>
        <v>CLOSED</v>
      </c>
      <c r="N264" s="415">
        <f>+Table2[[#This Row],[Effectiveness Review &amp; date deemed effective]]-Table2[[#This Row],[CAR initialized date]]</f>
        <v>385</v>
      </c>
    </row>
    <row r="265" spans="1:14" s="4" customFormat="1" ht="28.8" hidden="1" x14ac:dyDescent="0.3">
      <c r="A265" s="9" t="s">
        <v>215</v>
      </c>
      <c r="B265" s="13">
        <f>VLOOKUP(Table2[[#This Row],[Location 
(drop-down)]],'List source'!D$2:E$60,2,FALSE)</f>
        <v>121</v>
      </c>
      <c r="C265" s="11" t="s">
        <v>929</v>
      </c>
      <c r="D265" s="108" t="str">
        <f t="shared" si="8"/>
        <v>C264-121-24</v>
      </c>
      <c r="E265" s="11" t="s">
        <v>3740</v>
      </c>
      <c r="F265" s="11"/>
      <c r="G265" s="102" t="s">
        <v>4017</v>
      </c>
      <c r="H265" s="10" t="s">
        <v>3737</v>
      </c>
      <c r="I265" s="12" t="s">
        <v>18</v>
      </c>
      <c r="J265" s="12">
        <v>45467</v>
      </c>
      <c r="K265" s="77">
        <v>45478</v>
      </c>
      <c r="L265" s="50"/>
      <c r="M265" s="13" t="str">
        <f t="shared" ca="1" si="9"/>
        <v>CLOSED</v>
      </c>
      <c r="N265" s="415">
        <f>+Table2[[#This Row],[Effectiveness Review &amp; date deemed effective]]-Table2[[#This Row],[CAR initialized date]]</f>
        <v>11</v>
      </c>
    </row>
    <row r="266" spans="1:14" s="4" customFormat="1" ht="28.8" hidden="1" x14ac:dyDescent="0.3">
      <c r="A266" s="9" t="s">
        <v>107</v>
      </c>
      <c r="B266" s="13">
        <f>VLOOKUP(Table2[[#This Row],[Location 
(drop-down)]],'List source'!D$2:E$60,2,FALSE)</f>
        <v>120</v>
      </c>
      <c r="C266" s="11" t="s">
        <v>931</v>
      </c>
      <c r="D266" s="108" t="str">
        <f t="shared" si="8"/>
        <v>C265-120-24</v>
      </c>
      <c r="E266" s="11" t="s">
        <v>3740</v>
      </c>
      <c r="F266" s="11"/>
      <c r="G266" s="102" t="s">
        <v>4018</v>
      </c>
      <c r="H266" s="10" t="s">
        <v>3737</v>
      </c>
      <c r="I266" s="12" t="s">
        <v>41</v>
      </c>
      <c r="J266" s="12">
        <v>45468</v>
      </c>
      <c r="K266" s="77">
        <v>45649</v>
      </c>
      <c r="L266" s="50"/>
      <c r="M266" s="13" t="str">
        <f t="shared" ca="1" si="9"/>
        <v>CLOSED</v>
      </c>
      <c r="N266" s="415">
        <f>+Table2[[#This Row],[Effectiveness Review &amp; date deemed effective]]-Table2[[#This Row],[CAR initialized date]]</f>
        <v>181</v>
      </c>
    </row>
    <row r="267" spans="1:14" s="4" customFormat="1" ht="18" hidden="1" x14ac:dyDescent="0.3">
      <c r="A267" s="9" t="s">
        <v>107</v>
      </c>
      <c r="B267" s="13">
        <f>VLOOKUP(Table2[[#This Row],[Location 
(drop-down)]],'List source'!D$2:E$60,2,FALSE)</f>
        <v>120</v>
      </c>
      <c r="C267" s="11" t="s">
        <v>933</v>
      </c>
      <c r="D267" s="108" t="str">
        <f t="shared" si="8"/>
        <v>C266-120-24</v>
      </c>
      <c r="E267" s="11" t="s">
        <v>3740</v>
      </c>
      <c r="F267" s="11"/>
      <c r="G267" s="102" t="s">
        <v>4019</v>
      </c>
      <c r="H267" s="10" t="s">
        <v>3621</v>
      </c>
      <c r="I267" s="12" t="s">
        <v>41</v>
      </c>
      <c r="J267" s="12">
        <v>45468</v>
      </c>
      <c r="K267" s="77">
        <v>45671</v>
      </c>
      <c r="L267" s="50"/>
      <c r="M267" s="13" t="str">
        <f t="shared" ca="1" si="9"/>
        <v>CLOSED</v>
      </c>
      <c r="N267" s="415">
        <f>+Table2[[#This Row],[Effectiveness Review &amp; date deemed effective]]-Table2[[#This Row],[CAR initialized date]]</f>
        <v>203</v>
      </c>
    </row>
    <row r="268" spans="1:14" s="4" customFormat="1" ht="18" hidden="1" x14ac:dyDescent="0.3">
      <c r="A268" s="9" t="s">
        <v>107</v>
      </c>
      <c r="B268" s="13">
        <f>VLOOKUP(Table2[[#This Row],[Location 
(drop-down)]],'List source'!D$2:E$60,2,FALSE)</f>
        <v>120</v>
      </c>
      <c r="C268" s="11" t="s">
        <v>935</v>
      </c>
      <c r="D268" s="108" t="str">
        <f t="shared" si="8"/>
        <v>C267-120-24</v>
      </c>
      <c r="E268" s="11" t="s">
        <v>3740</v>
      </c>
      <c r="F268" s="11"/>
      <c r="G268" s="102" t="s">
        <v>4020</v>
      </c>
      <c r="H268" s="10" t="s">
        <v>3621</v>
      </c>
      <c r="I268" s="12" t="s">
        <v>41</v>
      </c>
      <c r="J268" s="12">
        <v>45468</v>
      </c>
      <c r="K268" s="77">
        <v>45670</v>
      </c>
      <c r="L268" s="50"/>
      <c r="M268" s="13" t="str">
        <f t="shared" ca="1" si="9"/>
        <v>CLOSED</v>
      </c>
      <c r="N268" s="415">
        <f>+Table2[[#This Row],[Effectiveness Review &amp; date deemed effective]]-Table2[[#This Row],[CAR initialized date]]</f>
        <v>202</v>
      </c>
    </row>
    <row r="269" spans="1:14" s="4" customFormat="1" ht="18" hidden="1" x14ac:dyDescent="0.3">
      <c r="A269" s="9" t="s">
        <v>107</v>
      </c>
      <c r="B269" s="13">
        <f>VLOOKUP(Table2[[#This Row],[Location 
(drop-down)]],'List source'!D$2:E$60,2,FALSE)</f>
        <v>120</v>
      </c>
      <c r="C269" s="11" t="s">
        <v>937</v>
      </c>
      <c r="D269" s="108" t="str">
        <f t="shared" si="8"/>
        <v>C268-120-24</v>
      </c>
      <c r="E269" s="11" t="s">
        <v>3740</v>
      </c>
      <c r="F269" s="11"/>
      <c r="G269" s="102" t="s">
        <v>4021</v>
      </c>
      <c r="H269" s="10" t="s">
        <v>3621</v>
      </c>
      <c r="I269" s="12" t="s">
        <v>41</v>
      </c>
      <c r="J269" s="12">
        <v>45468</v>
      </c>
      <c r="K269" s="77">
        <v>45771</v>
      </c>
      <c r="L269" s="50"/>
      <c r="M269" s="13" t="str">
        <f t="shared" ca="1" si="9"/>
        <v>CLOSED</v>
      </c>
      <c r="N269" s="415">
        <f>+Table2[[#This Row],[Effectiveness Review &amp; date deemed effective]]-Table2[[#This Row],[CAR initialized date]]</f>
        <v>303</v>
      </c>
    </row>
    <row r="270" spans="1:14" s="4" customFormat="1" ht="18" hidden="1" x14ac:dyDescent="0.3">
      <c r="A270" s="9" t="s">
        <v>107</v>
      </c>
      <c r="B270" s="13">
        <f>VLOOKUP(Table2[[#This Row],[Location 
(drop-down)]],'List source'!D$2:E$60,2,FALSE)</f>
        <v>120</v>
      </c>
      <c r="C270" s="11" t="s">
        <v>939</v>
      </c>
      <c r="D270" s="108" t="str">
        <f t="shared" si="8"/>
        <v>C269-120-24</v>
      </c>
      <c r="E270" s="11" t="s">
        <v>3740</v>
      </c>
      <c r="F270" s="11"/>
      <c r="G270" s="102" t="s">
        <v>4022</v>
      </c>
      <c r="H270" s="10" t="s">
        <v>3621</v>
      </c>
      <c r="I270" s="12" t="s">
        <v>41</v>
      </c>
      <c r="J270" s="12">
        <v>45468</v>
      </c>
      <c r="K270" s="77">
        <v>45671</v>
      </c>
      <c r="L270" s="50"/>
      <c r="M270" s="13" t="str">
        <f t="shared" ca="1" si="9"/>
        <v>CLOSED</v>
      </c>
      <c r="N270" s="415">
        <f>+Table2[[#This Row],[Effectiveness Review &amp; date deemed effective]]-Table2[[#This Row],[CAR initialized date]]</f>
        <v>203</v>
      </c>
    </row>
    <row r="271" spans="1:14" s="4" customFormat="1" ht="18" hidden="1" x14ac:dyDescent="0.3">
      <c r="A271" s="9" t="s">
        <v>107</v>
      </c>
      <c r="B271" s="13">
        <f>VLOOKUP(Table2[[#This Row],[Location 
(drop-down)]],'List source'!D$2:E$60,2,FALSE)</f>
        <v>120</v>
      </c>
      <c r="C271" s="11" t="s">
        <v>942</v>
      </c>
      <c r="D271" s="108" t="str">
        <f t="shared" si="8"/>
        <v>C270-120-24</v>
      </c>
      <c r="E271" s="11" t="s">
        <v>3740</v>
      </c>
      <c r="F271" s="11"/>
      <c r="G271" s="102" t="s">
        <v>4023</v>
      </c>
      <c r="H271" s="10" t="s">
        <v>3621</v>
      </c>
      <c r="I271" s="12" t="s">
        <v>41</v>
      </c>
      <c r="J271" s="12">
        <v>45468</v>
      </c>
      <c r="K271" s="77">
        <v>45720</v>
      </c>
      <c r="L271" s="50"/>
      <c r="M271" s="13" t="str">
        <f t="shared" ca="1" si="9"/>
        <v>CLOSED</v>
      </c>
      <c r="N271" s="415">
        <f>+Table2[[#This Row],[Effectiveness Review &amp; date deemed effective]]-Table2[[#This Row],[CAR initialized date]]</f>
        <v>252</v>
      </c>
    </row>
    <row r="272" spans="1:14" s="4" customFormat="1" ht="18" x14ac:dyDescent="0.3">
      <c r="A272" s="189" t="s">
        <v>107</v>
      </c>
      <c r="B272" s="217">
        <f>VLOOKUP(Table2[[#This Row],[Location 
(drop-down)]],'List source'!D$2:E$60,2,FALSE)</f>
        <v>120</v>
      </c>
      <c r="C272" s="218" t="s">
        <v>945</v>
      </c>
      <c r="D272" s="219" t="str">
        <f t="shared" si="8"/>
        <v>C271-120-24</v>
      </c>
      <c r="E272" s="11" t="s">
        <v>3740</v>
      </c>
      <c r="F272" s="11"/>
      <c r="G272" s="102" t="s">
        <v>4024</v>
      </c>
      <c r="H272" s="10" t="s">
        <v>3621</v>
      </c>
      <c r="I272" s="12" t="s">
        <v>41</v>
      </c>
      <c r="J272" s="12">
        <v>45468</v>
      </c>
      <c r="K272" s="220">
        <v>46065</v>
      </c>
      <c r="L272" s="50"/>
      <c r="M272" s="13" t="str">
        <f t="shared" ca="1" si="9"/>
        <v>CLOSED</v>
      </c>
      <c r="N272" s="415">
        <f>+Table2[[#This Row],[Effectiveness Review &amp; date deemed effective]]-Table2[[#This Row],[CAR initialized date]]</f>
        <v>597</v>
      </c>
    </row>
    <row r="273" spans="1:14" s="4" customFormat="1" ht="18" hidden="1" x14ac:dyDescent="0.3">
      <c r="A273" s="9" t="s">
        <v>107</v>
      </c>
      <c r="B273" s="13">
        <f>VLOOKUP(Table2[[#This Row],[Location 
(drop-down)]],'List source'!D$2:E$60,2,FALSE)</f>
        <v>120</v>
      </c>
      <c r="C273" s="11" t="s">
        <v>947</v>
      </c>
      <c r="D273" s="108" t="str">
        <f t="shared" si="8"/>
        <v>C272-120-24</v>
      </c>
      <c r="E273" s="11" t="s">
        <v>3740</v>
      </c>
      <c r="F273" s="11"/>
      <c r="G273" s="102" t="s">
        <v>4025</v>
      </c>
      <c r="H273" s="10" t="s">
        <v>3621</v>
      </c>
      <c r="I273" s="12" t="s">
        <v>41</v>
      </c>
      <c r="J273" s="12">
        <v>45468</v>
      </c>
      <c r="K273" s="77">
        <v>45721</v>
      </c>
      <c r="L273" s="50"/>
      <c r="M273" s="13" t="str">
        <f t="shared" ca="1" si="9"/>
        <v>CLOSED</v>
      </c>
      <c r="N273" s="415">
        <f>+Table2[[#This Row],[Effectiveness Review &amp; date deemed effective]]-Table2[[#This Row],[CAR initialized date]]</f>
        <v>253</v>
      </c>
    </row>
    <row r="274" spans="1:14" s="4" customFormat="1" ht="18" hidden="1" x14ac:dyDescent="0.3">
      <c r="A274" s="9" t="s">
        <v>107</v>
      </c>
      <c r="B274" s="13">
        <f>VLOOKUP(Table2[[#This Row],[Location 
(drop-down)]],'List source'!D$2:E$60,2,FALSE)</f>
        <v>120</v>
      </c>
      <c r="C274" s="11" t="s">
        <v>949</v>
      </c>
      <c r="D274" s="108" t="str">
        <f t="shared" si="8"/>
        <v>C273-120-24</v>
      </c>
      <c r="E274" s="11" t="s">
        <v>3740</v>
      </c>
      <c r="F274" s="11"/>
      <c r="G274" s="90" t="s">
        <v>4026</v>
      </c>
      <c r="H274" s="10" t="s">
        <v>3621</v>
      </c>
      <c r="I274" s="12" t="s">
        <v>41</v>
      </c>
      <c r="J274" s="12">
        <v>45468</v>
      </c>
      <c r="K274" s="77">
        <v>45806</v>
      </c>
      <c r="L274" s="50"/>
      <c r="M274" s="13" t="str">
        <f t="shared" ca="1" si="9"/>
        <v>CLOSED</v>
      </c>
      <c r="N274" s="415">
        <f>+Table2[[#This Row],[Effectiveness Review &amp; date deemed effective]]-Table2[[#This Row],[CAR initialized date]]</f>
        <v>338</v>
      </c>
    </row>
    <row r="275" spans="1:14" s="4" customFormat="1" ht="18" hidden="1" x14ac:dyDescent="0.3">
      <c r="A275" s="9" t="s">
        <v>107</v>
      </c>
      <c r="B275" s="13">
        <f>VLOOKUP(Table2[[#This Row],[Location 
(drop-down)]],'List source'!D$2:E$60,2,FALSE)</f>
        <v>120</v>
      </c>
      <c r="C275" s="11" t="s">
        <v>951</v>
      </c>
      <c r="D275" s="108" t="str">
        <f t="shared" si="8"/>
        <v>C274-120-24</v>
      </c>
      <c r="E275" s="11" t="s">
        <v>3740</v>
      </c>
      <c r="F275" s="11"/>
      <c r="G275" s="90" t="s">
        <v>4027</v>
      </c>
      <c r="H275" s="10" t="s">
        <v>3621</v>
      </c>
      <c r="I275" s="12" t="s">
        <v>41</v>
      </c>
      <c r="J275" s="12">
        <v>45468</v>
      </c>
      <c r="K275" s="77">
        <v>45720</v>
      </c>
      <c r="L275" s="50"/>
      <c r="M275" s="13" t="str">
        <f t="shared" ca="1" si="9"/>
        <v>CLOSED</v>
      </c>
      <c r="N275" s="415">
        <f>+Table2[[#This Row],[Effectiveness Review &amp; date deemed effective]]-Table2[[#This Row],[CAR initialized date]]</f>
        <v>252</v>
      </c>
    </row>
    <row r="276" spans="1:14" s="4" customFormat="1" ht="18" hidden="1" x14ac:dyDescent="0.3">
      <c r="A276" s="9" t="s">
        <v>107</v>
      </c>
      <c r="B276" s="13">
        <f>VLOOKUP(Table2[[#This Row],[Location 
(drop-down)]],'List source'!D$2:E$60,2,FALSE)</f>
        <v>120</v>
      </c>
      <c r="C276" s="11" t="s">
        <v>953</v>
      </c>
      <c r="D276" s="108" t="str">
        <f t="shared" si="8"/>
        <v>C275-120-24</v>
      </c>
      <c r="E276" s="11" t="s">
        <v>3740</v>
      </c>
      <c r="F276" s="11"/>
      <c r="G276" s="9" t="s">
        <v>4028</v>
      </c>
      <c r="H276" s="10" t="s">
        <v>3621</v>
      </c>
      <c r="I276" s="12" t="s">
        <v>41</v>
      </c>
      <c r="J276" s="12">
        <v>45468</v>
      </c>
      <c r="K276" s="77">
        <v>45695</v>
      </c>
      <c r="L276" s="50"/>
      <c r="M276" s="13" t="str">
        <f t="shared" ca="1" si="9"/>
        <v>CLOSED</v>
      </c>
      <c r="N276" s="415">
        <f>+Table2[[#This Row],[Effectiveness Review &amp; date deemed effective]]-Table2[[#This Row],[CAR initialized date]]</f>
        <v>227</v>
      </c>
    </row>
    <row r="277" spans="1:14" s="4" customFormat="1" ht="18" hidden="1" x14ac:dyDescent="0.3">
      <c r="A277" s="9" t="s">
        <v>250</v>
      </c>
      <c r="B277" s="13">
        <f>VLOOKUP(Table2[[#This Row],[Location 
(drop-down)]],'List source'!D$2:E$60,2,FALSE)</f>
        <v>199</v>
      </c>
      <c r="C277" s="11" t="s">
        <v>955</v>
      </c>
      <c r="D277" s="108" t="str">
        <f t="shared" si="8"/>
        <v>C276-199-24</v>
      </c>
      <c r="E277" s="11" t="s">
        <v>3740</v>
      </c>
      <c r="F277" s="11"/>
      <c r="G277" s="28" t="s">
        <v>4029</v>
      </c>
      <c r="H277" s="10" t="s">
        <v>3737</v>
      </c>
      <c r="I277" s="11" t="s">
        <v>18</v>
      </c>
      <c r="J277" s="14">
        <v>45474</v>
      </c>
      <c r="K277" s="21">
        <v>45551</v>
      </c>
      <c r="L277" s="50"/>
      <c r="M277" s="13" t="str">
        <f t="shared" ca="1" si="9"/>
        <v>CLOSED</v>
      </c>
      <c r="N277" s="415">
        <f>+Table2[[#This Row],[Effectiveness Review &amp; date deemed effective]]-Table2[[#This Row],[CAR initialized date]]</f>
        <v>77</v>
      </c>
    </row>
    <row r="278" spans="1:14" s="4" customFormat="1" ht="18" hidden="1" x14ac:dyDescent="0.3">
      <c r="A278" s="9" t="s">
        <v>250</v>
      </c>
      <c r="B278" s="13">
        <f>VLOOKUP(Table2[[#This Row],[Location 
(drop-down)]],'List source'!D$2:E$60,2,FALSE)</f>
        <v>199</v>
      </c>
      <c r="C278" s="11" t="s">
        <v>958</v>
      </c>
      <c r="D278" s="108" t="str">
        <f t="shared" si="8"/>
        <v>C277-199-24</v>
      </c>
      <c r="E278" s="11" t="s">
        <v>3740</v>
      </c>
      <c r="F278" s="11"/>
      <c r="G278" s="28" t="s">
        <v>4030</v>
      </c>
      <c r="H278" s="10" t="s">
        <v>3737</v>
      </c>
      <c r="I278" s="11" t="s">
        <v>18</v>
      </c>
      <c r="J278" s="12">
        <v>45474</v>
      </c>
      <c r="K278" s="77">
        <v>45532</v>
      </c>
      <c r="L278" s="50"/>
      <c r="M278" s="13" t="str">
        <f t="shared" ca="1" si="9"/>
        <v>CLOSED</v>
      </c>
      <c r="N278" s="415">
        <f>+Table2[[#This Row],[Effectiveness Review &amp; date deemed effective]]-Table2[[#This Row],[CAR initialized date]]</f>
        <v>58</v>
      </c>
    </row>
    <row r="279" spans="1:14" s="4" customFormat="1" ht="18" hidden="1" x14ac:dyDescent="0.3">
      <c r="A279" s="9" t="s">
        <v>250</v>
      </c>
      <c r="B279" s="13">
        <f>VLOOKUP(Table2[[#This Row],[Location 
(drop-down)]],'List source'!D$2:E$60,2,FALSE)</f>
        <v>199</v>
      </c>
      <c r="C279" s="11" t="s">
        <v>960</v>
      </c>
      <c r="D279" s="108" t="str">
        <f t="shared" si="8"/>
        <v>C278-199-24</v>
      </c>
      <c r="E279" s="11" t="s">
        <v>3740</v>
      </c>
      <c r="F279" s="11"/>
      <c r="G279" s="28" t="s">
        <v>4031</v>
      </c>
      <c r="H279" s="10" t="s">
        <v>3737</v>
      </c>
      <c r="I279" s="11" t="s">
        <v>18</v>
      </c>
      <c r="J279" s="12">
        <v>45474</v>
      </c>
      <c r="K279" s="77">
        <v>45532</v>
      </c>
      <c r="L279" s="50"/>
      <c r="M279" s="13" t="str">
        <f t="shared" ca="1" si="9"/>
        <v>CLOSED</v>
      </c>
      <c r="N279" s="415">
        <f>+Table2[[#This Row],[Effectiveness Review &amp; date deemed effective]]-Table2[[#This Row],[CAR initialized date]]</f>
        <v>58</v>
      </c>
    </row>
    <row r="280" spans="1:14" s="4" customFormat="1" ht="28.8" hidden="1" x14ac:dyDescent="0.3">
      <c r="A280" s="9" t="s">
        <v>250</v>
      </c>
      <c r="B280" s="13">
        <f>VLOOKUP(Table2[[#This Row],[Location 
(drop-down)]],'List source'!D$2:E$60,2,FALSE)</f>
        <v>199</v>
      </c>
      <c r="C280" s="11" t="s">
        <v>962</v>
      </c>
      <c r="D280" s="108" t="str">
        <f t="shared" si="8"/>
        <v>C279-199-24</v>
      </c>
      <c r="E280" s="11" t="s">
        <v>3735</v>
      </c>
      <c r="F280" s="11" t="s">
        <v>323</v>
      </c>
      <c r="G280" s="9" t="s">
        <v>3678</v>
      </c>
      <c r="H280" s="10" t="s">
        <v>3737</v>
      </c>
      <c r="I280" s="12" t="s">
        <v>168</v>
      </c>
      <c r="J280" s="12">
        <v>45467</v>
      </c>
      <c r="K280" s="77">
        <v>45488</v>
      </c>
      <c r="L280" s="50"/>
      <c r="M280" s="13" t="str">
        <f t="shared" ca="1" si="9"/>
        <v>CLOSED</v>
      </c>
      <c r="N280" s="415">
        <f>+Table2[[#This Row],[Effectiveness Review &amp; date deemed effective]]-Table2[[#This Row],[CAR initialized date]]</f>
        <v>21</v>
      </c>
    </row>
    <row r="281" spans="1:14" s="4" customFormat="1" ht="43.2" hidden="1" x14ac:dyDescent="0.3">
      <c r="A281" s="9" t="s">
        <v>264</v>
      </c>
      <c r="B281" s="13">
        <f>VLOOKUP(Table2[[#This Row],[Location 
(drop-down)]],'List source'!D$2:E$60,2,FALSE)</f>
        <v>132</v>
      </c>
      <c r="C281" s="11" t="s">
        <v>964</v>
      </c>
      <c r="D281" s="108" t="str">
        <f t="shared" si="8"/>
        <v>C280-132-24</v>
      </c>
      <c r="E281" s="11" t="s">
        <v>3735</v>
      </c>
      <c r="F281" s="11" t="s">
        <v>141</v>
      </c>
      <c r="G281" s="9" t="s">
        <v>4032</v>
      </c>
      <c r="H281" s="10" t="s">
        <v>3621</v>
      </c>
      <c r="I281" s="12" t="s">
        <v>54</v>
      </c>
      <c r="J281" s="12">
        <v>45482</v>
      </c>
      <c r="K281" s="77">
        <v>45485</v>
      </c>
      <c r="L281" s="50"/>
      <c r="M281" s="13" t="str">
        <f t="shared" ca="1" si="9"/>
        <v>CLOSED</v>
      </c>
      <c r="N281" s="415">
        <f>+Table2[[#This Row],[Effectiveness Review &amp; date deemed effective]]-Table2[[#This Row],[CAR initialized date]]</f>
        <v>3</v>
      </c>
    </row>
    <row r="282" spans="1:14" s="4" customFormat="1" ht="72" hidden="1" x14ac:dyDescent="0.3">
      <c r="A282" s="9" t="s">
        <v>113</v>
      </c>
      <c r="B282" s="13" t="str">
        <f>VLOOKUP(Table2[[#This Row],[Location 
(drop-down)]],'List source'!D$2:E$60,2,FALSE)</f>
        <v>VOID</v>
      </c>
      <c r="C282" s="11" t="s">
        <v>967</v>
      </c>
      <c r="D282" s="108" t="str">
        <f t="shared" si="8"/>
        <v>C281-VOID-24</v>
      </c>
      <c r="E282" s="11" t="s">
        <v>114</v>
      </c>
      <c r="F282" s="11" t="s">
        <v>114</v>
      </c>
      <c r="G282" s="9" t="s">
        <v>4033</v>
      </c>
      <c r="H282" s="10" t="s">
        <v>114</v>
      </c>
      <c r="I282" s="12" t="s">
        <v>114</v>
      </c>
      <c r="J282" s="12" t="s">
        <v>114</v>
      </c>
      <c r="K282" s="77" t="s">
        <v>114</v>
      </c>
      <c r="L282" s="50" t="s">
        <v>4034</v>
      </c>
      <c r="M282" s="13" t="str">
        <f t="shared" ca="1" si="9"/>
        <v>CLOSED</v>
      </c>
      <c r="N282" s="415" t="e">
        <f>+Table2[[#This Row],[Effectiveness Review &amp; date deemed effective]]-Table2[[#This Row],[CAR initialized date]]</f>
        <v>#VALUE!</v>
      </c>
    </row>
    <row r="283" spans="1:14" s="4" customFormat="1" ht="18" hidden="1" x14ac:dyDescent="0.3">
      <c r="A283" s="9" t="s">
        <v>241</v>
      </c>
      <c r="B283" s="13">
        <f>VLOOKUP(Table2[[#This Row],[Location 
(drop-down)]],'List source'!D$2:E$60,2,FALSE)</f>
        <v>171</v>
      </c>
      <c r="C283" s="11" t="s">
        <v>969</v>
      </c>
      <c r="D283" s="108" t="str">
        <f t="shared" si="8"/>
        <v>C282-171-24</v>
      </c>
      <c r="E283" s="11" t="s">
        <v>3740</v>
      </c>
      <c r="F283" s="11"/>
      <c r="G283" s="9" t="s">
        <v>4035</v>
      </c>
      <c r="H283" s="10" t="s">
        <v>3737</v>
      </c>
      <c r="I283" s="12" t="s">
        <v>41</v>
      </c>
      <c r="J283" s="12">
        <v>45489</v>
      </c>
      <c r="K283" s="77">
        <v>45520</v>
      </c>
      <c r="L283" s="50"/>
      <c r="M283" s="13" t="str">
        <f t="shared" ca="1" si="9"/>
        <v>CLOSED</v>
      </c>
      <c r="N283" s="415">
        <f>+Table2[[#This Row],[Effectiveness Review &amp; date deemed effective]]-Table2[[#This Row],[CAR initialized date]]</f>
        <v>31</v>
      </c>
    </row>
    <row r="284" spans="1:14" s="4" customFormat="1" ht="18" hidden="1" x14ac:dyDescent="0.3">
      <c r="A284" s="9" t="s">
        <v>241</v>
      </c>
      <c r="B284" s="13">
        <f>VLOOKUP(Table2[[#This Row],[Location 
(drop-down)]],'List source'!D$2:E$60,2,FALSE)</f>
        <v>171</v>
      </c>
      <c r="C284" s="11" t="s">
        <v>972</v>
      </c>
      <c r="D284" s="108" t="str">
        <f t="shared" si="8"/>
        <v>C283-171-24</v>
      </c>
      <c r="E284" s="11" t="s">
        <v>3740</v>
      </c>
      <c r="F284" s="11"/>
      <c r="G284" s="9" t="s">
        <v>4036</v>
      </c>
      <c r="H284" s="10" t="s">
        <v>3737</v>
      </c>
      <c r="I284" s="12" t="s">
        <v>41</v>
      </c>
      <c r="J284" s="12">
        <v>45489</v>
      </c>
      <c r="K284" s="77">
        <v>45800</v>
      </c>
      <c r="L284" s="50"/>
      <c r="M284" s="13" t="str">
        <f t="shared" ca="1" si="9"/>
        <v>CLOSED</v>
      </c>
      <c r="N284" s="415">
        <f>+Table2[[#This Row],[Effectiveness Review &amp; date deemed effective]]-Table2[[#This Row],[CAR initialized date]]</f>
        <v>311</v>
      </c>
    </row>
    <row r="285" spans="1:14" s="4" customFormat="1" ht="28.8" hidden="1" x14ac:dyDescent="0.3">
      <c r="A285" s="9" t="s">
        <v>241</v>
      </c>
      <c r="B285" s="13">
        <f>VLOOKUP(Table2[[#This Row],[Location 
(drop-down)]],'List source'!D$2:E$60,2,FALSE)</f>
        <v>171</v>
      </c>
      <c r="C285" s="11" t="s">
        <v>974</v>
      </c>
      <c r="D285" s="108" t="str">
        <f t="shared" si="8"/>
        <v>C284-171-24</v>
      </c>
      <c r="E285" s="11" t="s">
        <v>3740</v>
      </c>
      <c r="F285" s="11"/>
      <c r="G285" s="9" t="s">
        <v>4037</v>
      </c>
      <c r="H285" s="10" t="s">
        <v>3737</v>
      </c>
      <c r="I285" s="12" t="s">
        <v>41</v>
      </c>
      <c r="J285" s="12">
        <v>45489</v>
      </c>
      <c r="K285" s="77">
        <v>45520</v>
      </c>
      <c r="L285" s="50"/>
      <c r="M285" s="13" t="str">
        <f t="shared" ca="1" si="9"/>
        <v>CLOSED</v>
      </c>
      <c r="N285" s="415">
        <f>+Table2[[#This Row],[Effectiveness Review &amp; date deemed effective]]-Table2[[#This Row],[CAR initialized date]]</f>
        <v>31</v>
      </c>
    </row>
    <row r="286" spans="1:14" s="4" customFormat="1" ht="18" hidden="1" x14ac:dyDescent="0.3">
      <c r="A286" s="9" t="s">
        <v>241</v>
      </c>
      <c r="B286" s="13">
        <f>VLOOKUP(Table2[[#This Row],[Location 
(drop-down)]],'List source'!D$2:E$60,2,FALSE)</f>
        <v>171</v>
      </c>
      <c r="C286" s="11" t="s">
        <v>976</v>
      </c>
      <c r="D286" s="108" t="str">
        <f t="shared" si="8"/>
        <v>C285-171-24</v>
      </c>
      <c r="E286" s="11" t="s">
        <v>3740</v>
      </c>
      <c r="F286" s="11"/>
      <c r="G286" s="9" t="s">
        <v>3866</v>
      </c>
      <c r="H286" s="10" t="s">
        <v>3785</v>
      </c>
      <c r="I286" s="12" t="s">
        <v>41</v>
      </c>
      <c r="J286" s="12">
        <v>45489</v>
      </c>
      <c r="K286" s="77">
        <v>45520</v>
      </c>
      <c r="L286" s="50"/>
      <c r="M286" s="13" t="str">
        <f t="shared" ca="1" si="9"/>
        <v>CLOSED</v>
      </c>
      <c r="N286" s="415">
        <f>+Table2[[#This Row],[Effectiveness Review &amp; date deemed effective]]-Table2[[#This Row],[CAR initialized date]]</f>
        <v>31</v>
      </c>
    </row>
    <row r="287" spans="1:14" s="4" customFormat="1" ht="18" hidden="1" x14ac:dyDescent="0.3">
      <c r="A287" s="9" t="s">
        <v>239</v>
      </c>
      <c r="B287" s="13">
        <f>VLOOKUP(Table2[[#This Row],[Location 
(drop-down)]],'List source'!D$2:E$60,2,FALSE)</f>
        <v>116</v>
      </c>
      <c r="C287" s="11" t="s">
        <v>978</v>
      </c>
      <c r="D287" s="108" t="str">
        <f t="shared" si="8"/>
        <v>C286-116-24</v>
      </c>
      <c r="E287" s="11" t="s">
        <v>3740</v>
      </c>
      <c r="F287" s="11"/>
      <c r="G287" s="9" t="s">
        <v>4038</v>
      </c>
      <c r="H287" s="10" t="s">
        <v>3621</v>
      </c>
      <c r="I287" s="12" t="s">
        <v>41</v>
      </c>
      <c r="J287" s="12">
        <v>45489</v>
      </c>
      <c r="K287" s="77">
        <v>45533</v>
      </c>
      <c r="L287" s="50"/>
      <c r="M287" s="13" t="str">
        <f t="shared" ca="1" si="9"/>
        <v>CLOSED</v>
      </c>
      <c r="N287" s="415">
        <f>+Table2[[#This Row],[Effectiveness Review &amp; date deemed effective]]-Table2[[#This Row],[CAR initialized date]]</f>
        <v>44</v>
      </c>
    </row>
    <row r="288" spans="1:14" s="4" customFormat="1" ht="72" hidden="1" x14ac:dyDescent="0.3">
      <c r="A288" s="9" t="s">
        <v>3636</v>
      </c>
      <c r="B288" s="13">
        <f>VLOOKUP(Table2[[#This Row],[Location 
(drop-down)]],'List source'!D$2:E$60,2,FALSE)</f>
        <v>101</v>
      </c>
      <c r="C288" s="11" t="s">
        <v>980</v>
      </c>
      <c r="D288" s="108" t="str">
        <f t="shared" si="8"/>
        <v>C287-101-24</v>
      </c>
      <c r="E288" s="11" t="s">
        <v>3773</v>
      </c>
      <c r="F288" s="11" t="s">
        <v>248</v>
      </c>
      <c r="G288" s="9" t="s">
        <v>4039</v>
      </c>
      <c r="H288" s="10" t="s">
        <v>3785</v>
      </c>
      <c r="I288" s="12" t="s">
        <v>109</v>
      </c>
      <c r="J288" s="12">
        <v>45541</v>
      </c>
      <c r="K288" s="77">
        <v>45554</v>
      </c>
      <c r="L288" s="50"/>
      <c r="M288" s="13" t="str">
        <f t="shared" ca="1" si="9"/>
        <v>CLOSED</v>
      </c>
      <c r="N288" s="415">
        <f>+Table2[[#This Row],[Effectiveness Review &amp; date deemed effective]]-Table2[[#This Row],[CAR initialized date]]</f>
        <v>13</v>
      </c>
    </row>
    <row r="289" spans="1:14" s="4" customFormat="1" ht="86.4" hidden="1" x14ac:dyDescent="0.3">
      <c r="A289" s="9" t="s">
        <v>138</v>
      </c>
      <c r="B289" s="13">
        <f>VLOOKUP(Table2[[#This Row],[Location 
(drop-down)]],'List source'!D$2:E$60,2,FALSE)</f>
        <v>110</v>
      </c>
      <c r="C289" s="11" t="s">
        <v>983</v>
      </c>
      <c r="D289" s="108" t="str">
        <f t="shared" si="8"/>
        <v>C288-110-24</v>
      </c>
      <c r="E289" s="11" t="s">
        <v>3773</v>
      </c>
      <c r="F289" s="11" t="s">
        <v>248</v>
      </c>
      <c r="G289" s="9" t="s">
        <v>4040</v>
      </c>
      <c r="H289" s="10" t="s">
        <v>3621</v>
      </c>
      <c r="I289" s="12" t="s">
        <v>18</v>
      </c>
      <c r="J289" s="12">
        <v>45484</v>
      </c>
      <c r="K289" s="77">
        <v>45516</v>
      </c>
      <c r="L289" s="50" t="s">
        <v>3689</v>
      </c>
      <c r="M289" s="13" t="str">
        <f t="shared" ca="1" si="9"/>
        <v>CLOSED</v>
      </c>
      <c r="N289" s="415">
        <f>+Table2[[#This Row],[Effectiveness Review &amp; date deemed effective]]-Table2[[#This Row],[CAR initialized date]]</f>
        <v>32</v>
      </c>
    </row>
    <row r="290" spans="1:14" s="4" customFormat="1" ht="43.2" hidden="1" x14ac:dyDescent="0.3">
      <c r="A290" s="9" t="s">
        <v>138</v>
      </c>
      <c r="B290" s="13">
        <f>VLOOKUP(Table2[[#This Row],[Location 
(drop-down)]],'List source'!D$2:E$60,2,FALSE)</f>
        <v>110</v>
      </c>
      <c r="C290" s="11" t="s">
        <v>986</v>
      </c>
      <c r="D290" s="108" t="str">
        <f t="shared" si="8"/>
        <v>C289-110-24</v>
      </c>
      <c r="E290" s="11" t="s">
        <v>3773</v>
      </c>
      <c r="F290" s="11" t="s">
        <v>248</v>
      </c>
      <c r="G290" s="9" t="s">
        <v>4041</v>
      </c>
      <c r="H290" s="10" t="s">
        <v>3621</v>
      </c>
      <c r="I290" s="12" t="s">
        <v>18</v>
      </c>
      <c r="J290" s="12">
        <v>45484</v>
      </c>
      <c r="K290" s="77">
        <v>45516</v>
      </c>
      <c r="L290" s="50"/>
      <c r="M290" s="13" t="str">
        <f t="shared" ca="1" si="9"/>
        <v>CLOSED</v>
      </c>
      <c r="N290" s="415">
        <f>+Table2[[#This Row],[Effectiveness Review &amp; date deemed effective]]-Table2[[#This Row],[CAR initialized date]]</f>
        <v>32</v>
      </c>
    </row>
    <row r="291" spans="1:14" s="4" customFormat="1" ht="18" hidden="1" x14ac:dyDescent="0.3">
      <c r="A291" s="9" t="s">
        <v>207</v>
      </c>
      <c r="B291" s="13">
        <f>VLOOKUP(Table2[[#This Row],[Location 
(drop-down)]],'List source'!D$2:E$60,2,FALSE)</f>
        <v>189</v>
      </c>
      <c r="C291" s="11" t="s">
        <v>989</v>
      </c>
      <c r="D291" s="108" t="str">
        <f t="shared" si="8"/>
        <v>C290-189-24</v>
      </c>
      <c r="E291" s="11" t="s">
        <v>3773</v>
      </c>
      <c r="F291" s="11" t="s">
        <v>73</v>
      </c>
      <c r="G291" s="9" t="s">
        <v>4042</v>
      </c>
      <c r="H291" s="10" t="s">
        <v>3621</v>
      </c>
      <c r="I291" s="12" t="s">
        <v>49</v>
      </c>
      <c r="J291" s="12">
        <v>45490</v>
      </c>
      <c r="K291" s="77">
        <v>45496</v>
      </c>
      <c r="L291" s="50"/>
      <c r="M291" s="13" t="str">
        <f t="shared" ca="1" si="9"/>
        <v>CLOSED</v>
      </c>
      <c r="N291" s="415">
        <f>+Table2[[#This Row],[Effectiveness Review &amp; date deemed effective]]-Table2[[#This Row],[CAR initialized date]]</f>
        <v>6</v>
      </c>
    </row>
    <row r="292" spans="1:14" s="4" customFormat="1" ht="28.8" hidden="1" x14ac:dyDescent="0.3">
      <c r="A292" s="9" t="s">
        <v>207</v>
      </c>
      <c r="B292" s="13">
        <f>VLOOKUP(Table2[[#This Row],[Location 
(drop-down)]],'List source'!D$2:E$60,2,FALSE)</f>
        <v>189</v>
      </c>
      <c r="C292" s="11" t="s">
        <v>992</v>
      </c>
      <c r="D292" s="108" t="str">
        <f t="shared" si="8"/>
        <v>C291-189-24</v>
      </c>
      <c r="E292" s="11" t="s">
        <v>3773</v>
      </c>
      <c r="F292" s="11" t="s">
        <v>73</v>
      </c>
      <c r="G292" s="9" t="s">
        <v>4043</v>
      </c>
      <c r="H292" s="10" t="s">
        <v>3621</v>
      </c>
      <c r="I292" s="12" t="s">
        <v>49</v>
      </c>
      <c r="J292" s="12">
        <v>45490</v>
      </c>
      <c r="K292" s="77">
        <v>45496</v>
      </c>
      <c r="L292" s="50"/>
      <c r="M292" s="13" t="str">
        <f t="shared" ca="1" si="9"/>
        <v>CLOSED</v>
      </c>
      <c r="N292" s="415">
        <f>+Table2[[#This Row],[Effectiveness Review &amp; date deemed effective]]-Table2[[#This Row],[CAR initialized date]]</f>
        <v>6</v>
      </c>
    </row>
    <row r="293" spans="1:14" s="4" customFormat="1" ht="18" hidden="1" x14ac:dyDescent="0.3">
      <c r="A293" s="9" t="s">
        <v>207</v>
      </c>
      <c r="B293" s="13">
        <f>VLOOKUP(Table2[[#This Row],[Location 
(drop-down)]],'List source'!D$2:E$60,2,FALSE)</f>
        <v>189</v>
      </c>
      <c r="C293" s="11" t="s">
        <v>995</v>
      </c>
      <c r="D293" s="108" t="str">
        <f t="shared" si="8"/>
        <v>C292-189-24</v>
      </c>
      <c r="E293" s="11" t="s">
        <v>3773</v>
      </c>
      <c r="F293" s="11" t="s">
        <v>73</v>
      </c>
      <c r="G293" s="9" t="s">
        <v>4044</v>
      </c>
      <c r="H293" s="10" t="s">
        <v>3621</v>
      </c>
      <c r="I293" s="12" t="s">
        <v>49</v>
      </c>
      <c r="J293" s="12">
        <v>45490</v>
      </c>
      <c r="K293" s="77">
        <v>45496</v>
      </c>
      <c r="L293" s="50"/>
      <c r="M293" s="13" t="str">
        <f t="shared" ca="1" si="9"/>
        <v>CLOSED</v>
      </c>
      <c r="N293" s="415">
        <f>+Table2[[#This Row],[Effectiveness Review &amp; date deemed effective]]-Table2[[#This Row],[CAR initialized date]]</f>
        <v>6</v>
      </c>
    </row>
    <row r="294" spans="1:14" ht="18" hidden="1" x14ac:dyDescent="0.3">
      <c r="A294" s="9" t="s">
        <v>261</v>
      </c>
      <c r="B294" s="13">
        <f>VLOOKUP(Table2[[#This Row],[Location 
(drop-down)]],'List source'!D$2:E$60,2,FALSE)</f>
        <v>210</v>
      </c>
      <c r="C294" s="11" t="s">
        <v>998</v>
      </c>
      <c r="D294" s="108" t="str">
        <f t="shared" si="8"/>
        <v>C293-210-24</v>
      </c>
      <c r="E294" s="11" t="s">
        <v>3740</v>
      </c>
      <c r="F294" s="11"/>
      <c r="G294" s="9" t="s">
        <v>3746</v>
      </c>
      <c r="H294" s="10" t="s">
        <v>3621</v>
      </c>
      <c r="I294" s="12" t="s">
        <v>18</v>
      </c>
      <c r="J294" s="12">
        <v>45498</v>
      </c>
      <c r="K294" s="77">
        <v>45519</v>
      </c>
      <c r="L294" s="50"/>
      <c r="M294" s="13" t="str">
        <f t="shared" ca="1" si="9"/>
        <v>CLOSED</v>
      </c>
      <c r="N294" s="415">
        <f>+Table2[[#This Row],[Effectiveness Review &amp; date deemed effective]]-Table2[[#This Row],[CAR initialized date]]</f>
        <v>21</v>
      </c>
    </row>
    <row r="295" spans="1:14" ht="18" hidden="1" x14ac:dyDescent="0.3">
      <c r="A295" s="9" t="s">
        <v>261</v>
      </c>
      <c r="B295" s="13">
        <f>VLOOKUP(Table2[[#This Row],[Location 
(drop-down)]],'List source'!D$2:E$60,2,FALSE)</f>
        <v>210</v>
      </c>
      <c r="C295" s="11" t="s">
        <v>1001</v>
      </c>
      <c r="D295" s="108" t="str">
        <f t="shared" si="8"/>
        <v>C294-210-24</v>
      </c>
      <c r="E295" s="11" t="s">
        <v>3740</v>
      </c>
      <c r="F295" s="11"/>
      <c r="G295" s="9" t="s">
        <v>4045</v>
      </c>
      <c r="H295" s="10" t="s">
        <v>3737</v>
      </c>
      <c r="I295" s="12" t="s">
        <v>18</v>
      </c>
      <c r="J295" s="12">
        <v>45498</v>
      </c>
      <c r="K295" s="77">
        <v>45903</v>
      </c>
      <c r="L295" s="50"/>
      <c r="M295" s="13" t="str">
        <f t="shared" ca="1" si="9"/>
        <v>CLOSED</v>
      </c>
      <c r="N295" s="415">
        <f>+Table2[[#This Row],[Effectiveness Review &amp; date deemed effective]]-Table2[[#This Row],[CAR initialized date]]</f>
        <v>405</v>
      </c>
    </row>
    <row r="296" spans="1:14" ht="28.8" hidden="1" x14ac:dyDescent="0.3">
      <c r="A296" s="9" t="s">
        <v>93</v>
      </c>
      <c r="B296" s="13">
        <f>VLOOKUP(Table2[[#This Row],[Location 
(drop-down)]],'List source'!D$2:E$60,2,FALSE)</f>
        <v>128</v>
      </c>
      <c r="C296" s="11" t="s">
        <v>1003</v>
      </c>
      <c r="D296" s="108" t="str">
        <f t="shared" si="8"/>
        <v>C295-128-24</v>
      </c>
      <c r="E296" s="11" t="s">
        <v>3735</v>
      </c>
      <c r="F296" s="11" t="s">
        <v>3809</v>
      </c>
      <c r="G296" s="9" t="s">
        <v>4046</v>
      </c>
      <c r="H296" s="10" t="s">
        <v>3737</v>
      </c>
      <c r="I296" s="12" t="s">
        <v>18</v>
      </c>
      <c r="J296" s="12">
        <v>45492</v>
      </c>
      <c r="K296" s="77">
        <v>45496</v>
      </c>
      <c r="L296" s="50" t="s">
        <v>3689</v>
      </c>
      <c r="M296" s="13" t="str">
        <f t="shared" ca="1" si="9"/>
        <v>CLOSED</v>
      </c>
      <c r="N296" s="415">
        <f>+Table2[[#This Row],[Effectiveness Review &amp; date deemed effective]]-Table2[[#This Row],[CAR initialized date]]</f>
        <v>4</v>
      </c>
    </row>
    <row r="297" spans="1:14" ht="18" hidden="1" x14ac:dyDescent="0.3">
      <c r="A297" s="9" t="s">
        <v>107</v>
      </c>
      <c r="B297" s="13">
        <f>VLOOKUP(Table2[[#This Row],[Location 
(drop-down)]],'List source'!D$2:E$60,2,FALSE)</f>
        <v>120</v>
      </c>
      <c r="C297" s="11" t="s">
        <v>1005</v>
      </c>
      <c r="D297" s="108" t="str">
        <f t="shared" si="8"/>
        <v>C296-120-24</v>
      </c>
      <c r="E297" s="11" t="s">
        <v>3783</v>
      </c>
      <c r="F297" s="11" t="s">
        <v>143</v>
      </c>
      <c r="G297" s="9" t="s">
        <v>4047</v>
      </c>
      <c r="H297" s="10" t="s">
        <v>3737</v>
      </c>
      <c r="I297" s="12" t="s">
        <v>18</v>
      </c>
      <c r="J297" s="12">
        <v>45495</v>
      </c>
      <c r="K297" s="77">
        <v>45506</v>
      </c>
      <c r="L297" s="50"/>
      <c r="M297" s="13" t="str">
        <f t="shared" ca="1" si="9"/>
        <v>CLOSED</v>
      </c>
      <c r="N297" s="415">
        <f>+Table2[[#This Row],[Effectiveness Review &amp; date deemed effective]]-Table2[[#This Row],[CAR initialized date]]</f>
        <v>11</v>
      </c>
    </row>
    <row r="298" spans="1:14" ht="18" hidden="1" x14ac:dyDescent="0.3">
      <c r="A298" s="9" t="s">
        <v>334</v>
      </c>
      <c r="B298" s="13">
        <f>VLOOKUP(Table2[[#This Row],[Location 
(drop-down)]],'List source'!D$2:E$60,2,FALSE)</f>
        <v>161</v>
      </c>
      <c r="C298" s="11" t="s">
        <v>1007</v>
      </c>
      <c r="D298" s="108" t="str">
        <f t="shared" si="8"/>
        <v>C297-161-24</v>
      </c>
      <c r="E298" s="11" t="s">
        <v>3735</v>
      </c>
      <c r="F298" s="11" t="s">
        <v>143</v>
      </c>
      <c r="G298" s="81" t="s">
        <v>3693</v>
      </c>
      <c r="H298" s="10" t="s">
        <v>3737</v>
      </c>
      <c r="I298" s="12" t="s">
        <v>18</v>
      </c>
      <c r="J298" s="12">
        <v>45495</v>
      </c>
      <c r="K298" s="77">
        <v>45524</v>
      </c>
      <c r="L298" s="50" t="s">
        <v>4048</v>
      </c>
      <c r="M298" s="13" t="str">
        <f t="shared" ca="1" si="9"/>
        <v>CLOSED</v>
      </c>
      <c r="N298" s="415">
        <f>+Table2[[#This Row],[Effectiveness Review &amp; date deemed effective]]-Table2[[#This Row],[CAR initialized date]]</f>
        <v>29</v>
      </c>
    </row>
    <row r="299" spans="1:14" ht="28.8" hidden="1" x14ac:dyDescent="0.3">
      <c r="A299" s="9" t="s">
        <v>235</v>
      </c>
      <c r="B299" s="13">
        <f>VLOOKUP(Table2[[#This Row],[Location 
(drop-down)]],'List source'!D$2:E$60,2,FALSE)</f>
        <v>160</v>
      </c>
      <c r="C299" s="11" t="s">
        <v>1008</v>
      </c>
      <c r="D299" s="108" t="str">
        <f t="shared" si="8"/>
        <v>C298-160-24</v>
      </c>
      <c r="E299" s="11" t="s">
        <v>3740</v>
      </c>
      <c r="F299" s="11"/>
      <c r="G299" s="9" t="s">
        <v>4049</v>
      </c>
      <c r="H299" s="10" t="s">
        <v>3621</v>
      </c>
      <c r="I299" s="12" t="s">
        <v>23</v>
      </c>
      <c r="J299" s="12">
        <v>45511</v>
      </c>
      <c r="K299" s="77">
        <v>45532</v>
      </c>
      <c r="L299" s="50"/>
      <c r="M299" s="13" t="str">
        <f t="shared" ca="1" si="9"/>
        <v>CLOSED</v>
      </c>
      <c r="N299" s="415">
        <f>+Table2[[#This Row],[Effectiveness Review &amp; date deemed effective]]-Table2[[#This Row],[CAR initialized date]]</f>
        <v>21</v>
      </c>
    </row>
    <row r="300" spans="1:14" ht="18" hidden="1" x14ac:dyDescent="0.3">
      <c r="A300" s="9" t="s">
        <v>235</v>
      </c>
      <c r="B300" s="13">
        <f>VLOOKUP(Table2[[#This Row],[Location 
(drop-down)]],'List source'!D$2:E$60,2,FALSE)</f>
        <v>160</v>
      </c>
      <c r="C300" s="11" t="s">
        <v>1010</v>
      </c>
      <c r="D300" s="108" t="str">
        <f t="shared" si="8"/>
        <v>C299-160-24</v>
      </c>
      <c r="E300" s="11" t="s">
        <v>3740</v>
      </c>
      <c r="F300" s="11"/>
      <c r="G300" s="9" t="s">
        <v>4050</v>
      </c>
      <c r="H300" s="10" t="s">
        <v>3621</v>
      </c>
      <c r="I300" s="12" t="s">
        <v>23</v>
      </c>
      <c r="J300" s="12">
        <v>45511</v>
      </c>
      <c r="K300" s="77">
        <v>45671</v>
      </c>
      <c r="L300" s="50"/>
      <c r="M300" s="13" t="str">
        <f t="shared" ca="1" si="9"/>
        <v>CLOSED</v>
      </c>
      <c r="N300" s="415">
        <f>+Table2[[#This Row],[Effectiveness Review &amp; date deemed effective]]-Table2[[#This Row],[CAR initialized date]]</f>
        <v>160</v>
      </c>
    </row>
    <row r="301" spans="1:14" ht="18" hidden="1" x14ac:dyDescent="0.3">
      <c r="A301" s="9" t="s">
        <v>235</v>
      </c>
      <c r="B301" s="13">
        <f>VLOOKUP(Table2[[#This Row],[Location 
(drop-down)]],'List source'!D$2:E$60,2,FALSE)</f>
        <v>160</v>
      </c>
      <c r="C301" s="11" t="s">
        <v>1012</v>
      </c>
      <c r="D301" s="108" t="str">
        <f t="shared" si="8"/>
        <v>C300-160-24</v>
      </c>
      <c r="E301" s="11" t="s">
        <v>3740</v>
      </c>
      <c r="F301" s="11"/>
      <c r="G301" s="9" t="s">
        <v>4051</v>
      </c>
      <c r="H301" s="10" t="s">
        <v>3621</v>
      </c>
      <c r="I301" s="12" t="s">
        <v>23</v>
      </c>
      <c r="J301" s="12">
        <v>45511</v>
      </c>
      <c r="K301" s="77">
        <v>45643</v>
      </c>
      <c r="L301" s="50"/>
      <c r="M301" s="13" t="str">
        <f t="shared" ca="1" si="9"/>
        <v>CLOSED</v>
      </c>
      <c r="N301" s="415">
        <f>+Table2[[#This Row],[Effectiveness Review &amp; date deemed effective]]-Table2[[#This Row],[CAR initialized date]]</f>
        <v>132</v>
      </c>
    </row>
    <row r="302" spans="1:14" ht="28.8" hidden="1" x14ac:dyDescent="0.3">
      <c r="A302" s="9" t="s">
        <v>235</v>
      </c>
      <c r="B302" s="13">
        <f>VLOOKUP(Table2[[#This Row],[Location 
(drop-down)]],'List source'!D$2:E$60,2,FALSE)</f>
        <v>160</v>
      </c>
      <c r="C302" s="11" t="s">
        <v>1014</v>
      </c>
      <c r="D302" s="108" t="str">
        <f t="shared" si="8"/>
        <v>C301-160-24</v>
      </c>
      <c r="E302" s="11" t="s">
        <v>3740</v>
      </c>
      <c r="F302" s="11"/>
      <c r="G302" s="9" t="s">
        <v>4052</v>
      </c>
      <c r="H302" s="10" t="s">
        <v>3621</v>
      </c>
      <c r="I302" s="12" t="s">
        <v>23</v>
      </c>
      <c r="J302" s="12">
        <v>45511</v>
      </c>
      <c r="K302" s="77">
        <v>45626</v>
      </c>
      <c r="L302" s="50"/>
      <c r="M302" s="13" t="str">
        <f t="shared" ca="1" si="9"/>
        <v>CLOSED</v>
      </c>
      <c r="N302" s="415">
        <f>+Table2[[#This Row],[Effectiveness Review &amp; date deemed effective]]-Table2[[#This Row],[CAR initialized date]]</f>
        <v>115</v>
      </c>
    </row>
    <row r="303" spans="1:14" ht="18" hidden="1" x14ac:dyDescent="0.3">
      <c r="A303" s="9" t="s">
        <v>235</v>
      </c>
      <c r="B303" s="13">
        <f>VLOOKUP(Table2[[#This Row],[Location 
(drop-down)]],'List source'!D$2:E$60,2,FALSE)</f>
        <v>160</v>
      </c>
      <c r="C303" s="11" t="s">
        <v>1016</v>
      </c>
      <c r="D303" s="108" t="str">
        <f t="shared" si="8"/>
        <v>C302-160-24</v>
      </c>
      <c r="E303" s="11" t="s">
        <v>3740</v>
      </c>
      <c r="F303" s="11"/>
      <c r="G303" s="9" t="s">
        <v>4053</v>
      </c>
      <c r="H303" s="10" t="s">
        <v>3621</v>
      </c>
      <c r="I303" s="12" t="s">
        <v>23</v>
      </c>
      <c r="J303" s="12">
        <v>45511</v>
      </c>
      <c r="K303" s="77">
        <v>45686</v>
      </c>
      <c r="L303" s="50"/>
      <c r="M303" s="13" t="str">
        <f t="shared" ca="1" si="9"/>
        <v>CLOSED</v>
      </c>
      <c r="N303" s="415">
        <f>+Table2[[#This Row],[Effectiveness Review &amp; date deemed effective]]-Table2[[#This Row],[CAR initialized date]]</f>
        <v>175</v>
      </c>
    </row>
    <row r="304" spans="1:14" ht="18" hidden="1" x14ac:dyDescent="0.3">
      <c r="A304" s="9" t="s">
        <v>235</v>
      </c>
      <c r="B304" s="13">
        <f>VLOOKUP(Table2[[#This Row],[Location 
(drop-down)]],'List source'!D$2:E$60,2,FALSE)</f>
        <v>160</v>
      </c>
      <c r="C304" s="11" t="s">
        <v>1018</v>
      </c>
      <c r="D304" s="108" t="str">
        <f t="shared" si="8"/>
        <v>C303-160-24</v>
      </c>
      <c r="E304" s="11" t="s">
        <v>3740</v>
      </c>
      <c r="F304" s="11"/>
      <c r="G304" s="9" t="s">
        <v>4054</v>
      </c>
      <c r="H304" s="10" t="s">
        <v>3621</v>
      </c>
      <c r="I304" s="12" t="s">
        <v>23</v>
      </c>
      <c r="J304" s="12">
        <v>45511</v>
      </c>
      <c r="K304" s="77">
        <v>45705</v>
      </c>
      <c r="L304" s="50"/>
      <c r="M304" s="13" t="str">
        <f t="shared" ca="1" si="9"/>
        <v>CLOSED</v>
      </c>
      <c r="N304" s="415">
        <f>+Table2[[#This Row],[Effectiveness Review &amp; date deemed effective]]-Table2[[#This Row],[CAR initialized date]]</f>
        <v>194</v>
      </c>
    </row>
    <row r="305" spans="1:14" ht="28.8" hidden="1" x14ac:dyDescent="0.3">
      <c r="A305" s="9" t="s">
        <v>235</v>
      </c>
      <c r="B305" s="13">
        <f>VLOOKUP(Table2[[#This Row],[Location 
(drop-down)]],'List source'!D$2:E$60,2,FALSE)</f>
        <v>160</v>
      </c>
      <c r="C305" s="11" t="s">
        <v>1020</v>
      </c>
      <c r="D305" s="108" t="str">
        <f t="shared" si="8"/>
        <v>C304-160-24</v>
      </c>
      <c r="E305" s="11" t="s">
        <v>3740</v>
      </c>
      <c r="F305" s="11"/>
      <c r="G305" s="9" t="s">
        <v>4055</v>
      </c>
      <c r="H305" s="10" t="s">
        <v>3621</v>
      </c>
      <c r="I305" s="12" t="s">
        <v>23</v>
      </c>
      <c r="J305" s="12">
        <v>45511</v>
      </c>
      <c r="K305" s="77">
        <v>45569</v>
      </c>
      <c r="L305" s="50"/>
      <c r="M305" s="13" t="str">
        <f t="shared" ca="1" si="9"/>
        <v>CLOSED</v>
      </c>
      <c r="N305" s="415">
        <f>+Table2[[#This Row],[Effectiveness Review &amp; date deemed effective]]-Table2[[#This Row],[CAR initialized date]]</f>
        <v>58</v>
      </c>
    </row>
    <row r="306" spans="1:14" ht="18" hidden="1" x14ac:dyDescent="0.3">
      <c r="A306" s="9" t="s">
        <v>235</v>
      </c>
      <c r="B306" s="13">
        <f>VLOOKUP(Table2[[#This Row],[Location 
(drop-down)]],'List source'!D$2:E$60,2,FALSE)</f>
        <v>160</v>
      </c>
      <c r="C306" s="11" t="s">
        <v>1022</v>
      </c>
      <c r="D306" s="108" t="str">
        <f t="shared" si="8"/>
        <v>C305-160-24</v>
      </c>
      <c r="E306" s="11" t="s">
        <v>3740</v>
      </c>
      <c r="F306" s="11"/>
      <c r="G306" s="9" t="s">
        <v>4056</v>
      </c>
      <c r="H306" s="10" t="s">
        <v>3621</v>
      </c>
      <c r="I306" s="12" t="s">
        <v>23</v>
      </c>
      <c r="J306" s="12">
        <v>45511</v>
      </c>
      <c r="K306" s="77">
        <v>45626</v>
      </c>
      <c r="L306" s="50"/>
      <c r="M306" s="13" t="str">
        <f t="shared" ca="1" si="9"/>
        <v>CLOSED</v>
      </c>
      <c r="N306" s="415">
        <f>+Table2[[#This Row],[Effectiveness Review &amp; date deemed effective]]-Table2[[#This Row],[CAR initialized date]]</f>
        <v>115</v>
      </c>
    </row>
    <row r="307" spans="1:14" ht="18" hidden="1" x14ac:dyDescent="0.3">
      <c r="A307" s="9" t="s">
        <v>235</v>
      </c>
      <c r="B307" s="13">
        <f>VLOOKUP(Table2[[#This Row],[Location 
(drop-down)]],'List source'!D$2:E$60,2,FALSE)</f>
        <v>160</v>
      </c>
      <c r="C307" s="11" t="s">
        <v>1023</v>
      </c>
      <c r="D307" s="108" t="str">
        <f t="shared" si="8"/>
        <v>C306-160-24</v>
      </c>
      <c r="E307" s="11" t="s">
        <v>3740</v>
      </c>
      <c r="F307" s="11"/>
      <c r="G307" s="9" t="s">
        <v>4057</v>
      </c>
      <c r="H307" s="10" t="s">
        <v>3621</v>
      </c>
      <c r="I307" s="12" t="s">
        <v>23</v>
      </c>
      <c r="J307" s="12">
        <v>45511</v>
      </c>
      <c r="K307" s="77">
        <v>45626</v>
      </c>
      <c r="L307" s="50"/>
      <c r="M307" s="13" t="str">
        <f t="shared" ca="1" si="9"/>
        <v>CLOSED</v>
      </c>
      <c r="N307" s="415">
        <f>+Table2[[#This Row],[Effectiveness Review &amp; date deemed effective]]-Table2[[#This Row],[CAR initialized date]]</f>
        <v>115</v>
      </c>
    </row>
    <row r="308" spans="1:14" ht="18" hidden="1" x14ac:dyDescent="0.3">
      <c r="A308" s="9" t="s">
        <v>235</v>
      </c>
      <c r="B308" s="13">
        <f>VLOOKUP(Table2[[#This Row],[Location 
(drop-down)]],'List source'!D$2:E$60,2,FALSE)</f>
        <v>160</v>
      </c>
      <c r="C308" s="11" t="s">
        <v>1026</v>
      </c>
      <c r="D308" s="108" t="str">
        <f t="shared" si="8"/>
        <v>C307-160-24</v>
      </c>
      <c r="E308" s="11" t="s">
        <v>3740</v>
      </c>
      <c r="F308" s="11"/>
      <c r="G308" s="9" t="s">
        <v>4058</v>
      </c>
      <c r="H308" s="10" t="s">
        <v>3621</v>
      </c>
      <c r="I308" s="12" t="s">
        <v>23</v>
      </c>
      <c r="J308" s="12">
        <v>45511</v>
      </c>
      <c r="K308" s="77">
        <v>45628</v>
      </c>
      <c r="L308" s="50"/>
      <c r="M308" s="13" t="str">
        <f t="shared" ca="1" si="9"/>
        <v>CLOSED</v>
      </c>
      <c r="N308" s="415">
        <f>+Table2[[#This Row],[Effectiveness Review &amp; date deemed effective]]-Table2[[#This Row],[CAR initialized date]]</f>
        <v>117</v>
      </c>
    </row>
    <row r="309" spans="1:14" ht="18" hidden="1" x14ac:dyDescent="0.3">
      <c r="A309" s="9" t="s">
        <v>235</v>
      </c>
      <c r="B309" s="13">
        <f>VLOOKUP(Table2[[#This Row],[Location 
(drop-down)]],'List source'!D$2:E$60,2,FALSE)</f>
        <v>160</v>
      </c>
      <c r="C309" s="11" t="s">
        <v>1028</v>
      </c>
      <c r="D309" s="108" t="str">
        <f t="shared" si="8"/>
        <v>C308-160-24</v>
      </c>
      <c r="E309" s="11" t="s">
        <v>3740</v>
      </c>
      <c r="F309" s="11"/>
      <c r="G309" s="9" t="s">
        <v>4059</v>
      </c>
      <c r="H309" s="10" t="s">
        <v>3785</v>
      </c>
      <c r="I309" s="12" t="s">
        <v>23</v>
      </c>
      <c r="J309" s="12">
        <v>45511</v>
      </c>
      <c r="K309" s="77">
        <v>45748</v>
      </c>
      <c r="L309" s="50"/>
      <c r="M309" s="13" t="str">
        <f t="shared" ca="1" si="9"/>
        <v>CLOSED</v>
      </c>
      <c r="N309" s="415">
        <f>+Table2[[#This Row],[Effectiveness Review &amp; date deemed effective]]-Table2[[#This Row],[CAR initialized date]]</f>
        <v>237</v>
      </c>
    </row>
    <row r="310" spans="1:14" ht="28.8" hidden="1" x14ac:dyDescent="0.3">
      <c r="A310" s="9" t="s">
        <v>241</v>
      </c>
      <c r="B310" s="13">
        <f>VLOOKUP(Table2[[#This Row],[Location 
(drop-down)]],'List source'!D$2:E$60,2,FALSE)</f>
        <v>171</v>
      </c>
      <c r="C310" s="11" t="s">
        <v>1031</v>
      </c>
      <c r="D310" s="108" t="str">
        <f t="shared" si="8"/>
        <v>C309-171-24</v>
      </c>
      <c r="E310" s="11" t="s">
        <v>3770</v>
      </c>
      <c r="F310" s="11" t="s">
        <v>4060</v>
      </c>
      <c r="G310" s="207" t="s">
        <v>4061</v>
      </c>
      <c r="H310" s="10" t="s">
        <v>3621</v>
      </c>
      <c r="I310" s="12" t="s">
        <v>60</v>
      </c>
      <c r="J310" s="12">
        <v>45499</v>
      </c>
      <c r="K310" s="77">
        <v>45518</v>
      </c>
      <c r="L310" s="433" t="s">
        <v>4062</v>
      </c>
      <c r="M310" s="13" t="str">
        <f t="shared" ca="1" si="9"/>
        <v>CLOSED</v>
      </c>
      <c r="N310" s="415">
        <f>+Table2[[#This Row],[Effectiveness Review &amp; date deemed effective]]-Table2[[#This Row],[CAR initialized date]]</f>
        <v>19</v>
      </c>
    </row>
    <row r="311" spans="1:14" ht="18" hidden="1" x14ac:dyDescent="0.3">
      <c r="A311" s="9" t="s">
        <v>275</v>
      </c>
      <c r="B311" s="13">
        <f>VLOOKUP(Table2[[#This Row],[Location 
(drop-down)]],'List source'!D$2:E$60,2,FALSE)</f>
        <v>188</v>
      </c>
      <c r="C311" s="11" t="s">
        <v>1035</v>
      </c>
      <c r="D311" s="108" t="str">
        <f t="shared" si="8"/>
        <v>C310-188-24</v>
      </c>
      <c r="E311" s="11" t="s">
        <v>3740</v>
      </c>
      <c r="F311" s="11"/>
      <c r="G311" s="9" t="s">
        <v>4063</v>
      </c>
      <c r="H311" s="10" t="s">
        <v>3737</v>
      </c>
      <c r="I311" s="12" t="s">
        <v>41</v>
      </c>
      <c r="J311" s="12">
        <v>45502</v>
      </c>
      <c r="K311" s="77">
        <v>45596</v>
      </c>
      <c r="L311" s="50"/>
      <c r="M311" s="13" t="str">
        <f t="shared" ca="1" si="9"/>
        <v>CLOSED</v>
      </c>
      <c r="N311" s="415">
        <f>+Table2[[#This Row],[Effectiveness Review &amp; date deemed effective]]-Table2[[#This Row],[CAR initialized date]]</f>
        <v>94</v>
      </c>
    </row>
    <row r="312" spans="1:14" ht="18" hidden="1" x14ac:dyDescent="0.3">
      <c r="A312" s="9" t="s">
        <v>275</v>
      </c>
      <c r="B312" s="13">
        <f>VLOOKUP(Table2[[#This Row],[Location 
(drop-down)]],'List source'!D$2:E$60,2,FALSE)</f>
        <v>188</v>
      </c>
      <c r="C312" s="11" t="s">
        <v>1038</v>
      </c>
      <c r="D312" s="108" t="str">
        <f t="shared" si="8"/>
        <v>C311-188-24</v>
      </c>
      <c r="E312" s="11" t="s">
        <v>3740</v>
      </c>
      <c r="F312" s="11"/>
      <c r="G312" s="9" t="s">
        <v>4064</v>
      </c>
      <c r="H312" s="10" t="s">
        <v>3737</v>
      </c>
      <c r="I312" s="12" t="s">
        <v>41</v>
      </c>
      <c r="J312" s="12">
        <v>45502</v>
      </c>
      <c r="K312" s="77">
        <v>45550</v>
      </c>
      <c r="L312" s="50"/>
      <c r="M312" s="13" t="str">
        <f t="shared" ca="1" si="9"/>
        <v>CLOSED</v>
      </c>
      <c r="N312" s="415">
        <f>+Table2[[#This Row],[Effectiveness Review &amp; date deemed effective]]-Table2[[#This Row],[CAR initialized date]]</f>
        <v>48</v>
      </c>
    </row>
    <row r="313" spans="1:14" ht="18" hidden="1" x14ac:dyDescent="0.3">
      <c r="A313" s="9" t="s">
        <v>70</v>
      </c>
      <c r="B313" s="13">
        <f>VLOOKUP(Table2[[#This Row],[Location 
(drop-down)]],'List source'!D$2:E$60,2,FALSE)</f>
        <v>146</v>
      </c>
      <c r="C313" s="11" t="s">
        <v>1040</v>
      </c>
      <c r="D313" s="108" t="str">
        <f t="shared" si="8"/>
        <v>C312-146-24</v>
      </c>
      <c r="E313" s="11" t="s">
        <v>3783</v>
      </c>
      <c r="F313" s="11" t="s">
        <v>297</v>
      </c>
      <c r="G313" s="9" t="s">
        <v>4065</v>
      </c>
      <c r="H313" s="10" t="s">
        <v>3737</v>
      </c>
      <c r="I313" s="12" t="s">
        <v>18</v>
      </c>
      <c r="J313" s="12">
        <v>45505</v>
      </c>
      <c r="K313" s="77">
        <v>45520</v>
      </c>
      <c r="L313" s="50"/>
      <c r="M313" s="13" t="str">
        <f t="shared" ca="1" si="9"/>
        <v>CLOSED</v>
      </c>
      <c r="N313" s="415">
        <f>+Table2[[#This Row],[Effectiveness Review &amp; date deemed effective]]-Table2[[#This Row],[CAR initialized date]]</f>
        <v>15</v>
      </c>
    </row>
    <row r="314" spans="1:14" ht="18" hidden="1" x14ac:dyDescent="0.3">
      <c r="A314" s="9" t="s">
        <v>138</v>
      </c>
      <c r="B314" s="13">
        <f>VLOOKUP(Table2[[#This Row],[Location 
(drop-down)]],'List source'!D$2:E$60,2,FALSE)</f>
        <v>110</v>
      </c>
      <c r="C314" s="11" t="s">
        <v>1043</v>
      </c>
      <c r="D314" s="108" t="str">
        <f t="shared" si="8"/>
        <v>C313-110-24</v>
      </c>
      <c r="E314" s="11" t="s">
        <v>3783</v>
      </c>
      <c r="F314" s="11" t="s">
        <v>143</v>
      </c>
      <c r="G314" s="9" t="s">
        <v>4066</v>
      </c>
      <c r="H314" s="10" t="s">
        <v>3737</v>
      </c>
      <c r="I314" s="12" t="s">
        <v>18</v>
      </c>
      <c r="J314" s="12">
        <v>45505</v>
      </c>
      <c r="K314" s="77">
        <v>45506</v>
      </c>
      <c r="L314" s="50"/>
      <c r="M314" s="13" t="str">
        <f t="shared" ca="1" si="9"/>
        <v>CLOSED</v>
      </c>
      <c r="N314" s="415">
        <f>+Table2[[#This Row],[Effectiveness Review &amp; date deemed effective]]-Table2[[#This Row],[CAR initialized date]]</f>
        <v>1</v>
      </c>
    </row>
    <row r="315" spans="1:14" ht="28.8" hidden="1" x14ac:dyDescent="0.3">
      <c r="A315" s="9" t="s">
        <v>264</v>
      </c>
      <c r="B315" s="13">
        <f>VLOOKUP(Table2[[#This Row],[Location 
(drop-down)]],'List source'!D$2:E$60,2,FALSE)</f>
        <v>132</v>
      </c>
      <c r="C315" s="11" t="s">
        <v>1046</v>
      </c>
      <c r="D315" s="108" t="str">
        <f t="shared" si="8"/>
        <v>C314-132-24</v>
      </c>
      <c r="E315" s="11" t="s">
        <v>3770</v>
      </c>
      <c r="F315" s="11"/>
      <c r="G315" s="121" t="s">
        <v>4067</v>
      </c>
      <c r="H315" s="10" t="s">
        <v>3785</v>
      </c>
      <c r="I315" s="12" t="s">
        <v>54</v>
      </c>
      <c r="J315" s="12">
        <v>45506</v>
      </c>
      <c r="K315" s="77">
        <v>45708</v>
      </c>
      <c r="L315" s="50"/>
      <c r="M315" s="13" t="str">
        <f t="shared" ca="1" si="9"/>
        <v>CLOSED</v>
      </c>
      <c r="N315" s="415">
        <f>+Table2[[#This Row],[Effectiveness Review &amp; date deemed effective]]-Table2[[#This Row],[CAR initialized date]]</f>
        <v>202</v>
      </c>
    </row>
    <row r="316" spans="1:14" ht="18" hidden="1" x14ac:dyDescent="0.3">
      <c r="A316" s="9" t="s">
        <v>264</v>
      </c>
      <c r="B316" s="13">
        <f>VLOOKUP(Table2[[#This Row],[Location 
(drop-down)]],'List source'!D$2:E$60,2,FALSE)</f>
        <v>132</v>
      </c>
      <c r="C316" s="11" t="s">
        <v>1048</v>
      </c>
      <c r="D316" s="108" t="str">
        <f t="shared" si="8"/>
        <v>C315-132-24</v>
      </c>
      <c r="E316" s="11" t="s">
        <v>3740</v>
      </c>
      <c r="F316" s="11"/>
      <c r="G316" s="9" t="s">
        <v>4068</v>
      </c>
      <c r="H316" s="10" t="s">
        <v>3737</v>
      </c>
      <c r="I316" s="12" t="s">
        <v>49</v>
      </c>
      <c r="J316" s="12">
        <v>45517</v>
      </c>
      <c r="K316" s="77">
        <v>45785</v>
      </c>
      <c r="L316" s="50"/>
      <c r="M316" s="13" t="str">
        <f t="shared" ca="1" si="9"/>
        <v>CLOSED</v>
      </c>
      <c r="N316" s="415">
        <f>+Table2[[#This Row],[Effectiveness Review &amp; date deemed effective]]-Table2[[#This Row],[CAR initialized date]]</f>
        <v>268</v>
      </c>
    </row>
    <row r="317" spans="1:14" ht="18" hidden="1" x14ac:dyDescent="0.3">
      <c r="A317" s="235" t="s">
        <v>264</v>
      </c>
      <c r="B317" s="236">
        <f>VLOOKUP(Table2[[#This Row],[Location 
(drop-down)]],'List source'!D$2:E$60,2,FALSE)</f>
        <v>132</v>
      </c>
      <c r="C317" s="248" t="s">
        <v>1051</v>
      </c>
      <c r="D317" s="249" t="str">
        <f t="shared" si="8"/>
        <v>C316-132-24</v>
      </c>
      <c r="E317" s="11" t="s">
        <v>3740</v>
      </c>
      <c r="F317" s="11"/>
      <c r="G317" s="9" t="s">
        <v>4069</v>
      </c>
      <c r="H317" s="10" t="s">
        <v>3737</v>
      </c>
      <c r="I317" s="12" t="s">
        <v>49</v>
      </c>
      <c r="J317" s="12">
        <v>45517</v>
      </c>
      <c r="K317" s="250">
        <v>45769</v>
      </c>
      <c r="L317" s="50"/>
      <c r="M317" s="13" t="str">
        <f t="shared" ca="1" si="9"/>
        <v>CLOSED</v>
      </c>
      <c r="N317" s="415">
        <f>+Table2[[#This Row],[Effectiveness Review &amp; date deemed effective]]-Table2[[#This Row],[CAR initialized date]]</f>
        <v>252</v>
      </c>
    </row>
    <row r="318" spans="1:14" ht="18" hidden="1" x14ac:dyDescent="0.3">
      <c r="A318" s="235" t="s">
        <v>264</v>
      </c>
      <c r="B318" s="236">
        <f>VLOOKUP(Table2[[#This Row],[Location 
(drop-down)]],'List source'!D$2:E$60,2,FALSE)</f>
        <v>132</v>
      </c>
      <c r="C318" s="248" t="s">
        <v>1053</v>
      </c>
      <c r="D318" s="249" t="str">
        <f t="shared" si="8"/>
        <v>C317-132-24</v>
      </c>
      <c r="E318" s="11" t="s">
        <v>3740</v>
      </c>
      <c r="F318" s="11"/>
      <c r="G318" s="9" t="s">
        <v>4070</v>
      </c>
      <c r="H318" s="10" t="s">
        <v>3785</v>
      </c>
      <c r="I318" s="12" t="s">
        <v>49</v>
      </c>
      <c r="J318" s="12">
        <v>45517</v>
      </c>
      <c r="K318" s="250">
        <v>45772</v>
      </c>
      <c r="L318" s="50"/>
      <c r="M318" s="13" t="str">
        <f t="shared" ca="1" si="9"/>
        <v>CLOSED</v>
      </c>
      <c r="N318" s="415">
        <f>+Table2[[#This Row],[Effectiveness Review &amp; date deemed effective]]-Table2[[#This Row],[CAR initialized date]]</f>
        <v>255</v>
      </c>
    </row>
    <row r="319" spans="1:14" ht="28.8" hidden="1" x14ac:dyDescent="0.3">
      <c r="A319" s="9" t="s">
        <v>264</v>
      </c>
      <c r="B319" s="13">
        <f>VLOOKUP(Table2[[#This Row],[Location 
(drop-down)]],'List source'!D$2:E$60,2,FALSE)</f>
        <v>132</v>
      </c>
      <c r="C319" s="11" t="s">
        <v>1055</v>
      </c>
      <c r="D319" s="108" t="str">
        <f t="shared" si="8"/>
        <v>C318-132-24</v>
      </c>
      <c r="E319" s="11" t="s">
        <v>3740</v>
      </c>
      <c r="F319" s="11"/>
      <c r="G319" s="9" t="s">
        <v>4071</v>
      </c>
      <c r="H319" s="10" t="s">
        <v>3621</v>
      </c>
      <c r="I319" s="12" t="s">
        <v>49</v>
      </c>
      <c r="J319" s="12">
        <v>45517</v>
      </c>
      <c r="K319" s="77">
        <v>45540</v>
      </c>
      <c r="L319" s="50"/>
      <c r="M319" s="13" t="str">
        <f t="shared" ca="1" si="9"/>
        <v>CLOSED</v>
      </c>
      <c r="N319" s="415">
        <f>+Table2[[#This Row],[Effectiveness Review &amp; date deemed effective]]-Table2[[#This Row],[CAR initialized date]]</f>
        <v>23</v>
      </c>
    </row>
    <row r="320" spans="1:14" ht="18" hidden="1" x14ac:dyDescent="0.3">
      <c r="A320" s="9" t="s">
        <v>264</v>
      </c>
      <c r="B320" s="13">
        <f>VLOOKUP(Table2[[#This Row],[Location 
(drop-down)]],'List source'!D$2:E$60,2,FALSE)</f>
        <v>132</v>
      </c>
      <c r="C320" s="11" t="s">
        <v>1057</v>
      </c>
      <c r="D320" s="108" t="str">
        <f t="shared" si="8"/>
        <v>C319-132-24</v>
      </c>
      <c r="E320" s="11" t="s">
        <v>3740</v>
      </c>
      <c r="F320" s="11"/>
      <c r="G320" s="90" t="s">
        <v>4072</v>
      </c>
      <c r="H320" s="10" t="s">
        <v>3621</v>
      </c>
      <c r="I320" s="12" t="s">
        <v>49</v>
      </c>
      <c r="J320" s="12">
        <v>45517</v>
      </c>
      <c r="K320" s="77">
        <v>45845</v>
      </c>
      <c r="L320" s="50"/>
      <c r="M320" s="13" t="str">
        <f t="shared" ca="1" si="9"/>
        <v>CLOSED</v>
      </c>
      <c r="N320" s="415">
        <f>+Table2[[#This Row],[Effectiveness Review &amp; date deemed effective]]-Table2[[#This Row],[CAR initialized date]]</f>
        <v>328</v>
      </c>
    </row>
    <row r="321" spans="1:14" ht="18" hidden="1" x14ac:dyDescent="0.3">
      <c r="A321" s="9" t="s">
        <v>264</v>
      </c>
      <c r="B321" s="13">
        <f>VLOOKUP(Table2[[#This Row],[Location 
(drop-down)]],'List source'!D$2:E$60,2,FALSE)</f>
        <v>132</v>
      </c>
      <c r="C321" s="11" t="s">
        <v>1059</v>
      </c>
      <c r="D321" s="108" t="str">
        <f t="shared" si="8"/>
        <v>C320-132-24</v>
      </c>
      <c r="E321" s="11" t="s">
        <v>3740</v>
      </c>
      <c r="F321" s="11"/>
      <c r="G321" s="99" t="s">
        <v>4073</v>
      </c>
      <c r="H321" s="10" t="s">
        <v>3621</v>
      </c>
      <c r="I321" s="12" t="s">
        <v>49</v>
      </c>
      <c r="J321" s="12">
        <v>45517</v>
      </c>
      <c r="K321" s="77">
        <v>45705</v>
      </c>
      <c r="L321" s="50"/>
      <c r="M321" s="13" t="str">
        <f t="shared" ca="1" si="9"/>
        <v>CLOSED</v>
      </c>
      <c r="N321" s="415">
        <f>+Table2[[#This Row],[Effectiveness Review &amp; date deemed effective]]-Table2[[#This Row],[CAR initialized date]]</f>
        <v>188</v>
      </c>
    </row>
    <row r="322" spans="1:14" ht="18" hidden="1" x14ac:dyDescent="0.3">
      <c r="A322" s="9" t="s">
        <v>264</v>
      </c>
      <c r="B322" s="13">
        <f>VLOOKUP(Table2[[#This Row],[Location 
(drop-down)]],'List source'!D$2:E$60,2,FALSE)</f>
        <v>132</v>
      </c>
      <c r="C322" s="11" t="s">
        <v>1061</v>
      </c>
      <c r="D322" s="108" t="str">
        <f t="shared" ref="D322:D385" si="10">"C" &amp; C322 &amp; "-" &amp; B322 &amp; "-" &amp; "24"</f>
        <v>C321-132-24</v>
      </c>
      <c r="E322" s="11" t="s">
        <v>3740</v>
      </c>
      <c r="F322" s="11"/>
      <c r="G322" s="9" t="s">
        <v>4074</v>
      </c>
      <c r="H322" s="10" t="s">
        <v>3621</v>
      </c>
      <c r="I322" s="12" t="s">
        <v>49</v>
      </c>
      <c r="J322" s="12">
        <v>45517</v>
      </c>
      <c r="K322" s="77">
        <v>45541</v>
      </c>
      <c r="L322" s="50"/>
      <c r="M322" s="13" t="str">
        <f t="shared" ca="1" si="9"/>
        <v>CLOSED</v>
      </c>
      <c r="N322" s="415">
        <f>+Table2[[#This Row],[Effectiveness Review &amp; date deemed effective]]-Table2[[#This Row],[CAR initialized date]]</f>
        <v>24</v>
      </c>
    </row>
    <row r="323" spans="1:14" ht="18" hidden="1" x14ac:dyDescent="0.3">
      <c r="A323" s="9" t="s">
        <v>264</v>
      </c>
      <c r="B323" s="13">
        <f>VLOOKUP(Table2[[#This Row],[Location 
(drop-down)]],'List source'!D$2:E$60,2,FALSE)</f>
        <v>132</v>
      </c>
      <c r="C323" s="11" t="s">
        <v>1064</v>
      </c>
      <c r="D323" s="108" t="str">
        <f t="shared" si="10"/>
        <v>C322-132-24</v>
      </c>
      <c r="E323" s="11" t="s">
        <v>3740</v>
      </c>
      <c r="F323" s="11"/>
      <c r="G323" s="9" t="s">
        <v>4075</v>
      </c>
      <c r="H323" s="10" t="s">
        <v>3621</v>
      </c>
      <c r="I323" s="12" t="s">
        <v>49</v>
      </c>
      <c r="J323" s="12">
        <v>45517</v>
      </c>
      <c r="K323" s="77">
        <v>45755</v>
      </c>
      <c r="L323" s="50"/>
      <c r="M323" s="13" t="str">
        <f t="shared" ref="M323:M386" ca="1" si="11">IF(ISBLANK(K323), TODAY()-J323, "CLOSED")</f>
        <v>CLOSED</v>
      </c>
      <c r="N323" s="415">
        <f>+Table2[[#This Row],[Effectiveness Review &amp; date deemed effective]]-Table2[[#This Row],[CAR initialized date]]</f>
        <v>238</v>
      </c>
    </row>
    <row r="324" spans="1:14" ht="28.8" hidden="1" x14ac:dyDescent="0.3">
      <c r="A324" s="9" t="s">
        <v>264</v>
      </c>
      <c r="B324" s="13">
        <f>VLOOKUP(Table2[[#This Row],[Location 
(drop-down)]],'List source'!D$2:E$60,2,FALSE)</f>
        <v>132</v>
      </c>
      <c r="C324" s="11" t="s">
        <v>1067</v>
      </c>
      <c r="D324" s="108" t="str">
        <f t="shared" si="10"/>
        <v>C323-132-24</v>
      </c>
      <c r="E324" s="11" t="s">
        <v>3740</v>
      </c>
      <c r="F324" s="11"/>
      <c r="G324" s="9" t="s">
        <v>4076</v>
      </c>
      <c r="H324" s="10" t="s">
        <v>3621</v>
      </c>
      <c r="I324" s="12" t="s">
        <v>49</v>
      </c>
      <c r="J324" s="12">
        <v>45517</v>
      </c>
      <c r="K324" s="77">
        <v>45714</v>
      </c>
      <c r="L324" s="50"/>
      <c r="M324" s="13" t="str">
        <f t="shared" ca="1" si="11"/>
        <v>CLOSED</v>
      </c>
      <c r="N324" s="415">
        <f>+Table2[[#This Row],[Effectiveness Review &amp; date deemed effective]]-Table2[[#This Row],[CAR initialized date]]</f>
        <v>197</v>
      </c>
    </row>
    <row r="325" spans="1:14" ht="18" hidden="1" x14ac:dyDescent="0.3">
      <c r="A325" s="9" t="s">
        <v>264</v>
      </c>
      <c r="B325" s="13">
        <f>VLOOKUP(Table2[[#This Row],[Location 
(drop-down)]],'List source'!D$2:E$60,2,FALSE)</f>
        <v>132</v>
      </c>
      <c r="C325" s="11" t="s">
        <v>1071</v>
      </c>
      <c r="D325" s="108" t="str">
        <f t="shared" si="10"/>
        <v>C324-132-24</v>
      </c>
      <c r="E325" s="11" t="s">
        <v>3740</v>
      </c>
      <c r="F325" s="11"/>
      <c r="G325" s="9" t="s">
        <v>4077</v>
      </c>
      <c r="H325" s="10" t="s">
        <v>3621</v>
      </c>
      <c r="I325" s="12" t="s">
        <v>49</v>
      </c>
      <c r="J325" s="12">
        <v>45517</v>
      </c>
      <c r="K325" s="77">
        <v>45601</v>
      </c>
      <c r="L325" s="50"/>
      <c r="M325" s="13" t="str">
        <f t="shared" ca="1" si="11"/>
        <v>CLOSED</v>
      </c>
      <c r="N325" s="415">
        <f>+Table2[[#This Row],[Effectiveness Review &amp; date deemed effective]]-Table2[[#This Row],[CAR initialized date]]</f>
        <v>84</v>
      </c>
    </row>
    <row r="326" spans="1:14" ht="18" hidden="1" x14ac:dyDescent="0.3">
      <c r="A326" s="9" t="s">
        <v>264</v>
      </c>
      <c r="B326" s="13">
        <f>VLOOKUP(Table2[[#This Row],[Location 
(drop-down)]],'List source'!D$2:E$60,2,FALSE)</f>
        <v>132</v>
      </c>
      <c r="C326" s="11" t="s">
        <v>1073</v>
      </c>
      <c r="D326" s="108" t="str">
        <f t="shared" si="10"/>
        <v>C325-132-24</v>
      </c>
      <c r="E326" s="11" t="s">
        <v>3740</v>
      </c>
      <c r="F326" s="11"/>
      <c r="G326" s="9" t="s">
        <v>4078</v>
      </c>
      <c r="H326" s="10" t="s">
        <v>3621</v>
      </c>
      <c r="I326" s="12" t="s">
        <v>49</v>
      </c>
      <c r="J326" s="12">
        <v>45517</v>
      </c>
      <c r="K326" s="77">
        <v>45708</v>
      </c>
      <c r="L326" s="50"/>
      <c r="M326" s="13" t="str">
        <f t="shared" ca="1" si="11"/>
        <v>CLOSED</v>
      </c>
      <c r="N326" s="415">
        <f>+Table2[[#This Row],[Effectiveness Review &amp; date deemed effective]]-Table2[[#This Row],[CAR initialized date]]</f>
        <v>191</v>
      </c>
    </row>
    <row r="327" spans="1:14" ht="18" hidden="1" x14ac:dyDescent="0.3">
      <c r="A327" s="9" t="s">
        <v>264</v>
      </c>
      <c r="B327" s="13">
        <f>VLOOKUP(Table2[[#This Row],[Location 
(drop-down)]],'List source'!D$2:E$60,2,FALSE)</f>
        <v>132</v>
      </c>
      <c r="C327" s="11" t="s">
        <v>1077</v>
      </c>
      <c r="D327" s="108" t="str">
        <f t="shared" si="10"/>
        <v>C326-132-24</v>
      </c>
      <c r="E327" s="11" t="s">
        <v>3740</v>
      </c>
      <c r="F327" s="11"/>
      <c r="G327" s="9" t="s">
        <v>4079</v>
      </c>
      <c r="H327" s="10" t="s">
        <v>3621</v>
      </c>
      <c r="I327" s="12" t="s">
        <v>49</v>
      </c>
      <c r="J327" s="12">
        <v>45517</v>
      </c>
      <c r="K327" s="77">
        <v>45927</v>
      </c>
      <c r="L327" s="50"/>
      <c r="M327" s="13" t="str">
        <f t="shared" ca="1" si="11"/>
        <v>CLOSED</v>
      </c>
      <c r="N327" s="415">
        <f>+Table2[[#This Row],[Effectiveness Review &amp; date deemed effective]]-Table2[[#This Row],[CAR initialized date]]</f>
        <v>410</v>
      </c>
    </row>
    <row r="328" spans="1:14" ht="18" hidden="1" x14ac:dyDescent="0.3">
      <c r="A328" s="9" t="s">
        <v>264</v>
      </c>
      <c r="B328" s="13">
        <f>VLOOKUP(Table2[[#This Row],[Location 
(drop-down)]],'List source'!D$2:E$60,2,FALSE)</f>
        <v>132</v>
      </c>
      <c r="C328" s="11" t="s">
        <v>1079</v>
      </c>
      <c r="D328" s="108" t="str">
        <f t="shared" si="10"/>
        <v>C327-132-24</v>
      </c>
      <c r="E328" s="11" t="s">
        <v>3740</v>
      </c>
      <c r="F328" s="11"/>
      <c r="G328" s="9" t="s">
        <v>4080</v>
      </c>
      <c r="H328" s="10" t="s">
        <v>3621</v>
      </c>
      <c r="I328" s="12" t="s">
        <v>49</v>
      </c>
      <c r="J328" s="12">
        <v>45517</v>
      </c>
      <c r="K328" s="77">
        <v>45783</v>
      </c>
      <c r="L328" s="50"/>
      <c r="M328" s="13" t="str">
        <f t="shared" ca="1" si="11"/>
        <v>CLOSED</v>
      </c>
      <c r="N328" s="415">
        <f>+Table2[[#This Row],[Effectiveness Review &amp; date deemed effective]]-Table2[[#This Row],[CAR initialized date]]</f>
        <v>266</v>
      </c>
    </row>
    <row r="329" spans="1:14" ht="18" hidden="1" x14ac:dyDescent="0.3">
      <c r="A329" s="9" t="s">
        <v>264</v>
      </c>
      <c r="B329" s="13">
        <f>VLOOKUP(Table2[[#This Row],[Location 
(drop-down)]],'List source'!D$2:E$60,2,FALSE)</f>
        <v>132</v>
      </c>
      <c r="C329" s="11" t="s">
        <v>1082</v>
      </c>
      <c r="D329" s="108" t="str">
        <f t="shared" si="10"/>
        <v>C328-132-24</v>
      </c>
      <c r="E329" s="11" t="s">
        <v>3740</v>
      </c>
      <c r="F329" s="11"/>
      <c r="G329" s="9" t="s">
        <v>4081</v>
      </c>
      <c r="H329" s="10" t="s">
        <v>3737</v>
      </c>
      <c r="I329" s="12" t="s">
        <v>49</v>
      </c>
      <c r="J329" s="12">
        <v>45517</v>
      </c>
      <c r="K329" s="77">
        <v>45698</v>
      </c>
      <c r="L329" s="50"/>
      <c r="M329" s="13" t="str">
        <f t="shared" ca="1" si="11"/>
        <v>CLOSED</v>
      </c>
      <c r="N329" s="415">
        <f>+Table2[[#This Row],[Effectiveness Review &amp; date deemed effective]]-Table2[[#This Row],[CAR initialized date]]</f>
        <v>181</v>
      </c>
    </row>
    <row r="330" spans="1:14" ht="18" hidden="1" x14ac:dyDescent="0.3">
      <c r="A330" s="9" t="s">
        <v>57</v>
      </c>
      <c r="B330" s="13">
        <f>VLOOKUP(Table2[[#This Row],[Location 
(drop-down)]],'List source'!D$2:E$60,2,FALSE)</f>
        <v>170</v>
      </c>
      <c r="C330" s="11" t="s">
        <v>1085</v>
      </c>
      <c r="D330" s="108" t="str">
        <f t="shared" si="10"/>
        <v>C329-170-24</v>
      </c>
      <c r="E330" s="11" t="s">
        <v>3735</v>
      </c>
      <c r="F330" s="11" t="s">
        <v>3850</v>
      </c>
      <c r="G330" s="9" t="s">
        <v>4082</v>
      </c>
      <c r="H330" s="10" t="s">
        <v>3737</v>
      </c>
      <c r="I330" s="12" t="s">
        <v>60</v>
      </c>
      <c r="J330" s="12">
        <v>45511</v>
      </c>
      <c r="K330" s="77">
        <v>45524</v>
      </c>
      <c r="L330" s="50"/>
      <c r="M330" s="13" t="str">
        <f t="shared" ca="1" si="11"/>
        <v>CLOSED</v>
      </c>
      <c r="N330" s="415">
        <f>+Table2[[#This Row],[Effectiveness Review &amp; date deemed effective]]-Table2[[#This Row],[CAR initialized date]]</f>
        <v>13</v>
      </c>
    </row>
    <row r="331" spans="1:14" ht="18" hidden="1" x14ac:dyDescent="0.3">
      <c r="A331" s="9" t="s">
        <v>268</v>
      </c>
      <c r="B331" s="13">
        <f>VLOOKUP(Table2[[#This Row],[Location 
(drop-down)]],'List source'!D$2:E$60,2,FALSE)</f>
        <v>137</v>
      </c>
      <c r="C331" s="11" t="s">
        <v>1087</v>
      </c>
      <c r="D331" s="108" t="str">
        <f t="shared" si="10"/>
        <v>C330-137-24</v>
      </c>
      <c r="E331" s="11" t="s">
        <v>3740</v>
      </c>
      <c r="F331" s="11"/>
      <c r="G331" s="9" t="s">
        <v>4083</v>
      </c>
      <c r="H331" s="10" t="s">
        <v>3621</v>
      </c>
      <c r="I331" s="12" t="s">
        <v>18</v>
      </c>
      <c r="J331" s="12">
        <v>45517</v>
      </c>
      <c r="K331" s="77">
        <v>46024</v>
      </c>
      <c r="L331" s="50"/>
      <c r="M331" s="13" t="str">
        <f t="shared" ca="1" si="11"/>
        <v>CLOSED</v>
      </c>
      <c r="N331" s="415">
        <f>+Table2[[#This Row],[Effectiveness Review &amp; date deemed effective]]-Table2[[#This Row],[CAR initialized date]]</f>
        <v>507</v>
      </c>
    </row>
    <row r="332" spans="1:14" ht="18" hidden="1" x14ac:dyDescent="0.3">
      <c r="A332" s="9" t="s">
        <v>268</v>
      </c>
      <c r="B332" s="13">
        <f>VLOOKUP(Table2[[#This Row],[Location 
(drop-down)]],'List source'!D$2:E$60,2,FALSE)</f>
        <v>137</v>
      </c>
      <c r="C332" s="11" t="s">
        <v>1090</v>
      </c>
      <c r="D332" s="108" t="str">
        <f t="shared" si="10"/>
        <v>C331-137-24</v>
      </c>
      <c r="E332" s="11" t="s">
        <v>3740</v>
      </c>
      <c r="F332" s="11"/>
      <c r="G332" s="9" t="s">
        <v>4084</v>
      </c>
      <c r="H332" s="10" t="s">
        <v>3737</v>
      </c>
      <c r="I332" s="12" t="s">
        <v>18</v>
      </c>
      <c r="J332" s="12">
        <v>45517</v>
      </c>
      <c r="K332" s="77">
        <v>46037</v>
      </c>
      <c r="L332" s="50"/>
      <c r="M332" s="13" t="str">
        <f t="shared" ca="1" si="11"/>
        <v>CLOSED</v>
      </c>
      <c r="N332" s="415">
        <f>+Table2[[#This Row],[Effectiveness Review &amp; date deemed effective]]-Table2[[#This Row],[CAR initialized date]]</f>
        <v>520</v>
      </c>
    </row>
    <row r="333" spans="1:14" ht="18" hidden="1" x14ac:dyDescent="0.3">
      <c r="A333" s="9" t="s">
        <v>268</v>
      </c>
      <c r="B333" s="13">
        <f>VLOOKUP(Table2[[#This Row],[Location 
(drop-down)]],'List source'!D$2:E$60,2,FALSE)</f>
        <v>137</v>
      </c>
      <c r="C333" s="11" t="s">
        <v>1094</v>
      </c>
      <c r="D333" s="108" t="str">
        <f t="shared" si="10"/>
        <v>C332-137-24</v>
      </c>
      <c r="E333" s="11" t="s">
        <v>3740</v>
      </c>
      <c r="F333" s="11"/>
      <c r="G333" s="9" t="s">
        <v>3746</v>
      </c>
      <c r="H333" s="10" t="s">
        <v>3785</v>
      </c>
      <c r="I333" s="12" t="s">
        <v>18</v>
      </c>
      <c r="J333" s="12">
        <v>45517</v>
      </c>
      <c r="K333" s="77">
        <v>46048</v>
      </c>
      <c r="L333" s="50"/>
      <c r="M333" s="13" t="str">
        <f t="shared" ca="1" si="11"/>
        <v>CLOSED</v>
      </c>
      <c r="N333" s="415">
        <f>+Table2[[#This Row],[Effectiveness Review &amp; date deemed effective]]-Table2[[#This Row],[CAR initialized date]]</f>
        <v>531</v>
      </c>
    </row>
    <row r="334" spans="1:14" ht="18" hidden="1" x14ac:dyDescent="0.3">
      <c r="A334" s="9" t="s">
        <v>268</v>
      </c>
      <c r="B334" s="13">
        <f>VLOOKUP(Table2[[#This Row],[Location 
(drop-down)]],'List source'!D$2:E$60,2,FALSE)</f>
        <v>137</v>
      </c>
      <c r="C334" s="11" t="s">
        <v>1097</v>
      </c>
      <c r="D334" s="108" t="str">
        <f t="shared" si="10"/>
        <v>C333-137-24</v>
      </c>
      <c r="E334" s="11" t="s">
        <v>3740</v>
      </c>
      <c r="F334" s="11"/>
      <c r="G334" s="9" t="s">
        <v>4085</v>
      </c>
      <c r="H334" s="10" t="s">
        <v>3621</v>
      </c>
      <c r="I334" s="12" t="s">
        <v>18</v>
      </c>
      <c r="J334" s="12">
        <v>45517</v>
      </c>
      <c r="K334" s="77">
        <v>46049</v>
      </c>
      <c r="L334" s="50"/>
      <c r="M334" s="13" t="str">
        <f t="shared" ca="1" si="11"/>
        <v>CLOSED</v>
      </c>
      <c r="N334" s="415">
        <f>+Table2[[#This Row],[Effectiveness Review &amp; date deemed effective]]-Table2[[#This Row],[CAR initialized date]]</f>
        <v>532</v>
      </c>
    </row>
    <row r="335" spans="1:14" ht="18" x14ac:dyDescent="0.3">
      <c r="A335" s="189" t="s">
        <v>268</v>
      </c>
      <c r="B335" s="217">
        <f>VLOOKUP(Table2[[#This Row],[Location 
(drop-down)]],'List source'!D$2:E$60,2,FALSE)</f>
        <v>137</v>
      </c>
      <c r="C335" s="218" t="s">
        <v>1099</v>
      </c>
      <c r="D335" s="219" t="str">
        <f t="shared" si="10"/>
        <v>C334-137-24</v>
      </c>
      <c r="E335" s="11" t="s">
        <v>3740</v>
      </c>
      <c r="F335" s="11"/>
      <c r="G335" s="9" t="s">
        <v>4086</v>
      </c>
      <c r="H335" s="10" t="s">
        <v>3621</v>
      </c>
      <c r="I335" s="12" t="s">
        <v>18</v>
      </c>
      <c r="J335" s="12">
        <v>45517</v>
      </c>
      <c r="K335" s="220"/>
      <c r="L335" s="50"/>
      <c r="M335" s="13">
        <f t="shared" ca="1" si="11"/>
        <v>548</v>
      </c>
      <c r="N335" s="415">
        <f>+Table2[[#This Row],[Effectiveness Review &amp; date deemed effective]]-Table2[[#This Row],[CAR initialized date]]</f>
        <v>-45517</v>
      </c>
    </row>
    <row r="336" spans="1:14" ht="18" hidden="1" x14ac:dyDescent="0.3">
      <c r="A336" s="189" t="s">
        <v>268</v>
      </c>
      <c r="B336" s="217">
        <f>VLOOKUP(Table2[[#This Row],[Location 
(drop-down)]],'List source'!D$2:E$60,2,FALSE)</f>
        <v>137</v>
      </c>
      <c r="C336" s="218" t="s">
        <v>1102</v>
      </c>
      <c r="D336" s="219" t="str">
        <f t="shared" si="10"/>
        <v>C335-137-24</v>
      </c>
      <c r="E336" s="11" t="s">
        <v>3740</v>
      </c>
      <c r="F336" s="11"/>
      <c r="G336" s="9" t="s">
        <v>4087</v>
      </c>
      <c r="H336" s="10" t="s">
        <v>3621</v>
      </c>
      <c r="I336" s="12" t="s">
        <v>18</v>
      </c>
      <c r="J336" s="12">
        <v>45517</v>
      </c>
      <c r="K336" s="220">
        <v>46064</v>
      </c>
      <c r="L336" s="50"/>
      <c r="M336" s="13" t="str">
        <f t="shared" ca="1" si="11"/>
        <v>CLOSED</v>
      </c>
      <c r="N336" s="415">
        <f>+Table2[[#This Row],[Effectiveness Review &amp; date deemed effective]]-Table2[[#This Row],[CAR initialized date]]</f>
        <v>547</v>
      </c>
    </row>
    <row r="337" spans="1:14" ht="18" hidden="1" x14ac:dyDescent="0.3">
      <c r="A337" s="9" t="s">
        <v>268</v>
      </c>
      <c r="B337" s="13">
        <f>VLOOKUP(Table2[[#This Row],[Location 
(drop-down)]],'List source'!D$2:E$60,2,FALSE)</f>
        <v>137</v>
      </c>
      <c r="C337" s="11" t="s">
        <v>1105</v>
      </c>
      <c r="D337" s="108" t="str">
        <f t="shared" si="10"/>
        <v>C336-137-24</v>
      </c>
      <c r="E337" s="11" t="s">
        <v>3740</v>
      </c>
      <c r="F337" s="11"/>
      <c r="G337" s="9" t="s">
        <v>4088</v>
      </c>
      <c r="H337" s="10" t="s">
        <v>3621</v>
      </c>
      <c r="I337" s="12" t="s">
        <v>18</v>
      </c>
      <c r="J337" s="12">
        <v>45517</v>
      </c>
      <c r="K337" s="77">
        <v>46024</v>
      </c>
      <c r="L337" s="50"/>
      <c r="M337" s="13" t="str">
        <f t="shared" ca="1" si="11"/>
        <v>CLOSED</v>
      </c>
      <c r="N337" s="415">
        <f>+Table2[[#This Row],[Effectiveness Review &amp; date deemed effective]]-Table2[[#This Row],[CAR initialized date]]</f>
        <v>507</v>
      </c>
    </row>
    <row r="338" spans="1:14" ht="18" hidden="1" x14ac:dyDescent="0.3">
      <c r="A338" s="189" t="s">
        <v>268</v>
      </c>
      <c r="B338" s="217">
        <f>VLOOKUP(Table2[[#This Row],[Location 
(drop-down)]],'List source'!D$2:E$60,2,FALSE)</f>
        <v>137</v>
      </c>
      <c r="C338" s="218" t="s">
        <v>1108</v>
      </c>
      <c r="D338" s="219" t="str">
        <f t="shared" si="10"/>
        <v>C337-137-24</v>
      </c>
      <c r="E338" s="11" t="s">
        <v>3740</v>
      </c>
      <c r="F338" s="11"/>
      <c r="G338" s="9" t="s">
        <v>4089</v>
      </c>
      <c r="H338" s="10" t="s">
        <v>3785</v>
      </c>
      <c r="I338" s="12" t="s">
        <v>18</v>
      </c>
      <c r="J338" s="12">
        <v>45517</v>
      </c>
      <c r="K338" s="220">
        <v>46064</v>
      </c>
      <c r="L338" s="50"/>
      <c r="M338" s="13" t="str">
        <f t="shared" ca="1" si="11"/>
        <v>CLOSED</v>
      </c>
      <c r="N338" s="415">
        <f>+Table2[[#This Row],[Effectiveness Review &amp; date deemed effective]]-Table2[[#This Row],[CAR initialized date]]</f>
        <v>547</v>
      </c>
    </row>
    <row r="339" spans="1:14" ht="46.5" hidden="1" customHeight="1" x14ac:dyDescent="0.3">
      <c r="A339" s="9" t="s">
        <v>252</v>
      </c>
      <c r="B339" s="13">
        <f>VLOOKUP(Table2[[#This Row],[Location 
(drop-down)]],'List source'!D$2:E$60,2,FALSE)</f>
        <v>135</v>
      </c>
      <c r="C339" s="11" t="s">
        <v>1110</v>
      </c>
      <c r="D339" s="108" t="str">
        <f t="shared" si="10"/>
        <v>C338-135-24</v>
      </c>
      <c r="E339" s="11" t="s">
        <v>3783</v>
      </c>
      <c r="F339" s="11" t="s">
        <v>4090</v>
      </c>
      <c r="G339" s="9" t="s">
        <v>4091</v>
      </c>
      <c r="H339" s="10" t="s">
        <v>3621</v>
      </c>
      <c r="I339" s="12" t="s">
        <v>18</v>
      </c>
      <c r="J339" s="12">
        <v>45512</v>
      </c>
      <c r="K339" s="77">
        <v>45526</v>
      </c>
      <c r="L339" s="50"/>
      <c r="M339" s="13" t="str">
        <f t="shared" ca="1" si="11"/>
        <v>CLOSED</v>
      </c>
      <c r="N339" s="415">
        <f>+Table2[[#This Row],[Effectiveness Review &amp; date deemed effective]]-Table2[[#This Row],[CAR initialized date]]</f>
        <v>14</v>
      </c>
    </row>
    <row r="340" spans="1:14" ht="18" hidden="1" x14ac:dyDescent="0.3">
      <c r="A340" s="9" t="s">
        <v>209</v>
      </c>
      <c r="B340" s="13">
        <f>VLOOKUP(Table2[[#This Row],[Location 
(drop-down)]],'List source'!D$2:E$60,2,FALSE)</f>
        <v>165</v>
      </c>
      <c r="C340" s="11" t="s">
        <v>1112</v>
      </c>
      <c r="D340" s="108" t="str">
        <f t="shared" si="10"/>
        <v>C339-165-24</v>
      </c>
      <c r="E340" s="11" t="s">
        <v>3740</v>
      </c>
      <c r="F340" s="11"/>
      <c r="G340" s="9" t="s">
        <v>4092</v>
      </c>
      <c r="H340" s="10" t="s">
        <v>3737</v>
      </c>
      <c r="I340" s="12" t="s">
        <v>23</v>
      </c>
      <c r="J340" s="12">
        <v>45517</v>
      </c>
      <c r="K340" s="77">
        <v>45545</v>
      </c>
      <c r="L340" s="50"/>
      <c r="M340" s="13" t="str">
        <f t="shared" ca="1" si="11"/>
        <v>CLOSED</v>
      </c>
      <c r="N340" s="415">
        <f>+Table2[[#This Row],[Effectiveness Review &amp; date deemed effective]]-Table2[[#This Row],[CAR initialized date]]</f>
        <v>28</v>
      </c>
    </row>
    <row r="341" spans="1:14" ht="18" hidden="1" x14ac:dyDescent="0.3">
      <c r="A341" s="9" t="s">
        <v>209</v>
      </c>
      <c r="B341" s="13">
        <f>VLOOKUP(Table2[[#This Row],[Location 
(drop-down)]],'List source'!D$2:E$60,2,FALSE)</f>
        <v>165</v>
      </c>
      <c r="C341" s="11" t="s">
        <v>1115</v>
      </c>
      <c r="D341" s="108" t="str">
        <f t="shared" si="10"/>
        <v>C340-165-24</v>
      </c>
      <c r="E341" s="11" t="s">
        <v>3740</v>
      </c>
      <c r="F341" s="11"/>
      <c r="G341" s="9" t="s">
        <v>3844</v>
      </c>
      <c r="H341" s="10" t="s">
        <v>3737</v>
      </c>
      <c r="I341" s="12" t="s">
        <v>23</v>
      </c>
      <c r="J341" s="12">
        <v>45517</v>
      </c>
      <c r="K341" s="77">
        <v>45551</v>
      </c>
      <c r="L341" s="50"/>
      <c r="M341" s="13" t="str">
        <f t="shared" ca="1" si="11"/>
        <v>CLOSED</v>
      </c>
      <c r="N341" s="415">
        <f>+Table2[[#This Row],[Effectiveness Review &amp; date deemed effective]]-Table2[[#This Row],[CAR initialized date]]</f>
        <v>34</v>
      </c>
    </row>
    <row r="342" spans="1:14" ht="28.8" hidden="1" x14ac:dyDescent="0.3">
      <c r="A342" s="9" t="s">
        <v>209</v>
      </c>
      <c r="B342" s="13">
        <f>VLOOKUP(Table2[[#This Row],[Location 
(drop-down)]],'List source'!D$2:E$60,2,FALSE)</f>
        <v>165</v>
      </c>
      <c r="C342" s="11" t="s">
        <v>1118</v>
      </c>
      <c r="D342" s="108" t="str">
        <f t="shared" si="10"/>
        <v>C341-165-24</v>
      </c>
      <c r="E342" s="11" t="s">
        <v>3740</v>
      </c>
      <c r="F342" s="11"/>
      <c r="G342" s="9" t="s">
        <v>4093</v>
      </c>
      <c r="H342" s="10" t="s">
        <v>3737</v>
      </c>
      <c r="I342" s="12" t="s">
        <v>23</v>
      </c>
      <c r="J342" s="12">
        <v>45517</v>
      </c>
      <c r="K342" s="77">
        <v>45643</v>
      </c>
      <c r="L342" s="50"/>
      <c r="M342" s="13" t="str">
        <f t="shared" ca="1" si="11"/>
        <v>CLOSED</v>
      </c>
      <c r="N342" s="415">
        <f>+Table2[[#This Row],[Effectiveness Review &amp; date deemed effective]]-Table2[[#This Row],[CAR initialized date]]</f>
        <v>126</v>
      </c>
    </row>
    <row r="343" spans="1:14" ht="18" hidden="1" x14ac:dyDescent="0.3">
      <c r="A343" s="9" t="s">
        <v>209</v>
      </c>
      <c r="B343" s="13">
        <f>VLOOKUP(Table2[[#This Row],[Location 
(drop-down)]],'List source'!D$2:E$60,2,FALSE)</f>
        <v>165</v>
      </c>
      <c r="C343" s="11" t="s">
        <v>1122</v>
      </c>
      <c r="D343" s="108" t="str">
        <f t="shared" si="10"/>
        <v>C342-165-24</v>
      </c>
      <c r="E343" s="11" t="s">
        <v>3740</v>
      </c>
      <c r="F343" s="11"/>
      <c r="G343" s="9" t="s">
        <v>3875</v>
      </c>
      <c r="H343" s="10" t="s">
        <v>3737</v>
      </c>
      <c r="I343" s="12" t="s">
        <v>23</v>
      </c>
      <c r="J343" s="12">
        <v>45517</v>
      </c>
      <c r="K343" s="77">
        <v>45594</v>
      </c>
      <c r="L343" s="50"/>
      <c r="M343" s="13" t="str">
        <f t="shared" ca="1" si="11"/>
        <v>CLOSED</v>
      </c>
      <c r="N343" s="415">
        <f>+Table2[[#This Row],[Effectiveness Review &amp; date deemed effective]]-Table2[[#This Row],[CAR initialized date]]</f>
        <v>77</v>
      </c>
    </row>
    <row r="344" spans="1:14" ht="18" hidden="1" x14ac:dyDescent="0.3">
      <c r="A344" s="9" t="s">
        <v>209</v>
      </c>
      <c r="B344" s="13">
        <f>VLOOKUP(Table2[[#This Row],[Location 
(drop-down)]],'List source'!D$2:E$60,2,FALSE)</f>
        <v>165</v>
      </c>
      <c r="C344" s="11" t="s">
        <v>1126</v>
      </c>
      <c r="D344" s="108" t="str">
        <f t="shared" si="10"/>
        <v>C343-165-24</v>
      </c>
      <c r="E344" s="11" t="s">
        <v>3740</v>
      </c>
      <c r="F344" s="11"/>
      <c r="G344" s="9" t="s">
        <v>4094</v>
      </c>
      <c r="H344" s="10" t="s">
        <v>3621</v>
      </c>
      <c r="I344" s="12" t="s">
        <v>23</v>
      </c>
      <c r="J344" s="12">
        <v>45517</v>
      </c>
      <c r="K344" s="77">
        <v>45643</v>
      </c>
      <c r="L344" s="50"/>
      <c r="M344" s="13" t="str">
        <f t="shared" ca="1" si="11"/>
        <v>CLOSED</v>
      </c>
      <c r="N344" s="415">
        <f>+Table2[[#This Row],[Effectiveness Review &amp; date deemed effective]]-Table2[[#This Row],[CAR initialized date]]</f>
        <v>126</v>
      </c>
    </row>
    <row r="345" spans="1:14" ht="43.2" hidden="1" x14ac:dyDescent="0.3">
      <c r="A345" s="9" t="s">
        <v>186</v>
      </c>
      <c r="B345" s="13">
        <f>VLOOKUP(Table2[[#This Row],[Location 
(drop-down)]],'List source'!D$2:E$60,2,FALSE)</f>
        <v>130</v>
      </c>
      <c r="C345" s="11" t="s">
        <v>1129</v>
      </c>
      <c r="D345" s="108" t="str">
        <f t="shared" si="10"/>
        <v>C344-130-24</v>
      </c>
      <c r="E345" s="11" t="s">
        <v>3770</v>
      </c>
      <c r="F345" s="11"/>
      <c r="G345" s="9" t="s">
        <v>4095</v>
      </c>
      <c r="H345" s="10" t="s">
        <v>3621</v>
      </c>
      <c r="I345" s="12" t="s">
        <v>49</v>
      </c>
      <c r="J345" s="12">
        <v>45519</v>
      </c>
      <c r="K345" s="77">
        <v>45577</v>
      </c>
      <c r="L345" s="193" t="s">
        <v>4096</v>
      </c>
      <c r="M345" s="13" t="str">
        <f t="shared" ca="1" si="11"/>
        <v>CLOSED</v>
      </c>
      <c r="N345" s="415">
        <f>+Table2[[#This Row],[Effectiveness Review &amp; date deemed effective]]-Table2[[#This Row],[CAR initialized date]]</f>
        <v>58</v>
      </c>
    </row>
    <row r="346" spans="1:14" ht="18" hidden="1" x14ac:dyDescent="0.3">
      <c r="A346" s="9" t="s">
        <v>209</v>
      </c>
      <c r="B346" s="13">
        <f>VLOOKUP(Table2[[#This Row],[Location 
(drop-down)]],'List source'!D$2:E$60,2,FALSE)</f>
        <v>165</v>
      </c>
      <c r="C346" s="11" t="s">
        <v>1132</v>
      </c>
      <c r="D346" s="108" t="str">
        <f t="shared" si="10"/>
        <v>C345-165-24</v>
      </c>
      <c r="E346" s="11" t="s">
        <v>3740</v>
      </c>
      <c r="F346" s="11"/>
      <c r="G346" s="9" t="s">
        <v>4097</v>
      </c>
      <c r="H346" s="10" t="s">
        <v>3621</v>
      </c>
      <c r="I346" s="12" t="s">
        <v>23</v>
      </c>
      <c r="J346" s="12">
        <v>45517</v>
      </c>
      <c r="K346" s="77">
        <v>45596</v>
      </c>
      <c r="L346" s="50"/>
      <c r="M346" s="13" t="str">
        <f t="shared" ca="1" si="11"/>
        <v>CLOSED</v>
      </c>
      <c r="N346" s="415">
        <f>+Table2[[#This Row],[Effectiveness Review &amp; date deemed effective]]-Table2[[#This Row],[CAR initialized date]]</f>
        <v>79</v>
      </c>
    </row>
    <row r="347" spans="1:14" ht="18" hidden="1" x14ac:dyDescent="0.3">
      <c r="A347" s="9" t="s">
        <v>209</v>
      </c>
      <c r="B347" s="13">
        <f>VLOOKUP(Table2[[#This Row],[Location 
(drop-down)]],'List source'!D$2:E$60,2,FALSE)</f>
        <v>165</v>
      </c>
      <c r="C347" s="11" t="s">
        <v>1135</v>
      </c>
      <c r="D347" s="108" t="str">
        <f t="shared" si="10"/>
        <v>C346-165-24</v>
      </c>
      <c r="E347" s="11" t="s">
        <v>3740</v>
      </c>
      <c r="F347" s="11"/>
      <c r="G347" s="9" t="s">
        <v>4098</v>
      </c>
      <c r="H347" s="10" t="s">
        <v>3621</v>
      </c>
      <c r="I347" s="12" t="s">
        <v>23</v>
      </c>
      <c r="J347" s="12">
        <v>45517</v>
      </c>
      <c r="K347" s="77">
        <v>45597</v>
      </c>
      <c r="L347" s="50"/>
      <c r="M347" s="13" t="str">
        <f t="shared" ca="1" si="11"/>
        <v>CLOSED</v>
      </c>
      <c r="N347" s="415">
        <f>+Table2[[#This Row],[Effectiveness Review &amp; date deemed effective]]-Table2[[#This Row],[CAR initialized date]]</f>
        <v>80</v>
      </c>
    </row>
    <row r="348" spans="1:14" ht="18" hidden="1" x14ac:dyDescent="0.3">
      <c r="A348" s="9" t="s">
        <v>209</v>
      </c>
      <c r="B348" s="13">
        <f>VLOOKUP(Table2[[#This Row],[Location 
(drop-down)]],'List source'!D$2:E$60,2,FALSE)</f>
        <v>165</v>
      </c>
      <c r="C348" s="11" t="s">
        <v>1138</v>
      </c>
      <c r="D348" s="108" t="str">
        <f t="shared" si="10"/>
        <v>C347-165-24</v>
      </c>
      <c r="E348" s="11" t="s">
        <v>3740</v>
      </c>
      <c r="F348" s="11"/>
      <c r="G348" s="9" t="s">
        <v>4099</v>
      </c>
      <c r="H348" s="10" t="s">
        <v>3621</v>
      </c>
      <c r="I348" s="12" t="s">
        <v>23</v>
      </c>
      <c r="J348" s="12">
        <v>45517</v>
      </c>
      <c r="K348" s="77">
        <v>45628</v>
      </c>
      <c r="L348" s="50"/>
      <c r="M348" s="13" t="str">
        <f t="shared" ca="1" si="11"/>
        <v>CLOSED</v>
      </c>
      <c r="N348" s="415">
        <f>+Table2[[#This Row],[Effectiveness Review &amp; date deemed effective]]-Table2[[#This Row],[CAR initialized date]]</f>
        <v>111</v>
      </c>
    </row>
    <row r="349" spans="1:14" ht="18" hidden="1" x14ac:dyDescent="0.3">
      <c r="A349" s="9" t="s">
        <v>325</v>
      </c>
      <c r="B349" s="13">
        <f>VLOOKUP(Table2[[#This Row],[Location 
(drop-down)]],'List source'!D$2:E$60,2,FALSE)</f>
        <v>180</v>
      </c>
      <c r="C349" s="11" t="s">
        <v>1141</v>
      </c>
      <c r="D349" s="108" t="str">
        <f t="shared" si="10"/>
        <v>C348-180-24</v>
      </c>
      <c r="E349" s="11" t="s">
        <v>3735</v>
      </c>
      <c r="F349" s="11" t="s">
        <v>4100</v>
      </c>
      <c r="G349" s="9" t="s">
        <v>4101</v>
      </c>
      <c r="H349" s="10" t="s">
        <v>3737</v>
      </c>
      <c r="I349" s="12" t="s">
        <v>18</v>
      </c>
      <c r="J349" s="12">
        <v>45518</v>
      </c>
      <c r="K349" s="77">
        <v>45532</v>
      </c>
      <c r="L349" s="50"/>
      <c r="M349" s="13" t="str">
        <f t="shared" ca="1" si="11"/>
        <v>CLOSED</v>
      </c>
      <c r="N349" s="415">
        <f>+Table2[[#This Row],[Effectiveness Review &amp; date deemed effective]]-Table2[[#This Row],[CAR initialized date]]</f>
        <v>14</v>
      </c>
    </row>
    <row r="350" spans="1:14" ht="18" hidden="1" x14ac:dyDescent="0.3">
      <c r="A350" s="9" t="s">
        <v>209</v>
      </c>
      <c r="B350" s="13">
        <f>VLOOKUP(Table2[[#This Row],[Location 
(drop-down)]],'List source'!D$2:E$60,2,FALSE)</f>
        <v>165</v>
      </c>
      <c r="C350" s="11" t="s">
        <v>1144</v>
      </c>
      <c r="D350" s="108" t="str">
        <f t="shared" si="10"/>
        <v>C349-165-24</v>
      </c>
      <c r="E350" s="11" t="s">
        <v>3773</v>
      </c>
      <c r="F350" s="11" t="s">
        <v>73</v>
      </c>
      <c r="G350" s="9" t="s">
        <v>4080</v>
      </c>
      <c r="H350" s="10" t="s">
        <v>3621</v>
      </c>
      <c r="I350" s="12" t="s">
        <v>49</v>
      </c>
      <c r="J350" s="12">
        <v>45518</v>
      </c>
      <c r="K350" s="77">
        <v>45552</v>
      </c>
      <c r="L350" s="50"/>
      <c r="M350" s="13" t="str">
        <f t="shared" ca="1" si="11"/>
        <v>CLOSED</v>
      </c>
      <c r="N350" s="415">
        <f>+Table2[[#This Row],[Effectiveness Review &amp; date deemed effective]]-Table2[[#This Row],[CAR initialized date]]</f>
        <v>34</v>
      </c>
    </row>
    <row r="351" spans="1:14" ht="18" hidden="1" x14ac:dyDescent="0.3">
      <c r="A351" s="9" t="s">
        <v>113</v>
      </c>
      <c r="B351" s="13" t="str">
        <f>VLOOKUP(Table2[[#This Row],[Location 
(drop-down)]],'List source'!D$2:E$60,2,FALSE)</f>
        <v>VOID</v>
      </c>
      <c r="C351" s="11" t="s">
        <v>1147</v>
      </c>
      <c r="D351" s="100" t="str">
        <f>"C" &amp; C351 &amp; "-" &amp; B351 &amp; "-" &amp; "24"</f>
        <v>C350-VOID-24</v>
      </c>
      <c r="E351" s="11" t="s">
        <v>114</v>
      </c>
      <c r="F351" s="11" t="s">
        <v>114</v>
      </c>
      <c r="G351" s="99" t="s">
        <v>4102</v>
      </c>
      <c r="H351" s="10" t="s">
        <v>114</v>
      </c>
      <c r="I351" s="10" t="s">
        <v>114</v>
      </c>
      <c r="J351" s="10" t="s">
        <v>114</v>
      </c>
      <c r="K351" s="10" t="s">
        <v>114</v>
      </c>
      <c r="L351" s="50" t="s">
        <v>4103</v>
      </c>
      <c r="M351" s="13" t="str">
        <f t="shared" ca="1" si="11"/>
        <v>CLOSED</v>
      </c>
      <c r="N351" s="415" t="e">
        <f>+Table2[[#This Row],[Effectiveness Review &amp; date deemed effective]]-Table2[[#This Row],[CAR initialized date]]</f>
        <v>#VALUE!</v>
      </c>
    </row>
    <row r="352" spans="1:14" ht="43.2" hidden="1" x14ac:dyDescent="0.3">
      <c r="A352" s="9" t="s">
        <v>21</v>
      </c>
      <c r="B352" s="13">
        <f>VLOOKUP(Table2[[#This Row],[Location 
(drop-down)]],'List source'!D$2:E$60,2,FALSE)</f>
        <v>131</v>
      </c>
      <c r="C352" s="11" t="s">
        <v>1149</v>
      </c>
      <c r="D352" s="108" t="str">
        <f t="shared" si="10"/>
        <v>C351-131-24</v>
      </c>
      <c r="E352" s="11" t="s">
        <v>3783</v>
      </c>
      <c r="F352" s="11" t="s">
        <v>99</v>
      </c>
      <c r="G352" s="99" t="s">
        <v>4104</v>
      </c>
      <c r="H352" s="10" t="s">
        <v>3785</v>
      </c>
      <c r="I352" s="12" t="s">
        <v>49</v>
      </c>
      <c r="J352" s="12">
        <v>45519</v>
      </c>
      <c r="K352" s="77">
        <v>45636</v>
      </c>
      <c r="L352" s="50"/>
      <c r="M352" s="13" t="str">
        <f t="shared" ca="1" si="11"/>
        <v>CLOSED</v>
      </c>
      <c r="N352" s="415">
        <f>+Table2[[#This Row],[Effectiveness Review &amp; date deemed effective]]-Table2[[#This Row],[CAR initialized date]]</f>
        <v>117</v>
      </c>
    </row>
    <row r="353" spans="1:14" ht="43.2" hidden="1" x14ac:dyDescent="0.3">
      <c r="A353" s="9" t="s">
        <v>113</v>
      </c>
      <c r="B353" s="13" t="str">
        <f>VLOOKUP(Table2[[#This Row],[Location 
(drop-down)]],'List source'!D$2:E$60,2,FALSE)</f>
        <v>VOID</v>
      </c>
      <c r="C353" s="11" t="s">
        <v>1152</v>
      </c>
      <c r="D353" s="108" t="str">
        <f t="shared" si="10"/>
        <v>C352-VOID-24</v>
      </c>
      <c r="E353" s="11" t="s">
        <v>114</v>
      </c>
      <c r="F353" s="11" t="s">
        <v>114</v>
      </c>
      <c r="G353" s="99" t="s">
        <v>4105</v>
      </c>
      <c r="H353" s="12" t="s">
        <v>114</v>
      </c>
      <c r="I353" s="10" t="s">
        <v>114</v>
      </c>
      <c r="J353" s="10" t="s">
        <v>114</v>
      </c>
      <c r="K353" s="10" t="s">
        <v>114</v>
      </c>
      <c r="L353" s="50" t="s">
        <v>4106</v>
      </c>
      <c r="M353" s="13" t="str">
        <f t="shared" ca="1" si="11"/>
        <v>CLOSED</v>
      </c>
      <c r="N353" s="415" t="e">
        <f>+Table2[[#This Row],[Effectiveness Review &amp; date deemed effective]]-Table2[[#This Row],[CAR initialized date]]</f>
        <v>#VALUE!</v>
      </c>
    </row>
    <row r="354" spans="1:14" s="293" customFormat="1" ht="28.8" hidden="1" x14ac:dyDescent="0.3">
      <c r="A354" s="285" t="s">
        <v>21</v>
      </c>
      <c r="B354" s="286">
        <f>VLOOKUP(Table2[[#This Row],[Location 
(drop-down)]],'List source'!D$2:E$60,2,FALSE)</f>
        <v>131</v>
      </c>
      <c r="C354" s="287" t="s">
        <v>1154</v>
      </c>
      <c r="D354" s="288" t="str">
        <f t="shared" si="10"/>
        <v>C353-131-24</v>
      </c>
      <c r="E354" s="287" t="s">
        <v>3783</v>
      </c>
      <c r="F354" s="287" t="s">
        <v>99</v>
      </c>
      <c r="G354" s="289" t="s">
        <v>4107</v>
      </c>
      <c r="H354" s="290" t="s">
        <v>3621</v>
      </c>
      <c r="I354" s="291" t="s">
        <v>49</v>
      </c>
      <c r="J354" s="291">
        <v>45519</v>
      </c>
      <c r="K354" s="292">
        <v>45643</v>
      </c>
      <c r="L354" s="438"/>
      <c r="M354" s="13" t="str">
        <f t="shared" ca="1" si="11"/>
        <v>CLOSED</v>
      </c>
      <c r="N354" s="415">
        <f>+Table2[[#This Row],[Effectiveness Review &amp; date deemed effective]]-Table2[[#This Row],[CAR initialized date]]</f>
        <v>124</v>
      </c>
    </row>
    <row r="355" spans="1:14" ht="18" hidden="1" x14ac:dyDescent="0.3">
      <c r="A355" s="9" t="s">
        <v>21</v>
      </c>
      <c r="B355" s="13">
        <f>VLOOKUP(Table2[[#This Row],[Location 
(drop-down)]],'List source'!D$2:E$60,2,FALSE)</f>
        <v>131</v>
      </c>
      <c r="C355" s="11" t="s">
        <v>1156</v>
      </c>
      <c r="D355" s="108" t="str">
        <f t="shared" si="10"/>
        <v>C354-131-24</v>
      </c>
      <c r="E355" s="11" t="s">
        <v>3783</v>
      </c>
      <c r="F355" s="11" t="s">
        <v>99</v>
      </c>
      <c r="G355" s="99" t="s">
        <v>4108</v>
      </c>
      <c r="H355" s="10" t="s">
        <v>3621</v>
      </c>
      <c r="I355" s="12"/>
      <c r="J355" s="12">
        <v>45519</v>
      </c>
      <c r="K355" s="77">
        <v>45636</v>
      </c>
      <c r="L355" s="50"/>
      <c r="M355" s="13" t="str">
        <f t="shared" ca="1" si="11"/>
        <v>CLOSED</v>
      </c>
      <c r="N355" s="415">
        <f>+Table2[[#This Row],[Effectiveness Review &amp; date deemed effective]]-Table2[[#This Row],[CAR initialized date]]</f>
        <v>117</v>
      </c>
    </row>
    <row r="356" spans="1:14" s="309" customFormat="1" ht="18" hidden="1" x14ac:dyDescent="0.3">
      <c r="A356" s="235" t="s">
        <v>157</v>
      </c>
      <c r="B356" s="236">
        <f>VLOOKUP(Table2[[#This Row],[Location 
(drop-down)]],'List source'!D$2:E$60,2,FALSE)</f>
        <v>136</v>
      </c>
      <c r="C356" s="248" t="s">
        <v>1159</v>
      </c>
      <c r="D356" s="249" t="str">
        <f t="shared" si="10"/>
        <v>C355-136-24</v>
      </c>
      <c r="E356" s="248" t="s">
        <v>3783</v>
      </c>
      <c r="F356" s="248" t="s">
        <v>99</v>
      </c>
      <c r="G356" s="235" t="s">
        <v>4109</v>
      </c>
      <c r="H356" s="263" t="s">
        <v>3737</v>
      </c>
      <c r="I356" s="264" t="s">
        <v>195</v>
      </c>
      <c r="J356" s="264">
        <v>45527</v>
      </c>
      <c r="K356" s="250">
        <v>45677</v>
      </c>
      <c r="L356" s="435"/>
      <c r="M356" s="13" t="str">
        <f t="shared" ca="1" si="11"/>
        <v>CLOSED</v>
      </c>
      <c r="N356" s="415">
        <f>+Table2[[#This Row],[Effectiveness Review &amp; date deemed effective]]-Table2[[#This Row],[CAR initialized date]]</f>
        <v>150</v>
      </c>
    </row>
    <row r="357" spans="1:14" ht="18" hidden="1" x14ac:dyDescent="0.3">
      <c r="A357" s="9" t="s">
        <v>166</v>
      </c>
      <c r="B357" s="13">
        <f>VLOOKUP(Table2[[#This Row],[Location 
(drop-down)]],'List source'!D$2:E$60,2,FALSE)</f>
        <v>198</v>
      </c>
      <c r="C357" s="11" t="s">
        <v>1162</v>
      </c>
      <c r="D357" s="108" t="str">
        <f t="shared" si="10"/>
        <v>C356-198-24</v>
      </c>
      <c r="E357" s="11" t="s">
        <v>3740</v>
      </c>
      <c r="F357" s="11"/>
      <c r="G357" s="9" t="s">
        <v>4110</v>
      </c>
      <c r="H357" s="10" t="s">
        <v>3621</v>
      </c>
      <c r="I357" s="12" t="s">
        <v>49</v>
      </c>
      <c r="J357" s="12">
        <v>45530</v>
      </c>
      <c r="K357" s="77">
        <v>45597</v>
      </c>
      <c r="L357" s="50"/>
      <c r="M357" s="13" t="str">
        <f t="shared" ca="1" si="11"/>
        <v>CLOSED</v>
      </c>
      <c r="N357" s="415">
        <f>+Table2[[#This Row],[Effectiveness Review &amp; date deemed effective]]-Table2[[#This Row],[CAR initialized date]]</f>
        <v>67</v>
      </c>
    </row>
    <row r="358" spans="1:14" ht="18" hidden="1" x14ac:dyDescent="0.3">
      <c r="A358" s="9" t="s">
        <v>166</v>
      </c>
      <c r="B358" s="13">
        <f>VLOOKUP(Table2[[#This Row],[Location 
(drop-down)]],'List source'!D$2:E$60,2,FALSE)</f>
        <v>198</v>
      </c>
      <c r="C358" s="11" t="s">
        <v>1164</v>
      </c>
      <c r="D358" s="108" t="str">
        <f t="shared" si="10"/>
        <v>C357-198-24</v>
      </c>
      <c r="E358" s="11" t="s">
        <v>3740</v>
      </c>
      <c r="F358" s="11"/>
      <c r="G358" s="9" t="s">
        <v>4111</v>
      </c>
      <c r="H358" s="10" t="s">
        <v>3621</v>
      </c>
      <c r="I358" s="12" t="s">
        <v>49</v>
      </c>
      <c r="J358" s="12">
        <v>45530</v>
      </c>
      <c r="K358" s="77">
        <v>45762</v>
      </c>
      <c r="L358" s="50"/>
      <c r="M358" s="13" t="str">
        <f t="shared" ca="1" si="11"/>
        <v>CLOSED</v>
      </c>
      <c r="N358" s="415">
        <f>+Table2[[#This Row],[Effectiveness Review &amp; date deemed effective]]-Table2[[#This Row],[CAR initialized date]]</f>
        <v>232</v>
      </c>
    </row>
    <row r="359" spans="1:14" ht="18" hidden="1" x14ac:dyDescent="0.3">
      <c r="A359" s="9" t="s">
        <v>166</v>
      </c>
      <c r="B359" s="13">
        <f>VLOOKUP(Table2[[#This Row],[Location 
(drop-down)]],'List source'!D$2:E$60,2,FALSE)</f>
        <v>198</v>
      </c>
      <c r="C359" s="11" t="s">
        <v>1166</v>
      </c>
      <c r="D359" s="108" t="str">
        <f t="shared" si="10"/>
        <v>C358-198-24</v>
      </c>
      <c r="E359" s="11" t="s">
        <v>3740</v>
      </c>
      <c r="F359" s="11"/>
      <c r="G359" s="9" t="s">
        <v>3788</v>
      </c>
      <c r="H359" s="10" t="s">
        <v>3621</v>
      </c>
      <c r="I359" s="12" t="s">
        <v>49</v>
      </c>
      <c r="J359" s="12">
        <v>45530</v>
      </c>
      <c r="K359" s="77">
        <v>45749</v>
      </c>
      <c r="L359" s="50"/>
      <c r="M359" s="13" t="str">
        <f t="shared" ca="1" si="11"/>
        <v>CLOSED</v>
      </c>
      <c r="N359" s="415">
        <f>+Table2[[#This Row],[Effectiveness Review &amp; date deemed effective]]-Table2[[#This Row],[CAR initialized date]]</f>
        <v>219</v>
      </c>
    </row>
    <row r="360" spans="1:14" ht="18" hidden="1" x14ac:dyDescent="0.3">
      <c r="A360" s="9" t="s">
        <v>166</v>
      </c>
      <c r="B360" s="13">
        <f>VLOOKUP(Table2[[#This Row],[Location 
(drop-down)]],'List source'!D$2:E$60,2,FALSE)</f>
        <v>198</v>
      </c>
      <c r="C360" s="11" t="s">
        <v>1168</v>
      </c>
      <c r="D360" s="108" t="str">
        <f t="shared" si="10"/>
        <v>C359-198-24</v>
      </c>
      <c r="E360" s="11" t="s">
        <v>3740</v>
      </c>
      <c r="F360" s="11"/>
      <c r="G360" s="99" t="s">
        <v>3899</v>
      </c>
      <c r="H360" s="10" t="s">
        <v>3621</v>
      </c>
      <c r="I360" s="12" t="s">
        <v>49</v>
      </c>
      <c r="J360" s="12">
        <v>45530</v>
      </c>
      <c r="K360" s="77">
        <v>45636</v>
      </c>
      <c r="L360" s="50"/>
      <c r="M360" s="13" t="str">
        <f t="shared" ca="1" si="11"/>
        <v>CLOSED</v>
      </c>
      <c r="N360" s="415">
        <f>+Table2[[#This Row],[Effectiveness Review &amp; date deemed effective]]-Table2[[#This Row],[CAR initialized date]]</f>
        <v>106</v>
      </c>
    </row>
    <row r="361" spans="1:14" ht="18" hidden="1" x14ac:dyDescent="0.3">
      <c r="A361" s="9" t="s">
        <v>166</v>
      </c>
      <c r="B361" s="13">
        <f>VLOOKUP(Table2[[#This Row],[Location 
(drop-down)]],'List source'!D$2:E$60,2,FALSE)</f>
        <v>198</v>
      </c>
      <c r="C361" s="11" t="s">
        <v>1170</v>
      </c>
      <c r="D361" s="108" t="str">
        <f t="shared" si="10"/>
        <v>C360-198-24</v>
      </c>
      <c r="E361" s="11" t="s">
        <v>3740</v>
      </c>
      <c r="F361" s="11"/>
      <c r="G361" s="99" t="s">
        <v>4112</v>
      </c>
      <c r="H361" s="10" t="s">
        <v>3621</v>
      </c>
      <c r="I361" s="12" t="s">
        <v>49</v>
      </c>
      <c r="J361" s="12">
        <v>45530</v>
      </c>
      <c r="K361" s="77">
        <v>45637</v>
      </c>
      <c r="L361" s="50"/>
      <c r="M361" s="13" t="str">
        <f t="shared" ca="1" si="11"/>
        <v>CLOSED</v>
      </c>
      <c r="N361" s="415">
        <f>+Table2[[#This Row],[Effectiveness Review &amp; date deemed effective]]-Table2[[#This Row],[CAR initialized date]]</f>
        <v>107</v>
      </c>
    </row>
    <row r="362" spans="1:14" ht="18" hidden="1" x14ac:dyDescent="0.3">
      <c r="A362" s="9" t="s">
        <v>310</v>
      </c>
      <c r="B362" s="13">
        <f>VLOOKUP(Table2[[#This Row],[Location 
(drop-down)]],'List source'!D$2:E$60,2,FALSE)</f>
        <v>144</v>
      </c>
      <c r="C362" s="11" t="s">
        <v>1172</v>
      </c>
      <c r="D362" s="108" t="str">
        <f t="shared" si="10"/>
        <v>C361-144-24</v>
      </c>
      <c r="E362" s="11" t="s">
        <v>3740</v>
      </c>
      <c r="F362" s="11"/>
      <c r="G362" s="9" t="s">
        <v>4113</v>
      </c>
      <c r="H362" s="10" t="s">
        <v>3737</v>
      </c>
      <c r="I362" s="12" t="s">
        <v>41</v>
      </c>
      <c r="J362" s="12">
        <v>45531</v>
      </c>
      <c r="K362" s="77">
        <v>45866</v>
      </c>
      <c r="L362" s="50"/>
      <c r="M362" s="13" t="str">
        <f t="shared" ca="1" si="11"/>
        <v>CLOSED</v>
      </c>
      <c r="N362" s="415">
        <f>+Table2[[#This Row],[Effectiveness Review &amp; date deemed effective]]-Table2[[#This Row],[CAR initialized date]]</f>
        <v>335</v>
      </c>
    </row>
    <row r="363" spans="1:14" ht="18" hidden="1" x14ac:dyDescent="0.3">
      <c r="A363" s="9" t="s">
        <v>310</v>
      </c>
      <c r="B363" s="13">
        <f>VLOOKUP(Table2[[#This Row],[Location 
(drop-down)]],'List source'!D$2:E$60,2,FALSE)</f>
        <v>144</v>
      </c>
      <c r="C363" s="11" t="s">
        <v>1175</v>
      </c>
      <c r="D363" s="108" t="str">
        <f t="shared" si="10"/>
        <v>C362-144-24</v>
      </c>
      <c r="E363" s="11" t="s">
        <v>3740</v>
      </c>
      <c r="F363" s="11"/>
      <c r="G363" s="9" t="s">
        <v>4114</v>
      </c>
      <c r="H363" s="10" t="s">
        <v>3737</v>
      </c>
      <c r="I363" s="12" t="s">
        <v>41</v>
      </c>
      <c r="J363" s="12">
        <v>45531</v>
      </c>
      <c r="K363" s="77">
        <v>45866</v>
      </c>
      <c r="L363" s="50"/>
      <c r="M363" s="13" t="str">
        <f t="shared" ca="1" si="11"/>
        <v>CLOSED</v>
      </c>
      <c r="N363" s="415">
        <f>+Table2[[#This Row],[Effectiveness Review &amp; date deemed effective]]-Table2[[#This Row],[CAR initialized date]]</f>
        <v>335</v>
      </c>
    </row>
    <row r="364" spans="1:14" ht="18" hidden="1" x14ac:dyDescent="0.3">
      <c r="A364" s="9" t="s">
        <v>310</v>
      </c>
      <c r="B364" s="13">
        <f>VLOOKUP(Table2[[#This Row],[Location 
(drop-down)]],'List source'!D$2:E$60,2,FALSE)</f>
        <v>144</v>
      </c>
      <c r="C364" s="11" t="s">
        <v>1176</v>
      </c>
      <c r="D364" s="108" t="str">
        <f t="shared" si="10"/>
        <v>C363-144-24</v>
      </c>
      <c r="E364" s="11" t="s">
        <v>3740</v>
      </c>
      <c r="F364" s="11"/>
      <c r="G364" s="9" t="s">
        <v>4115</v>
      </c>
      <c r="H364" s="10" t="s">
        <v>3737</v>
      </c>
      <c r="I364" s="12" t="s">
        <v>41</v>
      </c>
      <c r="J364" s="12">
        <v>45531</v>
      </c>
      <c r="K364" s="77">
        <v>45688</v>
      </c>
      <c r="L364" s="50"/>
      <c r="M364" s="13" t="str">
        <f t="shared" ca="1" si="11"/>
        <v>CLOSED</v>
      </c>
      <c r="N364" s="415">
        <f>+Table2[[#This Row],[Effectiveness Review &amp; date deemed effective]]-Table2[[#This Row],[CAR initialized date]]</f>
        <v>157</v>
      </c>
    </row>
    <row r="365" spans="1:14" ht="18" hidden="1" x14ac:dyDescent="0.3">
      <c r="A365" s="9" t="s">
        <v>310</v>
      </c>
      <c r="B365" s="13">
        <f>VLOOKUP(Table2[[#This Row],[Location 
(drop-down)]],'List source'!D$2:E$60,2,FALSE)</f>
        <v>144</v>
      </c>
      <c r="C365" s="11" t="s">
        <v>1179</v>
      </c>
      <c r="D365" s="108" t="str">
        <f t="shared" si="10"/>
        <v>C364-144-24</v>
      </c>
      <c r="E365" s="11" t="s">
        <v>3740</v>
      </c>
      <c r="F365" s="11"/>
      <c r="G365" s="9" t="s">
        <v>4116</v>
      </c>
      <c r="H365" s="10" t="s">
        <v>3737</v>
      </c>
      <c r="I365" s="12" t="s">
        <v>41</v>
      </c>
      <c r="J365" s="12">
        <v>45531</v>
      </c>
      <c r="K365" s="77">
        <v>45582</v>
      </c>
      <c r="L365" s="50"/>
      <c r="M365" s="13" t="str">
        <f t="shared" ca="1" si="11"/>
        <v>CLOSED</v>
      </c>
      <c r="N365" s="415">
        <f>+Table2[[#This Row],[Effectiveness Review &amp; date deemed effective]]-Table2[[#This Row],[CAR initialized date]]</f>
        <v>51</v>
      </c>
    </row>
    <row r="366" spans="1:14" ht="18" hidden="1" x14ac:dyDescent="0.3">
      <c r="A366" s="9" t="s">
        <v>310</v>
      </c>
      <c r="B366" s="13">
        <f>VLOOKUP(Table2[[#This Row],[Location 
(drop-down)]],'List source'!D$2:E$60,2,FALSE)</f>
        <v>144</v>
      </c>
      <c r="C366" s="11" t="s">
        <v>1181</v>
      </c>
      <c r="D366" s="108" t="str">
        <f t="shared" si="10"/>
        <v>C365-144-24</v>
      </c>
      <c r="E366" s="11" t="s">
        <v>3740</v>
      </c>
      <c r="F366" s="11"/>
      <c r="G366" s="9" t="s">
        <v>4117</v>
      </c>
      <c r="H366" s="10" t="s">
        <v>3621</v>
      </c>
      <c r="I366" s="12" t="s">
        <v>41</v>
      </c>
      <c r="J366" s="12">
        <v>45531</v>
      </c>
      <c r="K366" s="77">
        <v>45582</v>
      </c>
      <c r="L366" s="50"/>
      <c r="M366" s="13" t="str">
        <f t="shared" ca="1" si="11"/>
        <v>CLOSED</v>
      </c>
      <c r="N366" s="415">
        <f>+Table2[[#This Row],[Effectiveness Review &amp; date deemed effective]]-Table2[[#This Row],[CAR initialized date]]</f>
        <v>51</v>
      </c>
    </row>
    <row r="367" spans="1:14" ht="18" hidden="1" x14ac:dyDescent="0.3">
      <c r="A367" s="9" t="s">
        <v>310</v>
      </c>
      <c r="B367" s="13">
        <f>VLOOKUP(Table2[[#This Row],[Location 
(drop-down)]],'List source'!D$2:E$60,2,FALSE)</f>
        <v>144</v>
      </c>
      <c r="C367" s="11" t="s">
        <v>1183</v>
      </c>
      <c r="D367" s="108" t="str">
        <f t="shared" si="10"/>
        <v>C366-144-24</v>
      </c>
      <c r="E367" s="11" t="s">
        <v>3740</v>
      </c>
      <c r="F367" s="11"/>
      <c r="G367" s="9" t="s">
        <v>4118</v>
      </c>
      <c r="H367" s="10" t="s">
        <v>3621</v>
      </c>
      <c r="I367" s="12" t="s">
        <v>41</v>
      </c>
      <c r="J367" s="12">
        <v>45531</v>
      </c>
      <c r="K367" s="77">
        <v>45582</v>
      </c>
      <c r="L367" s="50"/>
      <c r="M367" s="13" t="str">
        <f t="shared" ca="1" si="11"/>
        <v>CLOSED</v>
      </c>
      <c r="N367" s="415">
        <f>+Table2[[#This Row],[Effectiveness Review &amp; date deemed effective]]-Table2[[#This Row],[CAR initialized date]]</f>
        <v>51</v>
      </c>
    </row>
    <row r="368" spans="1:14" ht="18" hidden="1" x14ac:dyDescent="0.3">
      <c r="A368" s="9" t="s">
        <v>310</v>
      </c>
      <c r="B368" s="13">
        <f>VLOOKUP(Table2[[#This Row],[Location 
(drop-down)]],'List source'!D$2:E$60,2,FALSE)</f>
        <v>144</v>
      </c>
      <c r="C368" s="11" t="s">
        <v>1185</v>
      </c>
      <c r="D368" s="108" t="str">
        <f t="shared" si="10"/>
        <v>C367-144-24</v>
      </c>
      <c r="E368" s="11" t="s">
        <v>3740</v>
      </c>
      <c r="F368" s="11"/>
      <c r="G368" s="9" t="s">
        <v>4119</v>
      </c>
      <c r="H368" s="10" t="s">
        <v>3621</v>
      </c>
      <c r="I368" s="12" t="s">
        <v>41</v>
      </c>
      <c r="J368" s="12">
        <v>45531</v>
      </c>
      <c r="K368" s="77">
        <v>45805</v>
      </c>
      <c r="L368" s="50"/>
      <c r="M368" s="13" t="str">
        <f t="shared" ca="1" si="11"/>
        <v>CLOSED</v>
      </c>
      <c r="N368" s="415">
        <f>+Table2[[#This Row],[Effectiveness Review &amp; date deemed effective]]-Table2[[#This Row],[CAR initialized date]]</f>
        <v>274</v>
      </c>
    </row>
    <row r="369" spans="1:14" ht="18" hidden="1" x14ac:dyDescent="0.3">
      <c r="A369" s="9" t="s">
        <v>310</v>
      </c>
      <c r="B369" s="13">
        <f>VLOOKUP(Table2[[#This Row],[Location 
(drop-down)]],'List source'!D$2:E$60,2,FALSE)</f>
        <v>144</v>
      </c>
      <c r="C369" s="11" t="s">
        <v>1188</v>
      </c>
      <c r="D369" s="108" t="str">
        <f t="shared" si="10"/>
        <v>C368-144-24</v>
      </c>
      <c r="E369" s="11" t="s">
        <v>3740</v>
      </c>
      <c r="F369" s="11"/>
      <c r="G369" s="9" t="s">
        <v>4120</v>
      </c>
      <c r="H369" s="10" t="s">
        <v>3621</v>
      </c>
      <c r="I369" s="12" t="s">
        <v>41</v>
      </c>
      <c r="J369" s="12">
        <v>45531</v>
      </c>
      <c r="K369" s="77">
        <v>45586</v>
      </c>
      <c r="L369" s="50"/>
      <c r="M369" s="13" t="str">
        <f t="shared" ca="1" si="11"/>
        <v>CLOSED</v>
      </c>
      <c r="N369" s="415">
        <f>+Table2[[#This Row],[Effectiveness Review &amp; date deemed effective]]-Table2[[#This Row],[CAR initialized date]]</f>
        <v>55</v>
      </c>
    </row>
    <row r="370" spans="1:14" ht="18" hidden="1" x14ac:dyDescent="0.3">
      <c r="A370" s="9" t="s">
        <v>310</v>
      </c>
      <c r="B370" s="13">
        <f>VLOOKUP(Table2[[#This Row],[Location 
(drop-down)]],'List source'!D$2:E$60,2,FALSE)</f>
        <v>144</v>
      </c>
      <c r="C370" s="11" t="s">
        <v>1190</v>
      </c>
      <c r="D370" s="108" t="str">
        <f t="shared" si="10"/>
        <v>C369-144-24</v>
      </c>
      <c r="E370" s="11" t="s">
        <v>3740</v>
      </c>
      <c r="F370" s="11"/>
      <c r="G370" s="9" t="s">
        <v>4121</v>
      </c>
      <c r="H370" s="10" t="s">
        <v>3621</v>
      </c>
      <c r="I370" s="12" t="s">
        <v>41</v>
      </c>
      <c r="J370" s="12">
        <v>45531</v>
      </c>
      <c r="K370" s="77">
        <v>45605</v>
      </c>
      <c r="L370" s="50"/>
      <c r="M370" s="13" t="str">
        <f t="shared" ca="1" si="11"/>
        <v>CLOSED</v>
      </c>
      <c r="N370" s="415">
        <f>+Table2[[#This Row],[Effectiveness Review &amp; date deemed effective]]-Table2[[#This Row],[CAR initialized date]]</f>
        <v>74</v>
      </c>
    </row>
    <row r="371" spans="1:14" ht="18" hidden="1" x14ac:dyDescent="0.3">
      <c r="A371" s="9" t="s">
        <v>310</v>
      </c>
      <c r="B371" s="13">
        <f>VLOOKUP(Table2[[#This Row],[Location 
(drop-down)]],'List source'!D$2:E$60,2,FALSE)</f>
        <v>144</v>
      </c>
      <c r="C371" s="11" t="s">
        <v>1192</v>
      </c>
      <c r="D371" s="108" t="str">
        <f t="shared" si="10"/>
        <v>C370-144-24</v>
      </c>
      <c r="E371" s="11" t="s">
        <v>3740</v>
      </c>
      <c r="F371" s="11"/>
      <c r="G371" s="9" t="s">
        <v>4122</v>
      </c>
      <c r="H371" s="10" t="s">
        <v>3621</v>
      </c>
      <c r="I371" s="12" t="s">
        <v>41</v>
      </c>
      <c r="J371" s="12">
        <v>45531</v>
      </c>
      <c r="K371" s="77">
        <v>45800</v>
      </c>
      <c r="L371" s="50"/>
      <c r="M371" s="13" t="str">
        <f t="shared" ca="1" si="11"/>
        <v>CLOSED</v>
      </c>
      <c r="N371" s="415">
        <f>+Table2[[#This Row],[Effectiveness Review &amp; date deemed effective]]-Table2[[#This Row],[CAR initialized date]]</f>
        <v>269</v>
      </c>
    </row>
    <row r="372" spans="1:14" ht="18" hidden="1" x14ac:dyDescent="0.3">
      <c r="A372" s="9" t="s">
        <v>310</v>
      </c>
      <c r="B372" s="13">
        <f>VLOOKUP(Table2[[#This Row],[Location 
(drop-down)]],'List source'!D$2:E$60,2,FALSE)</f>
        <v>144</v>
      </c>
      <c r="C372" s="11" t="s">
        <v>1194</v>
      </c>
      <c r="D372" s="108" t="str">
        <f t="shared" si="10"/>
        <v>C371-144-24</v>
      </c>
      <c r="E372" s="11" t="s">
        <v>3740</v>
      </c>
      <c r="F372" s="11"/>
      <c r="G372" s="91" t="s">
        <v>4123</v>
      </c>
      <c r="H372" s="10" t="s">
        <v>3621</v>
      </c>
      <c r="I372" s="12" t="s">
        <v>41</v>
      </c>
      <c r="J372" s="12">
        <v>45531</v>
      </c>
      <c r="K372" s="77">
        <v>45924</v>
      </c>
      <c r="L372" s="50"/>
      <c r="M372" s="13" t="str">
        <f t="shared" ca="1" si="11"/>
        <v>CLOSED</v>
      </c>
      <c r="N372" s="415">
        <f>+Table2[[#This Row],[Effectiveness Review &amp; date deemed effective]]-Table2[[#This Row],[CAR initialized date]]</f>
        <v>393</v>
      </c>
    </row>
    <row r="373" spans="1:14" ht="34.950000000000003" customHeight="1" x14ac:dyDescent="0.3">
      <c r="A373" s="189" t="s">
        <v>310</v>
      </c>
      <c r="B373" s="217">
        <f>VLOOKUP(Table2[[#This Row],[Location 
(drop-down)]],'List source'!D$2:E$60,2,FALSE)</f>
        <v>144</v>
      </c>
      <c r="C373" s="218" t="s">
        <v>1196</v>
      </c>
      <c r="D373" s="219" t="str">
        <f t="shared" si="10"/>
        <v>C372-144-24</v>
      </c>
      <c r="E373" s="11" t="s">
        <v>3740</v>
      </c>
      <c r="F373" s="11"/>
      <c r="G373" s="9" t="s">
        <v>4063</v>
      </c>
      <c r="H373" s="10" t="s">
        <v>3785</v>
      </c>
      <c r="I373" s="12" t="s">
        <v>41</v>
      </c>
      <c r="J373" s="12">
        <v>45531</v>
      </c>
      <c r="K373" s="220"/>
      <c r="L373" s="50"/>
      <c r="M373" s="13">
        <f t="shared" ca="1" si="11"/>
        <v>534</v>
      </c>
      <c r="N373" s="415">
        <f>+Table2[[#This Row],[Effectiveness Review &amp; date deemed effective]]-Table2[[#This Row],[CAR initialized date]]</f>
        <v>-45531</v>
      </c>
    </row>
    <row r="374" spans="1:14" ht="18" hidden="1" x14ac:dyDescent="0.3">
      <c r="A374" s="9" t="s">
        <v>310</v>
      </c>
      <c r="B374" s="13">
        <f>VLOOKUP(Table2[[#This Row],[Location 
(drop-down)]],'List source'!D$2:E$60,2,FALSE)</f>
        <v>144</v>
      </c>
      <c r="C374" s="11" t="s">
        <v>1198</v>
      </c>
      <c r="D374" s="108" t="str">
        <f t="shared" si="10"/>
        <v>C373-144-24</v>
      </c>
      <c r="E374" s="11" t="s">
        <v>3740</v>
      </c>
      <c r="F374" s="11"/>
      <c r="G374" s="9" t="s">
        <v>4124</v>
      </c>
      <c r="H374" s="10" t="s">
        <v>3621</v>
      </c>
      <c r="I374" s="12" t="s">
        <v>41</v>
      </c>
      <c r="J374" s="12">
        <v>45531</v>
      </c>
      <c r="K374" s="77">
        <v>45868</v>
      </c>
      <c r="L374" s="50"/>
      <c r="M374" s="13" t="str">
        <f t="shared" ca="1" si="11"/>
        <v>CLOSED</v>
      </c>
      <c r="N374" s="415">
        <f>+Table2[[#This Row],[Effectiveness Review &amp; date deemed effective]]-Table2[[#This Row],[CAR initialized date]]</f>
        <v>337</v>
      </c>
    </row>
    <row r="375" spans="1:14" ht="18" hidden="1" x14ac:dyDescent="0.3">
      <c r="A375" s="9" t="s">
        <v>310</v>
      </c>
      <c r="B375" s="13">
        <f>VLOOKUP(Table2[[#This Row],[Location 
(drop-down)]],'List source'!D$2:E$60,2,FALSE)</f>
        <v>144</v>
      </c>
      <c r="C375" s="11" t="s">
        <v>1200</v>
      </c>
      <c r="D375" s="108" t="str">
        <f t="shared" si="10"/>
        <v>C374-144-24</v>
      </c>
      <c r="E375" s="11" t="s">
        <v>3740</v>
      </c>
      <c r="F375" s="11"/>
      <c r="G375" s="9" t="s">
        <v>4125</v>
      </c>
      <c r="H375" s="10" t="s">
        <v>3621</v>
      </c>
      <c r="I375" s="12" t="s">
        <v>41</v>
      </c>
      <c r="J375" s="12">
        <v>45531</v>
      </c>
      <c r="K375" s="77">
        <v>45586</v>
      </c>
      <c r="L375" s="50"/>
      <c r="M375" s="13" t="str">
        <f t="shared" ca="1" si="11"/>
        <v>CLOSED</v>
      </c>
      <c r="N375" s="415">
        <f>+Table2[[#This Row],[Effectiveness Review &amp; date deemed effective]]-Table2[[#This Row],[CAR initialized date]]</f>
        <v>55</v>
      </c>
    </row>
    <row r="376" spans="1:14" ht="28.8" hidden="1" x14ac:dyDescent="0.3">
      <c r="A376" s="9" t="s">
        <v>21</v>
      </c>
      <c r="B376" s="13">
        <f>VLOOKUP(Table2[[#This Row],[Location 
(drop-down)]],'List source'!D$2:E$60,2,FALSE)</f>
        <v>131</v>
      </c>
      <c r="C376" s="11" t="s">
        <v>1202</v>
      </c>
      <c r="D376" s="108" t="str">
        <f t="shared" si="10"/>
        <v>C375-131-24</v>
      </c>
      <c r="E376" s="11" t="s">
        <v>3770</v>
      </c>
      <c r="F376" s="11"/>
      <c r="G376" s="9" t="s">
        <v>4126</v>
      </c>
      <c r="H376" s="10" t="s">
        <v>3621</v>
      </c>
      <c r="I376" s="12" t="s">
        <v>49</v>
      </c>
      <c r="J376" s="12">
        <v>45532</v>
      </c>
      <c r="K376" s="77">
        <v>45910</v>
      </c>
      <c r="L376" s="50"/>
      <c r="M376" s="13" t="str">
        <f t="shared" ca="1" si="11"/>
        <v>CLOSED</v>
      </c>
      <c r="N376" s="415">
        <f>+Table2[[#This Row],[Effectiveness Review &amp; date deemed effective]]-Table2[[#This Row],[CAR initialized date]]</f>
        <v>378</v>
      </c>
    </row>
    <row r="377" spans="1:14" ht="18" hidden="1" x14ac:dyDescent="0.3">
      <c r="A377" s="9" t="s">
        <v>288</v>
      </c>
      <c r="B377" s="13">
        <f>VLOOKUP(Table2[[#This Row],[Location 
(drop-down)]],'List source'!D$2:E$60,2,FALSE)</f>
        <v>197</v>
      </c>
      <c r="C377" s="11" t="s">
        <v>1205</v>
      </c>
      <c r="D377" s="108" t="str">
        <f t="shared" si="10"/>
        <v>C376-197-24</v>
      </c>
      <c r="E377" s="11" t="s">
        <v>3740</v>
      </c>
      <c r="F377" s="11"/>
      <c r="G377" s="9" t="s">
        <v>4127</v>
      </c>
      <c r="H377" s="10" t="s">
        <v>3621</v>
      </c>
      <c r="I377" s="12" t="s">
        <v>41</v>
      </c>
      <c r="J377" s="12">
        <v>45533</v>
      </c>
      <c r="K377" s="77">
        <v>45588</v>
      </c>
      <c r="L377" s="50"/>
      <c r="M377" s="13" t="str">
        <f t="shared" ca="1" si="11"/>
        <v>CLOSED</v>
      </c>
      <c r="N377" s="415">
        <f>+Table2[[#This Row],[Effectiveness Review &amp; date deemed effective]]-Table2[[#This Row],[CAR initialized date]]</f>
        <v>55</v>
      </c>
    </row>
    <row r="378" spans="1:14" ht="18" hidden="1" x14ac:dyDescent="0.3">
      <c r="A378" s="9" t="s">
        <v>288</v>
      </c>
      <c r="B378" s="13">
        <f>VLOOKUP(Table2[[#This Row],[Location 
(drop-down)]],'List source'!D$2:E$60,2,FALSE)</f>
        <v>197</v>
      </c>
      <c r="C378" s="11" t="s">
        <v>1207</v>
      </c>
      <c r="D378" s="108" t="str">
        <f t="shared" si="10"/>
        <v>C377-197-24</v>
      </c>
      <c r="E378" s="11" t="s">
        <v>3740</v>
      </c>
      <c r="F378" s="11"/>
      <c r="G378" s="9" t="s">
        <v>4128</v>
      </c>
      <c r="H378" s="10" t="s">
        <v>3621</v>
      </c>
      <c r="I378" s="12" t="s">
        <v>41</v>
      </c>
      <c r="J378" s="12">
        <v>45533</v>
      </c>
      <c r="K378" s="77">
        <v>45840</v>
      </c>
      <c r="L378" s="50"/>
      <c r="M378" s="13" t="str">
        <f t="shared" ca="1" si="11"/>
        <v>CLOSED</v>
      </c>
      <c r="N378" s="415">
        <f>+Table2[[#This Row],[Effectiveness Review &amp; date deemed effective]]-Table2[[#This Row],[CAR initialized date]]</f>
        <v>307</v>
      </c>
    </row>
    <row r="379" spans="1:14" ht="28.8" hidden="1" x14ac:dyDescent="0.3">
      <c r="A379" s="9" t="s">
        <v>288</v>
      </c>
      <c r="B379" s="13">
        <f>VLOOKUP(Table2[[#This Row],[Location 
(drop-down)]],'List source'!D$2:E$60,2,FALSE)</f>
        <v>197</v>
      </c>
      <c r="C379" s="11" t="s">
        <v>1211</v>
      </c>
      <c r="D379" s="108" t="str">
        <f t="shared" si="10"/>
        <v>C378-197-24</v>
      </c>
      <c r="E379" s="11" t="s">
        <v>3740</v>
      </c>
      <c r="F379" s="11"/>
      <c r="G379" s="9" t="s">
        <v>4129</v>
      </c>
      <c r="H379" s="10" t="s">
        <v>3621</v>
      </c>
      <c r="I379" s="12" t="s">
        <v>41</v>
      </c>
      <c r="J379" s="12">
        <v>45533</v>
      </c>
      <c r="K379" s="77">
        <v>46034</v>
      </c>
      <c r="L379" s="50" t="s">
        <v>4130</v>
      </c>
      <c r="M379" s="13" t="str">
        <f t="shared" ca="1" si="11"/>
        <v>CLOSED</v>
      </c>
      <c r="N379" s="415">
        <f>+Table2[[#This Row],[Effectiveness Review &amp; date deemed effective]]-Table2[[#This Row],[CAR initialized date]]</f>
        <v>501</v>
      </c>
    </row>
    <row r="380" spans="1:14" ht="18" hidden="1" x14ac:dyDescent="0.3">
      <c r="A380" s="9" t="s">
        <v>288</v>
      </c>
      <c r="B380" s="13">
        <f>VLOOKUP(Table2[[#This Row],[Location 
(drop-down)]],'List source'!D$2:E$60,2,FALSE)</f>
        <v>197</v>
      </c>
      <c r="C380" s="11" t="s">
        <v>1214</v>
      </c>
      <c r="D380" s="108" t="str">
        <f t="shared" si="10"/>
        <v>C379-197-24</v>
      </c>
      <c r="E380" s="11" t="s">
        <v>3740</v>
      </c>
      <c r="F380" s="11"/>
      <c r="G380" s="9" t="s">
        <v>3869</v>
      </c>
      <c r="H380" s="10" t="s">
        <v>3621</v>
      </c>
      <c r="I380" s="12" t="s">
        <v>41</v>
      </c>
      <c r="J380" s="12">
        <v>45533</v>
      </c>
      <c r="K380" s="77">
        <v>45644</v>
      </c>
      <c r="L380" s="50"/>
      <c r="M380" s="13" t="str">
        <f t="shared" ca="1" si="11"/>
        <v>CLOSED</v>
      </c>
      <c r="N380" s="415">
        <f>+Table2[[#This Row],[Effectiveness Review &amp; date deemed effective]]-Table2[[#This Row],[CAR initialized date]]</f>
        <v>111</v>
      </c>
    </row>
    <row r="381" spans="1:14" ht="18" hidden="1" x14ac:dyDescent="0.3">
      <c r="A381" s="9" t="s">
        <v>288</v>
      </c>
      <c r="B381" s="13">
        <f>VLOOKUP(Table2[[#This Row],[Location 
(drop-down)]],'List source'!D$2:E$60,2,FALSE)</f>
        <v>197</v>
      </c>
      <c r="C381" s="11" t="s">
        <v>1216</v>
      </c>
      <c r="D381" s="108" t="str">
        <f t="shared" si="10"/>
        <v>C380-197-24</v>
      </c>
      <c r="E381" s="11" t="s">
        <v>3740</v>
      </c>
      <c r="F381" s="11"/>
      <c r="G381" s="9" t="s">
        <v>4131</v>
      </c>
      <c r="H381" s="10" t="s">
        <v>3621</v>
      </c>
      <c r="I381" s="12" t="s">
        <v>41</v>
      </c>
      <c r="J381" s="12">
        <v>45533</v>
      </c>
      <c r="K381" s="77">
        <v>45659</v>
      </c>
      <c r="L381" s="50"/>
      <c r="M381" s="13" t="str">
        <f t="shared" ca="1" si="11"/>
        <v>CLOSED</v>
      </c>
      <c r="N381" s="415">
        <f>+Table2[[#This Row],[Effectiveness Review &amp; date deemed effective]]-Table2[[#This Row],[CAR initialized date]]</f>
        <v>126</v>
      </c>
    </row>
    <row r="382" spans="1:14" ht="18" hidden="1" x14ac:dyDescent="0.3">
      <c r="A382" s="9" t="s">
        <v>288</v>
      </c>
      <c r="B382" s="13">
        <f>VLOOKUP(Table2[[#This Row],[Location 
(drop-down)]],'List source'!D$2:E$60,2,FALSE)</f>
        <v>197</v>
      </c>
      <c r="C382" s="11" t="s">
        <v>1219</v>
      </c>
      <c r="D382" s="108" t="str">
        <f t="shared" si="10"/>
        <v>C381-197-24</v>
      </c>
      <c r="E382" s="11" t="s">
        <v>3740</v>
      </c>
      <c r="F382" s="11"/>
      <c r="G382" s="9" t="s">
        <v>4132</v>
      </c>
      <c r="H382" s="10" t="s">
        <v>3621</v>
      </c>
      <c r="I382" s="12" t="s">
        <v>41</v>
      </c>
      <c r="J382" s="12">
        <v>45533</v>
      </c>
      <c r="K382" s="77">
        <v>45868</v>
      </c>
      <c r="L382" s="50"/>
      <c r="M382" s="13" t="str">
        <f t="shared" ca="1" si="11"/>
        <v>CLOSED</v>
      </c>
      <c r="N382" s="415">
        <f>+Table2[[#This Row],[Effectiveness Review &amp; date deemed effective]]-Table2[[#This Row],[CAR initialized date]]</f>
        <v>335</v>
      </c>
    </row>
    <row r="383" spans="1:14" ht="18" hidden="1" x14ac:dyDescent="0.3">
      <c r="A383" s="9" t="s">
        <v>288</v>
      </c>
      <c r="B383" s="13">
        <f>VLOOKUP(Table2[[#This Row],[Location 
(drop-down)]],'List source'!D$2:E$60,2,FALSE)</f>
        <v>197</v>
      </c>
      <c r="C383" s="11" t="s">
        <v>1222</v>
      </c>
      <c r="D383" s="108" t="str">
        <f t="shared" si="10"/>
        <v>C382-197-24</v>
      </c>
      <c r="E383" s="11" t="s">
        <v>3740</v>
      </c>
      <c r="F383" s="11"/>
      <c r="G383" s="9" t="s">
        <v>4133</v>
      </c>
      <c r="H383" s="10" t="s">
        <v>3621</v>
      </c>
      <c r="I383" s="12" t="s">
        <v>41</v>
      </c>
      <c r="J383" s="12">
        <v>45533</v>
      </c>
      <c r="K383" s="77">
        <v>45588</v>
      </c>
      <c r="L383" s="50"/>
      <c r="M383" s="13" t="str">
        <f t="shared" ca="1" si="11"/>
        <v>CLOSED</v>
      </c>
      <c r="N383" s="415">
        <f>+Table2[[#This Row],[Effectiveness Review &amp; date deemed effective]]-Table2[[#This Row],[CAR initialized date]]</f>
        <v>55</v>
      </c>
    </row>
    <row r="384" spans="1:14" ht="18" hidden="1" x14ac:dyDescent="0.3">
      <c r="A384" s="9" t="s">
        <v>288</v>
      </c>
      <c r="B384" s="13">
        <f>VLOOKUP(Table2[[#This Row],[Location 
(drop-down)]],'List source'!D$2:E$60,2,FALSE)</f>
        <v>197</v>
      </c>
      <c r="C384" s="11" t="s">
        <v>1224</v>
      </c>
      <c r="D384" s="108" t="str">
        <f t="shared" si="10"/>
        <v>C383-197-24</v>
      </c>
      <c r="E384" s="11" t="s">
        <v>3740</v>
      </c>
      <c r="F384" s="11"/>
      <c r="G384" s="9" t="s">
        <v>4134</v>
      </c>
      <c r="H384" s="10" t="s">
        <v>3621</v>
      </c>
      <c r="I384" s="12" t="s">
        <v>41</v>
      </c>
      <c r="J384" s="12">
        <v>45533</v>
      </c>
      <c r="K384" s="77">
        <v>45615</v>
      </c>
      <c r="L384" s="50"/>
      <c r="M384" s="13" t="str">
        <f t="shared" ca="1" si="11"/>
        <v>CLOSED</v>
      </c>
      <c r="N384" s="415">
        <f>+Table2[[#This Row],[Effectiveness Review &amp; date deemed effective]]-Table2[[#This Row],[CAR initialized date]]</f>
        <v>82</v>
      </c>
    </row>
    <row r="385" spans="1:14" ht="28.8" hidden="1" x14ac:dyDescent="0.3">
      <c r="A385" s="9" t="s">
        <v>288</v>
      </c>
      <c r="B385" s="13">
        <f>VLOOKUP(Table2[[#This Row],[Location 
(drop-down)]],'List source'!D$2:E$60,2,FALSE)</f>
        <v>197</v>
      </c>
      <c r="C385" s="11" t="s">
        <v>1226</v>
      </c>
      <c r="D385" s="108" t="str">
        <f t="shared" si="10"/>
        <v>C384-197-24</v>
      </c>
      <c r="E385" s="11" t="s">
        <v>3740</v>
      </c>
      <c r="F385" s="11"/>
      <c r="G385" s="9" t="s">
        <v>4135</v>
      </c>
      <c r="H385" s="10" t="s">
        <v>3621</v>
      </c>
      <c r="I385" s="12" t="s">
        <v>41</v>
      </c>
      <c r="J385" s="12">
        <v>45533</v>
      </c>
      <c r="K385" s="77">
        <v>46034</v>
      </c>
      <c r="L385" s="50" t="s">
        <v>4136</v>
      </c>
      <c r="M385" s="13" t="str">
        <f t="shared" ca="1" si="11"/>
        <v>CLOSED</v>
      </c>
      <c r="N385" s="415">
        <f>+Table2[[#This Row],[Effectiveness Review &amp; date deemed effective]]-Table2[[#This Row],[CAR initialized date]]</f>
        <v>501</v>
      </c>
    </row>
    <row r="386" spans="1:14" ht="18" hidden="1" x14ac:dyDescent="0.3">
      <c r="A386" s="9" t="s">
        <v>288</v>
      </c>
      <c r="B386" s="13">
        <f>VLOOKUP(Table2[[#This Row],[Location 
(drop-down)]],'List source'!D$2:E$60,2,FALSE)</f>
        <v>197</v>
      </c>
      <c r="C386" s="11" t="s">
        <v>1228</v>
      </c>
      <c r="D386" s="108" t="str">
        <f t="shared" ref="D386:D449" si="12">"C" &amp; C386 &amp; "-" &amp; B386 &amp; "-" &amp; "24"</f>
        <v>C385-197-24</v>
      </c>
      <c r="E386" s="11" t="s">
        <v>3740</v>
      </c>
      <c r="F386" s="11"/>
      <c r="G386" s="9" t="s">
        <v>4137</v>
      </c>
      <c r="H386" s="10" t="s">
        <v>3621</v>
      </c>
      <c r="I386" s="12" t="s">
        <v>41</v>
      </c>
      <c r="J386" s="12">
        <v>45533</v>
      </c>
      <c r="K386" s="77">
        <v>45758</v>
      </c>
      <c r="L386" s="50"/>
      <c r="M386" s="13" t="str">
        <f t="shared" ca="1" si="11"/>
        <v>CLOSED</v>
      </c>
      <c r="N386" s="415">
        <f>+Table2[[#This Row],[Effectiveness Review &amp; date deemed effective]]-Table2[[#This Row],[CAR initialized date]]</f>
        <v>225</v>
      </c>
    </row>
    <row r="387" spans="1:14" ht="18" hidden="1" x14ac:dyDescent="0.3">
      <c r="A387" s="9" t="s">
        <v>288</v>
      </c>
      <c r="B387" s="13">
        <f>VLOOKUP(Table2[[#This Row],[Location 
(drop-down)]],'List source'!D$2:E$60,2,FALSE)</f>
        <v>197</v>
      </c>
      <c r="C387" s="11" t="s">
        <v>1231</v>
      </c>
      <c r="D387" s="108" t="str">
        <f t="shared" si="12"/>
        <v>C386-197-24</v>
      </c>
      <c r="E387" s="11" t="s">
        <v>3740</v>
      </c>
      <c r="F387" s="11"/>
      <c r="G387" s="9" t="s">
        <v>4138</v>
      </c>
      <c r="H387" s="10" t="s">
        <v>3621</v>
      </c>
      <c r="I387" s="12" t="s">
        <v>41</v>
      </c>
      <c r="J387" s="12">
        <v>45533</v>
      </c>
      <c r="K387" s="77">
        <v>45589</v>
      </c>
      <c r="L387" s="50"/>
      <c r="M387" s="13" t="str">
        <f t="shared" ref="M387:M450" ca="1" si="13">IF(ISBLANK(K387), TODAY()-J387, "CLOSED")</f>
        <v>CLOSED</v>
      </c>
      <c r="N387" s="415">
        <f>+Table2[[#This Row],[Effectiveness Review &amp; date deemed effective]]-Table2[[#This Row],[CAR initialized date]]</f>
        <v>56</v>
      </c>
    </row>
    <row r="388" spans="1:14" ht="18" hidden="1" x14ac:dyDescent="0.3">
      <c r="A388" s="9" t="s">
        <v>175</v>
      </c>
      <c r="B388" s="13">
        <f>VLOOKUP(Table2[[#This Row],[Location 
(drop-down)]],'List source'!D$2:E$60,2,FALSE)</f>
        <v>159</v>
      </c>
      <c r="C388" s="11" t="s">
        <v>1233</v>
      </c>
      <c r="D388" s="108" t="str">
        <f t="shared" si="12"/>
        <v>C387-159-24</v>
      </c>
      <c r="E388" s="11" t="s">
        <v>3783</v>
      </c>
      <c r="F388" s="11" t="s">
        <v>99</v>
      </c>
      <c r="G388" s="9" t="s">
        <v>4139</v>
      </c>
      <c r="H388" s="10" t="s">
        <v>3621</v>
      </c>
      <c r="I388" s="12" t="s">
        <v>49</v>
      </c>
      <c r="J388" s="12">
        <v>45539</v>
      </c>
      <c r="K388" s="77">
        <v>45642</v>
      </c>
      <c r="L388" s="50"/>
      <c r="M388" s="13" t="str">
        <f t="shared" ca="1" si="13"/>
        <v>CLOSED</v>
      </c>
      <c r="N388" s="415">
        <f>+Table2[[#This Row],[Effectiveness Review &amp; date deemed effective]]-Table2[[#This Row],[CAR initialized date]]</f>
        <v>103</v>
      </c>
    </row>
    <row r="389" spans="1:14" ht="18" hidden="1" x14ac:dyDescent="0.3">
      <c r="A389" s="9" t="s">
        <v>175</v>
      </c>
      <c r="B389" s="13">
        <f>VLOOKUP(Table2[[#This Row],[Location 
(drop-down)]],'List source'!D$2:E$60,2,FALSE)</f>
        <v>159</v>
      </c>
      <c r="C389" s="11" t="s">
        <v>1234</v>
      </c>
      <c r="D389" s="108" t="str">
        <f t="shared" si="12"/>
        <v>C388-159-24</v>
      </c>
      <c r="E389" s="11" t="s">
        <v>3783</v>
      </c>
      <c r="F389" s="11" t="s">
        <v>99</v>
      </c>
      <c r="G389" s="9" t="s">
        <v>4140</v>
      </c>
      <c r="H389" s="10" t="s">
        <v>3621</v>
      </c>
      <c r="I389" s="12" t="s">
        <v>49</v>
      </c>
      <c r="J389" s="12">
        <v>45539</v>
      </c>
      <c r="K389" s="77">
        <v>45562</v>
      </c>
      <c r="L389" s="50"/>
      <c r="M389" s="13" t="str">
        <f t="shared" ca="1" si="13"/>
        <v>CLOSED</v>
      </c>
      <c r="N389" s="415">
        <f>+Table2[[#This Row],[Effectiveness Review &amp; date deemed effective]]-Table2[[#This Row],[CAR initialized date]]</f>
        <v>23</v>
      </c>
    </row>
    <row r="390" spans="1:14" ht="18" hidden="1" x14ac:dyDescent="0.3">
      <c r="A390" s="9" t="s">
        <v>175</v>
      </c>
      <c r="B390" s="13">
        <f>VLOOKUP(Table2[[#This Row],[Location 
(drop-down)]],'List source'!D$2:E$60,2,FALSE)</f>
        <v>159</v>
      </c>
      <c r="C390" s="11" t="s">
        <v>1237</v>
      </c>
      <c r="D390" s="108" t="str">
        <f t="shared" si="12"/>
        <v>C389-159-24</v>
      </c>
      <c r="E390" s="11" t="s">
        <v>3783</v>
      </c>
      <c r="F390" s="11" t="s">
        <v>99</v>
      </c>
      <c r="G390" s="9" t="s">
        <v>4141</v>
      </c>
      <c r="H390" s="10" t="s">
        <v>3621</v>
      </c>
      <c r="I390" s="12" t="s">
        <v>49</v>
      </c>
      <c r="J390" s="12">
        <v>45539</v>
      </c>
      <c r="K390" s="77">
        <v>45562</v>
      </c>
      <c r="L390" s="50"/>
      <c r="M390" s="13" t="str">
        <f t="shared" ca="1" si="13"/>
        <v>CLOSED</v>
      </c>
      <c r="N390" s="415">
        <f>+Table2[[#This Row],[Effectiveness Review &amp; date deemed effective]]-Table2[[#This Row],[CAR initialized date]]</f>
        <v>23</v>
      </c>
    </row>
    <row r="391" spans="1:14" ht="18" hidden="1" x14ac:dyDescent="0.3">
      <c r="A391" s="9" t="s">
        <v>261</v>
      </c>
      <c r="B391" s="13">
        <f>VLOOKUP(Table2[[#This Row],[Location 
(drop-down)]],'List source'!D$2:E$60,2,FALSE)</f>
        <v>210</v>
      </c>
      <c r="C391" s="11" t="s">
        <v>1240</v>
      </c>
      <c r="D391" s="108" t="str">
        <f t="shared" si="12"/>
        <v>C390-210-24</v>
      </c>
      <c r="E391" s="11" t="s">
        <v>3740</v>
      </c>
      <c r="F391" s="11"/>
      <c r="G391" s="9" t="s">
        <v>3746</v>
      </c>
      <c r="H391" s="10" t="s">
        <v>3621</v>
      </c>
      <c r="I391" s="12" t="s">
        <v>18</v>
      </c>
      <c r="J391" s="12">
        <v>45541</v>
      </c>
      <c r="K391" s="77">
        <v>45628</v>
      </c>
      <c r="L391" s="50"/>
      <c r="M391" s="13" t="str">
        <f t="shared" ca="1" si="13"/>
        <v>CLOSED</v>
      </c>
      <c r="N391" s="415">
        <f>+Table2[[#This Row],[Effectiveness Review &amp; date deemed effective]]-Table2[[#This Row],[CAR initialized date]]</f>
        <v>87</v>
      </c>
    </row>
    <row r="392" spans="1:14" ht="18" hidden="1" x14ac:dyDescent="0.3">
      <c r="A392" s="9" t="s">
        <v>261</v>
      </c>
      <c r="B392" s="13">
        <f>VLOOKUP(Table2[[#This Row],[Location 
(drop-down)]],'List source'!D$2:E$60,2,FALSE)</f>
        <v>210</v>
      </c>
      <c r="C392" s="11" t="s">
        <v>1243</v>
      </c>
      <c r="D392" s="108" t="str">
        <f t="shared" si="12"/>
        <v>C391-210-24</v>
      </c>
      <c r="E392" s="11" t="s">
        <v>3740</v>
      </c>
      <c r="F392" s="11"/>
      <c r="G392" s="9" t="s">
        <v>4142</v>
      </c>
      <c r="H392" s="10" t="s">
        <v>3621</v>
      </c>
      <c r="I392" s="12" t="s">
        <v>18</v>
      </c>
      <c r="J392" s="12">
        <v>45541</v>
      </c>
      <c r="K392" s="77">
        <v>45903</v>
      </c>
      <c r="L392" s="50"/>
      <c r="M392" s="13" t="str">
        <f t="shared" ca="1" si="13"/>
        <v>CLOSED</v>
      </c>
      <c r="N392" s="415">
        <f>+Table2[[#This Row],[Effectiveness Review &amp; date deemed effective]]-Table2[[#This Row],[CAR initialized date]]</f>
        <v>362</v>
      </c>
    </row>
    <row r="393" spans="1:14" ht="28.8" hidden="1" x14ac:dyDescent="0.3">
      <c r="A393" s="9" t="s">
        <v>261</v>
      </c>
      <c r="B393" s="13">
        <f>VLOOKUP(Table2[[#This Row],[Location 
(drop-down)]],'List source'!D$2:E$60,2,FALSE)</f>
        <v>210</v>
      </c>
      <c r="C393" s="11" t="s">
        <v>1246</v>
      </c>
      <c r="D393" s="108" t="str">
        <f t="shared" si="12"/>
        <v>C392-210-24</v>
      </c>
      <c r="E393" s="11" t="s">
        <v>3740</v>
      </c>
      <c r="F393" s="11"/>
      <c r="G393" s="9" t="s">
        <v>4143</v>
      </c>
      <c r="H393" s="10" t="s">
        <v>3621</v>
      </c>
      <c r="I393" s="12" t="s">
        <v>18</v>
      </c>
      <c r="J393" s="12">
        <v>45541</v>
      </c>
      <c r="K393" s="77">
        <v>45644</v>
      </c>
      <c r="L393" s="50"/>
      <c r="M393" s="13" t="str">
        <f t="shared" ca="1" si="13"/>
        <v>CLOSED</v>
      </c>
      <c r="N393" s="415">
        <f>+Table2[[#This Row],[Effectiveness Review &amp; date deemed effective]]-Table2[[#This Row],[CAR initialized date]]</f>
        <v>103</v>
      </c>
    </row>
    <row r="394" spans="1:14" ht="18" hidden="1" x14ac:dyDescent="0.3">
      <c r="A394" s="9" t="s">
        <v>261</v>
      </c>
      <c r="B394" s="13">
        <f>VLOOKUP(Table2[[#This Row],[Location 
(drop-down)]],'List source'!D$2:E$60,2,FALSE)</f>
        <v>210</v>
      </c>
      <c r="C394" s="11" t="s">
        <v>1248</v>
      </c>
      <c r="D394" s="108" t="str">
        <f t="shared" si="12"/>
        <v>C393-210-24</v>
      </c>
      <c r="E394" s="11" t="s">
        <v>3740</v>
      </c>
      <c r="F394" s="11"/>
      <c r="G394" s="9" t="s">
        <v>4144</v>
      </c>
      <c r="H394" s="10" t="s">
        <v>3621</v>
      </c>
      <c r="I394" s="12" t="s">
        <v>18</v>
      </c>
      <c r="J394" s="12">
        <v>45541</v>
      </c>
      <c r="K394" s="77">
        <v>45601</v>
      </c>
      <c r="L394" s="50"/>
      <c r="M394" s="13" t="str">
        <f t="shared" ca="1" si="13"/>
        <v>CLOSED</v>
      </c>
      <c r="N394" s="415">
        <f>+Table2[[#This Row],[Effectiveness Review &amp; date deemed effective]]-Table2[[#This Row],[CAR initialized date]]</f>
        <v>60</v>
      </c>
    </row>
    <row r="395" spans="1:14" ht="18" hidden="1" x14ac:dyDescent="0.3">
      <c r="A395" s="9" t="s">
        <v>261</v>
      </c>
      <c r="B395" s="13">
        <f>VLOOKUP(Table2[[#This Row],[Location 
(drop-down)]],'List source'!D$2:E$60,2,FALSE)</f>
        <v>210</v>
      </c>
      <c r="C395" s="11" t="s">
        <v>1250</v>
      </c>
      <c r="D395" s="108" t="str">
        <f t="shared" si="12"/>
        <v>C394-210-24</v>
      </c>
      <c r="E395" s="11" t="s">
        <v>3740</v>
      </c>
      <c r="F395" s="11"/>
      <c r="G395" s="9" t="s">
        <v>4088</v>
      </c>
      <c r="H395" s="10" t="s">
        <v>3621</v>
      </c>
      <c r="I395" s="12" t="s">
        <v>18</v>
      </c>
      <c r="J395" s="12">
        <v>45541</v>
      </c>
      <c r="K395" s="77">
        <v>45903</v>
      </c>
      <c r="L395" s="50"/>
      <c r="M395" s="13" t="str">
        <f t="shared" ca="1" si="13"/>
        <v>CLOSED</v>
      </c>
      <c r="N395" s="415">
        <f>+Table2[[#This Row],[Effectiveness Review &amp; date deemed effective]]-Table2[[#This Row],[CAR initialized date]]</f>
        <v>362</v>
      </c>
    </row>
    <row r="396" spans="1:14" ht="18" hidden="1" x14ac:dyDescent="0.3">
      <c r="A396" s="9" t="s">
        <v>261</v>
      </c>
      <c r="B396" s="13">
        <f>VLOOKUP(Table2[[#This Row],[Location 
(drop-down)]],'List source'!D$2:E$60,2,FALSE)</f>
        <v>210</v>
      </c>
      <c r="C396" s="11" t="s">
        <v>1251</v>
      </c>
      <c r="D396" s="108" t="str">
        <f t="shared" si="12"/>
        <v>C395-210-24</v>
      </c>
      <c r="E396" s="11" t="s">
        <v>3740</v>
      </c>
      <c r="F396" s="11"/>
      <c r="G396" s="9" t="s">
        <v>4145</v>
      </c>
      <c r="H396" s="10" t="s">
        <v>3621</v>
      </c>
      <c r="I396" s="12" t="s">
        <v>18</v>
      </c>
      <c r="J396" s="12">
        <v>45541</v>
      </c>
      <c r="K396" s="77">
        <v>45903</v>
      </c>
      <c r="L396" s="50"/>
      <c r="M396" s="13" t="str">
        <f t="shared" ca="1" si="13"/>
        <v>CLOSED</v>
      </c>
      <c r="N396" s="415">
        <f>+Table2[[#This Row],[Effectiveness Review &amp; date deemed effective]]-Table2[[#This Row],[CAR initialized date]]</f>
        <v>362</v>
      </c>
    </row>
    <row r="397" spans="1:14" ht="18" hidden="1" x14ac:dyDescent="0.3">
      <c r="A397" s="9" t="s">
        <v>261</v>
      </c>
      <c r="B397" s="13">
        <f>VLOOKUP(Table2[[#This Row],[Location 
(drop-down)]],'List source'!D$2:E$60,2,FALSE)</f>
        <v>210</v>
      </c>
      <c r="C397" s="11" t="s">
        <v>1253</v>
      </c>
      <c r="D397" s="108" t="str">
        <f t="shared" si="12"/>
        <v>C396-210-24</v>
      </c>
      <c r="E397" s="11" t="s">
        <v>3740</v>
      </c>
      <c r="F397" s="11"/>
      <c r="G397" s="9" t="s">
        <v>4146</v>
      </c>
      <c r="H397" s="10" t="s">
        <v>3621</v>
      </c>
      <c r="I397" s="12" t="s">
        <v>18</v>
      </c>
      <c r="J397" s="12">
        <v>45541</v>
      </c>
      <c r="K397" s="77">
        <v>45628</v>
      </c>
      <c r="L397" s="50"/>
      <c r="M397" s="13" t="str">
        <f t="shared" ca="1" si="13"/>
        <v>CLOSED</v>
      </c>
      <c r="N397" s="415">
        <f>+Table2[[#This Row],[Effectiveness Review &amp; date deemed effective]]-Table2[[#This Row],[CAR initialized date]]</f>
        <v>87</v>
      </c>
    </row>
    <row r="398" spans="1:14" ht="18" hidden="1" x14ac:dyDescent="0.3">
      <c r="A398" s="9" t="s">
        <v>261</v>
      </c>
      <c r="B398" s="13">
        <f>VLOOKUP(Table2[[#This Row],[Location 
(drop-down)]],'List source'!D$2:E$60,2,FALSE)</f>
        <v>210</v>
      </c>
      <c r="C398" s="11" t="s">
        <v>1255</v>
      </c>
      <c r="D398" s="108" t="str">
        <f t="shared" si="12"/>
        <v>C397-210-24</v>
      </c>
      <c r="E398" s="11" t="s">
        <v>3740</v>
      </c>
      <c r="F398" s="11"/>
      <c r="G398" s="9" t="s">
        <v>3744</v>
      </c>
      <c r="H398" s="10" t="s">
        <v>3621</v>
      </c>
      <c r="I398" s="12" t="s">
        <v>18</v>
      </c>
      <c r="J398" s="12">
        <v>45541</v>
      </c>
      <c r="K398" s="77">
        <v>45646</v>
      </c>
      <c r="L398" s="50"/>
      <c r="M398" s="13" t="str">
        <f t="shared" ca="1" si="13"/>
        <v>CLOSED</v>
      </c>
      <c r="N398" s="415">
        <f>+Table2[[#This Row],[Effectiveness Review &amp; date deemed effective]]-Table2[[#This Row],[CAR initialized date]]</f>
        <v>105</v>
      </c>
    </row>
    <row r="399" spans="1:14" ht="57.6" hidden="1" x14ac:dyDescent="0.3">
      <c r="A399" s="9" t="s">
        <v>107</v>
      </c>
      <c r="B399" s="13">
        <f>VLOOKUP(Table2[[#This Row],[Location 
(drop-down)]],'List source'!D$2:E$60,2,FALSE)</f>
        <v>120</v>
      </c>
      <c r="C399" s="11" t="s">
        <v>1257</v>
      </c>
      <c r="D399" s="108" t="str">
        <f t="shared" si="12"/>
        <v>C398-120-24</v>
      </c>
      <c r="E399" s="11" t="s">
        <v>3735</v>
      </c>
      <c r="F399" s="11" t="s">
        <v>4147</v>
      </c>
      <c r="G399" s="302" t="s">
        <v>3702</v>
      </c>
      <c r="H399" s="10" t="s">
        <v>3737</v>
      </c>
      <c r="I399" s="12" t="s">
        <v>18</v>
      </c>
      <c r="J399" s="12">
        <v>45545</v>
      </c>
      <c r="K399" s="77">
        <v>45554</v>
      </c>
      <c r="L399" s="50"/>
      <c r="M399" s="13" t="str">
        <f t="shared" ca="1" si="13"/>
        <v>CLOSED</v>
      </c>
      <c r="N399" s="415">
        <f>+Table2[[#This Row],[Effectiveness Review &amp; date deemed effective]]-Table2[[#This Row],[CAR initialized date]]</f>
        <v>9</v>
      </c>
    </row>
    <row r="400" spans="1:14" ht="18" hidden="1" x14ac:dyDescent="0.3">
      <c r="A400" s="9" t="s">
        <v>57</v>
      </c>
      <c r="B400" s="13">
        <f>VLOOKUP(Table2[[#This Row],[Location 
(drop-down)]],'List source'!D$2:E$60,2,FALSE)</f>
        <v>170</v>
      </c>
      <c r="C400" s="11" t="s">
        <v>1259</v>
      </c>
      <c r="D400" s="108" t="str">
        <f t="shared" si="12"/>
        <v>C399-170-24</v>
      </c>
      <c r="E400" s="11" t="s">
        <v>3735</v>
      </c>
      <c r="F400" s="11" t="s">
        <v>3850</v>
      </c>
      <c r="G400" s="9" t="s">
        <v>3704</v>
      </c>
      <c r="H400" s="10" t="s">
        <v>3621</v>
      </c>
      <c r="I400" s="12" t="s">
        <v>60</v>
      </c>
      <c r="J400" s="12">
        <v>45545</v>
      </c>
      <c r="K400" s="77">
        <v>45561</v>
      </c>
      <c r="L400" s="50"/>
      <c r="M400" s="13" t="str">
        <f t="shared" ca="1" si="13"/>
        <v>CLOSED</v>
      </c>
      <c r="N400" s="415">
        <f>+Table2[[#This Row],[Effectiveness Review &amp; date deemed effective]]-Table2[[#This Row],[CAR initialized date]]</f>
        <v>16</v>
      </c>
    </row>
    <row r="401" spans="1:14" ht="29.25" hidden="1" customHeight="1" x14ac:dyDescent="0.3">
      <c r="A401" s="9" t="s">
        <v>145</v>
      </c>
      <c r="B401" s="13">
        <f>VLOOKUP(Table2[[#This Row],[Location 
(drop-down)]],'List source'!D$2:E$60,2,FALSE)</f>
        <v>145</v>
      </c>
      <c r="C401" s="11" t="s">
        <v>1262</v>
      </c>
      <c r="D401" s="108" t="str">
        <f t="shared" si="12"/>
        <v>C400-145-24</v>
      </c>
      <c r="E401" s="11" t="s">
        <v>3770</v>
      </c>
      <c r="F401" s="11" t="s">
        <v>170</v>
      </c>
      <c r="G401" s="422" t="s">
        <v>4148</v>
      </c>
      <c r="H401" s="10" t="s">
        <v>3785</v>
      </c>
      <c r="I401" s="12" t="s">
        <v>18</v>
      </c>
      <c r="J401" s="12">
        <v>45546</v>
      </c>
      <c r="K401" s="77">
        <v>45554</v>
      </c>
      <c r="L401" s="50"/>
      <c r="M401" s="13" t="str">
        <f t="shared" ca="1" si="13"/>
        <v>CLOSED</v>
      </c>
      <c r="N401" s="415">
        <f>+Table2[[#This Row],[Effectiveness Review &amp; date deemed effective]]-Table2[[#This Row],[CAR initialized date]]</f>
        <v>8</v>
      </c>
    </row>
    <row r="402" spans="1:14" ht="28.8" hidden="1" x14ac:dyDescent="0.3">
      <c r="A402" s="9" t="s">
        <v>138</v>
      </c>
      <c r="B402" s="13">
        <f>VLOOKUP(Table2[[#This Row],[Location 
(drop-down)]],'List source'!D$2:E$60,2,FALSE)</f>
        <v>110</v>
      </c>
      <c r="C402" s="11" t="s">
        <v>1265</v>
      </c>
      <c r="D402" s="108" t="str">
        <f t="shared" si="12"/>
        <v>C401-110-24</v>
      </c>
      <c r="E402" s="11" t="s">
        <v>3773</v>
      </c>
      <c r="F402" s="11" t="s">
        <v>80</v>
      </c>
      <c r="G402" s="9" t="s">
        <v>4149</v>
      </c>
      <c r="H402" s="10" t="s">
        <v>3621</v>
      </c>
      <c r="I402" s="12" t="s">
        <v>41</v>
      </c>
      <c r="J402" s="12">
        <v>45526</v>
      </c>
      <c r="K402" s="77">
        <v>45558</v>
      </c>
      <c r="L402" s="50"/>
      <c r="M402" s="13" t="str">
        <f t="shared" ca="1" si="13"/>
        <v>CLOSED</v>
      </c>
      <c r="N402" s="415">
        <f>+Table2[[#This Row],[Effectiveness Review &amp; date deemed effective]]-Table2[[#This Row],[CAR initialized date]]</f>
        <v>32</v>
      </c>
    </row>
    <row r="403" spans="1:14" ht="18" hidden="1" x14ac:dyDescent="0.3">
      <c r="A403" s="9" t="s">
        <v>65</v>
      </c>
      <c r="B403" s="13">
        <f>VLOOKUP(Table2[[#This Row],[Location 
(drop-down)]],'List source'!D$2:E$60,2,FALSE)</f>
        <v>155</v>
      </c>
      <c r="C403" s="11" t="s">
        <v>1267</v>
      </c>
      <c r="D403" s="108" t="str">
        <f t="shared" si="12"/>
        <v>C402-155-24</v>
      </c>
      <c r="E403" s="11" t="s">
        <v>3783</v>
      </c>
      <c r="F403" s="11" t="s">
        <v>348</v>
      </c>
      <c r="G403" s="9" t="s">
        <v>4150</v>
      </c>
      <c r="H403" s="10" t="s">
        <v>3737</v>
      </c>
      <c r="I403" s="12" t="s">
        <v>18</v>
      </c>
      <c r="J403" s="12">
        <v>45548</v>
      </c>
      <c r="K403" s="77">
        <v>45552</v>
      </c>
      <c r="L403" s="50"/>
      <c r="M403" s="13" t="str">
        <f t="shared" ca="1" si="13"/>
        <v>CLOSED</v>
      </c>
      <c r="N403" s="415">
        <f>+Table2[[#This Row],[Effectiveness Review &amp; date deemed effective]]-Table2[[#This Row],[CAR initialized date]]</f>
        <v>4</v>
      </c>
    </row>
    <row r="404" spans="1:14" ht="18" hidden="1" x14ac:dyDescent="0.3">
      <c r="A404" s="9" t="s">
        <v>325</v>
      </c>
      <c r="B404" s="13">
        <f>VLOOKUP(Table2[[#This Row],[Location 
(drop-down)]],'List source'!D$2:E$60,2,FALSE)</f>
        <v>180</v>
      </c>
      <c r="C404" s="11" t="s">
        <v>1269</v>
      </c>
      <c r="D404" s="108" t="str">
        <f t="shared" si="12"/>
        <v>C403-180-24</v>
      </c>
      <c r="E404" s="11" t="s">
        <v>3740</v>
      </c>
      <c r="F404" s="11"/>
      <c r="G404" s="9" t="s">
        <v>4151</v>
      </c>
      <c r="H404" s="10" t="s">
        <v>3737</v>
      </c>
      <c r="I404" s="12" t="s">
        <v>18</v>
      </c>
      <c r="J404" s="12">
        <v>45552</v>
      </c>
      <c r="K404" s="77">
        <v>45559</v>
      </c>
      <c r="L404" s="50"/>
      <c r="M404" s="13" t="str">
        <f t="shared" ca="1" si="13"/>
        <v>CLOSED</v>
      </c>
      <c r="N404" s="415">
        <f>+Table2[[#This Row],[Effectiveness Review &amp; date deemed effective]]-Table2[[#This Row],[CAR initialized date]]</f>
        <v>7</v>
      </c>
    </row>
    <row r="405" spans="1:14" ht="28.8" hidden="1" x14ac:dyDescent="0.3">
      <c r="A405" s="235" t="s">
        <v>325</v>
      </c>
      <c r="B405" s="236">
        <f>VLOOKUP(Table2[[#This Row],[Location 
(drop-down)]],'List source'!D$2:E$60,2,FALSE)</f>
        <v>180</v>
      </c>
      <c r="C405" s="248" t="s">
        <v>1271</v>
      </c>
      <c r="D405" s="249" t="str">
        <f t="shared" si="12"/>
        <v>C404-180-24</v>
      </c>
      <c r="E405" s="248" t="s">
        <v>3740</v>
      </c>
      <c r="F405" s="248"/>
      <c r="G405" s="235" t="s">
        <v>4152</v>
      </c>
      <c r="H405" s="263" t="s">
        <v>3621</v>
      </c>
      <c r="I405" s="264" t="s">
        <v>18</v>
      </c>
      <c r="J405" s="264">
        <v>45552</v>
      </c>
      <c r="K405" s="250">
        <v>45742</v>
      </c>
      <c r="L405" s="50"/>
      <c r="M405" s="13" t="str">
        <f t="shared" ca="1" si="13"/>
        <v>CLOSED</v>
      </c>
      <c r="N405" s="415">
        <f>+Table2[[#This Row],[Effectiveness Review &amp; date deemed effective]]-Table2[[#This Row],[CAR initialized date]]</f>
        <v>190</v>
      </c>
    </row>
    <row r="406" spans="1:14" ht="28.8" hidden="1" x14ac:dyDescent="0.3">
      <c r="A406" s="239" t="s">
        <v>325</v>
      </c>
      <c r="B406" s="240">
        <f>VLOOKUP(Table2[[#This Row],[Location 
(drop-down)]],'List source'!D$2:E$60,2,FALSE)</f>
        <v>180</v>
      </c>
      <c r="C406" s="243" t="s">
        <v>1275</v>
      </c>
      <c r="D406" s="244" t="str">
        <f t="shared" si="12"/>
        <v>C405-180-24</v>
      </c>
      <c r="E406" s="243" t="s">
        <v>3740</v>
      </c>
      <c r="F406" s="243"/>
      <c r="G406" s="239" t="s">
        <v>4153</v>
      </c>
      <c r="H406" s="246" t="s">
        <v>3621</v>
      </c>
      <c r="I406" s="246" t="s">
        <v>18</v>
      </c>
      <c r="J406" s="246">
        <v>45552</v>
      </c>
      <c r="K406" s="247">
        <v>45698</v>
      </c>
      <c r="L406" s="439"/>
      <c r="M406" s="13" t="str">
        <f t="shared" ca="1" si="13"/>
        <v>CLOSED</v>
      </c>
      <c r="N406" s="415">
        <f>+Table2[[#This Row],[Effectiveness Review &amp; date deemed effective]]-Table2[[#This Row],[CAR initialized date]]</f>
        <v>146</v>
      </c>
    </row>
    <row r="407" spans="1:14" ht="18" hidden="1" x14ac:dyDescent="0.3">
      <c r="A407" s="235" t="s">
        <v>325</v>
      </c>
      <c r="B407" s="236">
        <f>VLOOKUP(Table2[[#This Row],[Location 
(drop-down)]],'List source'!D$2:E$60,2,FALSE)</f>
        <v>180</v>
      </c>
      <c r="C407" s="248" t="s">
        <v>1277</v>
      </c>
      <c r="D407" s="249" t="str">
        <f t="shared" si="12"/>
        <v>C406-180-24</v>
      </c>
      <c r="E407" s="248" t="s">
        <v>3740</v>
      </c>
      <c r="F407" s="248"/>
      <c r="G407" s="235" t="s">
        <v>4154</v>
      </c>
      <c r="H407" s="263" t="s">
        <v>3621</v>
      </c>
      <c r="I407" s="264" t="s">
        <v>18</v>
      </c>
      <c r="J407" s="264">
        <v>45552</v>
      </c>
      <c r="K407" s="250">
        <v>45636</v>
      </c>
      <c r="L407" s="50"/>
      <c r="M407" s="13" t="str">
        <f t="shared" ca="1" si="13"/>
        <v>CLOSED</v>
      </c>
      <c r="N407" s="415">
        <f>+Table2[[#This Row],[Effectiveness Review &amp; date deemed effective]]-Table2[[#This Row],[CAR initialized date]]</f>
        <v>84</v>
      </c>
    </row>
    <row r="408" spans="1:14" ht="18" hidden="1" x14ac:dyDescent="0.3">
      <c r="A408" s="239" t="s">
        <v>325</v>
      </c>
      <c r="B408" s="240">
        <f>VLOOKUP(Table2[[#This Row],[Location 
(drop-down)]],'List source'!D$2:E$60,2,FALSE)</f>
        <v>180</v>
      </c>
      <c r="C408" s="243" t="s">
        <v>1279</v>
      </c>
      <c r="D408" s="244" t="str">
        <f t="shared" si="12"/>
        <v>C407-180-24</v>
      </c>
      <c r="E408" s="243" t="s">
        <v>3740</v>
      </c>
      <c r="F408" s="243"/>
      <c r="G408" s="239" t="s">
        <v>4155</v>
      </c>
      <c r="H408" s="245" t="s">
        <v>3621</v>
      </c>
      <c r="I408" s="246" t="s">
        <v>18</v>
      </c>
      <c r="J408" s="246">
        <v>45552</v>
      </c>
      <c r="K408" s="247">
        <v>45742</v>
      </c>
      <c r="L408" s="50"/>
      <c r="M408" s="13" t="str">
        <f t="shared" ca="1" si="13"/>
        <v>CLOSED</v>
      </c>
      <c r="N408" s="415">
        <f>+Table2[[#This Row],[Effectiveness Review &amp; date deemed effective]]-Table2[[#This Row],[CAR initialized date]]</f>
        <v>190</v>
      </c>
    </row>
    <row r="409" spans="1:14" ht="18" hidden="1" x14ac:dyDescent="0.3">
      <c r="A409" s="235" t="s">
        <v>325</v>
      </c>
      <c r="B409" s="236">
        <f>VLOOKUP(Table2[[#This Row],[Location 
(drop-down)]],'List source'!D$2:E$60,2,FALSE)</f>
        <v>180</v>
      </c>
      <c r="C409" s="248" t="s">
        <v>1281</v>
      </c>
      <c r="D409" s="249" t="str">
        <f t="shared" si="12"/>
        <v>C408-180-24</v>
      </c>
      <c r="E409" s="11" t="s">
        <v>3740</v>
      </c>
      <c r="F409" s="11"/>
      <c r="G409" s="9" t="s">
        <v>4156</v>
      </c>
      <c r="H409" s="10" t="s">
        <v>3621</v>
      </c>
      <c r="I409" s="12" t="s">
        <v>18</v>
      </c>
      <c r="J409" s="12">
        <v>45552</v>
      </c>
      <c r="K409" s="250">
        <v>45617</v>
      </c>
      <c r="L409" s="50"/>
      <c r="M409" s="13" t="str">
        <f t="shared" ca="1" si="13"/>
        <v>CLOSED</v>
      </c>
      <c r="N409" s="415">
        <f>+Table2[[#This Row],[Effectiveness Review &amp; date deemed effective]]-Table2[[#This Row],[CAR initialized date]]</f>
        <v>65</v>
      </c>
    </row>
    <row r="410" spans="1:14" ht="18" hidden="1" x14ac:dyDescent="0.3">
      <c r="A410" s="9" t="s">
        <v>325</v>
      </c>
      <c r="B410" s="13">
        <f>VLOOKUP(Table2[[#This Row],[Location 
(drop-down)]],'List source'!D$2:E$60,2,FALSE)</f>
        <v>180</v>
      </c>
      <c r="C410" s="11" t="s">
        <v>1283</v>
      </c>
      <c r="D410" s="108" t="str">
        <f t="shared" si="12"/>
        <v>C409-180-24</v>
      </c>
      <c r="E410" s="11" t="s">
        <v>3740</v>
      </c>
      <c r="F410" s="11"/>
      <c r="G410" s="9" t="s">
        <v>4157</v>
      </c>
      <c r="H410" s="10" t="s">
        <v>3621</v>
      </c>
      <c r="I410" s="12" t="s">
        <v>18</v>
      </c>
      <c r="J410" s="12">
        <v>45552</v>
      </c>
      <c r="K410" s="77">
        <v>45596</v>
      </c>
      <c r="L410" s="50"/>
      <c r="M410" s="13" t="str">
        <f t="shared" ca="1" si="13"/>
        <v>CLOSED</v>
      </c>
      <c r="N410" s="415">
        <f>+Table2[[#This Row],[Effectiveness Review &amp; date deemed effective]]-Table2[[#This Row],[CAR initialized date]]</f>
        <v>44</v>
      </c>
    </row>
    <row r="411" spans="1:14" ht="18" hidden="1" x14ac:dyDescent="0.3">
      <c r="A411" s="9" t="s">
        <v>186</v>
      </c>
      <c r="B411" s="13">
        <f>VLOOKUP(Table2[[#This Row],[Location 
(drop-down)]],'List source'!D$2:E$60,2,FALSE)</f>
        <v>130</v>
      </c>
      <c r="C411" s="11" t="s">
        <v>1285</v>
      </c>
      <c r="D411" s="108" t="str">
        <f t="shared" si="12"/>
        <v>C410-130-24</v>
      </c>
      <c r="E411" s="11" t="s">
        <v>3735</v>
      </c>
      <c r="F411" s="11" t="s">
        <v>4158</v>
      </c>
      <c r="G411" s="9" t="s">
        <v>3708</v>
      </c>
      <c r="H411" s="10" t="s">
        <v>3621</v>
      </c>
      <c r="I411" s="12" t="s">
        <v>18</v>
      </c>
      <c r="J411" s="12">
        <v>45551</v>
      </c>
      <c r="K411" s="77">
        <v>45573</v>
      </c>
      <c r="L411" s="50"/>
      <c r="M411" s="13" t="str">
        <f t="shared" ca="1" si="13"/>
        <v>CLOSED</v>
      </c>
      <c r="N411" s="415">
        <f>+Table2[[#This Row],[Effectiveness Review &amp; date deemed effective]]-Table2[[#This Row],[CAR initialized date]]</f>
        <v>22</v>
      </c>
    </row>
    <row r="412" spans="1:14" ht="28.8" hidden="1" x14ac:dyDescent="0.3">
      <c r="A412" s="239" t="s">
        <v>29</v>
      </c>
      <c r="B412" s="240">
        <f>VLOOKUP(Table2[[#This Row],[Location 
(drop-down)]],'List source'!D$2:E$60,2,FALSE)</f>
        <v>141</v>
      </c>
      <c r="C412" s="243" t="s">
        <v>1288</v>
      </c>
      <c r="D412" s="244" t="str">
        <f t="shared" si="12"/>
        <v>C411-141-24</v>
      </c>
      <c r="E412" s="243" t="s">
        <v>3773</v>
      </c>
      <c r="F412" s="243" t="s">
        <v>80</v>
      </c>
      <c r="G412" s="239" t="s">
        <v>4159</v>
      </c>
      <c r="H412" s="245" t="s">
        <v>3621</v>
      </c>
      <c r="I412" s="246" t="s">
        <v>182</v>
      </c>
      <c r="J412" s="246">
        <v>45547</v>
      </c>
      <c r="K412" s="247">
        <v>45621</v>
      </c>
      <c r="L412" s="50"/>
      <c r="M412" s="13" t="str">
        <f t="shared" ca="1" si="13"/>
        <v>CLOSED</v>
      </c>
      <c r="N412" s="415">
        <f>+Table2[[#This Row],[Effectiveness Review &amp; date deemed effective]]-Table2[[#This Row],[CAR initialized date]]</f>
        <v>74</v>
      </c>
    </row>
    <row r="413" spans="1:14" ht="28.8" hidden="1" x14ac:dyDescent="0.3">
      <c r="A413" s="9" t="s">
        <v>29</v>
      </c>
      <c r="B413" s="13">
        <f>VLOOKUP(Table2[[#This Row],[Location 
(drop-down)]],'List source'!D$2:E$60,2,FALSE)</f>
        <v>141</v>
      </c>
      <c r="C413" s="11" t="s">
        <v>1290</v>
      </c>
      <c r="D413" s="108" t="str">
        <f t="shared" si="12"/>
        <v>C412-141-24</v>
      </c>
      <c r="E413" s="11" t="s">
        <v>3773</v>
      </c>
      <c r="F413" s="11" t="s">
        <v>80</v>
      </c>
      <c r="G413" s="9" t="s">
        <v>4160</v>
      </c>
      <c r="H413" s="10" t="s">
        <v>3621</v>
      </c>
      <c r="I413" s="12" t="s">
        <v>182</v>
      </c>
      <c r="J413" s="12">
        <v>45547</v>
      </c>
      <c r="K413" s="77">
        <v>45580</v>
      </c>
      <c r="L413" s="50"/>
      <c r="M413" s="13" t="str">
        <f t="shared" ca="1" si="13"/>
        <v>CLOSED</v>
      </c>
      <c r="N413" s="415">
        <f>+Table2[[#This Row],[Effectiveness Review &amp; date deemed effective]]-Table2[[#This Row],[CAR initialized date]]</f>
        <v>33</v>
      </c>
    </row>
    <row r="414" spans="1:14" ht="18" hidden="1" x14ac:dyDescent="0.3">
      <c r="A414" s="9" t="s">
        <v>44</v>
      </c>
      <c r="B414" s="13">
        <f>VLOOKUP(Table2[[#This Row],[Location 
(drop-down)]],'List source'!D$2:E$60,2,FALSE)</f>
        <v>192</v>
      </c>
      <c r="C414" s="11" t="s">
        <v>1292</v>
      </c>
      <c r="D414" s="108" t="str">
        <f t="shared" si="12"/>
        <v>C413-192-24</v>
      </c>
      <c r="E414" s="11" t="s">
        <v>3773</v>
      </c>
      <c r="F414" s="11" t="s">
        <v>80</v>
      </c>
      <c r="G414" s="9" t="s">
        <v>4161</v>
      </c>
      <c r="H414" s="10" t="s">
        <v>3737</v>
      </c>
      <c r="I414" s="12" t="s">
        <v>498</v>
      </c>
      <c r="J414" s="12">
        <v>45559</v>
      </c>
      <c r="K414" s="77">
        <v>45632</v>
      </c>
      <c r="L414" s="50"/>
      <c r="M414" s="13" t="str">
        <f t="shared" ca="1" si="13"/>
        <v>CLOSED</v>
      </c>
      <c r="N414" s="415">
        <f>+Table2[[#This Row],[Effectiveness Review &amp; date deemed effective]]-Table2[[#This Row],[CAR initialized date]]</f>
        <v>73</v>
      </c>
    </row>
    <row r="415" spans="1:14" ht="18" hidden="1" x14ac:dyDescent="0.3">
      <c r="A415" s="9" t="s">
        <v>44</v>
      </c>
      <c r="B415" s="13">
        <f>VLOOKUP(Table2[[#This Row],[Location 
(drop-down)]],'List source'!D$2:E$60,2,FALSE)</f>
        <v>192</v>
      </c>
      <c r="C415" s="11" t="s">
        <v>1294</v>
      </c>
      <c r="D415" s="108" t="str">
        <f t="shared" si="12"/>
        <v>C414-192-24</v>
      </c>
      <c r="E415" s="11" t="s">
        <v>3773</v>
      </c>
      <c r="F415" s="11" t="s">
        <v>80</v>
      </c>
      <c r="G415" s="9" t="s">
        <v>4162</v>
      </c>
      <c r="H415" s="10" t="s">
        <v>3737</v>
      </c>
      <c r="I415" s="12" t="s">
        <v>498</v>
      </c>
      <c r="J415" s="12">
        <v>45559</v>
      </c>
      <c r="K415" s="77">
        <v>45632</v>
      </c>
      <c r="L415" s="50"/>
      <c r="M415" s="13" t="str">
        <f t="shared" ca="1" si="13"/>
        <v>CLOSED</v>
      </c>
      <c r="N415" s="415">
        <f>+Table2[[#This Row],[Effectiveness Review &amp; date deemed effective]]-Table2[[#This Row],[CAR initialized date]]</f>
        <v>73</v>
      </c>
    </row>
    <row r="416" spans="1:14" ht="18" hidden="1" x14ac:dyDescent="0.3">
      <c r="A416" s="9" t="s">
        <v>44</v>
      </c>
      <c r="B416" s="13">
        <f>VLOOKUP(Table2[[#This Row],[Location 
(drop-down)]],'List source'!D$2:E$60,2,FALSE)</f>
        <v>192</v>
      </c>
      <c r="C416" s="11" t="s">
        <v>1296</v>
      </c>
      <c r="D416" s="108" t="str">
        <f t="shared" si="12"/>
        <v>C415-192-24</v>
      </c>
      <c r="E416" s="11" t="s">
        <v>3773</v>
      </c>
      <c r="F416" s="11" t="s">
        <v>80</v>
      </c>
      <c r="G416" s="9" t="s">
        <v>4163</v>
      </c>
      <c r="H416" s="10" t="s">
        <v>3621</v>
      </c>
      <c r="I416" s="12" t="s">
        <v>498</v>
      </c>
      <c r="J416" s="12">
        <v>45559</v>
      </c>
      <c r="K416" s="77">
        <v>45659</v>
      </c>
      <c r="L416" s="50"/>
      <c r="M416" s="13" t="str">
        <f t="shared" ca="1" si="13"/>
        <v>CLOSED</v>
      </c>
      <c r="N416" s="415">
        <f>+Table2[[#This Row],[Effectiveness Review &amp; date deemed effective]]-Table2[[#This Row],[CAR initialized date]]</f>
        <v>100</v>
      </c>
    </row>
    <row r="417" spans="1:14" ht="18" hidden="1" x14ac:dyDescent="0.3">
      <c r="A417" s="9" t="s">
        <v>44</v>
      </c>
      <c r="B417" s="13">
        <f>VLOOKUP(Table2[[#This Row],[Location 
(drop-down)]],'List source'!D$2:E$60,2,FALSE)</f>
        <v>192</v>
      </c>
      <c r="C417" s="11" t="s">
        <v>1298</v>
      </c>
      <c r="D417" s="108" t="str">
        <f t="shared" si="12"/>
        <v>C416-192-24</v>
      </c>
      <c r="E417" s="11" t="s">
        <v>3773</v>
      </c>
      <c r="F417" s="11" t="s">
        <v>80</v>
      </c>
      <c r="G417" s="9" t="s">
        <v>4164</v>
      </c>
      <c r="H417" s="10" t="s">
        <v>3785</v>
      </c>
      <c r="I417" s="12" t="s">
        <v>498</v>
      </c>
      <c r="J417" s="12">
        <v>45559</v>
      </c>
      <c r="K417" s="77">
        <v>45632</v>
      </c>
      <c r="L417" s="50"/>
      <c r="M417" s="13" t="str">
        <f t="shared" ca="1" si="13"/>
        <v>CLOSED</v>
      </c>
      <c r="N417" s="415">
        <f>+Table2[[#This Row],[Effectiveness Review &amp; date deemed effective]]-Table2[[#This Row],[CAR initialized date]]</f>
        <v>73</v>
      </c>
    </row>
    <row r="418" spans="1:14" ht="18" hidden="1" x14ac:dyDescent="0.3">
      <c r="A418" s="9" t="s">
        <v>186</v>
      </c>
      <c r="B418" s="13">
        <f>VLOOKUP(Table2[[#This Row],[Location 
(drop-down)]],'List source'!D$2:E$60,2,FALSE)</f>
        <v>130</v>
      </c>
      <c r="C418" s="11" t="s">
        <v>1299</v>
      </c>
      <c r="D418" s="108" t="str">
        <f t="shared" si="12"/>
        <v>C417-130-24</v>
      </c>
      <c r="E418" s="11" t="s">
        <v>3735</v>
      </c>
      <c r="F418" s="11" t="s">
        <v>3850</v>
      </c>
      <c r="G418" s="9" t="s">
        <v>4165</v>
      </c>
      <c r="H418" s="10" t="s">
        <v>3621</v>
      </c>
      <c r="I418" s="12"/>
      <c r="J418" s="12">
        <v>45558</v>
      </c>
      <c r="K418" s="77">
        <v>45630</v>
      </c>
      <c r="L418" s="50"/>
      <c r="M418" s="13" t="str">
        <f t="shared" ca="1" si="13"/>
        <v>CLOSED</v>
      </c>
      <c r="N418" s="415">
        <f>+Table2[[#This Row],[Effectiveness Review &amp; date deemed effective]]-Table2[[#This Row],[CAR initialized date]]</f>
        <v>72</v>
      </c>
    </row>
    <row r="419" spans="1:14" ht="18" hidden="1" x14ac:dyDescent="0.3">
      <c r="A419" s="9" t="s">
        <v>186</v>
      </c>
      <c r="B419" s="13">
        <f>VLOOKUP(Table2[[#This Row],[Location 
(drop-down)]],'List source'!D$2:E$60,2,FALSE)</f>
        <v>130</v>
      </c>
      <c r="C419" s="11" t="s">
        <v>1301</v>
      </c>
      <c r="D419" s="108" t="str">
        <f t="shared" si="12"/>
        <v>C418-130-24</v>
      </c>
      <c r="E419" s="11" t="s">
        <v>3735</v>
      </c>
      <c r="F419" s="11" t="s">
        <v>99</v>
      </c>
      <c r="G419" s="9" t="s">
        <v>4166</v>
      </c>
      <c r="H419" s="10" t="s">
        <v>3737</v>
      </c>
      <c r="I419" s="12" t="s">
        <v>49</v>
      </c>
      <c r="J419" s="12">
        <v>45558</v>
      </c>
      <c r="K419" s="77">
        <v>45587</v>
      </c>
      <c r="L419" s="50"/>
      <c r="M419" s="13" t="str">
        <f t="shared" ca="1" si="13"/>
        <v>CLOSED</v>
      </c>
      <c r="N419" s="415">
        <f>+Table2[[#This Row],[Effectiveness Review &amp; date deemed effective]]-Table2[[#This Row],[CAR initialized date]]</f>
        <v>29</v>
      </c>
    </row>
    <row r="420" spans="1:14" ht="18" hidden="1" x14ac:dyDescent="0.3">
      <c r="A420" s="9" t="s">
        <v>161</v>
      </c>
      <c r="B420" s="13">
        <f>VLOOKUP(Table2[[#This Row],[Location 
(drop-down)]],'List source'!D$2:E$60,2,FALSE)</f>
        <v>142</v>
      </c>
      <c r="C420" s="11" t="s">
        <v>1303</v>
      </c>
      <c r="D420" s="108" t="str">
        <f t="shared" si="12"/>
        <v>C419-142-24</v>
      </c>
      <c r="E420" s="11" t="s">
        <v>3783</v>
      </c>
      <c r="F420" s="11" t="s">
        <v>170</v>
      </c>
      <c r="G420" s="9" t="s">
        <v>4167</v>
      </c>
      <c r="H420" s="10" t="s">
        <v>3737</v>
      </c>
      <c r="I420" s="12" t="s">
        <v>182</v>
      </c>
      <c r="J420" s="12">
        <v>45565</v>
      </c>
      <c r="K420" s="77">
        <v>45582</v>
      </c>
      <c r="L420" s="50"/>
      <c r="M420" s="13" t="str">
        <f t="shared" ca="1" si="13"/>
        <v>CLOSED</v>
      </c>
      <c r="N420" s="415">
        <f>+Table2[[#This Row],[Effectiveness Review &amp; date deemed effective]]-Table2[[#This Row],[CAR initialized date]]</f>
        <v>17</v>
      </c>
    </row>
    <row r="421" spans="1:14" ht="43.2" hidden="1" x14ac:dyDescent="0.3">
      <c r="A421" s="9" t="s">
        <v>126</v>
      </c>
      <c r="B421" s="13">
        <f>VLOOKUP(Table2[[#This Row],[Location 
(drop-down)]],'List source'!D$2:E$60,2,FALSE)</f>
        <v>125</v>
      </c>
      <c r="C421" s="11" t="s">
        <v>1305</v>
      </c>
      <c r="D421" s="108" t="str">
        <f t="shared" si="12"/>
        <v>C420-125-24</v>
      </c>
      <c r="E421" s="11" t="s">
        <v>3770</v>
      </c>
      <c r="F421" s="11" t="s">
        <v>4168</v>
      </c>
      <c r="G421" s="9" t="s">
        <v>4169</v>
      </c>
      <c r="H421" s="10" t="s">
        <v>3621</v>
      </c>
      <c r="I421" s="12" t="s">
        <v>195</v>
      </c>
      <c r="J421" s="12">
        <v>45548</v>
      </c>
      <c r="K421" s="77">
        <v>46036</v>
      </c>
      <c r="L421" s="50"/>
      <c r="M421" s="13" t="str">
        <f t="shared" ca="1" si="13"/>
        <v>CLOSED</v>
      </c>
      <c r="N421" s="415">
        <f>+Table2[[#This Row],[Effectiveness Review &amp; date deemed effective]]-Table2[[#This Row],[CAR initialized date]]</f>
        <v>488</v>
      </c>
    </row>
    <row r="422" spans="1:14" ht="18" hidden="1" x14ac:dyDescent="0.3">
      <c r="A422" s="9" t="s">
        <v>318</v>
      </c>
      <c r="B422" s="13">
        <f>VLOOKUP(Table2[[#This Row],[Location 
(drop-down)]],'List source'!D$2:E$60,2,FALSE)</f>
        <v>115</v>
      </c>
      <c r="C422" s="11" t="s">
        <v>1307</v>
      </c>
      <c r="D422" s="108" t="str">
        <f t="shared" si="12"/>
        <v>C421-115-24</v>
      </c>
      <c r="E422" s="11" t="s">
        <v>3740</v>
      </c>
      <c r="F422" s="11"/>
      <c r="G422" s="9" t="s">
        <v>4170</v>
      </c>
      <c r="H422" s="10" t="s">
        <v>3621</v>
      </c>
      <c r="I422" s="12" t="s">
        <v>23</v>
      </c>
      <c r="J422" s="12">
        <v>45572</v>
      </c>
      <c r="K422" s="77">
        <v>45594</v>
      </c>
      <c r="L422" s="50"/>
      <c r="M422" s="13" t="str">
        <f t="shared" ca="1" si="13"/>
        <v>CLOSED</v>
      </c>
      <c r="N422" s="415">
        <f>+Table2[[#This Row],[Effectiveness Review &amp; date deemed effective]]-Table2[[#This Row],[CAR initialized date]]</f>
        <v>22</v>
      </c>
    </row>
    <row r="423" spans="1:14" ht="28.8" hidden="1" x14ac:dyDescent="0.3">
      <c r="A423" s="9" t="s">
        <v>318</v>
      </c>
      <c r="B423" s="13">
        <f>VLOOKUP(Table2[[#This Row],[Location 
(drop-down)]],'List source'!D$2:E$60,2,FALSE)</f>
        <v>115</v>
      </c>
      <c r="C423" s="11" t="s">
        <v>1309</v>
      </c>
      <c r="D423" s="108" t="str">
        <f t="shared" si="12"/>
        <v>C422-115-24</v>
      </c>
      <c r="E423" s="11" t="s">
        <v>3740</v>
      </c>
      <c r="F423" s="11"/>
      <c r="G423" s="9" t="s">
        <v>4171</v>
      </c>
      <c r="H423" s="10" t="s">
        <v>3737</v>
      </c>
      <c r="I423" s="12" t="s">
        <v>23</v>
      </c>
      <c r="J423" s="12">
        <v>45572</v>
      </c>
      <c r="K423" s="77">
        <v>45595</v>
      </c>
      <c r="L423" s="50"/>
      <c r="M423" s="13" t="str">
        <f t="shared" ca="1" si="13"/>
        <v>CLOSED</v>
      </c>
      <c r="N423" s="415">
        <f>+Table2[[#This Row],[Effectiveness Review &amp; date deemed effective]]-Table2[[#This Row],[CAR initialized date]]</f>
        <v>23</v>
      </c>
    </row>
    <row r="424" spans="1:14" ht="18" hidden="1" x14ac:dyDescent="0.3">
      <c r="A424" s="9" t="s">
        <v>318</v>
      </c>
      <c r="B424" s="13">
        <f>VLOOKUP(Table2[[#This Row],[Location 
(drop-down)]],'List source'!D$2:E$60,2,FALSE)</f>
        <v>115</v>
      </c>
      <c r="C424" s="11" t="s">
        <v>1311</v>
      </c>
      <c r="D424" s="108" t="str">
        <f t="shared" si="12"/>
        <v>C423-115-24</v>
      </c>
      <c r="E424" s="11" t="s">
        <v>3740</v>
      </c>
      <c r="F424" s="11"/>
      <c r="G424" s="9" t="s">
        <v>4172</v>
      </c>
      <c r="H424" s="10" t="s">
        <v>3737</v>
      </c>
      <c r="I424" s="12" t="s">
        <v>23</v>
      </c>
      <c r="J424" s="12">
        <v>45572</v>
      </c>
      <c r="K424" s="77">
        <v>45615</v>
      </c>
      <c r="L424" s="50"/>
      <c r="M424" s="13" t="str">
        <f t="shared" ca="1" si="13"/>
        <v>CLOSED</v>
      </c>
      <c r="N424" s="415">
        <f>+Table2[[#This Row],[Effectiveness Review &amp; date deemed effective]]-Table2[[#This Row],[CAR initialized date]]</f>
        <v>43</v>
      </c>
    </row>
    <row r="425" spans="1:14" ht="18" hidden="1" x14ac:dyDescent="0.3">
      <c r="A425" s="9" t="s">
        <v>318</v>
      </c>
      <c r="B425" s="13">
        <f>VLOOKUP(Table2[[#This Row],[Location 
(drop-down)]],'List source'!D$2:E$60,2,FALSE)</f>
        <v>115</v>
      </c>
      <c r="C425" s="11" t="s">
        <v>1313</v>
      </c>
      <c r="D425" s="108" t="str">
        <f t="shared" si="12"/>
        <v>C424-115-24</v>
      </c>
      <c r="E425" s="11" t="s">
        <v>3740</v>
      </c>
      <c r="F425" s="11"/>
      <c r="G425" s="9" t="s">
        <v>4173</v>
      </c>
      <c r="H425" s="10" t="s">
        <v>3737</v>
      </c>
      <c r="I425" s="12" t="s">
        <v>23</v>
      </c>
      <c r="J425" s="12">
        <v>45572</v>
      </c>
      <c r="K425" s="77">
        <v>45621</v>
      </c>
      <c r="L425" s="50"/>
      <c r="M425" s="13" t="str">
        <f t="shared" ca="1" si="13"/>
        <v>CLOSED</v>
      </c>
      <c r="N425" s="415">
        <f>+Table2[[#This Row],[Effectiveness Review &amp; date deemed effective]]-Table2[[#This Row],[CAR initialized date]]</f>
        <v>49</v>
      </c>
    </row>
    <row r="426" spans="1:14" ht="18" hidden="1" x14ac:dyDescent="0.3">
      <c r="A426" s="9" t="s">
        <v>318</v>
      </c>
      <c r="B426" s="13">
        <f>VLOOKUP(Table2[[#This Row],[Location 
(drop-down)]],'List source'!D$2:E$60,2,FALSE)</f>
        <v>115</v>
      </c>
      <c r="C426" s="11" t="s">
        <v>1315</v>
      </c>
      <c r="D426" s="108" t="str">
        <f t="shared" si="12"/>
        <v>C425-115-24</v>
      </c>
      <c r="E426" s="11" t="s">
        <v>3740</v>
      </c>
      <c r="F426" s="11"/>
      <c r="G426" s="9" t="s">
        <v>4174</v>
      </c>
      <c r="H426" s="10" t="s">
        <v>3737</v>
      </c>
      <c r="I426" s="12" t="s">
        <v>23</v>
      </c>
      <c r="J426" s="12">
        <v>45572</v>
      </c>
      <c r="K426" s="77">
        <v>45615</v>
      </c>
      <c r="L426" s="50"/>
      <c r="M426" s="13" t="str">
        <f t="shared" ca="1" si="13"/>
        <v>CLOSED</v>
      </c>
      <c r="N426" s="415">
        <f>+Table2[[#This Row],[Effectiveness Review &amp; date deemed effective]]-Table2[[#This Row],[CAR initialized date]]</f>
        <v>43</v>
      </c>
    </row>
    <row r="427" spans="1:14" ht="18" hidden="1" x14ac:dyDescent="0.3">
      <c r="A427" s="9" t="s">
        <v>318</v>
      </c>
      <c r="B427" s="13">
        <f>VLOOKUP(Table2[[#This Row],[Location 
(drop-down)]],'List source'!D$2:E$60,2,FALSE)</f>
        <v>115</v>
      </c>
      <c r="C427" s="11" t="s">
        <v>1317</v>
      </c>
      <c r="D427" s="108" t="str">
        <f t="shared" si="12"/>
        <v>C426-115-24</v>
      </c>
      <c r="E427" s="11" t="s">
        <v>3740</v>
      </c>
      <c r="F427" s="11"/>
      <c r="G427" s="9" t="s">
        <v>4175</v>
      </c>
      <c r="H427" s="10" t="s">
        <v>3621</v>
      </c>
      <c r="I427" s="12" t="s">
        <v>23</v>
      </c>
      <c r="J427" s="12">
        <v>45572</v>
      </c>
      <c r="K427" s="77">
        <v>45622</v>
      </c>
      <c r="L427" s="50"/>
      <c r="M427" s="13" t="str">
        <f t="shared" ca="1" si="13"/>
        <v>CLOSED</v>
      </c>
      <c r="N427" s="415">
        <f>+Table2[[#This Row],[Effectiveness Review &amp; date deemed effective]]-Table2[[#This Row],[CAR initialized date]]</f>
        <v>50</v>
      </c>
    </row>
    <row r="428" spans="1:14" ht="18" hidden="1" x14ac:dyDescent="0.3">
      <c r="A428" s="239" t="s">
        <v>318</v>
      </c>
      <c r="B428" s="240">
        <f>VLOOKUP(Table2[[#This Row],[Location 
(drop-down)]],'List source'!D$2:E$60,2,FALSE)</f>
        <v>115</v>
      </c>
      <c r="C428" s="243" t="s">
        <v>1319</v>
      </c>
      <c r="D428" s="244" t="str">
        <f t="shared" si="12"/>
        <v>C427-115-24</v>
      </c>
      <c r="E428" s="243" t="s">
        <v>3740</v>
      </c>
      <c r="F428" s="243"/>
      <c r="G428" s="239" t="s">
        <v>4176</v>
      </c>
      <c r="H428" s="245" t="s">
        <v>3621</v>
      </c>
      <c r="I428" s="246" t="s">
        <v>23</v>
      </c>
      <c r="J428" s="246">
        <v>45572</v>
      </c>
      <c r="K428" s="247">
        <v>45617</v>
      </c>
      <c r="L428" s="50"/>
      <c r="M428" s="13" t="str">
        <f t="shared" ca="1" si="13"/>
        <v>CLOSED</v>
      </c>
      <c r="N428" s="415">
        <f>+Table2[[#This Row],[Effectiveness Review &amp; date deemed effective]]-Table2[[#This Row],[CAR initialized date]]</f>
        <v>45</v>
      </c>
    </row>
    <row r="429" spans="1:14" ht="28.8" hidden="1" x14ac:dyDescent="0.3">
      <c r="A429" s="9" t="s">
        <v>318</v>
      </c>
      <c r="B429" s="13">
        <f>VLOOKUP(Table2[[#This Row],[Location 
(drop-down)]],'List source'!D$2:E$60,2,FALSE)</f>
        <v>115</v>
      </c>
      <c r="C429" s="11" t="s">
        <v>1321</v>
      </c>
      <c r="D429" s="108" t="str">
        <f t="shared" si="12"/>
        <v>C428-115-24</v>
      </c>
      <c r="E429" s="11" t="s">
        <v>3740</v>
      </c>
      <c r="F429" s="11"/>
      <c r="G429" s="9" t="s">
        <v>4177</v>
      </c>
      <c r="H429" s="10" t="s">
        <v>3621</v>
      </c>
      <c r="I429" s="12" t="s">
        <v>23</v>
      </c>
      <c r="J429" s="12">
        <v>45572</v>
      </c>
      <c r="K429" s="77">
        <v>45594</v>
      </c>
      <c r="L429" s="50"/>
      <c r="M429" s="13" t="str">
        <f t="shared" ca="1" si="13"/>
        <v>CLOSED</v>
      </c>
      <c r="N429" s="415">
        <f>+Table2[[#This Row],[Effectiveness Review &amp; date deemed effective]]-Table2[[#This Row],[CAR initialized date]]</f>
        <v>22</v>
      </c>
    </row>
    <row r="430" spans="1:14" ht="28.8" hidden="1" x14ac:dyDescent="0.3">
      <c r="A430" s="9" t="s">
        <v>186</v>
      </c>
      <c r="B430" s="13">
        <f>VLOOKUP(Table2[[#This Row],[Location 
(drop-down)]],'List source'!D$2:E$60,2,FALSE)</f>
        <v>130</v>
      </c>
      <c r="C430" s="11" t="s">
        <v>1323</v>
      </c>
      <c r="D430" s="108" t="str">
        <f t="shared" si="12"/>
        <v>C429-130-24</v>
      </c>
      <c r="E430" s="11" t="s">
        <v>3770</v>
      </c>
      <c r="F430" s="11"/>
      <c r="G430" s="9" t="s">
        <v>4178</v>
      </c>
      <c r="H430" s="10" t="s">
        <v>3621</v>
      </c>
      <c r="I430" s="12" t="s">
        <v>49</v>
      </c>
      <c r="J430" s="12">
        <v>45579</v>
      </c>
      <c r="K430" s="77">
        <v>45597</v>
      </c>
      <c r="L430" s="50"/>
      <c r="M430" s="13" t="str">
        <f t="shared" ca="1" si="13"/>
        <v>CLOSED</v>
      </c>
      <c r="N430" s="415">
        <f>+Table2[[#This Row],[Effectiveness Review &amp; date deemed effective]]-Table2[[#This Row],[CAR initialized date]]</f>
        <v>18</v>
      </c>
    </row>
    <row r="431" spans="1:14" ht="18" hidden="1" x14ac:dyDescent="0.3">
      <c r="A431" s="9" t="s">
        <v>107</v>
      </c>
      <c r="B431" s="13">
        <f>VLOOKUP(Table2[[#This Row],[Location 
(drop-down)]],'List source'!D$2:E$60,2,FALSE)</f>
        <v>120</v>
      </c>
      <c r="C431" s="11" t="s">
        <v>1324</v>
      </c>
      <c r="D431" s="108" t="str">
        <f t="shared" si="12"/>
        <v>C430-120-24</v>
      </c>
      <c r="E431" s="11" t="s">
        <v>3783</v>
      </c>
      <c r="F431" s="11" t="s">
        <v>143</v>
      </c>
      <c r="G431" s="99" t="s">
        <v>4179</v>
      </c>
      <c r="H431" s="10" t="s">
        <v>3737</v>
      </c>
      <c r="I431" s="12" t="s">
        <v>49</v>
      </c>
      <c r="J431" s="12">
        <v>45584</v>
      </c>
      <c r="K431" s="77">
        <v>45596</v>
      </c>
      <c r="L431" s="50"/>
      <c r="M431" s="13" t="str">
        <f t="shared" ca="1" si="13"/>
        <v>CLOSED</v>
      </c>
      <c r="N431" s="415">
        <f>+Table2[[#This Row],[Effectiveness Review &amp; date deemed effective]]-Table2[[#This Row],[CAR initialized date]]</f>
        <v>12</v>
      </c>
    </row>
    <row r="432" spans="1:14" ht="18" hidden="1" x14ac:dyDescent="0.3">
      <c r="A432" s="9" t="s">
        <v>107</v>
      </c>
      <c r="B432" s="13">
        <f>VLOOKUP(Table2[[#This Row],[Location 
(drop-down)]],'List source'!D$2:E$60,2,FALSE)</f>
        <v>120</v>
      </c>
      <c r="C432" s="11" t="s">
        <v>1326</v>
      </c>
      <c r="D432" s="108" t="str">
        <f t="shared" si="12"/>
        <v>C431-120-24</v>
      </c>
      <c r="E432" s="11" t="s">
        <v>3783</v>
      </c>
      <c r="F432" s="11" t="s">
        <v>143</v>
      </c>
      <c r="G432" s="9" t="s">
        <v>4179</v>
      </c>
      <c r="H432" s="10" t="s">
        <v>3737</v>
      </c>
      <c r="I432" s="12" t="s">
        <v>49</v>
      </c>
      <c r="J432" s="12">
        <v>45584</v>
      </c>
      <c r="K432" s="77">
        <v>45596</v>
      </c>
      <c r="L432" s="50"/>
      <c r="M432" s="13" t="str">
        <f t="shared" ca="1" si="13"/>
        <v>CLOSED</v>
      </c>
      <c r="N432" s="415">
        <f>+Table2[[#This Row],[Effectiveness Review &amp; date deemed effective]]-Table2[[#This Row],[CAR initialized date]]</f>
        <v>12</v>
      </c>
    </row>
    <row r="433" spans="1:14" ht="18" hidden="1" x14ac:dyDescent="0.3">
      <c r="A433" s="9" t="s">
        <v>29</v>
      </c>
      <c r="B433" s="13">
        <f>VLOOKUP(Table2[[#This Row],[Location 
(drop-down)]],'List source'!D$2:E$60,2,FALSE)</f>
        <v>141</v>
      </c>
      <c r="C433" s="11" t="s">
        <v>1328</v>
      </c>
      <c r="D433" s="108" t="str">
        <f t="shared" si="12"/>
        <v>C432-141-24</v>
      </c>
      <c r="E433" s="11" t="s">
        <v>3783</v>
      </c>
      <c r="F433" s="11" t="s">
        <v>170</v>
      </c>
      <c r="G433" s="9" t="s">
        <v>4180</v>
      </c>
      <c r="H433" s="10" t="s">
        <v>3737</v>
      </c>
      <c r="I433" s="12" t="s">
        <v>49</v>
      </c>
      <c r="J433" s="12">
        <v>45583</v>
      </c>
      <c r="K433" s="77">
        <v>45618</v>
      </c>
      <c r="L433" s="50"/>
      <c r="M433" s="13" t="str">
        <f t="shared" ca="1" si="13"/>
        <v>CLOSED</v>
      </c>
      <c r="N433" s="415">
        <f>+Table2[[#This Row],[Effectiveness Review &amp; date deemed effective]]-Table2[[#This Row],[CAR initialized date]]</f>
        <v>35</v>
      </c>
    </row>
    <row r="434" spans="1:14" ht="18" hidden="1" x14ac:dyDescent="0.3">
      <c r="A434" s="9" t="s">
        <v>107</v>
      </c>
      <c r="B434" s="13">
        <f>VLOOKUP(Table2[[#This Row],[Location 
(drop-down)]],'List source'!D$2:E$60,2,FALSE)</f>
        <v>120</v>
      </c>
      <c r="C434" s="11" t="s">
        <v>1331</v>
      </c>
      <c r="D434" s="108" t="str">
        <f t="shared" si="12"/>
        <v>C433-120-24</v>
      </c>
      <c r="E434" s="11" t="s">
        <v>3783</v>
      </c>
      <c r="F434" s="11" t="s">
        <v>143</v>
      </c>
      <c r="G434" s="9" t="s">
        <v>4179</v>
      </c>
      <c r="H434" s="10" t="s">
        <v>3737</v>
      </c>
      <c r="I434" s="12" t="s">
        <v>49</v>
      </c>
      <c r="J434" s="12">
        <v>45584</v>
      </c>
      <c r="K434" s="77">
        <v>45596</v>
      </c>
      <c r="L434" s="50"/>
      <c r="M434" s="13" t="str">
        <f t="shared" ca="1" si="13"/>
        <v>CLOSED</v>
      </c>
      <c r="N434" s="415">
        <f>+Table2[[#This Row],[Effectiveness Review &amp; date deemed effective]]-Table2[[#This Row],[CAR initialized date]]</f>
        <v>12</v>
      </c>
    </row>
    <row r="435" spans="1:14" ht="28.8" hidden="1" x14ac:dyDescent="0.3">
      <c r="A435" s="9" t="s">
        <v>288</v>
      </c>
      <c r="B435" s="13">
        <f>VLOOKUP(Table2[[#This Row],[Location 
(drop-down)]],'List source'!D$2:E$60,2,FALSE)</f>
        <v>197</v>
      </c>
      <c r="C435" s="11" t="s">
        <v>1333</v>
      </c>
      <c r="D435" s="108" t="str">
        <f t="shared" si="12"/>
        <v>C434-197-24</v>
      </c>
      <c r="E435" s="11" t="s">
        <v>3770</v>
      </c>
      <c r="F435" s="11"/>
      <c r="G435" s="9" t="s">
        <v>4181</v>
      </c>
      <c r="H435" s="10" t="s">
        <v>3621</v>
      </c>
      <c r="I435" s="12" t="s">
        <v>168</v>
      </c>
      <c r="J435" s="12">
        <v>45587</v>
      </c>
      <c r="K435" s="77">
        <v>45597</v>
      </c>
      <c r="L435" s="50"/>
      <c r="M435" s="13" t="str">
        <f t="shared" ca="1" si="13"/>
        <v>CLOSED</v>
      </c>
      <c r="N435" s="415">
        <f>+Table2[[#This Row],[Effectiveness Review &amp; date deemed effective]]-Table2[[#This Row],[CAR initialized date]]</f>
        <v>10</v>
      </c>
    </row>
    <row r="436" spans="1:14" ht="18" hidden="1" x14ac:dyDescent="0.3">
      <c r="A436" s="9" t="s">
        <v>86</v>
      </c>
      <c r="B436" s="13">
        <f>VLOOKUP(Table2[[#This Row],[Location 
(drop-down)]],'List source'!D$2:E$60,2,FALSE)</f>
        <v>150</v>
      </c>
      <c r="C436" s="11" t="s">
        <v>1335</v>
      </c>
      <c r="D436" s="108" t="str">
        <f t="shared" si="12"/>
        <v>C435-150-24</v>
      </c>
      <c r="E436" s="311" t="s">
        <v>3773</v>
      </c>
      <c r="F436" s="11" t="s">
        <v>73</v>
      </c>
      <c r="G436" s="9" t="s">
        <v>4182</v>
      </c>
      <c r="H436" s="10" t="s">
        <v>3621</v>
      </c>
      <c r="I436" s="12" t="s">
        <v>49</v>
      </c>
      <c r="J436" s="12">
        <v>45588</v>
      </c>
      <c r="K436" s="77">
        <v>45726</v>
      </c>
      <c r="L436" s="50"/>
      <c r="M436" s="13" t="str">
        <f t="shared" ca="1" si="13"/>
        <v>CLOSED</v>
      </c>
      <c r="N436" s="415">
        <f>+Table2[[#This Row],[Effectiveness Review &amp; date deemed effective]]-Table2[[#This Row],[CAR initialized date]]</f>
        <v>138</v>
      </c>
    </row>
    <row r="437" spans="1:14" ht="43.2" hidden="1" x14ac:dyDescent="0.3">
      <c r="A437" s="9" t="s">
        <v>107</v>
      </c>
      <c r="B437" s="13">
        <f>VLOOKUP(Table2[[#This Row],[Location 
(drop-down)]],'List source'!D$2:E$60,2,FALSE)</f>
        <v>120</v>
      </c>
      <c r="C437" s="11" t="s">
        <v>1338</v>
      </c>
      <c r="D437" s="108" t="str">
        <f t="shared" si="12"/>
        <v>C436-120-24</v>
      </c>
      <c r="E437" s="11" t="s">
        <v>3783</v>
      </c>
      <c r="F437" s="11" t="s">
        <v>170</v>
      </c>
      <c r="G437" s="9" t="s">
        <v>4183</v>
      </c>
      <c r="H437" s="10" t="s">
        <v>3737</v>
      </c>
      <c r="I437" s="10"/>
      <c r="J437" s="12">
        <v>45588</v>
      </c>
      <c r="K437" s="77">
        <v>45676</v>
      </c>
      <c r="L437" s="50"/>
      <c r="M437" s="13" t="str">
        <f t="shared" ca="1" si="13"/>
        <v>CLOSED</v>
      </c>
      <c r="N437" s="415">
        <f>+Table2[[#This Row],[Effectiveness Review &amp; date deemed effective]]-Table2[[#This Row],[CAR initialized date]]</f>
        <v>88</v>
      </c>
    </row>
    <row r="438" spans="1:14" ht="28.8" hidden="1" x14ac:dyDescent="0.3">
      <c r="A438" s="9" t="s">
        <v>107</v>
      </c>
      <c r="B438" s="13">
        <f>VLOOKUP(Table2[[#This Row],[Location 
(drop-down)]],'List source'!D$2:E$60,2,FALSE)</f>
        <v>120</v>
      </c>
      <c r="C438" s="11" t="s">
        <v>1341</v>
      </c>
      <c r="D438" s="108" t="str">
        <f t="shared" si="12"/>
        <v>C437-120-24</v>
      </c>
      <c r="E438" s="11" t="s">
        <v>3783</v>
      </c>
      <c r="F438" s="11" t="s">
        <v>170</v>
      </c>
      <c r="G438" s="9" t="s">
        <v>4184</v>
      </c>
      <c r="H438" s="10" t="s">
        <v>3737</v>
      </c>
      <c r="I438" s="10"/>
      <c r="J438" s="12">
        <v>45588</v>
      </c>
      <c r="K438" s="77">
        <v>45674</v>
      </c>
      <c r="L438" s="440"/>
      <c r="M438" s="13" t="str">
        <f t="shared" ca="1" si="13"/>
        <v>CLOSED</v>
      </c>
      <c r="N438" s="415">
        <f>+Table2[[#This Row],[Effectiveness Review &amp; date deemed effective]]-Table2[[#This Row],[CAR initialized date]]</f>
        <v>86</v>
      </c>
    </row>
    <row r="439" spans="1:14" ht="28.8" hidden="1" x14ac:dyDescent="0.3">
      <c r="A439" s="9" t="s">
        <v>107</v>
      </c>
      <c r="B439" s="13">
        <f>VLOOKUP(Table2[[#This Row],[Location 
(drop-down)]],'List source'!D$2:E$60,2,FALSE)</f>
        <v>120</v>
      </c>
      <c r="C439" s="11" t="s">
        <v>1343</v>
      </c>
      <c r="D439" s="108" t="str">
        <f t="shared" si="12"/>
        <v>C438-120-24</v>
      </c>
      <c r="E439" s="11" t="s">
        <v>3783</v>
      </c>
      <c r="F439" s="11" t="s">
        <v>170</v>
      </c>
      <c r="G439" s="9" t="s">
        <v>4185</v>
      </c>
      <c r="H439" s="10" t="s">
        <v>3737</v>
      </c>
      <c r="I439" s="10"/>
      <c r="J439" s="12">
        <v>45588</v>
      </c>
      <c r="K439" s="77">
        <v>45676</v>
      </c>
      <c r="L439" s="440"/>
      <c r="M439" s="13" t="str">
        <f t="shared" ca="1" si="13"/>
        <v>CLOSED</v>
      </c>
      <c r="N439" s="415">
        <f>+Table2[[#This Row],[Effectiveness Review &amp; date deemed effective]]-Table2[[#This Row],[CAR initialized date]]</f>
        <v>88</v>
      </c>
    </row>
    <row r="440" spans="1:14" ht="28.8" hidden="1" x14ac:dyDescent="0.3">
      <c r="A440" s="9" t="s">
        <v>107</v>
      </c>
      <c r="B440" s="13">
        <f>VLOOKUP(Table2[[#This Row],[Location 
(drop-down)]],'List source'!D$2:E$60,2,FALSE)</f>
        <v>120</v>
      </c>
      <c r="C440" s="11" t="s">
        <v>1346</v>
      </c>
      <c r="D440" s="108" t="str">
        <f t="shared" si="12"/>
        <v>C439-120-24</v>
      </c>
      <c r="E440" s="11" t="s">
        <v>3783</v>
      </c>
      <c r="F440" s="11" t="s">
        <v>170</v>
      </c>
      <c r="G440" s="9" t="s">
        <v>4186</v>
      </c>
      <c r="H440" s="10" t="s">
        <v>3737</v>
      </c>
      <c r="I440" s="10"/>
      <c r="J440" s="12">
        <v>45588</v>
      </c>
      <c r="K440" s="77">
        <v>45674</v>
      </c>
      <c r="L440" s="50"/>
      <c r="M440" s="13" t="str">
        <f t="shared" ca="1" si="13"/>
        <v>CLOSED</v>
      </c>
      <c r="N440" s="415">
        <f>+Table2[[#This Row],[Effectiveness Review &amp; date deemed effective]]-Table2[[#This Row],[CAR initialized date]]</f>
        <v>86</v>
      </c>
    </row>
    <row r="441" spans="1:14" ht="28.8" hidden="1" x14ac:dyDescent="0.3">
      <c r="A441" s="9" t="s">
        <v>107</v>
      </c>
      <c r="B441" s="13">
        <f>VLOOKUP(Table2[[#This Row],[Location 
(drop-down)]],'List source'!D$2:E$60,2,FALSE)</f>
        <v>120</v>
      </c>
      <c r="C441" s="11" t="s">
        <v>1349</v>
      </c>
      <c r="D441" s="108" t="str">
        <f t="shared" si="12"/>
        <v>C440-120-24</v>
      </c>
      <c r="E441" s="11" t="s">
        <v>3783</v>
      </c>
      <c r="F441" s="11" t="s">
        <v>170</v>
      </c>
      <c r="G441" s="9" t="s">
        <v>4187</v>
      </c>
      <c r="H441" s="10" t="s">
        <v>3737</v>
      </c>
      <c r="I441" s="10"/>
      <c r="J441" s="12">
        <v>45588</v>
      </c>
      <c r="K441" s="77">
        <v>45674</v>
      </c>
      <c r="L441" s="50"/>
      <c r="M441" s="13" t="str">
        <f t="shared" ca="1" si="13"/>
        <v>CLOSED</v>
      </c>
      <c r="N441" s="415">
        <f>+Table2[[#This Row],[Effectiveness Review &amp; date deemed effective]]-Table2[[#This Row],[CAR initialized date]]</f>
        <v>86</v>
      </c>
    </row>
    <row r="442" spans="1:14" ht="28.8" hidden="1" x14ac:dyDescent="0.3">
      <c r="A442" s="9" t="s">
        <v>107</v>
      </c>
      <c r="B442" s="13">
        <f>VLOOKUP(Table2[[#This Row],[Location 
(drop-down)]],'List source'!D$2:E$60,2,FALSE)</f>
        <v>120</v>
      </c>
      <c r="C442" s="11" t="s">
        <v>1351</v>
      </c>
      <c r="D442" s="108" t="str">
        <f t="shared" si="12"/>
        <v>C441-120-24</v>
      </c>
      <c r="E442" s="11" t="s">
        <v>3783</v>
      </c>
      <c r="F442" s="11" t="s">
        <v>170</v>
      </c>
      <c r="G442" s="9" t="s">
        <v>4188</v>
      </c>
      <c r="H442" s="10" t="s">
        <v>3737</v>
      </c>
      <c r="I442" s="10"/>
      <c r="J442" s="12">
        <v>45588</v>
      </c>
      <c r="K442" s="77">
        <v>45676</v>
      </c>
      <c r="L442" s="50"/>
      <c r="M442" s="13" t="str">
        <f t="shared" ca="1" si="13"/>
        <v>CLOSED</v>
      </c>
      <c r="N442" s="415">
        <f>+Table2[[#This Row],[Effectiveness Review &amp; date deemed effective]]-Table2[[#This Row],[CAR initialized date]]</f>
        <v>88</v>
      </c>
    </row>
    <row r="443" spans="1:14" ht="18" hidden="1" x14ac:dyDescent="0.3">
      <c r="A443" s="9" t="s">
        <v>107</v>
      </c>
      <c r="B443" s="13">
        <f>VLOOKUP(Table2[[#This Row],[Location 
(drop-down)]],'List source'!D$2:E$60,2,FALSE)</f>
        <v>120</v>
      </c>
      <c r="C443" s="11" t="s">
        <v>1353</v>
      </c>
      <c r="D443" s="108" t="str">
        <f t="shared" si="12"/>
        <v>C442-120-24</v>
      </c>
      <c r="E443" s="11" t="s">
        <v>3735</v>
      </c>
      <c r="F443" s="11" t="s">
        <v>3850</v>
      </c>
      <c r="G443" s="9" t="s">
        <v>4189</v>
      </c>
      <c r="H443" s="10" t="s">
        <v>3737</v>
      </c>
      <c r="I443" s="10"/>
      <c r="J443" s="12">
        <v>45593</v>
      </c>
      <c r="K443" s="77">
        <v>45614</v>
      </c>
      <c r="L443" s="50"/>
      <c r="M443" s="13" t="str">
        <f t="shared" ca="1" si="13"/>
        <v>CLOSED</v>
      </c>
      <c r="N443" s="415">
        <f>+Table2[[#This Row],[Effectiveness Review &amp; date deemed effective]]-Table2[[#This Row],[CAR initialized date]]</f>
        <v>21</v>
      </c>
    </row>
    <row r="444" spans="1:14" ht="28.8" hidden="1" x14ac:dyDescent="0.3">
      <c r="A444" s="9" t="s">
        <v>107</v>
      </c>
      <c r="B444" s="13">
        <f>VLOOKUP(Table2[[#This Row],[Location 
(drop-down)]],'List source'!D$2:E$60,2,FALSE)</f>
        <v>120</v>
      </c>
      <c r="C444" s="11" t="s">
        <v>1355</v>
      </c>
      <c r="D444" s="108" t="str">
        <f t="shared" si="12"/>
        <v>C443-120-24</v>
      </c>
      <c r="E444" s="11" t="s">
        <v>3735</v>
      </c>
      <c r="F444" s="11" t="s">
        <v>170</v>
      </c>
      <c r="G444" s="9" t="s">
        <v>4190</v>
      </c>
      <c r="H444" s="10" t="s">
        <v>3621</v>
      </c>
      <c r="I444" s="10"/>
      <c r="J444" s="12">
        <v>45594</v>
      </c>
      <c r="K444" s="77">
        <v>45631</v>
      </c>
      <c r="L444" s="50"/>
      <c r="M444" s="13" t="str">
        <f t="shared" ca="1" si="13"/>
        <v>CLOSED</v>
      </c>
      <c r="N444" s="415">
        <f>+Table2[[#This Row],[Effectiveness Review &amp; date deemed effective]]-Table2[[#This Row],[CAR initialized date]]</f>
        <v>37</v>
      </c>
    </row>
    <row r="445" spans="1:14" ht="18" hidden="1" x14ac:dyDescent="0.3">
      <c r="A445" s="9" t="s">
        <v>70</v>
      </c>
      <c r="B445" s="13">
        <f>VLOOKUP(Table2[[#This Row],[Location 
(drop-down)]],'List source'!D$2:E$60,2,FALSE)</f>
        <v>146</v>
      </c>
      <c r="C445" s="11" t="s">
        <v>1358</v>
      </c>
      <c r="D445" s="108" t="str">
        <f t="shared" si="12"/>
        <v>C444-146-24</v>
      </c>
      <c r="E445" s="11" t="s">
        <v>3740</v>
      </c>
      <c r="F445" s="11"/>
      <c r="G445" s="9" t="s">
        <v>4059</v>
      </c>
      <c r="H445" s="10" t="s">
        <v>3737</v>
      </c>
      <c r="I445" s="10" t="s">
        <v>23</v>
      </c>
      <c r="J445" s="12">
        <v>45615</v>
      </c>
      <c r="K445" s="77">
        <v>45748</v>
      </c>
      <c r="L445" s="50"/>
      <c r="M445" s="13" t="str">
        <f t="shared" ca="1" si="13"/>
        <v>CLOSED</v>
      </c>
      <c r="N445" s="415">
        <f>+Table2[[#This Row],[Effectiveness Review &amp; date deemed effective]]-Table2[[#This Row],[CAR initialized date]]</f>
        <v>133</v>
      </c>
    </row>
    <row r="446" spans="1:14" ht="28.8" hidden="1" x14ac:dyDescent="0.3">
      <c r="A446" s="9" t="s">
        <v>70</v>
      </c>
      <c r="B446" s="13">
        <f>VLOOKUP(Table2[[#This Row],[Location 
(drop-down)]],'List source'!D$2:E$60,2,FALSE)</f>
        <v>146</v>
      </c>
      <c r="C446" s="11" t="s">
        <v>1360</v>
      </c>
      <c r="D446" s="108" t="str">
        <f t="shared" si="12"/>
        <v>C445-146-24</v>
      </c>
      <c r="E446" s="11" t="s">
        <v>3740</v>
      </c>
      <c r="F446" s="11"/>
      <c r="G446" s="9" t="s">
        <v>4191</v>
      </c>
      <c r="H446" s="10" t="s">
        <v>3621</v>
      </c>
      <c r="I446" s="10" t="s">
        <v>23</v>
      </c>
      <c r="J446" s="12">
        <v>45615</v>
      </c>
      <c r="K446" s="77">
        <v>45687</v>
      </c>
      <c r="L446" s="50"/>
      <c r="M446" s="13" t="str">
        <f t="shared" ca="1" si="13"/>
        <v>CLOSED</v>
      </c>
      <c r="N446" s="415">
        <f>+Table2[[#This Row],[Effectiveness Review &amp; date deemed effective]]-Table2[[#This Row],[CAR initialized date]]</f>
        <v>72</v>
      </c>
    </row>
    <row r="447" spans="1:14" ht="28.8" hidden="1" x14ac:dyDescent="0.3">
      <c r="A447" s="9" t="s">
        <v>70</v>
      </c>
      <c r="B447" s="13">
        <f>VLOOKUP(Table2[[#This Row],[Location 
(drop-down)]],'List source'!D$2:E$60,2,FALSE)</f>
        <v>146</v>
      </c>
      <c r="C447" s="11" t="s">
        <v>1362</v>
      </c>
      <c r="D447" s="108" t="str">
        <f t="shared" si="12"/>
        <v>C446-146-24</v>
      </c>
      <c r="E447" s="11" t="s">
        <v>3740</v>
      </c>
      <c r="F447" s="11"/>
      <c r="G447" s="9" t="s">
        <v>4192</v>
      </c>
      <c r="H447" s="10" t="s">
        <v>3621</v>
      </c>
      <c r="I447" s="10" t="s">
        <v>23</v>
      </c>
      <c r="J447" s="12">
        <v>45615</v>
      </c>
      <c r="K447" s="77">
        <v>45825</v>
      </c>
      <c r="L447" s="50" t="s">
        <v>4193</v>
      </c>
      <c r="M447" s="13" t="str">
        <f t="shared" ca="1" si="13"/>
        <v>CLOSED</v>
      </c>
      <c r="N447" s="415">
        <f>+Table2[[#This Row],[Effectiveness Review &amp; date deemed effective]]-Table2[[#This Row],[CAR initialized date]]</f>
        <v>210</v>
      </c>
    </row>
    <row r="448" spans="1:14" ht="28.8" hidden="1" x14ac:dyDescent="0.3">
      <c r="A448" s="9" t="s">
        <v>70</v>
      </c>
      <c r="B448" s="13">
        <f>VLOOKUP(Table2[[#This Row],[Location 
(drop-down)]],'List source'!D$2:E$60,2,FALSE)</f>
        <v>146</v>
      </c>
      <c r="C448" s="11" t="s">
        <v>1365</v>
      </c>
      <c r="D448" s="108" t="str">
        <f t="shared" si="12"/>
        <v>C447-146-24</v>
      </c>
      <c r="E448" s="11" t="s">
        <v>3740</v>
      </c>
      <c r="F448" s="11"/>
      <c r="G448" s="9" t="s">
        <v>4194</v>
      </c>
      <c r="H448" s="10" t="s">
        <v>3621</v>
      </c>
      <c r="I448" s="10" t="s">
        <v>23</v>
      </c>
      <c r="J448" s="12">
        <v>45615</v>
      </c>
      <c r="K448" s="77">
        <v>45642</v>
      </c>
      <c r="L448" s="50"/>
      <c r="M448" s="13" t="str">
        <f t="shared" ca="1" si="13"/>
        <v>CLOSED</v>
      </c>
      <c r="N448" s="415">
        <f>+Table2[[#This Row],[Effectiveness Review &amp; date deemed effective]]-Table2[[#This Row],[CAR initialized date]]</f>
        <v>27</v>
      </c>
    </row>
    <row r="449" spans="1:14" ht="53.1" hidden="1" customHeight="1" x14ac:dyDescent="0.3">
      <c r="A449" s="9" t="s">
        <v>70</v>
      </c>
      <c r="B449" s="13">
        <f>VLOOKUP(Table2[[#This Row],[Location 
(drop-down)]],'List source'!D$2:E$60,2,FALSE)</f>
        <v>146</v>
      </c>
      <c r="C449" s="11" t="s">
        <v>1368</v>
      </c>
      <c r="D449" s="108" t="str">
        <f t="shared" si="12"/>
        <v>C448-146-24</v>
      </c>
      <c r="E449" s="11" t="s">
        <v>3740</v>
      </c>
      <c r="F449" s="11"/>
      <c r="G449" s="9" t="s">
        <v>4195</v>
      </c>
      <c r="H449" s="12" t="s">
        <v>3621</v>
      </c>
      <c r="I449" s="10" t="s">
        <v>23</v>
      </c>
      <c r="J449" s="12">
        <v>45615</v>
      </c>
      <c r="K449" s="12">
        <v>45733</v>
      </c>
      <c r="L449" s="216" t="s">
        <v>4196</v>
      </c>
      <c r="M449" s="13" t="str">
        <f t="shared" ca="1" si="13"/>
        <v>CLOSED</v>
      </c>
      <c r="N449" s="415">
        <f>+Table2[[#This Row],[Effectiveness Review &amp; date deemed effective]]-Table2[[#This Row],[CAR initialized date]]</f>
        <v>118</v>
      </c>
    </row>
    <row r="450" spans="1:14" ht="18" hidden="1" x14ac:dyDescent="0.3">
      <c r="A450" s="9" t="s">
        <v>70</v>
      </c>
      <c r="B450" s="13">
        <f>VLOOKUP(Table2[[#This Row],[Location 
(drop-down)]],'List source'!D$2:E$60,2,FALSE)</f>
        <v>146</v>
      </c>
      <c r="C450" s="11" t="s">
        <v>1370</v>
      </c>
      <c r="D450" s="108" t="str">
        <f t="shared" ref="D450:D513" si="14">"C" &amp; C450 &amp; "-" &amp; B450 &amp; "-" &amp; "24"</f>
        <v>C449-146-24</v>
      </c>
      <c r="E450" s="11" t="s">
        <v>3740</v>
      </c>
      <c r="F450" s="11"/>
      <c r="G450" s="9" t="s">
        <v>4197</v>
      </c>
      <c r="H450" s="10" t="s">
        <v>3621</v>
      </c>
      <c r="I450" s="10" t="s">
        <v>23</v>
      </c>
      <c r="J450" s="12">
        <v>45615</v>
      </c>
      <c r="K450" s="77">
        <v>45687</v>
      </c>
      <c r="L450" s="50"/>
      <c r="M450" s="13" t="str">
        <f t="shared" ca="1" si="13"/>
        <v>CLOSED</v>
      </c>
      <c r="N450" s="415">
        <f>+Table2[[#This Row],[Effectiveness Review &amp; date deemed effective]]-Table2[[#This Row],[CAR initialized date]]</f>
        <v>72</v>
      </c>
    </row>
    <row r="451" spans="1:14" ht="18" hidden="1" x14ac:dyDescent="0.3">
      <c r="A451" s="9" t="s">
        <v>70</v>
      </c>
      <c r="B451" s="13">
        <f>VLOOKUP(Table2[[#This Row],[Location 
(drop-down)]],'List source'!D$2:E$60,2,FALSE)</f>
        <v>146</v>
      </c>
      <c r="C451" s="11" t="s">
        <v>1373</v>
      </c>
      <c r="D451" s="108" t="str">
        <f t="shared" si="14"/>
        <v>C450-146-24</v>
      </c>
      <c r="E451" s="11" t="s">
        <v>3740</v>
      </c>
      <c r="F451" s="11"/>
      <c r="G451" s="9" t="s">
        <v>4054</v>
      </c>
      <c r="H451" s="10" t="s">
        <v>3621</v>
      </c>
      <c r="I451" s="10" t="s">
        <v>23</v>
      </c>
      <c r="J451" s="12">
        <v>45615</v>
      </c>
      <c r="K451" s="77">
        <v>45755</v>
      </c>
      <c r="L451" s="50"/>
      <c r="M451" s="13" t="str">
        <f t="shared" ref="M451:M514" ca="1" si="15">IF(ISBLANK(K451), TODAY()-J451, "CLOSED")</f>
        <v>CLOSED</v>
      </c>
      <c r="N451" s="415">
        <f>+Table2[[#This Row],[Effectiveness Review &amp; date deemed effective]]-Table2[[#This Row],[CAR initialized date]]</f>
        <v>140</v>
      </c>
    </row>
    <row r="452" spans="1:14" ht="28.8" hidden="1" x14ac:dyDescent="0.3">
      <c r="A452" s="9" t="s">
        <v>70</v>
      </c>
      <c r="B452" s="13">
        <f>VLOOKUP(Table2[[#This Row],[Location 
(drop-down)]],'List source'!D$2:E$60,2,FALSE)</f>
        <v>146</v>
      </c>
      <c r="C452" s="11" t="s">
        <v>1375</v>
      </c>
      <c r="D452" s="108" t="str">
        <f t="shared" si="14"/>
        <v>C451-146-24</v>
      </c>
      <c r="E452" s="11" t="s">
        <v>3740</v>
      </c>
      <c r="F452" s="11"/>
      <c r="G452" s="18" t="s">
        <v>4198</v>
      </c>
      <c r="H452" s="10" t="s">
        <v>3621</v>
      </c>
      <c r="I452" s="10" t="s">
        <v>23</v>
      </c>
      <c r="J452" s="12">
        <v>45615</v>
      </c>
      <c r="K452" s="77">
        <v>45708</v>
      </c>
      <c r="L452" s="50"/>
      <c r="M452" s="13" t="str">
        <f t="shared" ca="1" si="15"/>
        <v>CLOSED</v>
      </c>
      <c r="N452" s="415">
        <f>+Table2[[#This Row],[Effectiveness Review &amp; date deemed effective]]-Table2[[#This Row],[CAR initialized date]]</f>
        <v>93</v>
      </c>
    </row>
    <row r="453" spans="1:14" ht="28.8" hidden="1" x14ac:dyDescent="0.3">
      <c r="A453" s="9" t="s">
        <v>107</v>
      </c>
      <c r="B453" s="13">
        <f>VLOOKUP(Table2[[#This Row],[Location 
(drop-down)]],'List source'!D$2:E$60,2,FALSE)</f>
        <v>120</v>
      </c>
      <c r="C453" s="11" t="s">
        <v>1378</v>
      </c>
      <c r="D453" s="108" t="str">
        <f t="shared" si="14"/>
        <v>C452-120-24</v>
      </c>
      <c r="E453" s="11" t="s">
        <v>3770</v>
      </c>
      <c r="F453" s="11" t="s">
        <v>170</v>
      </c>
      <c r="G453" s="9" t="s">
        <v>4199</v>
      </c>
      <c r="H453" s="10" t="s">
        <v>3737</v>
      </c>
      <c r="I453" s="10" t="s">
        <v>49</v>
      </c>
      <c r="J453" s="12">
        <v>45597</v>
      </c>
      <c r="K453" s="77">
        <v>45617</v>
      </c>
      <c r="L453" s="50"/>
      <c r="M453" s="13" t="str">
        <f t="shared" ca="1" si="15"/>
        <v>CLOSED</v>
      </c>
      <c r="N453" s="415">
        <f>+Table2[[#This Row],[Effectiveness Review &amp; date deemed effective]]-Table2[[#This Row],[CAR initialized date]]</f>
        <v>20</v>
      </c>
    </row>
    <row r="454" spans="1:14" ht="18" hidden="1" x14ac:dyDescent="0.3">
      <c r="A454" s="9" t="s">
        <v>235</v>
      </c>
      <c r="B454" s="13">
        <f>VLOOKUP(Table2[[#This Row],[Location 
(drop-down)]],'List source'!D$2:E$60,2,FALSE)</f>
        <v>160</v>
      </c>
      <c r="C454" s="11" t="s">
        <v>1380</v>
      </c>
      <c r="D454" s="100" t="str">
        <f t="shared" si="14"/>
        <v>C453-160-24</v>
      </c>
      <c r="E454" s="11" t="s">
        <v>3735</v>
      </c>
      <c r="F454" s="11" t="s">
        <v>3772</v>
      </c>
      <c r="G454" s="9" t="s">
        <v>4200</v>
      </c>
      <c r="H454" s="10" t="s">
        <v>3621</v>
      </c>
      <c r="I454" s="10" t="s">
        <v>49</v>
      </c>
      <c r="J454" s="12">
        <v>45600</v>
      </c>
      <c r="K454" s="77">
        <v>45614</v>
      </c>
      <c r="L454" s="50"/>
      <c r="M454" s="13" t="str">
        <f t="shared" ca="1" si="15"/>
        <v>CLOSED</v>
      </c>
      <c r="N454" s="415">
        <f>+Table2[[#This Row],[Effectiveness Review &amp; date deemed effective]]-Table2[[#This Row],[CAR initialized date]]</f>
        <v>14</v>
      </c>
    </row>
    <row r="455" spans="1:14" ht="18" hidden="1" x14ac:dyDescent="0.3">
      <c r="A455" s="9" t="s">
        <v>207</v>
      </c>
      <c r="B455" s="13">
        <f>VLOOKUP(Table2[[#This Row],[Location 
(drop-down)]],'List source'!D$2:E$60,2,FALSE)</f>
        <v>189</v>
      </c>
      <c r="C455" s="11" t="s">
        <v>1383</v>
      </c>
      <c r="D455" s="108" t="str">
        <f t="shared" si="14"/>
        <v>C454-189-24</v>
      </c>
      <c r="E455" s="11" t="s">
        <v>3740</v>
      </c>
      <c r="F455" s="11"/>
      <c r="G455" s="9" t="s">
        <v>4201</v>
      </c>
      <c r="H455" s="10" t="s">
        <v>3737</v>
      </c>
      <c r="I455" s="10" t="s">
        <v>168</v>
      </c>
      <c r="J455" s="12">
        <v>45602</v>
      </c>
      <c r="K455" s="77">
        <v>45679</v>
      </c>
      <c r="L455" s="50"/>
      <c r="M455" s="13" t="str">
        <f t="shared" ca="1" si="15"/>
        <v>CLOSED</v>
      </c>
      <c r="N455" s="415">
        <f>+Table2[[#This Row],[Effectiveness Review &amp; date deemed effective]]-Table2[[#This Row],[CAR initialized date]]</f>
        <v>77</v>
      </c>
    </row>
    <row r="456" spans="1:14" ht="18" hidden="1" x14ac:dyDescent="0.3">
      <c r="A456" s="9" t="s">
        <v>207</v>
      </c>
      <c r="B456" s="13">
        <f>VLOOKUP(Table2[[#This Row],[Location 
(drop-down)]],'List source'!D$2:E$60,2,FALSE)</f>
        <v>189</v>
      </c>
      <c r="C456" s="11" t="s">
        <v>1386</v>
      </c>
      <c r="D456" s="108" t="str">
        <f t="shared" si="14"/>
        <v>C455-189-24</v>
      </c>
      <c r="E456" s="11" t="s">
        <v>3740</v>
      </c>
      <c r="F456" s="11"/>
      <c r="G456" s="9" t="s">
        <v>4202</v>
      </c>
      <c r="H456" s="10" t="s">
        <v>3737</v>
      </c>
      <c r="I456" s="10" t="s">
        <v>168</v>
      </c>
      <c r="J456" s="12">
        <v>45602</v>
      </c>
      <c r="K456" s="310">
        <v>45705</v>
      </c>
      <c r="L456" s="50"/>
      <c r="M456" s="13" t="str">
        <f t="shared" ca="1" si="15"/>
        <v>CLOSED</v>
      </c>
      <c r="N456" s="415">
        <f>+Table2[[#This Row],[Effectiveness Review &amp; date deemed effective]]-Table2[[#This Row],[CAR initialized date]]</f>
        <v>103</v>
      </c>
    </row>
    <row r="457" spans="1:14" ht="18" hidden="1" x14ac:dyDescent="0.3">
      <c r="A457" s="9" t="s">
        <v>107</v>
      </c>
      <c r="B457" s="13">
        <f>VLOOKUP(Table2[[#This Row],[Location 
(drop-down)]],'List source'!D$2:E$60,2,FALSE)</f>
        <v>120</v>
      </c>
      <c r="C457" s="11" t="s">
        <v>1389</v>
      </c>
      <c r="D457" s="108" t="str">
        <f t="shared" si="14"/>
        <v>C456-120-24</v>
      </c>
      <c r="E457" s="11" t="s">
        <v>3773</v>
      </c>
      <c r="F457" s="11"/>
      <c r="G457" s="9" t="s">
        <v>4203</v>
      </c>
      <c r="H457" s="10" t="s">
        <v>3621</v>
      </c>
      <c r="I457" s="10" t="s">
        <v>134</v>
      </c>
      <c r="J457" s="12">
        <v>45604</v>
      </c>
      <c r="K457" s="77">
        <v>45646</v>
      </c>
      <c r="L457" s="50"/>
      <c r="M457" s="13" t="str">
        <f t="shared" ca="1" si="15"/>
        <v>CLOSED</v>
      </c>
      <c r="N457" s="415">
        <f>+Table2[[#This Row],[Effectiveness Review &amp; date deemed effective]]-Table2[[#This Row],[CAR initialized date]]</f>
        <v>42</v>
      </c>
    </row>
    <row r="458" spans="1:14" ht="18" hidden="1" x14ac:dyDescent="0.3">
      <c r="A458" s="9" t="s">
        <v>107</v>
      </c>
      <c r="B458" s="13">
        <f>VLOOKUP(Table2[[#This Row],[Location 
(drop-down)]],'List source'!D$2:E$60,2,FALSE)</f>
        <v>120</v>
      </c>
      <c r="C458" s="11" t="s">
        <v>1392</v>
      </c>
      <c r="D458" s="108" t="str">
        <f t="shared" si="14"/>
        <v>C457-120-24</v>
      </c>
      <c r="E458" s="11" t="s">
        <v>3773</v>
      </c>
      <c r="F458" s="11"/>
      <c r="G458" s="9" t="s">
        <v>4204</v>
      </c>
      <c r="H458" s="10" t="s">
        <v>3621</v>
      </c>
      <c r="I458" s="10" t="s">
        <v>134</v>
      </c>
      <c r="J458" s="12">
        <v>45604</v>
      </c>
      <c r="K458" s="77">
        <v>45645</v>
      </c>
      <c r="L458" s="50"/>
      <c r="M458" s="13" t="str">
        <f t="shared" ca="1" si="15"/>
        <v>CLOSED</v>
      </c>
      <c r="N458" s="415">
        <f>+Table2[[#This Row],[Effectiveness Review &amp; date deemed effective]]-Table2[[#This Row],[CAR initialized date]]</f>
        <v>41</v>
      </c>
    </row>
    <row r="459" spans="1:14" ht="28.8" hidden="1" x14ac:dyDescent="0.3">
      <c r="A459" s="9" t="s">
        <v>113</v>
      </c>
      <c r="B459" s="13" t="str">
        <f>VLOOKUP(Table2[[#This Row],[Location 
(drop-down)]],'List source'!D$2:E$60,2,FALSE)</f>
        <v>VOID</v>
      </c>
      <c r="C459" s="11" t="s">
        <v>1394</v>
      </c>
      <c r="D459" s="108" t="str">
        <f t="shared" si="14"/>
        <v>C458-VOID-24</v>
      </c>
      <c r="E459" s="11" t="s">
        <v>114</v>
      </c>
      <c r="F459" s="11" t="s">
        <v>114</v>
      </c>
      <c r="G459" s="9" t="s">
        <v>4205</v>
      </c>
      <c r="H459" s="10" t="s">
        <v>114</v>
      </c>
      <c r="I459" s="10" t="s">
        <v>114</v>
      </c>
      <c r="J459" s="12" t="s">
        <v>114</v>
      </c>
      <c r="K459" s="12" t="s">
        <v>114</v>
      </c>
      <c r="L459" s="50" t="s">
        <v>4206</v>
      </c>
      <c r="M459" s="13" t="str">
        <f t="shared" ca="1" si="15"/>
        <v>CLOSED</v>
      </c>
      <c r="N459" s="415" t="e">
        <f>+Table2[[#This Row],[Effectiveness Review &amp; date deemed effective]]-Table2[[#This Row],[CAR initialized date]]</f>
        <v>#VALUE!</v>
      </c>
    </row>
    <row r="460" spans="1:14" ht="18" hidden="1" x14ac:dyDescent="0.3">
      <c r="A460" s="9" t="s">
        <v>107</v>
      </c>
      <c r="B460" s="13">
        <f>VLOOKUP(Table2[[#This Row],[Location 
(drop-down)]],'List source'!D$2:E$60,2,FALSE)</f>
        <v>120</v>
      </c>
      <c r="C460" s="11" t="s">
        <v>1395</v>
      </c>
      <c r="D460" s="108" t="str">
        <f t="shared" si="14"/>
        <v>C459-120-24</v>
      </c>
      <c r="E460" s="11" t="s">
        <v>3773</v>
      </c>
      <c r="F460" s="11"/>
      <c r="G460" s="9" t="s">
        <v>3800</v>
      </c>
      <c r="H460" s="10" t="s">
        <v>3621</v>
      </c>
      <c r="I460" s="10" t="s">
        <v>134</v>
      </c>
      <c r="J460" s="12">
        <v>45604</v>
      </c>
      <c r="K460" s="77">
        <v>45644</v>
      </c>
      <c r="L460" s="50"/>
      <c r="M460" s="13" t="str">
        <f t="shared" ca="1" si="15"/>
        <v>CLOSED</v>
      </c>
      <c r="N460" s="415">
        <f>+Table2[[#This Row],[Effectiveness Review &amp; date deemed effective]]-Table2[[#This Row],[CAR initialized date]]</f>
        <v>40</v>
      </c>
    </row>
    <row r="461" spans="1:14" ht="18" hidden="1" x14ac:dyDescent="0.3">
      <c r="A461" s="9" t="s">
        <v>107</v>
      </c>
      <c r="B461" s="13">
        <f>VLOOKUP(Table2[[#This Row],[Location 
(drop-down)]],'List source'!D$2:E$60,2,FALSE)</f>
        <v>120</v>
      </c>
      <c r="C461" s="11" t="s">
        <v>1398</v>
      </c>
      <c r="D461" s="108" t="str">
        <f t="shared" si="14"/>
        <v>C460-120-24</v>
      </c>
      <c r="E461" s="11" t="s">
        <v>3773</v>
      </c>
      <c r="F461" s="11"/>
      <c r="G461" s="9" t="s">
        <v>3803</v>
      </c>
      <c r="H461" s="10" t="s">
        <v>3621</v>
      </c>
      <c r="I461" s="10" t="s">
        <v>134</v>
      </c>
      <c r="J461" s="12">
        <v>45604</v>
      </c>
      <c r="K461" s="77">
        <v>45639</v>
      </c>
      <c r="L461" s="50"/>
      <c r="M461" s="13" t="str">
        <f t="shared" ca="1" si="15"/>
        <v>CLOSED</v>
      </c>
      <c r="N461" s="415">
        <f>+Table2[[#This Row],[Effectiveness Review &amp; date deemed effective]]-Table2[[#This Row],[CAR initialized date]]</f>
        <v>35</v>
      </c>
    </row>
    <row r="462" spans="1:14" ht="18" hidden="1" x14ac:dyDescent="0.3">
      <c r="A462" s="239" t="s">
        <v>29</v>
      </c>
      <c r="B462" s="240">
        <f>VLOOKUP(Table2[[#This Row],[Location 
(drop-down)]],'List source'!D$2:E$60,2,FALSE)</f>
        <v>141</v>
      </c>
      <c r="C462" s="243" t="s">
        <v>1400</v>
      </c>
      <c r="D462" s="244" t="str">
        <f t="shared" si="14"/>
        <v>C461-141-24</v>
      </c>
      <c r="E462" s="243" t="s">
        <v>3783</v>
      </c>
      <c r="F462" s="243" t="s">
        <v>323</v>
      </c>
      <c r="G462" s="239" t="s">
        <v>4207</v>
      </c>
      <c r="H462" s="245" t="s">
        <v>3621</v>
      </c>
      <c r="I462" s="245" t="s">
        <v>182</v>
      </c>
      <c r="J462" s="246">
        <v>45607</v>
      </c>
      <c r="K462" s="247">
        <v>45649</v>
      </c>
      <c r="L462" s="50"/>
      <c r="M462" s="13" t="str">
        <f t="shared" ca="1" si="15"/>
        <v>CLOSED</v>
      </c>
      <c r="N462" s="415">
        <f>+Table2[[#This Row],[Effectiveness Review &amp; date deemed effective]]-Table2[[#This Row],[CAR initialized date]]</f>
        <v>42</v>
      </c>
    </row>
    <row r="463" spans="1:14" ht="18" hidden="1" x14ac:dyDescent="0.3">
      <c r="A463" s="235" t="s">
        <v>161</v>
      </c>
      <c r="B463" s="236">
        <f>VLOOKUP(Table2[[#This Row],[Location 
(drop-down)]],'List source'!D$2:E$60,2,FALSE)</f>
        <v>142</v>
      </c>
      <c r="C463" s="248" t="s">
        <v>1402</v>
      </c>
      <c r="D463" s="249" t="str">
        <f t="shared" si="14"/>
        <v>C462-142-24</v>
      </c>
      <c r="E463" s="248" t="s">
        <v>3783</v>
      </c>
      <c r="F463" s="248" t="s">
        <v>323</v>
      </c>
      <c r="G463" s="235" t="s">
        <v>4208</v>
      </c>
      <c r="H463" s="263" t="s">
        <v>3621</v>
      </c>
      <c r="I463" s="263" t="s">
        <v>182</v>
      </c>
      <c r="J463" s="264">
        <v>45607</v>
      </c>
      <c r="K463" s="250">
        <v>45715</v>
      </c>
      <c r="L463" s="50"/>
      <c r="M463" s="13" t="str">
        <f t="shared" ca="1" si="15"/>
        <v>CLOSED</v>
      </c>
      <c r="N463" s="415">
        <f>+Table2[[#This Row],[Effectiveness Review &amp; date deemed effective]]-Table2[[#This Row],[CAR initialized date]]</f>
        <v>108</v>
      </c>
    </row>
    <row r="464" spans="1:14" ht="18" hidden="1" x14ac:dyDescent="0.3">
      <c r="A464" s="9" t="s">
        <v>3636</v>
      </c>
      <c r="B464" s="13">
        <f>VLOOKUP(Table2[[#This Row],[Location 
(drop-down)]],'List source'!D$2:E$60,2,FALSE)</f>
        <v>101</v>
      </c>
      <c r="C464" s="11" t="s">
        <v>1405</v>
      </c>
      <c r="D464" s="108" t="str">
        <f t="shared" si="14"/>
        <v>C463-101-24</v>
      </c>
      <c r="E464" s="11" t="s">
        <v>3783</v>
      </c>
      <c r="F464" s="11" t="s">
        <v>323</v>
      </c>
      <c r="G464" s="9" t="s">
        <v>4209</v>
      </c>
      <c r="H464" s="10" t="s">
        <v>3737</v>
      </c>
      <c r="I464" s="10" t="s">
        <v>168</v>
      </c>
      <c r="J464" s="12">
        <v>45608</v>
      </c>
      <c r="K464" s="77">
        <v>45637</v>
      </c>
      <c r="L464" s="50"/>
      <c r="M464" s="13" t="str">
        <f t="shared" ca="1" si="15"/>
        <v>CLOSED</v>
      </c>
      <c r="N464" s="415">
        <f>+Table2[[#This Row],[Effectiveness Review &amp; date deemed effective]]-Table2[[#This Row],[CAR initialized date]]</f>
        <v>29</v>
      </c>
    </row>
    <row r="465" spans="1:14" ht="18" hidden="1" x14ac:dyDescent="0.3">
      <c r="A465" s="9" t="s">
        <v>250</v>
      </c>
      <c r="B465" s="13">
        <f>VLOOKUP(Table2[[#This Row],[Location 
(drop-down)]],'List source'!D$2:E$60,2,FALSE)</f>
        <v>199</v>
      </c>
      <c r="C465" s="11" t="s">
        <v>1407</v>
      </c>
      <c r="D465" s="108" t="str">
        <f t="shared" si="14"/>
        <v>C464-199-24</v>
      </c>
      <c r="E465" s="11" t="s">
        <v>3735</v>
      </c>
      <c r="F465" s="11" t="s">
        <v>323</v>
      </c>
      <c r="G465" s="9" t="s">
        <v>4210</v>
      </c>
      <c r="H465" s="10" t="s">
        <v>3737</v>
      </c>
      <c r="I465" s="10" t="s">
        <v>168</v>
      </c>
      <c r="J465" s="12">
        <v>45608</v>
      </c>
      <c r="K465" s="77">
        <v>45639</v>
      </c>
      <c r="L465" s="50"/>
      <c r="M465" s="13" t="str">
        <f t="shared" ca="1" si="15"/>
        <v>CLOSED</v>
      </c>
      <c r="N465" s="415">
        <f>+Table2[[#This Row],[Effectiveness Review &amp; date deemed effective]]-Table2[[#This Row],[CAR initialized date]]</f>
        <v>31</v>
      </c>
    </row>
    <row r="466" spans="1:14" ht="18" hidden="1" x14ac:dyDescent="0.3">
      <c r="A466" s="9" t="s">
        <v>264</v>
      </c>
      <c r="B466" s="13">
        <f>VLOOKUP(Table2[[#This Row],[Location 
(drop-down)]],'List source'!D$2:E$60,2,FALSE)</f>
        <v>132</v>
      </c>
      <c r="C466" s="11" t="s">
        <v>1410</v>
      </c>
      <c r="D466" s="108" t="str">
        <f t="shared" si="14"/>
        <v>C465-132-24</v>
      </c>
      <c r="E466" s="11" t="s">
        <v>3783</v>
      </c>
      <c r="F466" s="11" t="s">
        <v>141</v>
      </c>
      <c r="G466" s="9" t="s">
        <v>4211</v>
      </c>
      <c r="H466" s="10" t="s">
        <v>3621</v>
      </c>
      <c r="I466" s="10" t="s">
        <v>49</v>
      </c>
      <c r="J466" s="12">
        <v>45607</v>
      </c>
      <c r="K466" s="77">
        <v>45754</v>
      </c>
      <c r="L466" s="50"/>
      <c r="M466" s="13" t="str">
        <f t="shared" ca="1" si="15"/>
        <v>CLOSED</v>
      </c>
      <c r="N466" s="415">
        <f>+Table2[[#This Row],[Effectiveness Review &amp; date deemed effective]]-Table2[[#This Row],[CAR initialized date]]</f>
        <v>147</v>
      </c>
    </row>
    <row r="467" spans="1:14" ht="18" hidden="1" x14ac:dyDescent="0.3">
      <c r="A467" s="9" t="s">
        <v>264</v>
      </c>
      <c r="B467" s="13">
        <f>VLOOKUP(Table2[[#This Row],[Location 
(drop-down)]],'List source'!D$2:E$60,2,FALSE)</f>
        <v>132</v>
      </c>
      <c r="C467" s="11" t="s">
        <v>1413</v>
      </c>
      <c r="D467" s="108" t="str">
        <f t="shared" si="14"/>
        <v>C466-132-24</v>
      </c>
      <c r="E467" s="11" t="s">
        <v>3783</v>
      </c>
      <c r="F467" s="11" t="s">
        <v>141</v>
      </c>
      <c r="G467" s="9" t="s">
        <v>4212</v>
      </c>
      <c r="H467" s="10" t="s">
        <v>3621</v>
      </c>
      <c r="I467" s="10" t="s">
        <v>49</v>
      </c>
      <c r="J467" s="12">
        <v>45607</v>
      </c>
      <c r="K467" s="77">
        <v>45664</v>
      </c>
      <c r="L467" s="50"/>
      <c r="M467" s="13" t="str">
        <f t="shared" ca="1" si="15"/>
        <v>CLOSED</v>
      </c>
      <c r="N467" s="415">
        <f>+Table2[[#This Row],[Effectiveness Review &amp; date deemed effective]]-Table2[[#This Row],[CAR initialized date]]</f>
        <v>57</v>
      </c>
    </row>
    <row r="468" spans="1:14" ht="28.8" hidden="1" x14ac:dyDescent="0.3">
      <c r="A468" s="9" t="s">
        <v>264</v>
      </c>
      <c r="B468" s="13">
        <f>VLOOKUP(Table2[[#This Row],[Location 
(drop-down)]],'List source'!D$2:E$60,2,FALSE)</f>
        <v>132</v>
      </c>
      <c r="C468" s="11" t="s">
        <v>1415</v>
      </c>
      <c r="D468" s="108" t="str">
        <f t="shared" si="14"/>
        <v>C467-132-24</v>
      </c>
      <c r="E468" s="11" t="s">
        <v>3783</v>
      </c>
      <c r="F468" s="11" t="s">
        <v>141</v>
      </c>
      <c r="G468" s="9" t="s">
        <v>4213</v>
      </c>
      <c r="H468" s="10" t="s">
        <v>3621</v>
      </c>
      <c r="I468" s="10" t="s">
        <v>49</v>
      </c>
      <c r="J468" s="12">
        <v>45607</v>
      </c>
      <c r="K468" s="77">
        <v>45664</v>
      </c>
      <c r="L468" s="50"/>
      <c r="M468" s="13" t="str">
        <f t="shared" ca="1" si="15"/>
        <v>CLOSED</v>
      </c>
      <c r="N468" s="415">
        <f>+Table2[[#This Row],[Effectiveness Review &amp; date deemed effective]]-Table2[[#This Row],[CAR initialized date]]</f>
        <v>57</v>
      </c>
    </row>
    <row r="469" spans="1:14" ht="18" hidden="1" x14ac:dyDescent="0.3">
      <c r="A469" s="9" t="s">
        <v>264</v>
      </c>
      <c r="B469" s="13">
        <f>VLOOKUP(Table2[[#This Row],[Location 
(drop-down)]],'List source'!D$2:E$60,2,FALSE)</f>
        <v>132</v>
      </c>
      <c r="C469" s="11" t="s">
        <v>1418</v>
      </c>
      <c r="D469" s="108" t="str">
        <f t="shared" si="14"/>
        <v>C468-132-24</v>
      </c>
      <c r="E469" s="11" t="s">
        <v>3783</v>
      </c>
      <c r="F469" s="11" t="s">
        <v>141</v>
      </c>
      <c r="G469" s="9" t="s">
        <v>4214</v>
      </c>
      <c r="H469" s="10" t="s">
        <v>3621</v>
      </c>
      <c r="I469" s="10" t="s">
        <v>49</v>
      </c>
      <c r="J469" s="12">
        <v>45607</v>
      </c>
      <c r="K469" s="77">
        <v>45622</v>
      </c>
      <c r="L469" s="50"/>
      <c r="M469" s="13" t="str">
        <f t="shared" ca="1" si="15"/>
        <v>CLOSED</v>
      </c>
      <c r="N469" s="415">
        <f>+Table2[[#This Row],[Effectiveness Review &amp; date deemed effective]]-Table2[[#This Row],[CAR initialized date]]</f>
        <v>15</v>
      </c>
    </row>
    <row r="470" spans="1:14" ht="18" hidden="1" x14ac:dyDescent="0.3">
      <c r="A470" s="9" t="s">
        <v>186</v>
      </c>
      <c r="B470" s="13">
        <f>VLOOKUP(Table2[[#This Row],[Location 
(drop-down)]],'List source'!D$2:E$60,2,FALSE)</f>
        <v>130</v>
      </c>
      <c r="C470" s="11" t="s">
        <v>1420</v>
      </c>
      <c r="D470" s="108" t="str">
        <f t="shared" si="14"/>
        <v>C469-130-24</v>
      </c>
      <c r="E470" s="11" t="s">
        <v>3735</v>
      </c>
      <c r="F470" s="11" t="s">
        <v>4215</v>
      </c>
      <c r="G470" s="9" t="s">
        <v>3725</v>
      </c>
      <c r="H470" s="10" t="s">
        <v>3621</v>
      </c>
      <c r="I470" s="10" t="s">
        <v>438</v>
      </c>
      <c r="J470" s="12">
        <v>45610</v>
      </c>
      <c r="K470" s="77">
        <v>45681</v>
      </c>
      <c r="L470" s="50"/>
      <c r="M470" s="13" t="str">
        <f t="shared" ca="1" si="15"/>
        <v>CLOSED</v>
      </c>
      <c r="N470" s="415">
        <f>+Table2[[#This Row],[Effectiveness Review &amp; date deemed effective]]-Table2[[#This Row],[CAR initialized date]]</f>
        <v>71</v>
      </c>
    </row>
    <row r="471" spans="1:14" s="309" customFormat="1" ht="15.6" hidden="1" customHeight="1" x14ac:dyDescent="0.3">
      <c r="A471" s="235" t="s">
        <v>388</v>
      </c>
      <c r="B471" s="236">
        <f>VLOOKUP(Table2[[#This Row],[Location 
(drop-down)]],'List source'!D$2:E$60,2,FALSE)</f>
        <v>191</v>
      </c>
      <c r="C471" s="248" t="s">
        <v>1422</v>
      </c>
      <c r="D471" s="249" t="str">
        <f t="shared" si="14"/>
        <v>C470-191-24</v>
      </c>
      <c r="E471" s="248" t="s">
        <v>3740</v>
      </c>
      <c r="F471" s="248"/>
      <c r="G471" s="235" t="s">
        <v>4216</v>
      </c>
      <c r="H471" s="263" t="s">
        <v>3737</v>
      </c>
      <c r="I471" s="263" t="s">
        <v>49</v>
      </c>
      <c r="J471" s="264">
        <v>45615</v>
      </c>
      <c r="K471" s="250">
        <v>45787</v>
      </c>
      <c r="L471" s="435"/>
      <c r="M471" s="13" t="str">
        <f t="shared" ca="1" si="15"/>
        <v>CLOSED</v>
      </c>
      <c r="N471" s="415">
        <f>+Table2[[#This Row],[Effectiveness Review &amp; date deemed effective]]-Table2[[#This Row],[CAR initialized date]]</f>
        <v>172</v>
      </c>
    </row>
    <row r="472" spans="1:14" ht="18" hidden="1" x14ac:dyDescent="0.3">
      <c r="A472" s="9" t="s">
        <v>388</v>
      </c>
      <c r="B472" s="13">
        <f>VLOOKUP(Table2[[#This Row],[Location 
(drop-down)]],'List source'!D$2:E$60,2,FALSE)</f>
        <v>191</v>
      </c>
      <c r="C472" s="11" t="s">
        <v>1424</v>
      </c>
      <c r="D472" s="108" t="str">
        <f t="shared" si="14"/>
        <v>C471-191-24</v>
      </c>
      <c r="E472" s="11" t="s">
        <v>3740</v>
      </c>
      <c r="F472" s="11"/>
      <c r="G472" s="9" t="s">
        <v>4180</v>
      </c>
      <c r="H472" s="10" t="s">
        <v>3737</v>
      </c>
      <c r="I472" s="10" t="s">
        <v>49</v>
      </c>
      <c r="J472" s="12">
        <v>45615</v>
      </c>
      <c r="K472" s="77">
        <v>46014</v>
      </c>
      <c r="L472" s="50"/>
      <c r="M472" s="13" t="str">
        <f t="shared" ca="1" si="15"/>
        <v>CLOSED</v>
      </c>
      <c r="N472" s="415">
        <f>+Table2[[#This Row],[Effectiveness Review &amp; date deemed effective]]-Table2[[#This Row],[CAR initialized date]]</f>
        <v>399</v>
      </c>
    </row>
    <row r="473" spans="1:14" s="309" customFormat="1" ht="18" hidden="1" x14ac:dyDescent="0.3">
      <c r="A473" s="235" t="s">
        <v>388</v>
      </c>
      <c r="B473" s="236">
        <f>VLOOKUP(Table2[[#This Row],[Location 
(drop-down)]],'List source'!D$2:E$60,2,FALSE)</f>
        <v>191</v>
      </c>
      <c r="C473" s="248" t="s">
        <v>1426</v>
      </c>
      <c r="D473" s="249" t="str">
        <f t="shared" si="14"/>
        <v>C472-191-24</v>
      </c>
      <c r="E473" s="248" t="s">
        <v>3740</v>
      </c>
      <c r="F473" s="248"/>
      <c r="G473" s="235" t="s">
        <v>4217</v>
      </c>
      <c r="H473" s="263" t="s">
        <v>3737</v>
      </c>
      <c r="I473" s="263" t="s">
        <v>49</v>
      </c>
      <c r="J473" s="264">
        <v>45615</v>
      </c>
      <c r="K473" s="250">
        <v>45791</v>
      </c>
      <c r="L473" s="435"/>
      <c r="M473" s="13" t="str">
        <f t="shared" ca="1" si="15"/>
        <v>CLOSED</v>
      </c>
      <c r="N473" s="415">
        <f>+Table2[[#This Row],[Effectiveness Review &amp; date deemed effective]]-Table2[[#This Row],[CAR initialized date]]</f>
        <v>176</v>
      </c>
    </row>
    <row r="474" spans="1:14" ht="28.8" hidden="1" x14ac:dyDescent="0.3">
      <c r="A474" s="9" t="s">
        <v>388</v>
      </c>
      <c r="B474" s="13">
        <f>VLOOKUP(Table2[[#This Row],[Location 
(drop-down)]],'List source'!D$2:E$60,2,FALSE)</f>
        <v>191</v>
      </c>
      <c r="C474" s="11" t="s">
        <v>1429</v>
      </c>
      <c r="D474" s="108" t="str">
        <f t="shared" si="14"/>
        <v>C473-191-24</v>
      </c>
      <c r="E474" s="11" t="s">
        <v>3740</v>
      </c>
      <c r="F474" s="11"/>
      <c r="G474" s="9" t="s">
        <v>3923</v>
      </c>
      <c r="H474" s="10" t="s">
        <v>3621</v>
      </c>
      <c r="I474" s="10" t="s">
        <v>49</v>
      </c>
      <c r="J474" s="12">
        <v>45615</v>
      </c>
      <c r="K474" s="77">
        <v>45686</v>
      </c>
      <c r="L474" s="50"/>
      <c r="M474" s="13" t="str">
        <f t="shared" ca="1" si="15"/>
        <v>CLOSED</v>
      </c>
      <c r="N474" s="415">
        <f>+Table2[[#This Row],[Effectiveness Review &amp; date deemed effective]]-Table2[[#This Row],[CAR initialized date]]</f>
        <v>71</v>
      </c>
    </row>
    <row r="475" spans="1:14" ht="18" hidden="1" x14ac:dyDescent="0.3">
      <c r="A475" s="9" t="s">
        <v>388</v>
      </c>
      <c r="B475" s="13">
        <f>VLOOKUP(Table2[[#This Row],[Location 
(drop-down)]],'List source'!D$2:E$60,2,FALSE)</f>
        <v>191</v>
      </c>
      <c r="C475" s="11" t="s">
        <v>1431</v>
      </c>
      <c r="D475" s="108" t="str">
        <f t="shared" si="14"/>
        <v>C474-191-24</v>
      </c>
      <c r="E475" s="11" t="s">
        <v>3740</v>
      </c>
      <c r="F475" s="11"/>
      <c r="G475" s="9" t="s">
        <v>4218</v>
      </c>
      <c r="H475" s="10" t="s">
        <v>3621</v>
      </c>
      <c r="I475" s="10" t="s">
        <v>49</v>
      </c>
      <c r="J475" s="12">
        <v>45615</v>
      </c>
      <c r="K475" s="77">
        <v>45841</v>
      </c>
      <c r="L475" s="50"/>
      <c r="M475" s="13" t="str">
        <f t="shared" ca="1" si="15"/>
        <v>CLOSED</v>
      </c>
      <c r="N475" s="415">
        <f>+Table2[[#This Row],[Effectiveness Review &amp; date deemed effective]]-Table2[[#This Row],[CAR initialized date]]</f>
        <v>226</v>
      </c>
    </row>
    <row r="476" spans="1:14" ht="18" hidden="1" x14ac:dyDescent="0.3">
      <c r="A476" s="9" t="s">
        <v>388</v>
      </c>
      <c r="B476" s="13">
        <f>VLOOKUP(Table2[[#This Row],[Location 
(drop-down)]],'List source'!D$2:E$60,2,FALSE)</f>
        <v>191</v>
      </c>
      <c r="C476" s="11" t="s">
        <v>1433</v>
      </c>
      <c r="D476" s="108" t="str">
        <f t="shared" si="14"/>
        <v>C475-191-24</v>
      </c>
      <c r="E476" s="11" t="s">
        <v>3740</v>
      </c>
      <c r="F476" s="11"/>
      <c r="G476" s="9" t="s">
        <v>4219</v>
      </c>
      <c r="H476" s="10" t="s">
        <v>3621</v>
      </c>
      <c r="I476" s="10" t="s">
        <v>49</v>
      </c>
      <c r="J476" s="12">
        <v>45615</v>
      </c>
      <c r="K476" s="77">
        <v>45929</v>
      </c>
      <c r="L476" s="50"/>
      <c r="M476" s="13" t="str">
        <f t="shared" ca="1" si="15"/>
        <v>CLOSED</v>
      </c>
      <c r="N476" s="415">
        <f>+Table2[[#This Row],[Effectiveness Review &amp; date deemed effective]]-Table2[[#This Row],[CAR initialized date]]</f>
        <v>314</v>
      </c>
    </row>
    <row r="477" spans="1:14" ht="18" hidden="1" x14ac:dyDescent="0.3">
      <c r="A477" s="9" t="s">
        <v>388</v>
      </c>
      <c r="B477" s="13">
        <f>VLOOKUP(Table2[[#This Row],[Location 
(drop-down)]],'List source'!D$2:E$60,2,FALSE)</f>
        <v>191</v>
      </c>
      <c r="C477" s="11" t="s">
        <v>1435</v>
      </c>
      <c r="D477" s="108" t="str">
        <f t="shared" si="14"/>
        <v>C476-191-24</v>
      </c>
      <c r="E477" s="11" t="s">
        <v>3740</v>
      </c>
      <c r="F477" s="11"/>
      <c r="G477" s="9" t="s">
        <v>4042</v>
      </c>
      <c r="H477" s="10" t="s">
        <v>3621</v>
      </c>
      <c r="I477" s="10" t="s">
        <v>49</v>
      </c>
      <c r="J477" s="12">
        <v>45615</v>
      </c>
      <c r="K477" s="77">
        <v>45705</v>
      </c>
      <c r="L477" s="50"/>
      <c r="M477" s="13" t="str">
        <f t="shared" ca="1" si="15"/>
        <v>CLOSED</v>
      </c>
      <c r="N477" s="415">
        <f>+Table2[[#This Row],[Effectiveness Review &amp; date deemed effective]]-Table2[[#This Row],[CAR initialized date]]</f>
        <v>90</v>
      </c>
    </row>
    <row r="478" spans="1:14" ht="18" hidden="1" x14ac:dyDescent="0.3">
      <c r="A478" s="9" t="s">
        <v>388</v>
      </c>
      <c r="B478" s="13">
        <f>VLOOKUP(Table2[[#This Row],[Location 
(drop-down)]],'List source'!D$2:E$60,2,FALSE)</f>
        <v>191</v>
      </c>
      <c r="C478" s="11" t="s">
        <v>1436</v>
      </c>
      <c r="D478" s="108" t="str">
        <f t="shared" si="14"/>
        <v>C477-191-24</v>
      </c>
      <c r="E478" s="11" t="s">
        <v>3740</v>
      </c>
      <c r="F478" s="11"/>
      <c r="G478" s="9" t="s">
        <v>4220</v>
      </c>
      <c r="H478" s="10" t="s">
        <v>3621</v>
      </c>
      <c r="I478" s="10" t="s">
        <v>49</v>
      </c>
      <c r="J478" s="12">
        <v>45615</v>
      </c>
      <c r="K478" s="77">
        <v>45839</v>
      </c>
      <c r="L478" s="50"/>
      <c r="M478" s="13" t="str">
        <f t="shared" ca="1" si="15"/>
        <v>CLOSED</v>
      </c>
      <c r="N478" s="415">
        <f>+Table2[[#This Row],[Effectiveness Review &amp; date deemed effective]]-Table2[[#This Row],[CAR initialized date]]</f>
        <v>224</v>
      </c>
    </row>
    <row r="479" spans="1:14" ht="18" hidden="1" x14ac:dyDescent="0.3">
      <c r="A479" s="9" t="s">
        <v>388</v>
      </c>
      <c r="B479" s="13">
        <f>VLOOKUP(Table2[[#This Row],[Location 
(drop-down)]],'List source'!D$2:E$60,2,FALSE)</f>
        <v>191</v>
      </c>
      <c r="C479" s="11" t="s">
        <v>1439</v>
      </c>
      <c r="D479" s="108" t="str">
        <f t="shared" si="14"/>
        <v>C478-191-24</v>
      </c>
      <c r="E479" s="11" t="s">
        <v>3740</v>
      </c>
      <c r="F479" s="11"/>
      <c r="G479" s="9" t="s">
        <v>4221</v>
      </c>
      <c r="H479" s="10" t="s">
        <v>3621</v>
      </c>
      <c r="I479" s="10" t="s">
        <v>49</v>
      </c>
      <c r="J479" s="12">
        <v>45615</v>
      </c>
      <c r="K479" s="77">
        <v>45686</v>
      </c>
      <c r="L479" s="50"/>
      <c r="M479" s="13" t="str">
        <f t="shared" ca="1" si="15"/>
        <v>CLOSED</v>
      </c>
      <c r="N479" s="415">
        <f>+Table2[[#This Row],[Effectiveness Review &amp; date deemed effective]]-Table2[[#This Row],[CAR initialized date]]</f>
        <v>71</v>
      </c>
    </row>
    <row r="480" spans="1:14" ht="18" hidden="1" x14ac:dyDescent="0.3">
      <c r="A480" s="9" t="s">
        <v>388</v>
      </c>
      <c r="B480" s="13">
        <f>VLOOKUP(Table2[[#This Row],[Location 
(drop-down)]],'List source'!D$2:E$60,2,FALSE)</f>
        <v>191</v>
      </c>
      <c r="C480" s="11" t="s">
        <v>1441</v>
      </c>
      <c r="D480" s="108" t="str">
        <f t="shared" si="14"/>
        <v>C479-191-24</v>
      </c>
      <c r="E480" s="11" t="s">
        <v>3740</v>
      </c>
      <c r="F480" s="11"/>
      <c r="G480" s="9" t="s">
        <v>4078</v>
      </c>
      <c r="H480" s="10" t="s">
        <v>3621</v>
      </c>
      <c r="I480" s="10" t="s">
        <v>49</v>
      </c>
      <c r="J480" s="12">
        <v>45615</v>
      </c>
      <c r="K480" s="77">
        <v>45689</v>
      </c>
      <c r="L480" s="50"/>
      <c r="M480" s="13" t="str">
        <f t="shared" ca="1" si="15"/>
        <v>CLOSED</v>
      </c>
      <c r="N480" s="415">
        <f>+Table2[[#This Row],[Effectiveness Review &amp; date deemed effective]]-Table2[[#This Row],[CAR initialized date]]</f>
        <v>74</v>
      </c>
    </row>
    <row r="481" spans="1:14" ht="18" hidden="1" x14ac:dyDescent="0.3">
      <c r="A481" s="9" t="s">
        <v>388</v>
      </c>
      <c r="B481" s="13">
        <f>VLOOKUP(Table2[[#This Row],[Location 
(drop-down)]],'List source'!D$2:E$60,2,FALSE)</f>
        <v>191</v>
      </c>
      <c r="C481" s="11" t="s">
        <v>1442</v>
      </c>
      <c r="D481" s="108" t="str">
        <f t="shared" si="14"/>
        <v>C480-191-24</v>
      </c>
      <c r="E481" s="11" t="s">
        <v>3740</v>
      </c>
      <c r="F481" s="11"/>
      <c r="G481" s="9" t="s">
        <v>3979</v>
      </c>
      <c r="H481" s="10" t="s">
        <v>3621</v>
      </c>
      <c r="I481" s="10" t="s">
        <v>49</v>
      </c>
      <c r="J481" s="12">
        <v>45615</v>
      </c>
      <c r="K481" s="77">
        <v>45686</v>
      </c>
      <c r="L481" s="50"/>
      <c r="M481" s="13" t="str">
        <f t="shared" ca="1" si="15"/>
        <v>CLOSED</v>
      </c>
      <c r="N481" s="415">
        <f>+Table2[[#This Row],[Effectiveness Review &amp; date deemed effective]]-Table2[[#This Row],[CAR initialized date]]</f>
        <v>71</v>
      </c>
    </row>
    <row r="482" spans="1:14" ht="18" hidden="1" x14ac:dyDescent="0.3">
      <c r="A482" s="9" t="s">
        <v>388</v>
      </c>
      <c r="B482" s="13">
        <f>VLOOKUP(Table2[[#This Row],[Location 
(drop-down)]],'List source'!D$2:E$60,2,FALSE)</f>
        <v>191</v>
      </c>
      <c r="C482" s="11" t="s">
        <v>1445</v>
      </c>
      <c r="D482" s="108" t="str">
        <f t="shared" si="14"/>
        <v>C481-191-24</v>
      </c>
      <c r="E482" s="11" t="s">
        <v>3740</v>
      </c>
      <c r="F482" s="11"/>
      <c r="G482" s="9" t="s">
        <v>4222</v>
      </c>
      <c r="H482" s="10" t="s">
        <v>3621</v>
      </c>
      <c r="I482" s="10" t="s">
        <v>49</v>
      </c>
      <c r="J482" s="12">
        <v>45615</v>
      </c>
      <c r="K482" s="77">
        <v>45688</v>
      </c>
      <c r="L482" s="50"/>
      <c r="M482" s="13" t="str">
        <f t="shared" ca="1" si="15"/>
        <v>CLOSED</v>
      </c>
      <c r="N482" s="415">
        <f>+Table2[[#This Row],[Effectiveness Review &amp; date deemed effective]]-Table2[[#This Row],[CAR initialized date]]</f>
        <v>73</v>
      </c>
    </row>
    <row r="483" spans="1:14" ht="18" hidden="1" x14ac:dyDescent="0.3">
      <c r="A483" s="239" t="s">
        <v>138</v>
      </c>
      <c r="B483" s="240">
        <f>VLOOKUP(Table2[[#This Row],[Location 
(drop-down)]],'List source'!D$2:E$60,2,FALSE)</f>
        <v>110</v>
      </c>
      <c r="C483" s="243" t="s">
        <v>1447</v>
      </c>
      <c r="D483" s="244" t="str">
        <f t="shared" si="14"/>
        <v>C482-110-24</v>
      </c>
      <c r="E483" s="243" t="s">
        <v>3740</v>
      </c>
      <c r="F483" s="243"/>
      <c r="G483" s="239" t="s">
        <v>4223</v>
      </c>
      <c r="H483" s="245" t="s">
        <v>3621</v>
      </c>
      <c r="I483" s="245" t="s">
        <v>182</v>
      </c>
      <c r="J483" s="246">
        <v>45616</v>
      </c>
      <c r="K483" s="247">
        <v>45799</v>
      </c>
      <c r="L483" s="50"/>
      <c r="M483" s="13" t="str">
        <f t="shared" ca="1" si="15"/>
        <v>CLOSED</v>
      </c>
      <c r="N483" s="415">
        <f>+Table2[[#This Row],[Effectiveness Review &amp; date deemed effective]]-Table2[[#This Row],[CAR initialized date]]</f>
        <v>183</v>
      </c>
    </row>
    <row r="484" spans="1:14" ht="18" hidden="1" x14ac:dyDescent="0.3">
      <c r="A484" s="235" t="s">
        <v>138</v>
      </c>
      <c r="B484" s="236">
        <f>VLOOKUP(Table2[[#This Row],[Location 
(drop-down)]],'List source'!D$2:E$60,2,FALSE)</f>
        <v>110</v>
      </c>
      <c r="C484" s="248" t="s">
        <v>1449</v>
      </c>
      <c r="D484" s="249" t="str">
        <f t="shared" si="14"/>
        <v>C483-110-24</v>
      </c>
      <c r="E484" s="248" t="s">
        <v>3740</v>
      </c>
      <c r="F484" s="248"/>
      <c r="G484" s="235" t="s">
        <v>4224</v>
      </c>
      <c r="H484" s="263" t="s">
        <v>3621</v>
      </c>
      <c r="I484" s="263" t="s">
        <v>182</v>
      </c>
      <c r="J484" s="264">
        <v>45616</v>
      </c>
      <c r="K484" s="250">
        <v>45799</v>
      </c>
      <c r="L484" s="50"/>
      <c r="M484" s="13" t="str">
        <f t="shared" ca="1" si="15"/>
        <v>CLOSED</v>
      </c>
      <c r="N484" s="415">
        <f>+Table2[[#This Row],[Effectiveness Review &amp; date deemed effective]]-Table2[[#This Row],[CAR initialized date]]</f>
        <v>183</v>
      </c>
    </row>
    <row r="485" spans="1:14" ht="28.8" hidden="1" x14ac:dyDescent="0.3">
      <c r="A485" s="9" t="s">
        <v>138</v>
      </c>
      <c r="B485" s="13">
        <f>VLOOKUP(Table2[[#This Row],[Location 
(drop-down)]],'List source'!D$2:E$60,2,FALSE)</f>
        <v>110</v>
      </c>
      <c r="C485" s="11" t="s">
        <v>1451</v>
      </c>
      <c r="D485" s="108" t="str">
        <f t="shared" si="14"/>
        <v>C484-110-24</v>
      </c>
      <c r="E485" s="11" t="s">
        <v>3740</v>
      </c>
      <c r="F485" s="11"/>
      <c r="G485" s="9" t="s">
        <v>4070</v>
      </c>
      <c r="H485" s="10" t="s">
        <v>3785</v>
      </c>
      <c r="I485" s="10" t="s">
        <v>182</v>
      </c>
      <c r="J485" s="12">
        <v>45616</v>
      </c>
      <c r="K485" s="77">
        <v>45953</v>
      </c>
      <c r="L485" s="50" t="s">
        <v>4225</v>
      </c>
      <c r="M485" s="13" t="str">
        <f t="shared" ca="1" si="15"/>
        <v>CLOSED</v>
      </c>
      <c r="N485" s="415">
        <f>+Table2[[#This Row],[Effectiveness Review &amp; date deemed effective]]-Table2[[#This Row],[CAR initialized date]]</f>
        <v>337</v>
      </c>
    </row>
    <row r="486" spans="1:14" ht="18" hidden="1" x14ac:dyDescent="0.3">
      <c r="A486" s="9" t="s">
        <v>138</v>
      </c>
      <c r="B486" s="13">
        <f>VLOOKUP(Table2[[#This Row],[Location 
(drop-down)]],'List source'!D$2:E$60,2,FALSE)</f>
        <v>110</v>
      </c>
      <c r="C486" s="11" t="s">
        <v>1455</v>
      </c>
      <c r="D486" s="108" t="str">
        <f t="shared" si="14"/>
        <v>C485-110-24</v>
      </c>
      <c r="E486" s="11" t="s">
        <v>3740</v>
      </c>
      <c r="F486" s="11"/>
      <c r="G486" s="9" t="s">
        <v>4226</v>
      </c>
      <c r="H486" s="10" t="s">
        <v>3621</v>
      </c>
      <c r="I486" s="10" t="s">
        <v>182</v>
      </c>
      <c r="J486" s="12">
        <v>45616</v>
      </c>
      <c r="K486" s="77">
        <v>45825</v>
      </c>
      <c r="L486" s="50"/>
      <c r="M486" s="13" t="str">
        <f t="shared" ca="1" si="15"/>
        <v>CLOSED</v>
      </c>
      <c r="N486" s="415">
        <f>+Table2[[#This Row],[Effectiveness Review &amp; date deemed effective]]-Table2[[#This Row],[CAR initialized date]]</f>
        <v>209</v>
      </c>
    </row>
    <row r="487" spans="1:14" ht="18" hidden="1" x14ac:dyDescent="0.3">
      <c r="A487" s="9" t="s">
        <v>138</v>
      </c>
      <c r="B487" s="13">
        <f>VLOOKUP(Table2[[#This Row],[Location 
(drop-down)]],'List source'!D$2:E$60,2,FALSE)</f>
        <v>110</v>
      </c>
      <c r="C487" s="11" t="s">
        <v>1459</v>
      </c>
      <c r="D487" s="108" t="str">
        <f t="shared" si="14"/>
        <v>C486-110-24</v>
      </c>
      <c r="E487" s="11" t="s">
        <v>3740</v>
      </c>
      <c r="F487" s="11"/>
      <c r="G487" s="9" t="s">
        <v>4227</v>
      </c>
      <c r="H487" s="10" t="s">
        <v>3621</v>
      </c>
      <c r="I487" s="10" t="s">
        <v>182</v>
      </c>
      <c r="J487" s="12">
        <v>45616</v>
      </c>
      <c r="K487" s="77">
        <v>45799</v>
      </c>
      <c r="L487" s="50"/>
      <c r="M487" s="13" t="str">
        <f t="shared" ca="1" si="15"/>
        <v>CLOSED</v>
      </c>
      <c r="N487" s="415">
        <f>+Table2[[#This Row],[Effectiveness Review &amp; date deemed effective]]-Table2[[#This Row],[CAR initialized date]]</f>
        <v>183</v>
      </c>
    </row>
    <row r="488" spans="1:14" ht="18" hidden="1" x14ac:dyDescent="0.3">
      <c r="A488" s="9" t="s">
        <v>138</v>
      </c>
      <c r="B488" s="13">
        <f>VLOOKUP(Table2[[#This Row],[Location 
(drop-down)]],'List source'!D$2:E$60,2,FALSE)</f>
        <v>110</v>
      </c>
      <c r="C488" s="11" t="s">
        <v>1462</v>
      </c>
      <c r="D488" s="108" t="str">
        <f t="shared" si="14"/>
        <v>C487-110-24</v>
      </c>
      <c r="E488" s="11" t="s">
        <v>3740</v>
      </c>
      <c r="F488" s="11"/>
      <c r="G488" s="9" t="s">
        <v>4228</v>
      </c>
      <c r="H488" s="10" t="s">
        <v>3621</v>
      </c>
      <c r="I488" s="10" t="s">
        <v>182</v>
      </c>
      <c r="J488" s="12">
        <v>45616</v>
      </c>
      <c r="K488" s="77">
        <v>45916</v>
      </c>
      <c r="L488" s="50"/>
      <c r="M488" s="13" t="str">
        <f t="shared" ca="1" si="15"/>
        <v>CLOSED</v>
      </c>
      <c r="N488" s="415">
        <f>+Table2[[#This Row],[Effectiveness Review &amp; date deemed effective]]-Table2[[#This Row],[CAR initialized date]]</f>
        <v>300</v>
      </c>
    </row>
    <row r="489" spans="1:14" ht="18" hidden="1" x14ac:dyDescent="0.3">
      <c r="A489" s="9" t="s">
        <v>215</v>
      </c>
      <c r="B489" s="13">
        <f>VLOOKUP(Table2[[#This Row],[Location 
(drop-down)]],'List source'!D$2:E$60,2,FALSE)</f>
        <v>121</v>
      </c>
      <c r="C489" s="11" t="s">
        <v>1464</v>
      </c>
      <c r="D489" s="108" t="str">
        <f t="shared" si="14"/>
        <v>C488-121-24</v>
      </c>
      <c r="E489" s="11" t="s">
        <v>3735</v>
      </c>
      <c r="F489" s="11" t="s">
        <v>4229</v>
      </c>
      <c r="G489" s="9" t="s">
        <v>4230</v>
      </c>
      <c r="H489" s="10" t="s">
        <v>3737</v>
      </c>
      <c r="I489" s="10" t="s">
        <v>49</v>
      </c>
      <c r="J489" s="12">
        <v>45604</v>
      </c>
      <c r="K489" s="77">
        <v>45619</v>
      </c>
      <c r="L489" s="50"/>
      <c r="M489" s="13" t="str">
        <f t="shared" ca="1" si="15"/>
        <v>CLOSED</v>
      </c>
      <c r="N489" s="415">
        <f>+Table2[[#This Row],[Effectiveness Review &amp; date deemed effective]]-Table2[[#This Row],[CAR initialized date]]</f>
        <v>15</v>
      </c>
    </row>
    <row r="490" spans="1:14" ht="28.8" hidden="1" x14ac:dyDescent="0.3">
      <c r="A490" s="9" t="s">
        <v>107</v>
      </c>
      <c r="B490" s="13">
        <f>VLOOKUP(Table2[[#This Row],[Location 
(drop-down)]],'List source'!D$2:E$60,2,FALSE)</f>
        <v>120</v>
      </c>
      <c r="C490" s="11" t="s">
        <v>1466</v>
      </c>
      <c r="D490" s="108" t="str">
        <f t="shared" si="14"/>
        <v>C489-120-24</v>
      </c>
      <c r="E490" s="11" t="s">
        <v>3770</v>
      </c>
      <c r="F490" s="11" t="s">
        <v>170</v>
      </c>
      <c r="G490" s="9" t="s">
        <v>4231</v>
      </c>
      <c r="H490" s="10" t="s">
        <v>3737</v>
      </c>
      <c r="I490" s="10" t="s">
        <v>109</v>
      </c>
      <c r="J490" s="12">
        <v>45621</v>
      </c>
      <c r="K490" s="77">
        <v>45639</v>
      </c>
      <c r="L490" s="50"/>
      <c r="M490" s="13" t="str">
        <f t="shared" ca="1" si="15"/>
        <v>CLOSED</v>
      </c>
      <c r="N490" s="415">
        <f>+Table2[[#This Row],[Effectiveness Review &amp; date deemed effective]]-Table2[[#This Row],[CAR initialized date]]</f>
        <v>18</v>
      </c>
    </row>
    <row r="491" spans="1:14" ht="28.8" hidden="1" x14ac:dyDescent="0.3">
      <c r="A491" s="9" t="s">
        <v>107</v>
      </c>
      <c r="B491" s="13">
        <f>VLOOKUP(Table2[[#This Row],[Location 
(drop-down)]],'List source'!D$2:E$60,2,FALSE)</f>
        <v>120</v>
      </c>
      <c r="C491" s="11" t="s">
        <v>1468</v>
      </c>
      <c r="D491" s="108" t="str">
        <f t="shared" si="14"/>
        <v>C490-120-24</v>
      </c>
      <c r="E491" s="11" t="s">
        <v>3770</v>
      </c>
      <c r="F491" s="11" t="s">
        <v>170</v>
      </c>
      <c r="G491" s="9" t="s">
        <v>4232</v>
      </c>
      <c r="H491" s="10" t="s">
        <v>3737</v>
      </c>
      <c r="I491" s="10" t="s">
        <v>109</v>
      </c>
      <c r="J491" s="12">
        <v>45621</v>
      </c>
      <c r="K491" s="77">
        <v>45639</v>
      </c>
      <c r="L491" s="50"/>
      <c r="M491" s="13" t="str">
        <f t="shared" ca="1" si="15"/>
        <v>CLOSED</v>
      </c>
      <c r="N491" s="415">
        <f>+Table2[[#This Row],[Effectiveness Review &amp; date deemed effective]]-Table2[[#This Row],[CAR initialized date]]</f>
        <v>18</v>
      </c>
    </row>
    <row r="492" spans="1:14" ht="18" hidden="1" x14ac:dyDescent="0.3">
      <c r="A492" s="9" t="s">
        <v>159</v>
      </c>
      <c r="B492" s="13">
        <f>VLOOKUP(Table2[[#This Row],[Location 
(drop-down)]],'List source'!D$2:E$60,2,FALSE)</f>
        <v>156</v>
      </c>
      <c r="C492" s="11" t="s">
        <v>1470</v>
      </c>
      <c r="D492" s="108" t="str">
        <f t="shared" si="14"/>
        <v>C491-156-24</v>
      </c>
      <c r="E492" s="11" t="s">
        <v>3783</v>
      </c>
      <c r="F492" s="11" t="s">
        <v>99</v>
      </c>
      <c r="G492" s="9" t="s">
        <v>4233</v>
      </c>
      <c r="H492" s="10" t="s">
        <v>3621</v>
      </c>
      <c r="I492" s="10" t="s">
        <v>134</v>
      </c>
      <c r="J492" s="12">
        <v>45636</v>
      </c>
      <c r="K492" s="77">
        <v>45727</v>
      </c>
      <c r="L492" s="50"/>
      <c r="M492" s="13" t="str">
        <f t="shared" ca="1" si="15"/>
        <v>CLOSED</v>
      </c>
      <c r="N492" s="415">
        <f>+Table2[[#This Row],[Effectiveness Review &amp; date deemed effective]]-Table2[[#This Row],[CAR initialized date]]</f>
        <v>91</v>
      </c>
    </row>
    <row r="493" spans="1:14" ht="18" hidden="1" x14ac:dyDescent="0.3">
      <c r="A493" s="9" t="s">
        <v>388</v>
      </c>
      <c r="B493" s="13">
        <f>VLOOKUP(Table2[[#This Row],[Location 
(drop-down)]],'List source'!D$2:E$60,2,FALSE)</f>
        <v>191</v>
      </c>
      <c r="C493" s="11" t="s">
        <v>1472</v>
      </c>
      <c r="D493" s="108" t="str">
        <f t="shared" si="14"/>
        <v>C492-191-24</v>
      </c>
      <c r="E493" s="11" t="s">
        <v>3773</v>
      </c>
      <c r="F493" s="11" t="s">
        <v>73</v>
      </c>
      <c r="G493" s="9" t="s">
        <v>4234</v>
      </c>
      <c r="H493" s="10" t="s">
        <v>3621</v>
      </c>
      <c r="I493" s="10" t="s">
        <v>23</v>
      </c>
      <c r="J493" s="12">
        <v>45637</v>
      </c>
      <c r="K493" s="77">
        <v>45754</v>
      </c>
      <c r="L493" s="50"/>
      <c r="M493" s="13" t="str">
        <f t="shared" ca="1" si="15"/>
        <v>CLOSED</v>
      </c>
      <c r="N493" s="415">
        <f>+Table2[[#This Row],[Effectiveness Review &amp; date deemed effective]]-Table2[[#This Row],[CAR initialized date]]</f>
        <v>117</v>
      </c>
    </row>
    <row r="494" spans="1:14" ht="18" hidden="1" x14ac:dyDescent="0.3">
      <c r="A494" s="9" t="s">
        <v>388</v>
      </c>
      <c r="B494" s="13">
        <f>VLOOKUP(Table2[[#This Row],[Location 
(drop-down)]],'List source'!D$2:E$60,2,FALSE)</f>
        <v>191</v>
      </c>
      <c r="C494" s="11" t="s">
        <v>1474</v>
      </c>
      <c r="D494" s="108" t="str">
        <f t="shared" si="14"/>
        <v>C493-191-24</v>
      </c>
      <c r="E494" s="11" t="s">
        <v>3773</v>
      </c>
      <c r="F494" s="11" t="s">
        <v>73</v>
      </c>
      <c r="G494" s="105" t="s">
        <v>4235</v>
      </c>
      <c r="H494" s="10" t="s">
        <v>3621</v>
      </c>
      <c r="I494" s="10" t="s">
        <v>23</v>
      </c>
      <c r="J494" s="12">
        <v>45637</v>
      </c>
      <c r="K494" s="77">
        <v>45686</v>
      </c>
      <c r="L494" s="50"/>
      <c r="M494" s="13" t="str">
        <f t="shared" ca="1" si="15"/>
        <v>CLOSED</v>
      </c>
      <c r="N494" s="415">
        <f>+Table2[[#This Row],[Effectiveness Review &amp; date deemed effective]]-Table2[[#This Row],[CAR initialized date]]</f>
        <v>49</v>
      </c>
    </row>
    <row r="495" spans="1:14" ht="18" hidden="1" x14ac:dyDescent="0.3">
      <c r="A495" s="9" t="s">
        <v>388</v>
      </c>
      <c r="B495" s="13">
        <f>VLOOKUP(Table2[[#This Row],[Location 
(drop-down)]],'List source'!D$2:E$60,2,FALSE)</f>
        <v>191</v>
      </c>
      <c r="C495" s="11" t="s">
        <v>1477</v>
      </c>
      <c r="D495" s="108" t="str">
        <f t="shared" si="14"/>
        <v>C494-191-24</v>
      </c>
      <c r="E495" s="11" t="s">
        <v>3773</v>
      </c>
      <c r="F495" s="11" t="s">
        <v>73</v>
      </c>
      <c r="G495" s="105" t="s">
        <v>4236</v>
      </c>
      <c r="H495" s="10" t="s">
        <v>3621</v>
      </c>
      <c r="I495" s="10" t="s">
        <v>23</v>
      </c>
      <c r="J495" s="12">
        <v>45637</v>
      </c>
      <c r="K495" s="77">
        <v>45687</v>
      </c>
      <c r="L495" s="50"/>
      <c r="M495" s="13" t="str">
        <f t="shared" ca="1" si="15"/>
        <v>CLOSED</v>
      </c>
      <c r="N495" s="415">
        <f>+Table2[[#This Row],[Effectiveness Review &amp; date deemed effective]]-Table2[[#This Row],[CAR initialized date]]</f>
        <v>50</v>
      </c>
    </row>
    <row r="496" spans="1:14" ht="28.8" hidden="1" x14ac:dyDescent="0.3">
      <c r="A496" s="9" t="s">
        <v>113</v>
      </c>
      <c r="B496" s="13" t="str">
        <f>VLOOKUP(Table2[[#This Row],[Location 
(drop-down)]],'List source'!D$2:E$60,2,FALSE)</f>
        <v>VOID</v>
      </c>
      <c r="C496" s="11" t="s">
        <v>1479</v>
      </c>
      <c r="D496" s="108" t="str">
        <f t="shared" si="14"/>
        <v>C495-VOID-24</v>
      </c>
      <c r="E496" s="299" t="s">
        <v>114</v>
      </c>
      <c r="F496" s="299" t="s">
        <v>114</v>
      </c>
      <c r="G496" s="105" t="s">
        <v>4237</v>
      </c>
      <c r="H496" s="10" t="s">
        <v>114</v>
      </c>
      <c r="I496" s="10" t="s">
        <v>114</v>
      </c>
      <c r="J496" s="12" t="s">
        <v>114</v>
      </c>
      <c r="K496" s="77" t="s">
        <v>114</v>
      </c>
      <c r="L496" s="50" t="s">
        <v>4238</v>
      </c>
      <c r="M496" s="13" t="str">
        <f t="shared" ca="1" si="15"/>
        <v>CLOSED</v>
      </c>
      <c r="N496" s="415" t="e">
        <f>+Table2[[#This Row],[Effectiveness Review &amp; date deemed effective]]-Table2[[#This Row],[CAR initialized date]]</f>
        <v>#VALUE!</v>
      </c>
    </row>
    <row r="497" spans="1:14" ht="43.2" hidden="1" x14ac:dyDescent="0.3">
      <c r="A497" s="235" t="s">
        <v>264</v>
      </c>
      <c r="B497" s="236">
        <f>VLOOKUP(Table2[[#This Row],[Location 
(drop-down)]],'List source'!D$2:E$60,2,FALSE)</f>
        <v>132</v>
      </c>
      <c r="C497" s="248" t="s">
        <v>1482</v>
      </c>
      <c r="D497" s="249" t="str">
        <f t="shared" si="14"/>
        <v>C496-132-24</v>
      </c>
      <c r="E497" s="299" t="s">
        <v>3783</v>
      </c>
      <c r="F497" s="299" t="s">
        <v>125</v>
      </c>
      <c r="G497" s="105" t="s">
        <v>4239</v>
      </c>
      <c r="H497" s="10" t="s">
        <v>3785</v>
      </c>
      <c r="I497" s="10" t="s">
        <v>54</v>
      </c>
      <c r="J497" s="12">
        <v>45644</v>
      </c>
      <c r="K497" s="250">
        <v>45670</v>
      </c>
      <c r="L497" s="50"/>
      <c r="M497" s="13" t="str">
        <f t="shared" ca="1" si="15"/>
        <v>CLOSED</v>
      </c>
      <c r="N497" s="415">
        <f>+Table2[[#This Row],[Effectiveness Review &amp; date deemed effective]]-Table2[[#This Row],[CAR initialized date]]</f>
        <v>26</v>
      </c>
    </row>
    <row r="498" spans="1:14" ht="43.2" hidden="1" x14ac:dyDescent="0.3">
      <c r="A498" s="9" t="s">
        <v>264</v>
      </c>
      <c r="B498" s="13">
        <f>VLOOKUP(Table2[[#This Row],[Location 
(drop-down)]],'List source'!D$2:E$60,2,FALSE)</f>
        <v>132</v>
      </c>
      <c r="C498" s="11" t="s">
        <v>1485</v>
      </c>
      <c r="D498" s="108" t="str">
        <f t="shared" si="14"/>
        <v>C497-132-24</v>
      </c>
      <c r="E498" s="299" t="s">
        <v>3783</v>
      </c>
      <c r="F498" s="299" t="s">
        <v>125</v>
      </c>
      <c r="G498" s="105" t="s">
        <v>4240</v>
      </c>
      <c r="H498" s="10" t="s">
        <v>3621</v>
      </c>
      <c r="I498" s="10" t="s">
        <v>54</v>
      </c>
      <c r="J498" s="12">
        <v>45644</v>
      </c>
      <c r="K498" s="77">
        <v>45763</v>
      </c>
      <c r="L498" s="50"/>
      <c r="M498" s="13" t="str">
        <f t="shared" ca="1" si="15"/>
        <v>CLOSED</v>
      </c>
      <c r="N498" s="415">
        <f>+Table2[[#This Row],[Effectiveness Review &amp; date deemed effective]]-Table2[[#This Row],[CAR initialized date]]</f>
        <v>119</v>
      </c>
    </row>
    <row r="499" spans="1:14" ht="57.6" hidden="1" x14ac:dyDescent="0.3">
      <c r="A499" s="9" t="s">
        <v>264</v>
      </c>
      <c r="B499" s="13">
        <f>VLOOKUP(Table2[[#This Row],[Location 
(drop-down)]],'List source'!D$2:E$60,2,FALSE)</f>
        <v>132</v>
      </c>
      <c r="C499" s="11" t="s">
        <v>1487</v>
      </c>
      <c r="D499" s="108" t="str">
        <f t="shared" si="14"/>
        <v>C498-132-24</v>
      </c>
      <c r="E499" s="299" t="s">
        <v>3783</v>
      </c>
      <c r="F499" s="299" t="s">
        <v>125</v>
      </c>
      <c r="G499" s="91" t="s">
        <v>4241</v>
      </c>
      <c r="H499" s="10" t="s">
        <v>3621</v>
      </c>
      <c r="I499" s="10" t="s">
        <v>54</v>
      </c>
      <c r="J499" s="12">
        <v>45644</v>
      </c>
      <c r="K499" s="77">
        <v>45688</v>
      </c>
      <c r="L499" s="50"/>
      <c r="M499" s="13" t="str">
        <f t="shared" ca="1" si="15"/>
        <v>CLOSED</v>
      </c>
      <c r="N499" s="415">
        <f>+Table2[[#This Row],[Effectiveness Review &amp; date deemed effective]]-Table2[[#This Row],[CAR initialized date]]</f>
        <v>44</v>
      </c>
    </row>
    <row r="500" spans="1:14" ht="57.6" hidden="1" x14ac:dyDescent="0.3">
      <c r="A500" s="9" t="s">
        <v>264</v>
      </c>
      <c r="B500" s="13">
        <f>VLOOKUP(Table2[[#This Row],[Location 
(drop-down)]],'List source'!D$2:E$60,2,FALSE)</f>
        <v>132</v>
      </c>
      <c r="C500" s="11" t="s">
        <v>1490</v>
      </c>
      <c r="D500" s="108" t="str">
        <f t="shared" si="14"/>
        <v>C499-132-24</v>
      </c>
      <c r="E500" s="299" t="s">
        <v>3783</v>
      </c>
      <c r="F500" s="299" t="s">
        <v>125</v>
      </c>
      <c r="G500" s="91" t="s">
        <v>4242</v>
      </c>
      <c r="H500" s="10" t="s">
        <v>3621</v>
      </c>
      <c r="I500" s="10" t="s">
        <v>54</v>
      </c>
      <c r="J500" s="12">
        <v>45644</v>
      </c>
      <c r="K500" s="77">
        <v>45940</v>
      </c>
      <c r="L500" s="50"/>
      <c r="M500" s="13" t="str">
        <f t="shared" ca="1" si="15"/>
        <v>CLOSED</v>
      </c>
      <c r="N500" s="415">
        <f>+Table2[[#This Row],[Effectiveness Review &amp; date deemed effective]]-Table2[[#This Row],[CAR initialized date]]</f>
        <v>296</v>
      </c>
    </row>
    <row r="501" spans="1:14" ht="28.8" hidden="1" x14ac:dyDescent="0.3">
      <c r="A501" s="9" t="s">
        <v>264</v>
      </c>
      <c r="B501" s="13">
        <f>VLOOKUP(Table2[[#This Row],[Location 
(drop-down)]],'List source'!D$2:E$60,2,FALSE)</f>
        <v>132</v>
      </c>
      <c r="C501" s="11" t="s">
        <v>1492</v>
      </c>
      <c r="D501" s="108" t="str">
        <f t="shared" si="14"/>
        <v>C500-132-24</v>
      </c>
      <c r="E501" s="11" t="s">
        <v>3783</v>
      </c>
      <c r="F501" s="11" t="s">
        <v>125</v>
      </c>
      <c r="G501" s="9" t="s">
        <v>4243</v>
      </c>
      <c r="H501" s="10" t="s">
        <v>3621</v>
      </c>
      <c r="I501" s="10" t="s">
        <v>54</v>
      </c>
      <c r="J501" s="12">
        <v>45644</v>
      </c>
      <c r="K501" s="77">
        <v>45681</v>
      </c>
      <c r="L501" s="50"/>
      <c r="M501" s="13" t="str">
        <f t="shared" ca="1" si="15"/>
        <v>CLOSED</v>
      </c>
      <c r="N501" s="415">
        <f>+Table2[[#This Row],[Effectiveness Review &amp; date deemed effective]]-Table2[[#This Row],[CAR initialized date]]</f>
        <v>37</v>
      </c>
    </row>
    <row r="502" spans="1:14" ht="43.2" hidden="1" x14ac:dyDescent="0.3">
      <c r="A502" s="9" t="s">
        <v>264</v>
      </c>
      <c r="B502" s="13">
        <f>VLOOKUP(Table2[[#This Row],[Location 
(drop-down)]],'List source'!D$2:E$60,2,FALSE)</f>
        <v>132</v>
      </c>
      <c r="C502" s="11" t="s">
        <v>1494</v>
      </c>
      <c r="D502" s="108" t="str">
        <f t="shared" si="14"/>
        <v>C501-132-24</v>
      </c>
      <c r="E502" s="11" t="s">
        <v>3783</v>
      </c>
      <c r="F502" s="11" t="s">
        <v>125</v>
      </c>
      <c r="G502" s="9" t="s">
        <v>4244</v>
      </c>
      <c r="H502" s="10" t="s">
        <v>3621</v>
      </c>
      <c r="I502" s="10" t="s">
        <v>54</v>
      </c>
      <c r="J502" s="12">
        <v>45644</v>
      </c>
      <c r="K502" s="77">
        <v>45842</v>
      </c>
      <c r="L502" s="50" t="s">
        <v>4245</v>
      </c>
      <c r="M502" s="13" t="str">
        <f t="shared" ca="1" si="15"/>
        <v>CLOSED</v>
      </c>
      <c r="N502" s="415">
        <f>+Table2[[#This Row],[Effectiveness Review &amp; date deemed effective]]-Table2[[#This Row],[CAR initialized date]]</f>
        <v>198</v>
      </c>
    </row>
    <row r="503" spans="1:14" ht="57.6" hidden="1" x14ac:dyDescent="0.3">
      <c r="A503" s="9" t="s">
        <v>113</v>
      </c>
      <c r="B503" s="13" t="str">
        <f>VLOOKUP(Table2[[#This Row],[Location 
(drop-down)]],'List source'!D$2:E$60,2,FALSE)</f>
        <v>VOID</v>
      </c>
      <c r="C503" s="11" t="s">
        <v>1496</v>
      </c>
      <c r="D503" s="108" t="str">
        <f t="shared" si="14"/>
        <v>C502-VOID-24</v>
      </c>
      <c r="E503" s="11" t="s">
        <v>114</v>
      </c>
      <c r="F503" s="11" t="s">
        <v>114</v>
      </c>
      <c r="G503" s="9" t="s">
        <v>4246</v>
      </c>
      <c r="H503" s="10" t="s">
        <v>114</v>
      </c>
      <c r="I503" s="10" t="s">
        <v>114</v>
      </c>
      <c r="J503" s="12" t="s">
        <v>114</v>
      </c>
      <c r="K503" s="77" t="s">
        <v>114</v>
      </c>
      <c r="L503" s="50"/>
      <c r="M503" s="13" t="str">
        <f t="shared" ca="1" si="15"/>
        <v>CLOSED</v>
      </c>
      <c r="N503" s="415" t="e">
        <f>+Table2[[#This Row],[Effectiveness Review &amp; date deemed effective]]-Table2[[#This Row],[CAR initialized date]]</f>
        <v>#VALUE!</v>
      </c>
    </row>
    <row r="504" spans="1:14" ht="28.8" hidden="1" x14ac:dyDescent="0.3">
      <c r="A504" s="9" t="s">
        <v>273</v>
      </c>
      <c r="B504" s="13">
        <f>VLOOKUP(Table2[[#This Row],[Location 
(drop-down)]],'List source'!D$2:E$60,2,FALSE)</f>
        <v>140</v>
      </c>
      <c r="C504" s="11" t="s">
        <v>1498</v>
      </c>
      <c r="D504" s="108" t="str">
        <f t="shared" si="14"/>
        <v>C503-140-24</v>
      </c>
      <c r="E504" s="303" t="s">
        <v>3740</v>
      </c>
      <c r="F504" s="303"/>
      <c r="G504" s="9" t="s">
        <v>4247</v>
      </c>
      <c r="H504" s="10" t="s">
        <v>3621</v>
      </c>
      <c r="I504" s="12" t="s">
        <v>23</v>
      </c>
      <c r="J504" s="12">
        <v>45509</v>
      </c>
      <c r="K504" s="77">
        <v>45699</v>
      </c>
      <c r="L504" s="50"/>
      <c r="M504" s="13" t="str">
        <f t="shared" ca="1" si="15"/>
        <v>CLOSED</v>
      </c>
      <c r="N504" s="415">
        <f>+Table2[[#This Row],[Effectiveness Review &amp; date deemed effective]]-Table2[[#This Row],[CAR initialized date]]</f>
        <v>190</v>
      </c>
    </row>
    <row r="505" spans="1:14" ht="28.8" hidden="1" x14ac:dyDescent="0.3">
      <c r="A505" s="9" t="s">
        <v>273</v>
      </c>
      <c r="B505" s="13">
        <f>VLOOKUP(Table2[[#This Row],[Location 
(drop-down)]],'List source'!D$2:E$60,2,FALSE)</f>
        <v>140</v>
      </c>
      <c r="C505" s="11" t="s">
        <v>1499</v>
      </c>
      <c r="D505" s="108" t="str">
        <f t="shared" si="14"/>
        <v>C504-140-24</v>
      </c>
      <c r="E505" s="303" t="s">
        <v>3740</v>
      </c>
      <c r="F505" s="303"/>
      <c r="G505" s="9" t="s">
        <v>4248</v>
      </c>
      <c r="H505" s="10" t="s">
        <v>3621</v>
      </c>
      <c r="I505" s="12" t="s">
        <v>23</v>
      </c>
      <c r="J505" s="12">
        <v>45509</v>
      </c>
      <c r="K505" s="77">
        <v>45700</v>
      </c>
      <c r="L505" s="50"/>
      <c r="M505" s="13" t="str">
        <f t="shared" ca="1" si="15"/>
        <v>CLOSED</v>
      </c>
      <c r="N505" s="415">
        <f>+Table2[[#This Row],[Effectiveness Review &amp; date deemed effective]]-Table2[[#This Row],[CAR initialized date]]</f>
        <v>191</v>
      </c>
    </row>
    <row r="506" spans="1:14" ht="18" hidden="1" x14ac:dyDescent="0.3">
      <c r="A506" s="9" t="s">
        <v>261</v>
      </c>
      <c r="B506" s="13">
        <f>VLOOKUP(Table2[[#This Row],[Location 
(drop-down)]],'List source'!D$2:E$60,2,FALSE)</f>
        <v>210</v>
      </c>
      <c r="C506" s="11" t="s">
        <v>1501</v>
      </c>
      <c r="D506" s="108" t="str">
        <f t="shared" si="14"/>
        <v>C505-210-24</v>
      </c>
      <c r="E506" s="303" t="s">
        <v>3740</v>
      </c>
      <c r="F506" s="303"/>
      <c r="G506" s="9" t="s">
        <v>4080</v>
      </c>
      <c r="H506" s="10" t="s">
        <v>3621</v>
      </c>
      <c r="I506" s="12" t="s">
        <v>49</v>
      </c>
      <c r="J506" s="12">
        <v>45657</v>
      </c>
      <c r="K506" s="77">
        <v>45678</v>
      </c>
      <c r="L506" s="50" t="s">
        <v>4249</v>
      </c>
      <c r="M506" s="13" t="str">
        <f t="shared" ca="1" si="15"/>
        <v>CLOSED</v>
      </c>
      <c r="N506" s="415">
        <f>+Table2[[#This Row],[Effectiveness Review &amp; date deemed effective]]-Table2[[#This Row],[CAR initialized date]]</f>
        <v>21</v>
      </c>
    </row>
    <row r="507" spans="1:14" ht="18" hidden="1" x14ac:dyDescent="0.3">
      <c r="A507" s="9" t="s">
        <v>261</v>
      </c>
      <c r="B507" s="13">
        <f>VLOOKUP(Table2[[#This Row],[Location 
(drop-down)]],'List source'!D$2:E$60,2,FALSE)</f>
        <v>210</v>
      </c>
      <c r="C507" s="11" t="s">
        <v>1503</v>
      </c>
      <c r="D507" s="108" t="str">
        <f t="shared" si="14"/>
        <v>C506-210-24</v>
      </c>
      <c r="E507" s="303" t="s">
        <v>3740</v>
      </c>
      <c r="F507" s="303"/>
      <c r="G507" s="9" t="s">
        <v>4250</v>
      </c>
      <c r="H507" s="10" t="s">
        <v>3621</v>
      </c>
      <c r="I507" s="12" t="s">
        <v>49</v>
      </c>
      <c r="J507" s="12">
        <v>45657</v>
      </c>
      <c r="K507" s="77">
        <v>45670</v>
      </c>
      <c r="L507" s="50" t="s">
        <v>4249</v>
      </c>
      <c r="M507" s="13" t="str">
        <f t="shared" ca="1" si="15"/>
        <v>CLOSED</v>
      </c>
      <c r="N507" s="415">
        <f>+Table2[[#This Row],[Effectiveness Review &amp; date deemed effective]]-Table2[[#This Row],[CAR initialized date]]</f>
        <v>13</v>
      </c>
    </row>
    <row r="508" spans="1:14" ht="18" hidden="1" x14ac:dyDescent="0.3">
      <c r="A508" s="9" t="s">
        <v>261</v>
      </c>
      <c r="B508" s="13">
        <f>VLOOKUP(Table2[[#This Row],[Location 
(drop-down)]],'List source'!D$2:E$60,2,FALSE)</f>
        <v>210</v>
      </c>
      <c r="C508" s="11" t="s">
        <v>1504</v>
      </c>
      <c r="D508" s="108" t="str">
        <f t="shared" si="14"/>
        <v>C507-210-24</v>
      </c>
      <c r="E508" s="303" t="s">
        <v>3740</v>
      </c>
      <c r="F508" s="303"/>
      <c r="G508" s="9" t="s">
        <v>4251</v>
      </c>
      <c r="H508" s="10" t="s">
        <v>3621</v>
      </c>
      <c r="I508" s="12" t="s">
        <v>49</v>
      </c>
      <c r="J508" s="12">
        <v>45657</v>
      </c>
      <c r="K508" s="77">
        <v>45903</v>
      </c>
      <c r="L508" s="50" t="s">
        <v>4249</v>
      </c>
      <c r="M508" s="13" t="str">
        <f t="shared" ca="1" si="15"/>
        <v>CLOSED</v>
      </c>
      <c r="N508" s="415">
        <f>+Table2[[#This Row],[Effectiveness Review &amp; date deemed effective]]-Table2[[#This Row],[CAR initialized date]]</f>
        <v>246</v>
      </c>
    </row>
    <row r="509" spans="1:14" ht="18" hidden="1" x14ac:dyDescent="0.3">
      <c r="A509" s="9" t="s">
        <v>261</v>
      </c>
      <c r="B509" s="13">
        <f>VLOOKUP(Table2[[#This Row],[Location 
(drop-down)]],'List source'!D$2:E$60,2,FALSE)</f>
        <v>210</v>
      </c>
      <c r="C509" s="11" t="s">
        <v>1506</v>
      </c>
      <c r="D509" s="108" t="str">
        <f t="shared" si="14"/>
        <v>C508-210-24</v>
      </c>
      <c r="E509" s="303" t="s">
        <v>3740</v>
      </c>
      <c r="F509" s="303"/>
      <c r="G509" s="9" t="s">
        <v>4078</v>
      </c>
      <c r="H509" s="10" t="s">
        <v>3621</v>
      </c>
      <c r="I509" s="12" t="s">
        <v>49</v>
      </c>
      <c r="J509" s="12">
        <v>45657</v>
      </c>
      <c r="K509" s="77">
        <v>45903</v>
      </c>
      <c r="L509" s="50" t="s">
        <v>4249</v>
      </c>
      <c r="M509" s="13" t="str">
        <f t="shared" ca="1" si="15"/>
        <v>CLOSED</v>
      </c>
      <c r="N509" s="415">
        <f>+Table2[[#This Row],[Effectiveness Review &amp; date deemed effective]]-Table2[[#This Row],[CAR initialized date]]</f>
        <v>246</v>
      </c>
    </row>
    <row r="510" spans="1:14" ht="18" hidden="1" x14ac:dyDescent="0.3">
      <c r="A510" s="9" t="s">
        <v>261</v>
      </c>
      <c r="B510" s="13">
        <f>VLOOKUP(Table2[[#This Row],[Location 
(drop-down)]],'List source'!D$2:E$60,2,FALSE)</f>
        <v>210</v>
      </c>
      <c r="C510" s="11" t="s">
        <v>1507</v>
      </c>
      <c r="D510" s="108" t="str">
        <f t="shared" si="14"/>
        <v>C509-210-24</v>
      </c>
      <c r="E510" s="303" t="s">
        <v>3740</v>
      </c>
      <c r="F510" s="303"/>
      <c r="G510" s="9" t="s">
        <v>3878</v>
      </c>
      <c r="H510" s="10" t="s">
        <v>3621</v>
      </c>
      <c r="I510" s="12" t="s">
        <v>49</v>
      </c>
      <c r="J510" s="12">
        <v>45657</v>
      </c>
      <c r="K510" s="77">
        <v>45903</v>
      </c>
      <c r="L510" s="50" t="s">
        <v>4249</v>
      </c>
      <c r="M510" s="13" t="str">
        <f t="shared" ca="1" si="15"/>
        <v>CLOSED</v>
      </c>
      <c r="N510" s="415">
        <f>+Table2[[#This Row],[Effectiveness Review &amp; date deemed effective]]-Table2[[#This Row],[CAR initialized date]]</f>
        <v>246</v>
      </c>
    </row>
    <row r="511" spans="1:14" ht="18" hidden="1" x14ac:dyDescent="0.3">
      <c r="A511" s="9" t="s">
        <v>261</v>
      </c>
      <c r="B511" s="13">
        <f>VLOOKUP(Table2[[#This Row],[Location 
(drop-down)]],'List source'!D$2:E$60,2,FALSE)</f>
        <v>210</v>
      </c>
      <c r="C511" s="11" t="s">
        <v>1509</v>
      </c>
      <c r="D511" s="108" t="str">
        <f t="shared" si="14"/>
        <v>C510-210-24</v>
      </c>
      <c r="E511" s="303" t="s">
        <v>3740</v>
      </c>
      <c r="F511" s="303"/>
      <c r="G511" s="9" t="s">
        <v>4252</v>
      </c>
      <c r="H511" s="10" t="s">
        <v>3621</v>
      </c>
      <c r="I511" s="12" t="s">
        <v>49</v>
      </c>
      <c r="J511" s="12">
        <v>45657</v>
      </c>
      <c r="K511" s="77">
        <v>45670</v>
      </c>
      <c r="L511" s="50" t="s">
        <v>4249</v>
      </c>
      <c r="M511" s="13" t="str">
        <f t="shared" ca="1" si="15"/>
        <v>CLOSED</v>
      </c>
      <c r="N511" s="415">
        <f>+Table2[[#This Row],[Effectiveness Review &amp; date deemed effective]]-Table2[[#This Row],[CAR initialized date]]</f>
        <v>13</v>
      </c>
    </row>
    <row r="512" spans="1:14" ht="18" hidden="1" x14ac:dyDescent="0.3">
      <c r="A512" s="9" t="s">
        <v>261</v>
      </c>
      <c r="B512" s="13">
        <f>VLOOKUP(Table2[[#This Row],[Location 
(drop-down)]],'List source'!D$2:E$60,2,FALSE)</f>
        <v>210</v>
      </c>
      <c r="C512" s="11" t="s">
        <v>1510</v>
      </c>
      <c r="D512" s="108" t="str">
        <f t="shared" si="14"/>
        <v>C511-210-24</v>
      </c>
      <c r="E512" s="303" t="s">
        <v>3740</v>
      </c>
      <c r="F512" s="303"/>
      <c r="G512" s="9" t="s">
        <v>4253</v>
      </c>
      <c r="H512" s="10" t="s">
        <v>3621</v>
      </c>
      <c r="I512" s="12" t="s">
        <v>49</v>
      </c>
      <c r="J512" s="12">
        <v>45657</v>
      </c>
      <c r="K512" s="77">
        <v>45673</v>
      </c>
      <c r="L512" s="50" t="s">
        <v>4249</v>
      </c>
      <c r="M512" s="13" t="str">
        <f t="shared" ca="1" si="15"/>
        <v>CLOSED</v>
      </c>
      <c r="N512" s="415">
        <f>+Table2[[#This Row],[Effectiveness Review &amp; date deemed effective]]-Table2[[#This Row],[CAR initialized date]]</f>
        <v>16</v>
      </c>
    </row>
    <row r="513" spans="1:14" ht="18" hidden="1" x14ac:dyDescent="0.3">
      <c r="A513" s="9" t="s">
        <v>418</v>
      </c>
      <c r="B513" s="13">
        <f>VLOOKUP(Table2[[#This Row],[Location 
(drop-down)]],'List source'!D$2:E$60,2,FALSE)</f>
        <v>179</v>
      </c>
      <c r="C513" s="11" t="s">
        <v>1512</v>
      </c>
      <c r="D513" s="108" t="str">
        <f t="shared" si="14"/>
        <v>C512-179-24</v>
      </c>
      <c r="E513" s="13" t="s">
        <v>3740</v>
      </c>
      <c r="F513" s="303"/>
      <c r="G513" s="9" t="s">
        <v>4254</v>
      </c>
      <c r="H513" s="10" t="s">
        <v>3621</v>
      </c>
      <c r="I513" s="12" t="s">
        <v>41</v>
      </c>
      <c r="J513" s="12">
        <v>45659</v>
      </c>
      <c r="K513" s="77">
        <v>45720</v>
      </c>
      <c r="L513" s="50"/>
      <c r="M513" s="13" t="str">
        <f t="shared" ca="1" si="15"/>
        <v>CLOSED</v>
      </c>
      <c r="N513" s="415">
        <f>+Table2[[#This Row],[Effectiveness Review &amp; date deemed effective]]-Table2[[#This Row],[CAR initialized date]]</f>
        <v>61</v>
      </c>
    </row>
    <row r="514" spans="1:14" ht="43.2" hidden="1" x14ac:dyDescent="0.3">
      <c r="A514" s="9" t="s">
        <v>113</v>
      </c>
      <c r="B514" s="13" t="str">
        <f>VLOOKUP(Table2[[#This Row],[Location 
(drop-down)]],'List source'!D$2:E$60,2,FALSE)</f>
        <v>VOID</v>
      </c>
      <c r="C514" s="11" t="s">
        <v>1514</v>
      </c>
      <c r="D514" s="108" t="str">
        <f t="shared" ref="D514:D531" si="16">"C" &amp; C514 &amp; "-" &amp; B514 &amp; "-" &amp; "24"</f>
        <v>C513-VOID-24</v>
      </c>
      <c r="E514" s="11" t="s">
        <v>114</v>
      </c>
      <c r="F514" s="11" t="s">
        <v>114</v>
      </c>
      <c r="G514" s="9" t="s">
        <v>4255</v>
      </c>
      <c r="H514" s="10" t="s">
        <v>114</v>
      </c>
      <c r="I514" s="10" t="s">
        <v>114</v>
      </c>
      <c r="J514" s="10" t="s">
        <v>114</v>
      </c>
      <c r="K514" s="77" t="s">
        <v>114</v>
      </c>
      <c r="L514" s="50" t="s">
        <v>4256</v>
      </c>
      <c r="M514" s="13" t="str">
        <f t="shared" ca="1" si="15"/>
        <v>CLOSED</v>
      </c>
      <c r="N514" s="415" t="e">
        <f>+Table2[[#This Row],[Effectiveness Review &amp; date deemed effective]]-Table2[[#This Row],[CAR initialized date]]</f>
        <v>#VALUE!</v>
      </c>
    </row>
    <row r="515" spans="1:14" ht="18" hidden="1" x14ac:dyDescent="0.3">
      <c r="A515" s="9" t="s">
        <v>418</v>
      </c>
      <c r="B515" s="13">
        <f>VLOOKUP(Table2[[#This Row],[Location 
(drop-down)]],'List source'!D$2:E$60,2,FALSE)</f>
        <v>179</v>
      </c>
      <c r="C515" s="11" t="s">
        <v>1515</v>
      </c>
      <c r="D515" s="108" t="str">
        <f t="shared" si="16"/>
        <v>C514-179-24</v>
      </c>
      <c r="E515" s="303" t="s">
        <v>3740</v>
      </c>
      <c r="F515" s="303"/>
      <c r="G515" s="9" t="s">
        <v>4063</v>
      </c>
      <c r="H515" s="10" t="s">
        <v>3737</v>
      </c>
      <c r="I515" s="12" t="s">
        <v>41</v>
      </c>
      <c r="J515" s="12">
        <v>45659</v>
      </c>
      <c r="K515" s="77">
        <v>45695</v>
      </c>
      <c r="L515" s="50"/>
      <c r="M515" s="13" t="str">
        <f t="shared" ref="M515:M531" ca="1" si="17">IF(ISBLANK(K515), TODAY()-J515, "CLOSED")</f>
        <v>CLOSED</v>
      </c>
      <c r="N515" s="415">
        <f>+Table2[[#This Row],[Effectiveness Review &amp; date deemed effective]]-Table2[[#This Row],[CAR initialized date]]</f>
        <v>36</v>
      </c>
    </row>
    <row r="516" spans="1:14" ht="18" hidden="1" x14ac:dyDescent="0.3">
      <c r="A516" s="9" t="s">
        <v>418</v>
      </c>
      <c r="B516" s="13">
        <f>VLOOKUP(Table2[[#This Row],[Location 
(drop-down)]],'List source'!D$2:E$60,2,FALSE)</f>
        <v>179</v>
      </c>
      <c r="C516" s="11" t="s">
        <v>1516</v>
      </c>
      <c r="D516" s="108" t="str">
        <f t="shared" si="16"/>
        <v>C515-179-24</v>
      </c>
      <c r="E516" s="303" t="s">
        <v>3740</v>
      </c>
      <c r="F516" s="303"/>
      <c r="G516" s="9" t="s">
        <v>4257</v>
      </c>
      <c r="H516" s="10" t="s">
        <v>3621</v>
      </c>
      <c r="I516" s="12" t="s">
        <v>41</v>
      </c>
      <c r="J516" s="12">
        <v>45659</v>
      </c>
      <c r="K516" s="77">
        <v>45686</v>
      </c>
      <c r="L516" s="50"/>
      <c r="M516" s="13" t="str">
        <f t="shared" ca="1" si="17"/>
        <v>CLOSED</v>
      </c>
      <c r="N516" s="415">
        <f>+Table2[[#This Row],[Effectiveness Review &amp; date deemed effective]]-Table2[[#This Row],[CAR initialized date]]</f>
        <v>27</v>
      </c>
    </row>
    <row r="517" spans="1:14" ht="18" hidden="1" x14ac:dyDescent="0.3">
      <c r="A517" s="9" t="s">
        <v>418</v>
      </c>
      <c r="B517" s="13">
        <f>VLOOKUP(Table2[[#This Row],[Location 
(drop-down)]],'List source'!D$2:E$60,2,FALSE)</f>
        <v>179</v>
      </c>
      <c r="C517" s="11" t="s">
        <v>1517</v>
      </c>
      <c r="D517" s="108" t="str">
        <f t="shared" si="16"/>
        <v>C516-179-24</v>
      </c>
      <c r="E517" s="303" t="s">
        <v>3740</v>
      </c>
      <c r="F517" s="303"/>
      <c r="G517" s="9" t="s">
        <v>4258</v>
      </c>
      <c r="H517" s="10" t="s">
        <v>3621</v>
      </c>
      <c r="I517" s="12" t="s">
        <v>41</v>
      </c>
      <c r="J517" s="12">
        <v>45659</v>
      </c>
      <c r="K517" s="77">
        <v>45719</v>
      </c>
      <c r="L517" s="50"/>
      <c r="M517" s="13" t="str">
        <f t="shared" ca="1" si="17"/>
        <v>CLOSED</v>
      </c>
      <c r="N517" s="415">
        <f>+Table2[[#This Row],[Effectiveness Review &amp; date deemed effective]]-Table2[[#This Row],[CAR initialized date]]</f>
        <v>60</v>
      </c>
    </row>
    <row r="518" spans="1:14" ht="18" hidden="1" x14ac:dyDescent="0.3">
      <c r="A518" s="9" t="s">
        <v>35</v>
      </c>
      <c r="B518" s="13">
        <f>VLOOKUP(Table2[[#This Row],[Location 
(drop-down)]],'List source'!D$2:E$60,2,FALSE)</f>
        <v>158</v>
      </c>
      <c r="C518" s="11" t="s">
        <v>1520</v>
      </c>
      <c r="D518" s="108" t="str">
        <f t="shared" si="16"/>
        <v>C517-158-24</v>
      </c>
      <c r="E518" s="303" t="s">
        <v>3783</v>
      </c>
      <c r="F518" s="303" t="s">
        <v>231</v>
      </c>
      <c r="G518" s="9" t="s">
        <v>4259</v>
      </c>
      <c r="H518" s="10" t="s">
        <v>3621</v>
      </c>
      <c r="I518" s="12" t="s">
        <v>49</v>
      </c>
      <c r="J518" s="12">
        <v>45450</v>
      </c>
      <c r="K518" s="77">
        <v>45793</v>
      </c>
      <c r="L518" s="50"/>
      <c r="M518" s="13" t="str">
        <f t="shared" ca="1" si="17"/>
        <v>CLOSED</v>
      </c>
      <c r="N518" s="415">
        <f>+Table2[[#This Row],[Effectiveness Review &amp; date deemed effective]]-Table2[[#This Row],[CAR initialized date]]</f>
        <v>343</v>
      </c>
    </row>
    <row r="519" spans="1:14" ht="18" hidden="1" x14ac:dyDescent="0.3">
      <c r="A519" s="9" t="s">
        <v>35</v>
      </c>
      <c r="B519" s="13">
        <f>VLOOKUP(Table2[[#This Row],[Location 
(drop-down)]],'List source'!D$2:E$60,2,FALSE)</f>
        <v>158</v>
      </c>
      <c r="C519" s="11" t="s">
        <v>1523</v>
      </c>
      <c r="D519" s="108" t="str">
        <f t="shared" si="16"/>
        <v>C518-158-24</v>
      </c>
      <c r="E519" s="303" t="s">
        <v>3783</v>
      </c>
      <c r="F519" s="303" t="s">
        <v>231</v>
      </c>
      <c r="G519" s="9" t="s">
        <v>4260</v>
      </c>
      <c r="H519" s="10" t="s">
        <v>3621</v>
      </c>
      <c r="I519" s="12" t="s">
        <v>49</v>
      </c>
      <c r="J519" s="12">
        <v>45450</v>
      </c>
      <c r="K519" s="77">
        <v>45793</v>
      </c>
      <c r="L519" s="50"/>
      <c r="M519" s="13" t="str">
        <f t="shared" ca="1" si="17"/>
        <v>CLOSED</v>
      </c>
      <c r="N519" s="415">
        <f>+Table2[[#This Row],[Effectiveness Review &amp; date deemed effective]]-Table2[[#This Row],[CAR initialized date]]</f>
        <v>343</v>
      </c>
    </row>
    <row r="520" spans="1:14" ht="18" hidden="1" x14ac:dyDescent="0.3">
      <c r="A520" s="9" t="s">
        <v>35</v>
      </c>
      <c r="B520" s="13">
        <f>VLOOKUP(Table2[[#This Row],[Location 
(drop-down)]],'List source'!D$2:E$60,2,FALSE)</f>
        <v>158</v>
      </c>
      <c r="C520" s="11" t="s">
        <v>1525</v>
      </c>
      <c r="D520" s="108" t="str">
        <f t="shared" si="16"/>
        <v>C519-158-24</v>
      </c>
      <c r="E520" s="303" t="s">
        <v>3783</v>
      </c>
      <c r="F520" s="303" t="s">
        <v>231</v>
      </c>
      <c r="G520" s="9" t="s">
        <v>4261</v>
      </c>
      <c r="H520" s="10" t="s">
        <v>3621</v>
      </c>
      <c r="I520" s="12" t="s">
        <v>49</v>
      </c>
      <c r="J520" s="12">
        <v>45450</v>
      </c>
      <c r="K520" s="77">
        <v>45792</v>
      </c>
      <c r="L520" s="50"/>
      <c r="M520" s="13" t="str">
        <f t="shared" ca="1" si="17"/>
        <v>CLOSED</v>
      </c>
      <c r="N520" s="415">
        <f>+Table2[[#This Row],[Effectiveness Review &amp; date deemed effective]]-Table2[[#This Row],[CAR initialized date]]</f>
        <v>342</v>
      </c>
    </row>
    <row r="521" spans="1:14" ht="18" hidden="1" x14ac:dyDescent="0.3">
      <c r="A521" s="9" t="s">
        <v>429</v>
      </c>
      <c r="B521" s="13">
        <f>VLOOKUP(Table2[[#This Row],[Location 
(drop-down)]],'List source'!D$2:E$60,2,FALSE)</f>
        <v>133</v>
      </c>
      <c r="C521" s="11" t="s">
        <v>1527</v>
      </c>
      <c r="D521" s="108" t="str">
        <f t="shared" si="16"/>
        <v>C520-133-24</v>
      </c>
      <c r="E521" s="303" t="s">
        <v>3740</v>
      </c>
      <c r="F521" s="303"/>
      <c r="G521" s="9" t="s">
        <v>4262</v>
      </c>
      <c r="H521" s="10" t="s">
        <v>3621</v>
      </c>
      <c r="I521" s="12" t="s">
        <v>23</v>
      </c>
      <c r="J521" s="12">
        <v>45823</v>
      </c>
      <c r="K521" s="77">
        <v>45929</v>
      </c>
      <c r="L521" s="50"/>
      <c r="M521" s="13" t="str">
        <f t="shared" ca="1" si="17"/>
        <v>CLOSED</v>
      </c>
      <c r="N521" s="415">
        <f>+Table2[[#This Row],[Effectiveness Review &amp; date deemed effective]]-Table2[[#This Row],[CAR initialized date]]</f>
        <v>106</v>
      </c>
    </row>
    <row r="522" spans="1:14" ht="18" hidden="1" x14ac:dyDescent="0.3">
      <c r="A522" s="9" t="s">
        <v>429</v>
      </c>
      <c r="B522" s="13">
        <f>VLOOKUP(Table2[[#This Row],[Location 
(drop-down)]],'List source'!D$2:E$60,2,FALSE)</f>
        <v>133</v>
      </c>
      <c r="C522" s="11" t="s">
        <v>1528</v>
      </c>
      <c r="D522" s="108" t="str">
        <f t="shared" si="16"/>
        <v>C521-133-24</v>
      </c>
      <c r="E522" s="303" t="s">
        <v>3740</v>
      </c>
      <c r="F522" s="303"/>
      <c r="G522" s="9" t="s">
        <v>3832</v>
      </c>
      <c r="H522" s="10" t="s">
        <v>3621</v>
      </c>
      <c r="I522" s="12" t="s">
        <v>23</v>
      </c>
      <c r="J522" s="12">
        <v>45823</v>
      </c>
      <c r="K522" s="77">
        <v>46003</v>
      </c>
      <c r="L522" s="50"/>
      <c r="M522" s="13" t="str">
        <f t="shared" ca="1" si="17"/>
        <v>CLOSED</v>
      </c>
      <c r="N522" s="415">
        <f>+Table2[[#This Row],[Effectiveness Review &amp; date deemed effective]]-Table2[[#This Row],[CAR initialized date]]</f>
        <v>180</v>
      </c>
    </row>
    <row r="523" spans="1:14" ht="18" hidden="1" x14ac:dyDescent="0.3">
      <c r="A523" s="9" t="s">
        <v>429</v>
      </c>
      <c r="B523" s="13">
        <f>VLOOKUP(Table2[[#This Row],[Location 
(drop-down)]],'List source'!D$2:E$60,2,FALSE)</f>
        <v>133</v>
      </c>
      <c r="C523" s="11" t="s">
        <v>1530</v>
      </c>
      <c r="D523" s="108" t="str">
        <f t="shared" si="16"/>
        <v>C522-133-24</v>
      </c>
      <c r="E523" s="303" t="s">
        <v>3740</v>
      </c>
      <c r="F523" s="303"/>
      <c r="G523" s="9" t="s">
        <v>4263</v>
      </c>
      <c r="H523" s="10" t="s">
        <v>3621</v>
      </c>
      <c r="I523" s="12" t="s">
        <v>23</v>
      </c>
      <c r="J523" s="12">
        <v>45823</v>
      </c>
      <c r="K523" s="77">
        <v>45916</v>
      </c>
      <c r="L523" s="50"/>
      <c r="M523" s="13" t="str">
        <f t="shared" ca="1" si="17"/>
        <v>CLOSED</v>
      </c>
      <c r="N523" s="415">
        <f>+Table2[[#This Row],[Effectiveness Review &amp; date deemed effective]]-Table2[[#This Row],[CAR initialized date]]</f>
        <v>93</v>
      </c>
    </row>
    <row r="524" spans="1:14" ht="18" hidden="1" x14ac:dyDescent="0.3">
      <c r="A524" s="9" t="s">
        <v>436</v>
      </c>
      <c r="B524" s="13">
        <f>VLOOKUP(Table2[[#This Row],[Location 
(drop-down)]],'List source'!D$2:E$60,2,FALSE)</f>
        <v>129</v>
      </c>
      <c r="C524" s="11">
        <v>523</v>
      </c>
      <c r="D524" s="108" t="str">
        <f t="shared" si="16"/>
        <v>C523-129-24</v>
      </c>
      <c r="E524" s="303" t="s">
        <v>3740</v>
      </c>
      <c r="F524" s="298"/>
      <c r="G524" s="9" t="s">
        <v>4264</v>
      </c>
      <c r="H524" s="10" t="s">
        <v>3785</v>
      </c>
      <c r="I524" s="12" t="s">
        <v>4265</v>
      </c>
      <c r="J524" s="12">
        <v>45701</v>
      </c>
      <c r="K524" s="77">
        <v>45944</v>
      </c>
      <c r="L524" s="50"/>
      <c r="M524" s="13" t="str">
        <f t="shared" ca="1" si="17"/>
        <v>CLOSED</v>
      </c>
    </row>
    <row r="525" spans="1:14" ht="18" hidden="1" x14ac:dyDescent="0.3">
      <c r="A525" s="9" t="s">
        <v>436</v>
      </c>
      <c r="B525" s="13">
        <f>VLOOKUP(Table2[[#This Row],[Location 
(drop-down)]],'List source'!D$2:E$60,2,FALSE)</f>
        <v>129</v>
      </c>
      <c r="C525" s="11">
        <v>524</v>
      </c>
      <c r="D525" s="108" t="str">
        <f t="shared" si="16"/>
        <v>C524-129-24</v>
      </c>
      <c r="E525" s="303" t="s">
        <v>3740</v>
      </c>
      <c r="F525" s="298"/>
      <c r="G525" s="9" t="s">
        <v>4262</v>
      </c>
      <c r="H525" s="10" t="s">
        <v>3785</v>
      </c>
      <c r="I525" s="12" t="s">
        <v>4265</v>
      </c>
      <c r="J525" s="12">
        <v>45701</v>
      </c>
      <c r="K525" s="77">
        <v>45973</v>
      </c>
      <c r="L525" s="50"/>
      <c r="M525" s="13" t="str">
        <f t="shared" ca="1" si="17"/>
        <v>CLOSED</v>
      </c>
    </row>
    <row r="526" spans="1:14" ht="18" hidden="1" x14ac:dyDescent="0.3">
      <c r="A526" s="9" t="s">
        <v>436</v>
      </c>
      <c r="B526" s="13">
        <f>VLOOKUP(Table2[[#This Row],[Location 
(drop-down)]],'List source'!D$2:E$60,2,FALSE)</f>
        <v>129</v>
      </c>
      <c r="C526" s="11">
        <v>525</v>
      </c>
      <c r="D526" s="108" t="str">
        <f t="shared" si="16"/>
        <v>C525-129-24</v>
      </c>
      <c r="E526" s="303" t="s">
        <v>3740</v>
      </c>
      <c r="F526" s="298"/>
      <c r="G526" s="9" t="s">
        <v>4266</v>
      </c>
      <c r="H526" s="10" t="s">
        <v>3621</v>
      </c>
      <c r="I526" s="12" t="s">
        <v>4265</v>
      </c>
      <c r="J526" s="12">
        <v>45701</v>
      </c>
      <c r="K526" s="77">
        <v>45980</v>
      </c>
      <c r="L526" s="50"/>
      <c r="M526" s="13" t="str">
        <f t="shared" ca="1" si="17"/>
        <v>CLOSED</v>
      </c>
    </row>
    <row r="527" spans="1:14" ht="18" hidden="1" x14ac:dyDescent="0.3">
      <c r="A527" s="9" t="s">
        <v>436</v>
      </c>
      <c r="B527" s="13">
        <f>VLOOKUP(Table2[[#This Row],[Location 
(drop-down)]],'List source'!D$2:E$60,2,FALSE)</f>
        <v>129</v>
      </c>
      <c r="C527" s="11">
        <v>526</v>
      </c>
      <c r="D527" s="108" t="str">
        <f t="shared" si="16"/>
        <v>C526-129-24</v>
      </c>
      <c r="E527" s="303" t="s">
        <v>3740</v>
      </c>
      <c r="F527" s="298"/>
      <c r="G527" s="9" t="s">
        <v>4267</v>
      </c>
      <c r="H527" s="10" t="s">
        <v>3618</v>
      </c>
      <c r="I527" s="12" t="s">
        <v>4265</v>
      </c>
      <c r="J527" s="12">
        <v>45701</v>
      </c>
      <c r="K527" s="77">
        <v>45950</v>
      </c>
      <c r="L527" s="50"/>
      <c r="M527" s="13" t="str">
        <f t="shared" ca="1" si="17"/>
        <v>CLOSED</v>
      </c>
    </row>
    <row r="528" spans="1:14" ht="18" hidden="1" x14ac:dyDescent="0.3">
      <c r="A528" s="9" t="s">
        <v>436</v>
      </c>
      <c r="B528" s="13">
        <f>VLOOKUP(Table2[[#This Row],[Location 
(drop-down)]],'List source'!D$2:E$60,2,FALSE)</f>
        <v>129</v>
      </c>
      <c r="C528" s="11">
        <v>527</v>
      </c>
      <c r="D528" s="108" t="str">
        <f t="shared" si="16"/>
        <v>C527-129-24</v>
      </c>
      <c r="E528" s="303" t="s">
        <v>3740</v>
      </c>
      <c r="F528" s="298"/>
      <c r="G528" s="9" t="s">
        <v>4268</v>
      </c>
      <c r="H528" s="10" t="s">
        <v>3621</v>
      </c>
      <c r="I528" s="12" t="s">
        <v>4265</v>
      </c>
      <c r="J528" s="12">
        <v>45701</v>
      </c>
      <c r="K528" s="77">
        <v>46024</v>
      </c>
      <c r="L528" s="50"/>
      <c r="M528" s="13" t="str">
        <f t="shared" ca="1" si="17"/>
        <v>CLOSED</v>
      </c>
    </row>
    <row r="529" spans="1:16" ht="18" hidden="1" x14ac:dyDescent="0.3">
      <c r="A529" s="9" t="s">
        <v>436</v>
      </c>
      <c r="B529" s="13">
        <f>VLOOKUP(Table2[[#This Row],[Location 
(drop-down)]],'List source'!D$2:E$60,2,FALSE)</f>
        <v>129</v>
      </c>
      <c r="C529" s="11">
        <v>528</v>
      </c>
      <c r="D529" s="108" t="str">
        <f t="shared" si="16"/>
        <v>C528-129-24</v>
      </c>
      <c r="E529" s="303" t="s">
        <v>3740</v>
      </c>
      <c r="F529" s="298"/>
      <c r="G529" s="9" t="s">
        <v>4269</v>
      </c>
      <c r="H529" s="10" t="s">
        <v>3621</v>
      </c>
      <c r="I529" s="12" t="s">
        <v>4265</v>
      </c>
      <c r="J529" s="12">
        <v>45701</v>
      </c>
      <c r="K529" s="77">
        <v>46024</v>
      </c>
      <c r="L529" s="50"/>
      <c r="M529" s="13" t="str">
        <f t="shared" ca="1" si="17"/>
        <v>CLOSED</v>
      </c>
    </row>
    <row r="530" spans="1:16" ht="18" x14ac:dyDescent="0.3">
      <c r="A530" s="9" t="s">
        <v>436</v>
      </c>
      <c r="B530" s="13">
        <f>VLOOKUP(Table2[[#This Row],[Location 
(drop-down)]],'List source'!D$2:E$60,2,FALSE)</f>
        <v>129</v>
      </c>
      <c r="C530" s="11">
        <v>529</v>
      </c>
      <c r="D530" s="108" t="str">
        <f t="shared" si="16"/>
        <v>C529-129-24</v>
      </c>
      <c r="E530" s="303" t="s">
        <v>3740</v>
      </c>
      <c r="F530" s="298"/>
      <c r="G530" s="9" t="s">
        <v>4270</v>
      </c>
      <c r="H530" s="10" t="s">
        <v>3621</v>
      </c>
      <c r="I530" s="12" t="s">
        <v>4265</v>
      </c>
      <c r="J530" s="12">
        <v>45701</v>
      </c>
      <c r="K530" s="77"/>
      <c r="L530" s="50"/>
      <c r="M530" s="13">
        <f t="shared" ca="1" si="17"/>
        <v>364</v>
      </c>
    </row>
    <row r="531" spans="1:16" ht="18" x14ac:dyDescent="0.3">
      <c r="A531" s="9" t="s">
        <v>436</v>
      </c>
      <c r="B531" s="13">
        <f>VLOOKUP(Table2[[#This Row],[Location 
(drop-down)]],'List source'!D$2:E$60,2,FALSE)</f>
        <v>129</v>
      </c>
      <c r="C531" s="11">
        <v>530</v>
      </c>
      <c r="D531" s="108" t="str">
        <f t="shared" si="16"/>
        <v>C530-129-24</v>
      </c>
      <c r="E531" s="303" t="s">
        <v>3740</v>
      </c>
      <c r="F531" s="298"/>
      <c r="G531" s="9" t="s">
        <v>4271</v>
      </c>
      <c r="H531" s="10" t="s">
        <v>3621</v>
      </c>
      <c r="I531" s="12" t="s">
        <v>4265</v>
      </c>
      <c r="J531" s="12">
        <v>45701</v>
      </c>
      <c r="K531" s="77"/>
      <c r="L531" s="50"/>
      <c r="M531" s="13">
        <f t="shared" ca="1" si="17"/>
        <v>364</v>
      </c>
    </row>
    <row r="534" spans="1:16" x14ac:dyDescent="0.3">
      <c r="N534" s="416" t="s">
        <v>4272</v>
      </c>
    </row>
    <row r="535" spans="1:16" x14ac:dyDescent="0.3">
      <c r="M535" s="425" t="s">
        <v>4273</v>
      </c>
      <c r="N535" s="416">
        <v>102</v>
      </c>
      <c r="P535">
        <v>47</v>
      </c>
    </row>
    <row r="536" spans="1:16" x14ac:dyDescent="0.3">
      <c r="M536" s="425" t="s">
        <v>4274</v>
      </c>
      <c r="N536" s="416">
        <v>118</v>
      </c>
      <c r="P536">
        <v>24</v>
      </c>
    </row>
    <row r="537" spans="1:16" x14ac:dyDescent="0.3">
      <c r="M537" s="425" t="s">
        <v>4275</v>
      </c>
      <c r="N537" s="416">
        <v>56</v>
      </c>
      <c r="P537">
        <v>52</v>
      </c>
    </row>
    <row r="538" spans="1:16" x14ac:dyDescent="0.3">
      <c r="M538" s="425" t="s">
        <v>4276</v>
      </c>
      <c r="N538" s="416">
        <v>108</v>
      </c>
      <c r="P538">
        <v>47</v>
      </c>
    </row>
    <row r="539" spans="1:16" x14ac:dyDescent="0.3">
      <c r="M539" s="425" t="s">
        <v>4277</v>
      </c>
      <c r="N539" s="416">
        <v>132</v>
      </c>
      <c r="P539">
        <v>60</v>
      </c>
    </row>
    <row r="540" spans="1:16" x14ac:dyDescent="0.3">
      <c r="M540" s="425" t="s">
        <v>4278</v>
      </c>
      <c r="N540" s="416">
        <v>81</v>
      </c>
      <c r="P540">
        <v>37</v>
      </c>
    </row>
    <row r="541" spans="1:16" x14ac:dyDescent="0.3">
      <c r="M541" s="425" t="s">
        <v>4279</v>
      </c>
      <c r="N541" s="416">
        <v>122</v>
      </c>
      <c r="P541">
        <v>40</v>
      </c>
    </row>
  </sheetData>
  <conditionalFormatting sqref="M2:M531">
    <cfRule type="expression" dxfId="0" priority="1">
      <formula>ISNUMBER(M2) = TRUE</formula>
    </cfRule>
  </conditionalFormatting>
  <pageMargins left="0.7" right="0.7" top="0.75" bottom="0.75" header="0.3" footer="0.3"/>
  <pageSetup scale="51" fitToHeight="0"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7030A0"/>
    <pageSetUpPr fitToPage="1"/>
  </sheetPr>
  <dimension ref="A1:K501"/>
  <sheetViews>
    <sheetView showGridLines="0" zoomScale="70" zoomScaleNormal="70" workbookViewId="0">
      <pane ySplit="1" topLeftCell="A28" activePane="bottomLeft" state="frozen"/>
      <selection activeCell="D1" sqref="D1"/>
      <selection pane="bottomLeft" activeCell="E42" sqref="E42"/>
    </sheetView>
  </sheetViews>
  <sheetFormatPr defaultRowHeight="14.4" x14ac:dyDescent="0.3"/>
  <cols>
    <col min="1" max="1" width="26.5546875" style="5" customWidth="1"/>
    <col min="2" max="2" width="9.5546875" customWidth="1"/>
    <col min="3" max="3" width="7.44140625" bestFit="1" customWidth="1"/>
    <col min="4" max="4" width="28" customWidth="1"/>
    <col min="5" max="5" width="35.5546875" customWidth="1"/>
    <col min="6" max="6" width="47.44140625" style="131" customWidth="1"/>
    <col min="7" max="7" width="16.5546875" style="6" customWidth="1"/>
    <col min="8" max="8" width="17" style="6" customWidth="1"/>
    <col min="9" max="9" width="13.44140625" style="6" customWidth="1"/>
    <col min="10" max="10" width="17.5546875" style="6" customWidth="1"/>
    <col min="11" max="11" width="40.44140625" customWidth="1"/>
  </cols>
  <sheetData>
    <row r="1" spans="1:11" s="2" customFormat="1" ht="45" customHeight="1" x14ac:dyDescent="0.3">
      <c r="A1" s="66" t="s">
        <v>482</v>
      </c>
      <c r="B1" s="67" t="s">
        <v>1</v>
      </c>
      <c r="C1" s="67" t="s">
        <v>2</v>
      </c>
      <c r="D1" s="67" t="s">
        <v>4280</v>
      </c>
      <c r="E1" s="67" t="s">
        <v>4281</v>
      </c>
      <c r="F1" s="68" t="s">
        <v>4282</v>
      </c>
      <c r="G1" s="68" t="s">
        <v>4283</v>
      </c>
      <c r="H1" s="68" t="s">
        <v>489</v>
      </c>
      <c r="I1" s="135" t="s">
        <v>4284</v>
      </c>
      <c r="J1" s="68" t="s">
        <v>4285</v>
      </c>
      <c r="K1" s="67" t="s">
        <v>491</v>
      </c>
    </row>
    <row r="2" spans="1:11" s="4" customFormat="1" ht="30" hidden="1" customHeight="1" x14ac:dyDescent="0.3">
      <c r="A2" s="9" t="s">
        <v>325</v>
      </c>
      <c r="B2" s="13">
        <f>VLOOKUP(Table24[[#This Row],[Location 
(drop-down)]],'List source'!D$2:E$60,2,FALSE)</f>
        <v>180</v>
      </c>
      <c r="C2" s="23" t="s">
        <v>15</v>
      </c>
      <c r="D2" s="30" t="str">
        <f t="shared" ref="D2:D65" si="0">"P" &amp; C2 &amp; "-" &amp; B2 &amp; "-" &amp; "24"</f>
        <v>P001-180-24</v>
      </c>
      <c r="E2" s="11" t="s">
        <v>3740</v>
      </c>
      <c r="F2" s="323" t="s">
        <v>4286</v>
      </c>
      <c r="G2" s="12">
        <v>45309</v>
      </c>
      <c r="H2" s="24" t="s">
        <v>41</v>
      </c>
      <c r="I2" s="24">
        <v>45310</v>
      </c>
      <c r="J2" s="25" t="s">
        <v>3621</v>
      </c>
      <c r="K2" s="25"/>
    </row>
    <row r="3" spans="1:11" s="4" customFormat="1" ht="30" hidden="1" customHeight="1" x14ac:dyDescent="0.3">
      <c r="A3" s="189" t="s">
        <v>186</v>
      </c>
      <c r="B3" s="236">
        <f>VLOOKUP(Table24[[#This Row],[Location 
(drop-down)]],'List source'!D$2:E$60,2,FALSE)</f>
        <v>130</v>
      </c>
      <c r="C3" s="237" t="s">
        <v>22</v>
      </c>
      <c r="D3" s="238" t="str">
        <f t="shared" si="0"/>
        <v>P002-130-24</v>
      </c>
      <c r="E3" s="11" t="s">
        <v>3783</v>
      </c>
      <c r="F3" s="125" t="s">
        <v>4287</v>
      </c>
      <c r="G3" s="12">
        <v>45373</v>
      </c>
      <c r="H3" s="12" t="s">
        <v>54</v>
      </c>
      <c r="I3" s="264">
        <v>45764</v>
      </c>
      <c r="J3" s="10" t="s">
        <v>3621</v>
      </c>
      <c r="K3" s="10"/>
    </row>
    <row r="4" spans="1:11" s="4" customFormat="1" ht="30" hidden="1" customHeight="1" x14ac:dyDescent="0.3">
      <c r="A4" s="314" t="s">
        <v>186</v>
      </c>
      <c r="B4" s="315">
        <f>VLOOKUP(Table24[[#This Row],[Location 
(drop-down)]],'List source'!D$2:E$60,2,FALSE)</f>
        <v>130</v>
      </c>
      <c r="C4" s="316" t="s">
        <v>25</v>
      </c>
      <c r="D4" s="317" t="str">
        <f t="shared" si="0"/>
        <v>P003-130-24</v>
      </c>
      <c r="E4" s="318" t="s">
        <v>3783</v>
      </c>
      <c r="F4" s="319" t="s">
        <v>4288</v>
      </c>
      <c r="G4" s="320">
        <v>45373</v>
      </c>
      <c r="H4" s="320" t="s">
        <v>54</v>
      </c>
      <c r="I4" s="320">
        <v>45784</v>
      </c>
      <c r="J4" s="10" t="s">
        <v>3621</v>
      </c>
      <c r="K4" s="10"/>
    </row>
    <row r="5" spans="1:11" s="4" customFormat="1" ht="30" hidden="1" customHeight="1" x14ac:dyDescent="0.3">
      <c r="A5" s="9" t="s">
        <v>161</v>
      </c>
      <c r="B5" s="13">
        <f>VLOOKUP(Table24[[#This Row],[Location 
(drop-down)]],'List source'!D$2:E$60,2,FALSE)</f>
        <v>142</v>
      </c>
      <c r="C5" s="23" t="s">
        <v>30</v>
      </c>
      <c r="D5" s="30" t="str">
        <f t="shared" si="0"/>
        <v>P004-142-24</v>
      </c>
      <c r="E5" s="11" t="s">
        <v>3740</v>
      </c>
      <c r="F5" s="126" t="s">
        <v>4289</v>
      </c>
      <c r="G5" s="12">
        <v>45413</v>
      </c>
      <c r="H5" s="12" t="s">
        <v>41</v>
      </c>
      <c r="I5" s="12">
        <v>45414</v>
      </c>
      <c r="J5" s="10" t="s">
        <v>3737</v>
      </c>
      <c r="K5" s="10"/>
    </row>
    <row r="6" spans="1:11" s="4" customFormat="1" ht="30" hidden="1" customHeight="1" x14ac:dyDescent="0.3">
      <c r="A6" s="9" t="s">
        <v>161</v>
      </c>
      <c r="B6" s="13">
        <f>VLOOKUP(Table24[[#This Row],[Location 
(drop-down)]],'List source'!D$2:E$60,2,FALSE)</f>
        <v>142</v>
      </c>
      <c r="C6" s="23" t="s">
        <v>36</v>
      </c>
      <c r="D6" s="30" t="str">
        <f t="shared" si="0"/>
        <v>P005-142-24</v>
      </c>
      <c r="E6" s="11" t="s">
        <v>3740</v>
      </c>
      <c r="F6" s="325" t="s">
        <v>4290</v>
      </c>
      <c r="G6" s="12">
        <v>45414</v>
      </c>
      <c r="H6" s="12" t="s">
        <v>438</v>
      </c>
      <c r="I6" s="12">
        <v>45470</v>
      </c>
      <c r="J6" s="10" t="s">
        <v>3621</v>
      </c>
      <c r="K6" s="10"/>
    </row>
    <row r="7" spans="1:11" s="4" customFormat="1" ht="30" hidden="1" customHeight="1" x14ac:dyDescent="0.3">
      <c r="A7" s="9" t="s">
        <v>161</v>
      </c>
      <c r="B7" s="13">
        <f>VLOOKUP(Table24[[#This Row],[Location 
(drop-down)]],'List source'!D$2:E$60,2,FALSE)</f>
        <v>142</v>
      </c>
      <c r="C7" s="23" t="s">
        <v>38</v>
      </c>
      <c r="D7" s="30" t="str">
        <f t="shared" si="0"/>
        <v>P006-142-24</v>
      </c>
      <c r="E7" s="11" t="s">
        <v>3740</v>
      </c>
      <c r="F7" s="192" t="s">
        <v>4291</v>
      </c>
      <c r="G7" s="12">
        <v>45414</v>
      </c>
      <c r="H7" s="12" t="s">
        <v>182</v>
      </c>
      <c r="I7" s="12">
        <v>45470</v>
      </c>
      <c r="J7" s="10" t="s">
        <v>3621</v>
      </c>
      <c r="K7" s="10"/>
    </row>
    <row r="8" spans="1:11" s="4" customFormat="1" ht="30" hidden="1" customHeight="1" x14ac:dyDescent="0.3">
      <c r="A8" s="9" t="s">
        <v>161</v>
      </c>
      <c r="B8" s="13">
        <f>VLOOKUP(Table24[[#This Row],[Location 
(drop-down)]],'List source'!D$2:E$60,2,FALSE)</f>
        <v>142</v>
      </c>
      <c r="C8" s="23" t="s">
        <v>40</v>
      </c>
      <c r="D8" s="30" t="str">
        <f t="shared" si="0"/>
        <v>P007-142-24</v>
      </c>
      <c r="E8" s="11" t="s">
        <v>3740</v>
      </c>
      <c r="F8" s="126" t="s">
        <v>4292</v>
      </c>
      <c r="G8" s="12">
        <v>45414</v>
      </c>
      <c r="H8" s="12" t="s">
        <v>182</v>
      </c>
      <c r="I8" s="12">
        <v>45470</v>
      </c>
      <c r="J8" s="10" t="s">
        <v>3621</v>
      </c>
      <c r="K8" s="10"/>
    </row>
    <row r="9" spans="1:11" s="4" customFormat="1" ht="30" hidden="1" customHeight="1" x14ac:dyDescent="0.3">
      <c r="A9" s="9" t="s">
        <v>161</v>
      </c>
      <c r="B9" s="13">
        <f>VLOOKUP(Table24[[#This Row],[Location 
(drop-down)]],'List source'!D$2:E$60,2,FALSE)</f>
        <v>142</v>
      </c>
      <c r="C9" s="23" t="s">
        <v>43</v>
      </c>
      <c r="D9" s="30" t="str">
        <f t="shared" si="0"/>
        <v>P008-142-24</v>
      </c>
      <c r="E9" s="11" t="s">
        <v>3740</v>
      </c>
      <c r="F9" s="126" t="s">
        <v>4293</v>
      </c>
      <c r="G9" s="12">
        <v>45414</v>
      </c>
      <c r="H9" s="12" t="s">
        <v>182</v>
      </c>
      <c r="I9" s="12">
        <v>45490</v>
      </c>
      <c r="J9" s="10" t="s">
        <v>3621</v>
      </c>
      <c r="K9" s="10"/>
    </row>
    <row r="10" spans="1:11" s="4" customFormat="1" ht="30" hidden="1" customHeight="1" x14ac:dyDescent="0.3">
      <c r="A10" s="9" t="s">
        <v>107</v>
      </c>
      <c r="B10" s="13">
        <f>VLOOKUP(Table24[[#This Row],[Location 
(drop-down)]],'List source'!D$2:E$60,2,FALSE)</f>
        <v>120</v>
      </c>
      <c r="C10" s="23" t="s">
        <v>45</v>
      </c>
      <c r="D10" s="30" t="str">
        <f t="shared" si="0"/>
        <v>P009-120-24</v>
      </c>
      <c r="E10" s="11" t="s">
        <v>3783</v>
      </c>
      <c r="F10" s="126" t="s">
        <v>4294</v>
      </c>
      <c r="G10" s="12">
        <v>45422</v>
      </c>
      <c r="H10" s="12" t="s">
        <v>134</v>
      </c>
      <c r="I10" s="12">
        <v>45427</v>
      </c>
      <c r="J10" s="10" t="s">
        <v>3621</v>
      </c>
      <c r="K10" s="10"/>
    </row>
    <row r="11" spans="1:11" s="4" customFormat="1" ht="30" hidden="1" customHeight="1" x14ac:dyDescent="0.3">
      <c r="A11" s="9" t="s">
        <v>145</v>
      </c>
      <c r="B11" s="13">
        <f>VLOOKUP(Table24[[#This Row],[Location 
(drop-down)]],'List source'!D$2:E$60,2,FALSE)</f>
        <v>145</v>
      </c>
      <c r="C11" s="23" t="s">
        <v>48</v>
      </c>
      <c r="D11" s="30" t="str">
        <f t="shared" si="0"/>
        <v>P010-145-24</v>
      </c>
      <c r="E11" s="11" t="s">
        <v>3773</v>
      </c>
      <c r="F11" s="126" t="s">
        <v>4295</v>
      </c>
      <c r="G11" s="12">
        <v>45428</v>
      </c>
      <c r="H11" s="12" t="s">
        <v>182</v>
      </c>
      <c r="I11" s="12">
        <v>45755</v>
      </c>
      <c r="J11" s="10" t="s">
        <v>3621</v>
      </c>
      <c r="K11" s="10"/>
    </row>
    <row r="12" spans="1:11" s="4" customFormat="1" ht="30" hidden="1" customHeight="1" x14ac:dyDescent="0.3">
      <c r="A12" s="9" t="s">
        <v>90</v>
      </c>
      <c r="B12" s="13">
        <f>VLOOKUP(Table24[[#This Row],[Location 
(drop-down)]],'List source'!D$2:E$60,2,FALSE)</f>
        <v>157</v>
      </c>
      <c r="C12" s="23" t="s">
        <v>51</v>
      </c>
      <c r="D12" s="30" t="str">
        <f t="shared" si="0"/>
        <v>P011-157-24</v>
      </c>
      <c r="E12" s="11" t="s">
        <v>3735</v>
      </c>
      <c r="F12" s="126" t="s">
        <v>4296</v>
      </c>
      <c r="G12" s="12">
        <v>45454</v>
      </c>
      <c r="H12" s="12" t="s">
        <v>18</v>
      </c>
      <c r="I12" s="12">
        <v>45686</v>
      </c>
      <c r="J12" s="10" t="s">
        <v>3737</v>
      </c>
      <c r="K12" s="10" t="s">
        <v>4297</v>
      </c>
    </row>
    <row r="13" spans="1:11" s="4" customFormat="1" ht="18" hidden="1" x14ac:dyDescent="0.3">
      <c r="A13" s="9" t="s">
        <v>3636</v>
      </c>
      <c r="B13" s="13">
        <f>VLOOKUP(Table24[[#This Row],[Location 
(drop-down)]],'List source'!D$2:E$60,2,FALSE)</f>
        <v>101</v>
      </c>
      <c r="C13" s="23" t="s">
        <v>58</v>
      </c>
      <c r="D13" s="30" t="str">
        <f t="shared" si="0"/>
        <v>P012-101-24</v>
      </c>
      <c r="E13" s="11"/>
      <c r="F13" s="126" t="s">
        <v>4298</v>
      </c>
      <c r="G13" s="12">
        <v>45299</v>
      </c>
      <c r="H13" s="12" t="s">
        <v>49</v>
      </c>
      <c r="I13" s="12">
        <v>45561</v>
      </c>
      <c r="J13" s="10" t="s">
        <v>3621</v>
      </c>
      <c r="K13" s="10"/>
    </row>
    <row r="14" spans="1:11" s="4" customFormat="1" ht="30" hidden="1" customHeight="1" x14ac:dyDescent="0.3">
      <c r="A14" s="9" t="s">
        <v>70</v>
      </c>
      <c r="B14" s="13">
        <f>VLOOKUP(Table24[[#This Row],[Location 
(drop-down)]],'List source'!D$2:E$60,2,FALSE)</f>
        <v>146</v>
      </c>
      <c r="C14" s="23" t="s">
        <v>66</v>
      </c>
      <c r="D14" s="30" t="str">
        <f t="shared" si="0"/>
        <v>P013-146-24</v>
      </c>
      <c r="E14" s="11" t="s">
        <v>3783</v>
      </c>
      <c r="F14" s="128" t="s">
        <v>55</v>
      </c>
      <c r="G14" s="12">
        <v>45505</v>
      </c>
      <c r="H14" s="12" t="s">
        <v>18</v>
      </c>
      <c r="I14" s="12">
        <v>45520</v>
      </c>
      <c r="J14" s="10"/>
      <c r="K14" s="10"/>
    </row>
    <row r="15" spans="1:11" s="4" customFormat="1" ht="30" hidden="1" customHeight="1" x14ac:dyDescent="0.3">
      <c r="A15" s="9" t="s">
        <v>70</v>
      </c>
      <c r="B15" s="13">
        <f>VLOOKUP(Table24[[#This Row],[Location 
(drop-down)]],'List source'!D$2:E$60,2,FALSE)</f>
        <v>146</v>
      </c>
      <c r="C15" s="23" t="s">
        <v>69</v>
      </c>
      <c r="D15" s="30" t="str">
        <f t="shared" si="0"/>
        <v>P014-146-24</v>
      </c>
      <c r="E15" s="11" t="s">
        <v>3783</v>
      </c>
      <c r="F15" s="126" t="s">
        <v>55</v>
      </c>
      <c r="G15" s="12">
        <v>45505</v>
      </c>
      <c r="H15" s="12" t="s">
        <v>18</v>
      </c>
      <c r="I15" s="12">
        <v>45520</v>
      </c>
      <c r="J15" s="10"/>
      <c r="K15" s="10"/>
    </row>
    <row r="16" spans="1:11" s="4" customFormat="1" ht="30" hidden="1" customHeight="1" x14ac:dyDescent="0.3">
      <c r="A16" s="9" t="s">
        <v>310</v>
      </c>
      <c r="B16" s="13">
        <f>VLOOKUP(Table24[[#This Row],[Location 
(drop-down)]],'List source'!D$2:E$60,2,FALSE)</f>
        <v>144</v>
      </c>
      <c r="C16" s="23" t="s">
        <v>71</v>
      </c>
      <c r="D16" s="30" t="str">
        <f t="shared" si="0"/>
        <v>P015-144-24</v>
      </c>
      <c r="E16" s="11" t="s">
        <v>3740</v>
      </c>
      <c r="F16" s="324" t="s">
        <v>4299</v>
      </c>
      <c r="G16" s="12">
        <v>45531</v>
      </c>
      <c r="H16" s="12" t="s">
        <v>498</v>
      </c>
      <c r="I16" s="12">
        <v>45639</v>
      </c>
      <c r="J16" s="10" t="s">
        <v>3621</v>
      </c>
      <c r="K16" s="10"/>
    </row>
    <row r="17" spans="1:11" s="4" customFormat="1" ht="30" hidden="1" customHeight="1" x14ac:dyDescent="0.3">
      <c r="A17" s="9" t="s">
        <v>107</v>
      </c>
      <c r="B17" s="13">
        <f>VLOOKUP(Table24[[#This Row],[Location 
(drop-down)]],'List source'!D$2:E$60,2,FALSE)</f>
        <v>120</v>
      </c>
      <c r="C17" s="23" t="s">
        <v>76</v>
      </c>
      <c r="D17" s="30" t="str">
        <f t="shared" si="0"/>
        <v>P016-120-24</v>
      </c>
      <c r="E17" s="11" t="s">
        <v>3740</v>
      </c>
      <c r="F17" s="126" t="s">
        <v>4300</v>
      </c>
      <c r="G17" s="12">
        <v>45541</v>
      </c>
      <c r="H17" s="12" t="s">
        <v>134</v>
      </c>
      <c r="I17" s="12">
        <v>45670</v>
      </c>
      <c r="J17" s="10" t="s">
        <v>3621</v>
      </c>
      <c r="K17" s="10"/>
    </row>
    <row r="18" spans="1:11" s="4" customFormat="1" ht="30" hidden="1" customHeight="1" x14ac:dyDescent="0.3">
      <c r="A18" s="9" t="s">
        <v>107</v>
      </c>
      <c r="B18" s="13">
        <f>VLOOKUP(Table24[[#This Row],[Location 
(drop-down)]],'List source'!D$2:E$60,2,FALSE)</f>
        <v>120</v>
      </c>
      <c r="C18" s="23" t="s">
        <v>77</v>
      </c>
      <c r="D18" s="30" t="str">
        <f t="shared" si="0"/>
        <v>P017-120-24</v>
      </c>
      <c r="E18" s="11" t="s">
        <v>3740</v>
      </c>
      <c r="F18" s="126" t="s">
        <v>4301</v>
      </c>
      <c r="G18" s="12">
        <v>45541</v>
      </c>
      <c r="H18" s="12" t="s">
        <v>134</v>
      </c>
      <c r="I18" s="12">
        <v>45671</v>
      </c>
      <c r="J18" s="10" t="s">
        <v>3621</v>
      </c>
      <c r="K18" s="10"/>
    </row>
    <row r="19" spans="1:11" s="4" customFormat="1" ht="30" hidden="1" customHeight="1" x14ac:dyDescent="0.3">
      <c r="A19" s="9" t="s">
        <v>107</v>
      </c>
      <c r="B19" s="13">
        <f>VLOOKUP(Table24[[#This Row],[Location 
(drop-down)]],'List source'!D$2:E$60,2,FALSE)</f>
        <v>120</v>
      </c>
      <c r="C19" s="23" t="s">
        <v>78</v>
      </c>
      <c r="D19" s="30" t="str">
        <f t="shared" si="0"/>
        <v>P018-120-24</v>
      </c>
      <c r="E19" s="11" t="s">
        <v>3740</v>
      </c>
      <c r="F19" s="126" t="s">
        <v>4302</v>
      </c>
      <c r="G19" s="12">
        <v>45541</v>
      </c>
      <c r="H19" s="12" t="s">
        <v>134</v>
      </c>
      <c r="I19" s="12">
        <v>45670</v>
      </c>
      <c r="J19" s="10" t="s">
        <v>3621</v>
      </c>
      <c r="K19" s="10"/>
    </row>
    <row r="20" spans="1:11" s="4" customFormat="1" ht="30" hidden="1" customHeight="1" x14ac:dyDescent="0.3">
      <c r="A20" s="9" t="s">
        <v>107</v>
      </c>
      <c r="B20" s="13">
        <f>VLOOKUP(Table24[[#This Row],[Location 
(drop-down)]],'List source'!D$2:E$60,2,FALSE)</f>
        <v>120</v>
      </c>
      <c r="C20" s="23" t="s">
        <v>82</v>
      </c>
      <c r="D20" s="30" t="str">
        <f t="shared" si="0"/>
        <v>P019-120-24</v>
      </c>
      <c r="E20" s="11" t="s">
        <v>3740</v>
      </c>
      <c r="F20" s="126" t="s">
        <v>4303</v>
      </c>
      <c r="G20" s="12">
        <v>45541</v>
      </c>
      <c r="H20" s="12" t="s">
        <v>134</v>
      </c>
      <c r="I20" s="12">
        <v>45769</v>
      </c>
      <c r="J20" s="10" t="s">
        <v>3737</v>
      </c>
      <c r="K20" s="10"/>
    </row>
    <row r="21" spans="1:11" s="4" customFormat="1" ht="30" hidden="1" customHeight="1" x14ac:dyDescent="0.3">
      <c r="A21" s="9" t="s">
        <v>107</v>
      </c>
      <c r="B21" s="13">
        <f>VLOOKUP(Table24[[#This Row],[Location 
(drop-down)]],'List source'!D$2:E$60,2,FALSE)</f>
        <v>120</v>
      </c>
      <c r="C21" s="23" t="s">
        <v>87</v>
      </c>
      <c r="D21" s="30" t="str">
        <f t="shared" si="0"/>
        <v>P020-120-24</v>
      </c>
      <c r="E21" s="11" t="s">
        <v>3740</v>
      </c>
      <c r="F21" s="126" t="s">
        <v>4304</v>
      </c>
      <c r="G21" s="12">
        <v>45541</v>
      </c>
      <c r="H21" s="12" t="s">
        <v>134</v>
      </c>
      <c r="I21" s="12">
        <v>45670</v>
      </c>
      <c r="J21" s="10" t="s">
        <v>3621</v>
      </c>
      <c r="K21" s="10"/>
    </row>
    <row r="22" spans="1:11" s="4" customFormat="1" ht="30" hidden="1" customHeight="1" x14ac:dyDescent="0.3">
      <c r="A22" s="9" t="s">
        <v>113</v>
      </c>
      <c r="B22" s="13" t="str">
        <f>VLOOKUP(Table24[[#This Row],[Location 
(drop-down)]],'List source'!D$2:E$60,2,FALSE)</f>
        <v>VOID</v>
      </c>
      <c r="C22" s="23" t="s">
        <v>89</v>
      </c>
      <c r="D22" s="30" t="str">
        <f t="shared" si="0"/>
        <v>P021-VOID-24</v>
      </c>
      <c r="E22" s="11" t="s">
        <v>114</v>
      </c>
      <c r="F22" s="126" t="s">
        <v>4305</v>
      </c>
      <c r="G22" s="12" t="s">
        <v>114</v>
      </c>
      <c r="H22" s="12" t="s">
        <v>114</v>
      </c>
      <c r="I22" s="12" t="s">
        <v>114</v>
      </c>
      <c r="J22" s="10" t="s">
        <v>114</v>
      </c>
      <c r="K22" s="10"/>
    </row>
    <row r="23" spans="1:11" s="4" customFormat="1" ht="30" hidden="1" customHeight="1" x14ac:dyDescent="0.3">
      <c r="A23" s="9" t="s">
        <v>107</v>
      </c>
      <c r="B23" s="13">
        <f>VLOOKUP(Table24[[#This Row],[Location 
(drop-down)]],'List source'!D$2:E$60,2,FALSE)</f>
        <v>120</v>
      </c>
      <c r="C23" s="23" t="s">
        <v>91</v>
      </c>
      <c r="D23" s="30" t="str">
        <f t="shared" si="0"/>
        <v>P022-120-24</v>
      </c>
      <c r="E23" s="11" t="s">
        <v>3770</v>
      </c>
      <c r="F23" s="126" t="s">
        <v>4306</v>
      </c>
      <c r="G23" s="12">
        <v>45541</v>
      </c>
      <c r="H23" s="12" t="s">
        <v>134</v>
      </c>
      <c r="I23" s="12">
        <v>45686</v>
      </c>
      <c r="J23" s="10" t="s">
        <v>3621</v>
      </c>
      <c r="K23" s="10"/>
    </row>
    <row r="24" spans="1:11" s="4" customFormat="1" ht="30" hidden="1" customHeight="1" x14ac:dyDescent="0.3">
      <c r="A24" s="9" t="s">
        <v>288</v>
      </c>
      <c r="B24" s="13">
        <f>VLOOKUP(Table24[[#This Row],[Location 
(drop-down)]],'List source'!D$2:E$60,2,FALSE)</f>
        <v>197</v>
      </c>
      <c r="C24" s="23" t="s">
        <v>94</v>
      </c>
      <c r="D24" s="30" t="str">
        <f t="shared" si="0"/>
        <v>P023-197-24</v>
      </c>
      <c r="E24" s="11" t="s">
        <v>3740</v>
      </c>
      <c r="F24" s="126" t="s">
        <v>4307</v>
      </c>
      <c r="G24" s="12">
        <v>45538</v>
      </c>
      <c r="H24" s="12" t="s">
        <v>168</v>
      </c>
      <c r="I24" s="12">
        <v>45772</v>
      </c>
      <c r="J24" s="10" t="s">
        <v>3785</v>
      </c>
      <c r="K24" s="10"/>
    </row>
    <row r="25" spans="1:11" s="4" customFormat="1" ht="30" hidden="1" customHeight="1" x14ac:dyDescent="0.3">
      <c r="A25" s="9" t="s">
        <v>288</v>
      </c>
      <c r="B25" s="13">
        <f>VLOOKUP(Table24[[#This Row],[Location 
(drop-down)]],'List source'!D$2:E$60,2,FALSE)</f>
        <v>197</v>
      </c>
      <c r="C25" s="23" t="s">
        <v>96</v>
      </c>
      <c r="D25" s="30" t="str">
        <f t="shared" si="0"/>
        <v>P024-197-24</v>
      </c>
      <c r="E25" s="11" t="s">
        <v>3740</v>
      </c>
      <c r="F25" s="126" t="s">
        <v>4308</v>
      </c>
      <c r="G25" s="12">
        <v>45538</v>
      </c>
      <c r="H25" s="12" t="s">
        <v>41</v>
      </c>
      <c r="I25" s="12">
        <v>45881</v>
      </c>
      <c r="J25" s="10" t="s">
        <v>3785</v>
      </c>
      <c r="K25" s="10"/>
    </row>
    <row r="26" spans="1:11" s="4" customFormat="1" ht="30" hidden="1" customHeight="1" x14ac:dyDescent="0.3">
      <c r="A26" s="9" t="s">
        <v>325</v>
      </c>
      <c r="B26" s="13">
        <f>VLOOKUP(Table24[[#This Row],[Location 
(drop-down)]],'List source'!D$2:E$60,2,FALSE)</f>
        <v>180</v>
      </c>
      <c r="C26" s="23" t="s">
        <v>97</v>
      </c>
      <c r="D26" s="30" t="str">
        <f t="shared" si="0"/>
        <v>P025-180-24</v>
      </c>
      <c r="E26" s="11" t="s">
        <v>3770</v>
      </c>
      <c r="F26" s="129" t="s">
        <v>4309</v>
      </c>
      <c r="G26" s="12">
        <v>45589</v>
      </c>
      <c r="H26" s="12" t="s">
        <v>41</v>
      </c>
      <c r="I26" s="12">
        <v>45638</v>
      </c>
      <c r="J26" s="10" t="s">
        <v>3621</v>
      </c>
      <c r="K26" s="10"/>
    </row>
    <row r="27" spans="1:11" s="4" customFormat="1" ht="30" hidden="1" customHeight="1" x14ac:dyDescent="0.3">
      <c r="A27" s="9" t="s">
        <v>70</v>
      </c>
      <c r="B27" s="13">
        <f>VLOOKUP(Table24[[#This Row],[Location 
(drop-down)]],'List source'!D$2:E$60,2,FALSE)</f>
        <v>146</v>
      </c>
      <c r="C27" s="23" t="s">
        <v>100</v>
      </c>
      <c r="D27" s="30" t="str">
        <f t="shared" si="0"/>
        <v>P026-146-24</v>
      </c>
      <c r="E27" s="11" t="s">
        <v>3783</v>
      </c>
      <c r="F27" s="126" t="s">
        <v>4310</v>
      </c>
      <c r="G27" s="12">
        <v>45589</v>
      </c>
      <c r="H27" s="12" t="s">
        <v>49</v>
      </c>
      <c r="I27" s="12">
        <v>45602</v>
      </c>
      <c r="J27" s="10" t="s">
        <v>3785</v>
      </c>
      <c r="K27" s="10"/>
    </row>
    <row r="28" spans="1:11" s="4" customFormat="1" ht="30" customHeight="1" x14ac:dyDescent="0.3">
      <c r="A28" s="189" t="s">
        <v>126</v>
      </c>
      <c r="B28" s="217">
        <f>VLOOKUP(Table24[[#This Row],[Location 
(drop-down)]],'List source'!D$2:E$60,2,FALSE)</f>
        <v>125</v>
      </c>
      <c r="C28" s="232" t="s">
        <v>104</v>
      </c>
      <c r="D28" s="201" t="str">
        <f t="shared" si="0"/>
        <v>P027-125-24</v>
      </c>
      <c r="E28" s="11" t="s">
        <v>3783</v>
      </c>
      <c r="F28" s="126" t="s">
        <v>4311</v>
      </c>
      <c r="G28" s="12">
        <v>45595</v>
      </c>
      <c r="H28" s="12" t="s">
        <v>195</v>
      </c>
      <c r="I28" s="234"/>
      <c r="J28" s="10"/>
      <c r="K28" s="10"/>
    </row>
    <row r="29" spans="1:11" s="4" customFormat="1" ht="37.35" customHeight="1" x14ac:dyDescent="0.3">
      <c r="A29" s="189" t="s">
        <v>126</v>
      </c>
      <c r="B29" s="217">
        <f>VLOOKUP(Table24[[#This Row],[Location 
(drop-down)]],'List source'!D$2:E$60,2,FALSE)</f>
        <v>125</v>
      </c>
      <c r="C29" s="232" t="s">
        <v>108</v>
      </c>
      <c r="D29" s="201" t="str">
        <f t="shared" si="0"/>
        <v>P028-125-24</v>
      </c>
      <c r="E29" s="11" t="s">
        <v>3783</v>
      </c>
      <c r="F29" s="126" t="s">
        <v>4312</v>
      </c>
      <c r="G29" s="12">
        <v>45595</v>
      </c>
      <c r="H29" s="12" t="s">
        <v>195</v>
      </c>
      <c r="I29" s="234"/>
      <c r="J29" s="10" t="s">
        <v>3621</v>
      </c>
      <c r="K29" s="10"/>
    </row>
    <row r="30" spans="1:11" s="4" customFormat="1" ht="30" hidden="1" customHeight="1" x14ac:dyDescent="0.3">
      <c r="A30" s="9" t="s">
        <v>209</v>
      </c>
      <c r="B30" s="13">
        <f>VLOOKUP(Table24[[#This Row],[Location 
(drop-down)]],'List source'!D$2:E$60,2,FALSE)</f>
        <v>165</v>
      </c>
      <c r="C30" s="23" t="s">
        <v>115</v>
      </c>
      <c r="D30" s="30" t="str">
        <f t="shared" si="0"/>
        <v>P029-165-24</v>
      </c>
      <c r="E30" s="11" t="s">
        <v>3740</v>
      </c>
      <c r="F30" s="126" t="s">
        <v>4313</v>
      </c>
      <c r="G30" s="12">
        <v>45611</v>
      </c>
      <c r="H30" s="12" t="s">
        <v>23</v>
      </c>
      <c r="I30" s="12">
        <v>45616</v>
      </c>
      <c r="J30" s="10" t="s">
        <v>3621</v>
      </c>
      <c r="K30" s="10"/>
    </row>
    <row r="31" spans="1:11" s="4" customFormat="1" ht="30" hidden="1" customHeight="1" x14ac:dyDescent="0.3">
      <c r="A31" s="9" t="s">
        <v>70</v>
      </c>
      <c r="B31" s="13">
        <f>VLOOKUP(Table24[[#This Row],[Location 
(drop-down)]],'List source'!D$2:E$60,2,FALSE)</f>
        <v>146</v>
      </c>
      <c r="C31" s="23" t="s">
        <v>117</v>
      </c>
      <c r="D31" s="30" t="str">
        <f t="shared" si="0"/>
        <v>P030-146-24</v>
      </c>
      <c r="E31" s="11" t="s">
        <v>3740</v>
      </c>
      <c r="F31" s="126" t="s">
        <v>4314</v>
      </c>
      <c r="G31" s="12">
        <v>45615</v>
      </c>
      <c r="H31" s="12" t="s">
        <v>23</v>
      </c>
      <c r="I31" s="12">
        <v>45755</v>
      </c>
      <c r="J31" s="10" t="s">
        <v>3621</v>
      </c>
      <c r="K31" s="10"/>
    </row>
    <row r="32" spans="1:11" s="4" customFormat="1" ht="30" hidden="1" customHeight="1" x14ac:dyDescent="0.3">
      <c r="A32" s="9" t="s">
        <v>70</v>
      </c>
      <c r="B32" s="13">
        <f>VLOOKUP(Table24[[#This Row],[Location 
(drop-down)]],'List source'!D$2:E$60,2,FALSE)</f>
        <v>146</v>
      </c>
      <c r="C32" s="23" t="s">
        <v>118</v>
      </c>
      <c r="D32" s="30" t="str">
        <f t="shared" si="0"/>
        <v>P031-146-24</v>
      </c>
      <c r="E32" s="11" t="s">
        <v>3740</v>
      </c>
      <c r="F32" s="126"/>
      <c r="G32" s="12">
        <v>45615</v>
      </c>
      <c r="H32" s="12" t="s">
        <v>23</v>
      </c>
      <c r="I32" s="12">
        <v>45755</v>
      </c>
      <c r="J32" s="10" t="s">
        <v>3621</v>
      </c>
      <c r="K32" s="10"/>
    </row>
    <row r="33" spans="1:11" s="4" customFormat="1" ht="30" hidden="1" customHeight="1" x14ac:dyDescent="0.3">
      <c r="A33" s="9" t="s">
        <v>70</v>
      </c>
      <c r="B33" s="13">
        <f>VLOOKUP(Table24[[#This Row],[Location 
(drop-down)]],'List source'!D$2:E$60,2,FALSE)</f>
        <v>146</v>
      </c>
      <c r="C33" s="23" t="s">
        <v>120</v>
      </c>
      <c r="D33" s="30" t="str">
        <f t="shared" si="0"/>
        <v>P032-146-24</v>
      </c>
      <c r="E33" s="11" t="s">
        <v>3740</v>
      </c>
      <c r="F33" s="126"/>
      <c r="G33" s="12">
        <v>45615</v>
      </c>
      <c r="H33" s="12" t="s">
        <v>23</v>
      </c>
      <c r="I33" s="12">
        <v>45755</v>
      </c>
      <c r="J33" s="10" t="s">
        <v>3621</v>
      </c>
      <c r="K33" s="10"/>
    </row>
    <row r="34" spans="1:11" s="4" customFormat="1" ht="30" hidden="1" customHeight="1" x14ac:dyDescent="0.3">
      <c r="A34" s="9" t="s">
        <v>70</v>
      </c>
      <c r="B34" s="13">
        <f>VLOOKUP(Table24[[#This Row],[Location 
(drop-down)]],'List source'!D$2:E$60,2,FALSE)</f>
        <v>146</v>
      </c>
      <c r="C34" s="23" t="s">
        <v>121</v>
      </c>
      <c r="D34" s="30" t="str">
        <f t="shared" si="0"/>
        <v>P033-146-24</v>
      </c>
      <c r="E34" s="11" t="s">
        <v>3740</v>
      </c>
      <c r="F34" s="126"/>
      <c r="G34" s="12">
        <v>45615</v>
      </c>
      <c r="H34" s="12" t="s">
        <v>23</v>
      </c>
      <c r="I34" s="12">
        <v>45828</v>
      </c>
      <c r="J34" s="10" t="s">
        <v>3621</v>
      </c>
      <c r="K34" s="10"/>
    </row>
    <row r="35" spans="1:11" s="4" customFormat="1" ht="30" hidden="1" customHeight="1" x14ac:dyDescent="0.3">
      <c r="A35" s="9" t="s">
        <v>325</v>
      </c>
      <c r="B35" s="13">
        <f>VLOOKUP(Table24[[#This Row],[Location 
(drop-down)]],'List source'!D$2:E$60,2,FALSE)</f>
        <v>180</v>
      </c>
      <c r="C35" s="23" t="s">
        <v>123</v>
      </c>
      <c r="D35" s="55" t="str">
        <f t="shared" si="0"/>
        <v>P034-180-24</v>
      </c>
      <c r="E35" s="11" t="s">
        <v>3770</v>
      </c>
      <c r="F35" s="126" t="s">
        <v>4315</v>
      </c>
      <c r="G35" s="12">
        <v>45637</v>
      </c>
      <c r="H35" s="12" t="s">
        <v>41</v>
      </c>
      <c r="I35" s="12">
        <v>45639</v>
      </c>
      <c r="J35" s="10" t="s">
        <v>3621</v>
      </c>
      <c r="K35" s="10" t="s">
        <v>4316</v>
      </c>
    </row>
    <row r="36" spans="1:11" s="4" customFormat="1" ht="30" hidden="1" customHeight="1" x14ac:dyDescent="0.3">
      <c r="A36" s="9" t="s">
        <v>264</v>
      </c>
      <c r="B36" s="13">
        <f>VLOOKUP(Table24[[#This Row],[Location 
(drop-down)]],'List source'!D$2:E$60,2,FALSE)</f>
        <v>132</v>
      </c>
      <c r="C36" s="23" t="s">
        <v>127</v>
      </c>
      <c r="D36" s="30" t="str">
        <f t="shared" si="0"/>
        <v>P035-132-24</v>
      </c>
      <c r="E36" s="11" t="s">
        <v>3783</v>
      </c>
      <c r="F36" s="126" t="s">
        <v>4317</v>
      </c>
      <c r="G36" s="12">
        <v>45644</v>
      </c>
      <c r="H36" s="12" t="s">
        <v>54</v>
      </c>
      <c r="I36" s="12">
        <v>45940</v>
      </c>
      <c r="J36" s="10" t="s">
        <v>3621</v>
      </c>
      <c r="K36" s="10"/>
    </row>
    <row r="37" spans="1:11" s="4" customFormat="1" ht="30" hidden="1" customHeight="1" x14ac:dyDescent="0.3">
      <c r="A37" s="9" t="s">
        <v>113</v>
      </c>
      <c r="B37" s="13" t="str">
        <f>VLOOKUP(Table24[[#This Row],[Location 
(drop-down)]],'List source'!D$2:E$60,2,FALSE)</f>
        <v>VOID</v>
      </c>
      <c r="C37" s="23" t="s">
        <v>128</v>
      </c>
      <c r="D37" s="30" t="str">
        <f t="shared" si="0"/>
        <v>P036-VOID-24</v>
      </c>
      <c r="E37" s="11" t="s">
        <v>114</v>
      </c>
      <c r="F37" s="126" t="s">
        <v>114</v>
      </c>
      <c r="G37" s="12" t="s">
        <v>114</v>
      </c>
      <c r="H37" s="12" t="s">
        <v>114</v>
      </c>
      <c r="I37" s="12" t="s">
        <v>114</v>
      </c>
      <c r="J37" s="10" t="s">
        <v>114</v>
      </c>
      <c r="K37" s="10"/>
    </row>
    <row r="38" spans="1:11" s="4" customFormat="1" ht="30" customHeight="1" x14ac:dyDescent="0.3">
      <c r="A38" s="9" t="s">
        <v>429</v>
      </c>
      <c r="B38" s="13">
        <f>VLOOKUP(Table24[[#This Row],[Location 
(drop-down)]],'List source'!D$2:E$60,2,FALSE)</f>
        <v>133</v>
      </c>
      <c r="C38" s="23" t="s">
        <v>131</v>
      </c>
      <c r="D38" s="30" t="str">
        <f t="shared" si="0"/>
        <v>P037-133-24</v>
      </c>
      <c r="E38" s="11" t="s">
        <v>3740</v>
      </c>
      <c r="F38" s="126" t="s">
        <v>4318</v>
      </c>
      <c r="G38" s="12">
        <v>45845</v>
      </c>
      <c r="H38" s="12" t="s">
        <v>54</v>
      </c>
      <c r="I38" s="12"/>
      <c r="J38" s="10" t="s">
        <v>3621</v>
      </c>
      <c r="K38" s="10"/>
    </row>
    <row r="39" spans="1:11" s="4" customFormat="1" ht="30" customHeight="1" x14ac:dyDescent="0.3">
      <c r="A39" s="9"/>
      <c r="B39" s="13" t="e">
        <f>VLOOKUP(Table24[[#This Row],[Location 
(drop-down)]],'List source'!D$2:E$60,2,FALSE)</f>
        <v>#N/A</v>
      </c>
      <c r="C39" s="23" t="s">
        <v>132</v>
      </c>
      <c r="D39" s="30" t="e">
        <f t="shared" si="0"/>
        <v>#N/A</v>
      </c>
      <c r="E39" s="11"/>
      <c r="F39" s="126"/>
      <c r="G39" s="12"/>
      <c r="H39" s="12"/>
      <c r="I39" s="12"/>
      <c r="J39" s="10"/>
      <c r="K39" s="10"/>
    </row>
    <row r="40" spans="1:11" s="4" customFormat="1" ht="30" customHeight="1" x14ac:dyDescent="0.3">
      <c r="A40" s="9"/>
      <c r="B40" s="13" t="e">
        <f>VLOOKUP(Table24[[#This Row],[Location 
(drop-down)]],'List source'!D$2:E$60,2,FALSE)</f>
        <v>#N/A</v>
      </c>
      <c r="C40" s="23" t="s">
        <v>133</v>
      </c>
      <c r="D40" s="30" t="e">
        <f t="shared" si="0"/>
        <v>#N/A</v>
      </c>
      <c r="E40" s="11"/>
      <c r="F40" s="126"/>
      <c r="G40" s="12"/>
      <c r="H40" s="12"/>
      <c r="I40" s="12"/>
      <c r="J40" s="10"/>
      <c r="K40" s="10"/>
    </row>
    <row r="41" spans="1:11" s="4" customFormat="1" ht="30" customHeight="1" x14ac:dyDescent="0.3">
      <c r="A41" s="9"/>
      <c r="B41" s="13" t="e">
        <f>VLOOKUP(Table24[[#This Row],[Location 
(drop-down)]],'List source'!D$2:E$60,2,FALSE)</f>
        <v>#N/A</v>
      </c>
      <c r="C41" s="23" t="s">
        <v>139</v>
      </c>
      <c r="D41" s="30" t="e">
        <f t="shared" si="0"/>
        <v>#N/A</v>
      </c>
      <c r="E41" s="11"/>
      <c r="F41" s="126"/>
      <c r="G41" s="12"/>
      <c r="H41" s="12"/>
      <c r="I41" s="12"/>
      <c r="J41" s="10"/>
      <c r="K41" s="10"/>
    </row>
    <row r="42" spans="1:11" s="4" customFormat="1" ht="30" customHeight="1" x14ac:dyDescent="0.3">
      <c r="A42" s="9"/>
      <c r="B42" s="13" t="e">
        <f>VLOOKUP(Table24[[#This Row],[Location 
(drop-down)]],'List source'!D$2:E$60,2,FALSE)</f>
        <v>#N/A</v>
      </c>
      <c r="C42" s="23" t="s">
        <v>142</v>
      </c>
      <c r="D42" s="30" t="e">
        <f t="shared" si="0"/>
        <v>#N/A</v>
      </c>
      <c r="E42" s="11"/>
      <c r="F42" s="126"/>
      <c r="G42" s="12"/>
      <c r="H42" s="12"/>
      <c r="I42" s="12"/>
      <c r="J42" s="10"/>
      <c r="K42" s="10"/>
    </row>
    <row r="43" spans="1:11" s="4" customFormat="1" ht="30" customHeight="1" x14ac:dyDescent="0.3">
      <c r="A43" s="9"/>
      <c r="B43" s="13" t="e">
        <f>VLOOKUP(Table24[[#This Row],[Location 
(drop-down)]],'List source'!D$2:E$60,2,FALSE)</f>
        <v>#N/A</v>
      </c>
      <c r="C43" s="23" t="s">
        <v>146</v>
      </c>
      <c r="D43" s="30" t="e">
        <f t="shared" si="0"/>
        <v>#N/A</v>
      </c>
      <c r="E43" s="11"/>
      <c r="F43" s="126"/>
      <c r="G43" s="12"/>
      <c r="H43" s="12"/>
      <c r="I43" s="12"/>
      <c r="J43" s="10"/>
      <c r="K43" s="10"/>
    </row>
    <row r="44" spans="1:11" s="4" customFormat="1" ht="30" customHeight="1" x14ac:dyDescent="0.3">
      <c r="A44" s="9"/>
      <c r="B44" s="13" t="e">
        <f>VLOOKUP(Table24[[#This Row],[Location 
(drop-down)]],'List source'!D$2:E$60,2,FALSE)</f>
        <v>#N/A</v>
      </c>
      <c r="C44" s="23" t="s">
        <v>148</v>
      </c>
      <c r="D44" s="30" t="e">
        <f t="shared" si="0"/>
        <v>#N/A</v>
      </c>
      <c r="E44" s="11"/>
      <c r="F44" s="126"/>
      <c r="G44" s="12"/>
      <c r="H44" s="12"/>
      <c r="I44" s="12"/>
      <c r="J44" s="10"/>
      <c r="K44" s="10"/>
    </row>
    <row r="45" spans="1:11" s="4" customFormat="1" ht="30" customHeight="1" x14ac:dyDescent="0.3">
      <c r="A45" s="9"/>
      <c r="B45" s="13" t="e">
        <f>VLOOKUP(Table24[[#This Row],[Location 
(drop-down)]],'List source'!D$2:E$60,2,FALSE)</f>
        <v>#N/A</v>
      </c>
      <c r="C45" s="23" t="s">
        <v>150</v>
      </c>
      <c r="D45" s="30" t="e">
        <f t="shared" si="0"/>
        <v>#N/A</v>
      </c>
      <c r="E45" s="11"/>
      <c r="F45" s="126"/>
      <c r="G45" s="12"/>
      <c r="H45" s="12"/>
      <c r="I45" s="12"/>
      <c r="J45" s="10"/>
      <c r="K45" s="10"/>
    </row>
    <row r="46" spans="1:11" s="4" customFormat="1" ht="30" customHeight="1" x14ac:dyDescent="0.3">
      <c r="A46" s="9"/>
      <c r="B46" s="13" t="e">
        <f>VLOOKUP(Table24[[#This Row],[Location 
(drop-down)]],'List source'!D$2:E$60,2,FALSE)</f>
        <v>#N/A</v>
      </c>
      <c r="C46" s="23" t="s">
        <v>152</v>
      </c>
      <c r="D46" s="30" t="e">
        <f t="shared" si="0"/>
        <v>#N/A</v>
      </c>
      <c r="E46" s="11"/>
      <c r="F46" s="126"/>
      <c r="G46" s="12"/>
      <c r="H46" s="12"/>
      <c r="I46" s="12"/>
      <c r="J46" s="10"/>
      <c r="K46" s="10"/>
    </row>
    <row r="47" spans="1:11" s="4" customFormat="1" ht="30" customHeight="1" x14ac:dyDescent="0.3">
      <c r="A47" s="9"/>
      <c r="B47" s="13" t="e">
        <f>VLOOKUP(Table24[[#This Row],[Location 
(drop-down)]],'List source'!D$2:E$60,2,FALSE)</f>
        <v>#N/A</v>
      </c>
      <c r="C47" s="23" t="s">
        <v>154</v>
      </c>
      <c r="D47" s="30" t="e">
        <f t="shared" si="0"/>
        <v>#N/A</v>
      </c>
      <c r="E47" s="11"/>
      <c r="F47" s="126"/>
      <c r="G47" s="12"/>
      <c r="H47" s="12"/>
      <c r="I47" s="12"/>
      <c r="J47" s="10"/>
      <c r="K47" s="10"/>
    </row>
    <row r="48" spans="1:11" s="4" customFormat="1" ht="30" customHeight="1" x14ac:dyDescent="0.3">
      <c r="A48" s="9"/>
      <c r="B48" s="13" t="e">
        <f>VLOOKUP(Table24[[#This Row],[Location 
(drop-down)]],'List source'!D$2:E$60,2,FALSE)</f>
        <v>#N/A</v>
      </c>
      <c r="C48" s="23" t="s">
        <v>158</v>
      </c>
      <c r="D48" s="30" t="e">
        <f t="shared" si="0"/>
        <v>#N/A</v>
      </c>
      <c r="E48" s="11"/>
      <c r="F48" s="126"/>
      <c r="G48" s="12"/>
      <c r="H48" s="12"/>
      <c r="I48" s="12"/>
      <c r="J48" s="10"/>
      <c r="K48" s="10"/>
    </row>
    <row r="49" spans="1:11" s="4" customFormat="1" ht="30" customHeight="1" x14ac:dyDescent="0.3">
      <c r="A49" s="9"/>
      <c r="B49" s="13" t="e">
        <f>VLOOKUP(Table24[[#This Row],[Location 
(drop-down)]],'List source'!D$2:E$60,2,FALSE)</f>
        <v>#N/A</v>
      </c>
      <c r="C49" s="23" t="s">
        <v>160</v>
      </c>
      <c r="D49" s="30" t="e">
        <f t="shared" si="0"/>
        <v>#N/A</v>
      </c>
      <c r="E49" s="11"/>
      <c r="F49" s="126"/>
      <c r="G49" s="12"/>
      <c r="H49" s="12"/>
      <c r="I49" s="12"/>
      <c r="J49" s="10"/>
      <c r="K49" s="10"/>
    </row>
    <row r="50" spans="1:11" s="4" customFormat="1" ht="30" customHeight="1" x14ac:dyDescent="0.3">
      <c r="A50" s="9"/>
      <c r="B50" s="13" t="e">
        <f>VLOOKUP(Table24[[#This Row],[Location 
(drop-down)]],'List source'!D$2:E$60,2,FALSE)</f>
        <v>#N/A</v>
      </c>
      <c r="C50" s="23" t="s">
        <v>162</v>
      </c>
      <c r="D50" s="30" t="e">
        <f t="shared" si="0"/>
        <v>#N/A</v>
      </c>
      <c r="E50" s="11"/>
      <c r="F50" s="126"/>
      <c r="G50" s="12"/>
      <c r="H50" s="12"/>
      <c r="I50" s="12"/>
      <c r="J50" s="10"/>
      <c r="K50" s="10"/>
    </row>
    <row r="51" spans="1:11" s="4" customFormat="1" ht="30" customHeight="1" x14ac:dyDescent="0.3">
      <c r="A51" s="9"/>
      <c r="B51" s="13" t="e">
        <f>VLOOKUP(Table24[[#This Row],[Location 
(drop-down)]],'List source'!D$2:E$60,2,FALSE)</f>
        <v>#N/A</v>
      </c>
      <c r="C51" s="23" t="s">
        <v>163</v>
      </c>
      <c r="D51" s="30" t="e">
        <f t="shared" si="0"/>
        <v>#N/A</v>
      </c>
      <c r="E51" s="11"/>
      <c r="F51" s="126"/>
      <c r="G51" s="12"/>
      <c r="H51" s="12"/>
      <c r="I51" s="12"/>
      <c r="J51" s="10"/>
      <c r="K51" s="10"/>
    </row>
    <row r="52" spans="1:11" s="4" customFormat="1" ht="30" customHeight="1" x14ac:dyDescent="0.3">
      <c r="A52" s="9"/>
      <c r="B52" s="13" t="e">
        <f>VLOOKUP(Table24[[#This Row],[Location 
(drop-down)]],'List source'!D$2:E$60,2,FALSE)</f>
        <v>#N/A</v>
      </c>
      <c r="C52" s="23" t="s">
        <v>167</v>
      </c>
      <c r="D52" s="30" t="e">
        <f t="shared" si="0"/>
        <v>#N/A</v>
      </c>
      <c r="E52" s="11"/>
      <c r="F52" s="126"/>
      <c r="G52" s="12"/>
      <c r="H52" s="12"/>
      <c r="I52" s="12"/>
      <c r="J52" s="10"/>
      <c r="K52" s="10"/>
    </row>
    <row r="53" spans="1:11" s="4" customFormat="1" ht="30" customHeight="1" x14ac:dyDescent="0.3">
      <c r="A53" s="9"/>
      <c r="B53" s="13" t="e">
        <f>VLOOKUP(Table24[[#This Row],[Location 
(drop-down)]],'List source'!D$2:E$60,2,FALSE)</f>
        <v>#N/A</v>
      </c>
      <c r="C53" s="23" t="s">
        <v>172</v>
      </c>
      <c r="D53" s="30" t="e">
        <f t="shared" si="0"/>
        <v>#N/A</v>
      </c>
      <c r="E53" s="11"/>
      <c r="F53" s="126"/>
      <c r="G53" s="12"/>
      <c r="H53" s="12"/>
      <c r="I53" s="12"/>
      <c r="J53" s="10"/>
      <c r="K53" s="10"/>
    </row>
    <row r="54" spans="1:11" s="4" customFormat="1" ht="30" customHeight="1" x14ac:dyDescent="0.3">
      <c r="A54" s="9"/>
      <c r="B54" s="13" t="e">
        <f>VLOOKUP(Table24[[#This Row],[Location 
(drop-down)]],'List source'!D$2:E$60,2,FALSE)</f>
        <v>#N/A</v>
      </c>
      <c r="C54" s="23" t="s">
        <v>176</v>
      </c>
      <c r="D54" s="30" t="e">
        <f t="shared" si="0"/>
        <v>#N/A</v>
      </c>
      <c r="E54" s="11"/>
      <c r="F54" s="126"/>
      <c r="G54" s="12"/>
      <c r="H54" s="12"/>
      <c r="I54" s="12"/>
      <c r="J54" s="10"/>
      <c r="K54" s="10"/>
    </row>
    <row r="55" spans="1:11" s="4" customFormat="1" ht="30" customHeight="1" x14ac:dyDescent="0.3">
      <c r="A55" s="9"/>
      <c r="B55" s="13" t="e">
        <f>VLOOKUP(Table24[[#This Row],[Location 
(drop-down)]],'List source'!D$2:E$60,2,FALSE)</f>
        <v>#N/A</v>
      </c>
      <c r="C55" s="23" t="s">
        <v>179</v>
      </c>
      <c r="D55" s="30" t="e">
        <f t="shared" si="0"/>
        <v>#N/A</v>
      </c>
      <c r="E55" s="11"/>
      <c r="F55" s="126"/>
      <c r="G55" s="12"/>
      <c r="H55" s="12"/>
      <c r="I55" s="12"/>
      <c r="J55" s="10"/>
      <c r="K55" s="10"/>
    </row>
    <row r="56" spans="1:11" s="4" customFormat="1" ht="30" customHeight="1" x14ac:dyDescent="0.3">
      <c r="A56" s="9"/>
      <c r="B56" s="13" t="e">
        <f>VLOOKUP(Table24[[#This Row],[Location 
(drop-down)]],'List source'!D$2:E$60,2,FALSE)</f>
        <v>#N/A</v>
      </c>
      <c r="C56" s="23" t="s">
        <v>181</v>
      </c>
      <c r="D56" s="30" t="e">
        <f t="shared" si="0"/>
        <v>#N/A</v>
      </c>
      <c r="E56" s="11"/>
      <c r="F56" s="126"/>
      <c r="G56" s="12"/>
      <c r="H56" s="12"/>
      <c r="I56" s="12"/>
      <c r="J56" s="10"/>
      <c r="K56" s="10"/>
    </row>
    <row r="57" spans="1:11" s="4" customFormat="1" ht="30" customHeight="1" x14ac:dyDescent="0.3">
      <c r="A57" s="9"/>
      <c r="B57" s="13" t="e">
        <f>VLOOKUP(Table24[[#This Row],[Location 
(drop-down)]],'List source'!D$2:E$60,2,FALSE)</f>
        <v>#N/A</v>
      </c>
      <c r="C57" s="23" t="s">
        <v>187</v>
      </c>
      <c r="D57" s="30" t="e">
        <f t="shared" si="0"/>
        <v>#N/A</v>
      </c>
      <c r="E57" s="11"/>
      <c r="F57" s="126"/>
      <c r="G57" s="12"/>
      <c r="H57" s="12"/>
      <c r="I57" s="12"/>
      <c r="J57" s="10"/>
      <c r="K57" s="10"/>
    </row>
    <row r="58" spans="1:11" s="4" customFormat="1" ht="30" customHeight="1" x14ac:dyDescent="0.3">
      <c r="A58" s="9"/>
      <c r="B58" s="13" t="e">
        <f>VLOOKUP(Table24[[#This Row],[Location 
(drop-down)]],'List source'!D$2:E$60,2,FALSE)</f>
        <v>#N/A</v>
      </c>
      <c r="C58" s="23" t="s">
        <v>189</v>
      </c>
      <c r="D58" s="30" t="e">
        <f t="shared" si="0"/>
        <v>#N/A</v>
      </c>
      <c r="E58" s="11"/>
      <c r="F58" s="126"/>
      <c r="G58" s="12"/>
      <c r="H58" s="12"/>
      <c r="I58" s="12"/>
      <c r="J58" s="10"/>
      <c r="K58" s="10"/>
    </row>
    <row r="59" spans="1:11" s="4" customFormat="1" ht="30" customHeight="1" x14ac:dyDescent="0.3">
      <c r="A59" s="9"/>
      <c r="B59" s="13" t="e">
        <f>VLOOKUP(Table24[[#This Row],[Location 
(drop-down)]],'List source'!D$2:E$60,2,FALSE)</f>
        <v>#N/A</v>
      </c>
      <c r="C59" s="23" t="s">
        <v>190</v>
      </c>
      <c r="D59" s="30" t="e">
        <f t="shared" si="0"/>
        <v>#N/A</v>
      </c>
      <c r="E59" s="11"/>
      <c r="F59" s="126"/>
      <c r="G59" s="12"/>
      <c r="H59" s="12"/>
      <c r="I59" s="12"/>
      <c r="J59" s="10"/>
      <c r="K59" s="10"/>
    </row>
    <row r="60" spans="1:11" s="4" customFormat="1" ht="30" customHeight="1" x14ac:dyDescent="0.3">
      <c r="A60" s="9"/>
      <c r="B60" s="13" t="e">
        <f>VLOOKUP(Table24[[#This Row],[Location 
(drop-down)]],'List source'!D$2:E$60,2,FALSE)</f>
        <v>#N/A</v>
      </c>
      <c r="C60" s="23" t="s">
        <v>191</v>
      </c>
      <c r="D60" s="30" t="e">
        <f t="shared" si="0"/>
        <v>#N/A</v>
      </c>
      <c r="E60" s="11"/>
      <c r="F60" s="126"/>
      <c r="G60" s="12"/>
      <c r="H60" s="12"/>
      <c r="I60" s="12"/>
      <c r="J60" s="10"/>
      <c r="K60" s="10"/>
    </row>
    <row r="61" spans="1:11" s="4" customFormat="1" ht="30" customHeight="1" x14ac:dyDescent="0.3">
      <c r="A61" s="9"/>
      <c r="B61" s="13" t="e">
        <f>VLOOKUP(Table24[[#This Row],[Location 
(drop-down)]],'List source'!D$2:E$60,2,FALSE)</f>
        <v>#N/A</v>
      </c>
      <c r="C61" s="23" t="s">
        <v>194</v>
      </c>
      <c r="D61" s="30" t="e">
        <f t="shared" si="0"/>
        <v>#N/A</v>
      </c>
      <c r="E61" s="11"/>
      <c r="F61" s="126"/>
      <c r="G61" s="12"/>
      <c r="H61" s="12"/>
      <c r="I61" s="12"/>
      <c r="J61" s="10"/>
      <c r="K61" s="10"/>
    </row>
    <row r="62" spans="1:11" s="4" customFormat="1" ht="30" customHeight="1" x14ac:dyDescent="0.3">
      <c r="A62" s="9"/>
      <c r="B62" s="13" t="e">
        <f>VLOOKUP(Table24[[#This Row],[Location 
(drop-down)]],'List source'!D$2:E$60,2,FALSE)</f>
        <v>#N/A</v>
      </c>
      <c r="C62" s="23" t="s">
        <v>198</v>
      </c>
      <c r="D62" s="30" t="e">
        <f t="shared" si="0"/>
        <v>#N/A</v>
      </c>
      <c r="E62" s="11"/>
      <c r="F62" s="126"/>
      <c r="G62" s="12"/>
      <c r="H62" s="12"/>
      <c r="I62" s="12"/>
      <c r="J62" s="10"/>
      <c r="K62" s="10"/>
    </row>
    <row r="63" spans="1:11" s="4" customFormat="1" ht="30" customHeight="1" x14ac:dyDescent="0.3">
      <c r="A63" s="9"/>
      <c r="B63" s="13" t="e">
        <f>VLOOKUP(Table24[[#This Row],[Location 
(drop-down)]],'List source'!D$2:E$60,2,FALSE)</f>
        <v>#N/A</v>
      </c>
      <c r="C63" s="23" t="s">
        <v>201</v>
      </c>
      <c r="D63" s="30" t="e">
        <f t="shared" si="0"/>
        <v>#N/A</v>
      </c>
      <c r="E63" s="11"/>
      <c r="F63" s="126"/>
      <c r="G63" s="12"/>
      <c r="H63" s="12"/>
      <c r="I63" s="12"/>
      <c r="J63" s="10"/>
      <c r="K63" s="10"/>
    </row>
    <row r="64" spans="1:11" s="4" customFormat="1" ht="30" customHeight="1" x14ac:dyDescent="0.3">
      <c r="A64" s="9"/>
      <c r="B64" s="13" t="e">
        <f>VLOOKUP(Table24[[#This Row],[Location 
(drop-down)]],'List source'!D$2:E$60,2,FALSE)</f>
        <v>#N/A</v>
      </c>
      <c r="C64" s="23" t="s">
        <v>203</v>
      </c>
      <c r="D64" s="30" t="e">
        <f t="shared" si="0"/>
        <v>#N/A</v>
      </c>
      <c r="E64" s="11"/>
      <c r="F64" s="126"/>
      <c r="G64" s="12"/>
      <c r="H64" s="12"/>
      <c r="I64" s="12"/>
      <c r="J64" s="10"/>
      <c r="K64" s="10"/>
    </row>
    <row r="65" spans="1:11" s="4" customFormat="1" ht="30" customHeight="1" x14ac:dyDescent="0.3">
      <c r="A65" s="9"/>
      <c r="B65" s="13" t="e">
        <f>VLOOKUP(Table24[[#This Row],[Location 
(drop-down)]],'List source'!D$2:E$60,2,FALSE)</f>
        <v>#N/A</v>
      </c>
      <c r="C65" s="23" t="s">
        <v>205</v>
      </c>
      <c r="D65" s="30" t="e">
        <f t="shared" si="0"/>
        <v>#N/A</v>
      </c>
      <c r="E65" s="11"/>
      <c r="F65" s="126"/>
      <c r="G65" s="12"/>
      <c r="H65" s="12"/>
      <c r="I65" s="12"/>
      <c r="J65" s="10"/>
      <c r="K65" s="10"/>
    </row>
    <row r="66" spans="1:11" s="4" customFormat="1" ht="30" customHeight="1" x14ac:dyDescent="0.3">
      <c r="A66" s="9"/>
      <c r="B66" s="13" t="e">
        <f>VLOOKUP(Table24[[#This Row],[Location 
(drop-down)]],'List source'!D$2:E$60,2,FALSE)</f>
        <v>#N/A</v>
      </c>
      <c r="C66" s="23" t="s">
        <v>206</v>
      </c>
      <c r="D66" s="30" t="e">
        <f t="shared" ref="D66:D129" si="1">"P" &amp; C66 &amp; "-" &amp; B66 &amp; "-" &amp; "24"</f>
        <v>#N/A</v>
      </c>
      <c r="E66" s="11"/>
      <c r="F66" s="126"/>
      <c r="G66" s="12"/>
      <c r="H66" s="12"/>
      <c r="I66" s="12"/>
      <c r="J66" s="10"/>
      <c r="K66" s="10"/>
    </row>
    <row r="67" spans="1:11" s="4" customFormat="1" ht="30" customHeight="1" x14ac:dyDescent="0.3">
      <c r="A67" s="9"/>
      <c r="B67" s="13" t="e">
        <f>VLOOKUP(Table24[[#This Row],[Location 
(drop-down)]],'List source'!D$2:E$60,2,FALSE)</f>
        <v>#N/A</v>
      </c>
      <c r="C67" s="23" t="s">
        <v>208</v>
      </c>
      <c r="D67" s="30" t="e">
        <f t="shared" si="1"/>
        <v>#N/A</v>
      </c>
      <c r="E67" s="11"/>
      <c r="F67" s="126"/>
      <c r="G67" s="12"/>
      <c r="H67" s="12"/>
      <c r="I67" s="12"/>
      <c r="J67" s="10"/>
      <c r="K67" s="10"/>
    </row>
    <row r="68" spans="1:11" s="4" customFormat="1" ht="30" customHeight="1" x14ac:dyDescent="0.3">
      <c r="A68" s="9"/>
      <c r="B68" s="13" t="e">
        <f>VLOOKUP(Table24[[#This Row],[Location 
(drop-down)]],'List source'!D$2:E$60,2,FALSE)</f>
        <v>#N/A</v>
      </c>
      <c r="C68" s="23" t="s">
        <v>210</v>
      </c>
      <c r="D68" s="30" t="e">
        <f t="shared" si="1"/>
        <v>#N/A</v>
      </c>
      <c r="E68" s="11"/>
      <c r="F68" s="126"/>
      <c r="G68" s="12"/>
      <c r="H68" s="12"/>
      <c r="I68" s="12"/>
      <c r="J68" s="10"/>
      <c r="K68" s="10"/>
    </row>
    <row r="69" spans="1:11" s="4" customFormat="1" ht="30" customHeight="1" x14ac:dyDescent="0.3">
      <c r="A69" s="9"/>
      <c r="B69" s="13" t="e">
        <f>VLOOKUP(Table24[[#This Row],[Location 
(drop-down)]],'List source'!D$2:E$60,2,FALSE)</f>
        <v>#N/A</v>
      </c>
      <c r="C69" s="23" t="s">
        <v>212</v>
      </c>
      <c r="D69" s="30" t="e">
        <f t="shared" si="1"/>
        <v>#N/A</v>
      </c>
      <c r="E69" s="11"/>
      <c r="F69" s="126"/>
      <c r="G69" s="12"/>
      <c r="H69" s="12"/>
      <c r="I69" s="12"/>
      <c r="J69" s="10"/>
      <c r="K69" s="10"/>
    </row>
    <row r="70" spans="1:11" s="4" customFormat="1" ht="30" customHeight="1" x14ac:dyDescent="0.3">
      <c r="A70" s="9"/>
      <c r="B70" s="13" t="e">
        <f>VLOOKUP(Table24[[#This Row],[Location 
(drop-down)]],'List source'!D$2:E$60,2,FALSE)</f>
        <v>#N/A</v>
      </c>
      <c r="C70" s="23" t="s">
        <v>216</v>
      </c>
      <c r="D70" s="30" t="e">
        <f t="shared" si="1"/>
        <v>#N/A</v>
      </c>
      <c r="E70" s="11"/>
      <c r="F70" s="126"/>
      <c r="G70" s="12"/>
      <c r="H70" s="12"/>
      <c r="I70" s="12"/>
      <c r="J70" s="10"/>
      <c r="K70" s="10"/>
    </row>
    <row r="71" spans="1:11" s="4" customFormat="1" ht="30" customHeight="1" x14ac:dyDescent="0.3">
      <c r="A71" s="9"/>
      <c r="B71" s="13" t="e">
        <f>VLOOKUP(Table24[[#This Row],[Location 
(drop-down)]],'List source'!D$2:E$60,2,FALSE)</f>
        <v>#N/A</v>
      </c>
      <c r="C71" s="23" t="s">
        <v>218</v>
      </c>
      <c r="D71" s="30" t="e">
        <f t="shared" si="1"/>
        <v>#N/A</v>
      </c>
      <c r="E71" s="11"/>
      <c r="F71" s="126"/>
      <c r="G71" s="12"/>
      <c r="H71" s="12"/>
      <c r="I71" s="12"/>
      <c r="J71" s="10"/>
      <c r="K71" s="10"/>
    </row>
    <row r="72" spans="1:11" s="4" customFormat="1" ht="30" customHeight="1" x14ac:dyDescent="0.3">
      <c r="A72" s="9"/>
      <c r="B72" s="13" t="e">
        <f>VLOOKUP(Table24[[#This Row],[Location 
(drop-down)]],'List source'!D$2:E$60,2,FALSE)</f>
        <v>#N/A</v>
      </c>
      <c r="C72" s="23" t="s">
        <v>222</v>
      </c>
      <c r="D72" s="30" t="e">
        <f t="shared" si="1"/>
        <v>#N/A</v>
      </c>
      <c r="E72" s="11"/>
      <c r="F72" s="126"/>
      <c r="G72" s="12"/>
      <c r="H72" s="12"/>
      <c r="I72" s="12"/>
      <c r="J72" s="10"/>
      <c r="K72" s="10"/>
    </row>
    <row r="73" spans="1:11" s="4" customFormat="1" ht="30" customHeight="1" x14ac:dyDescent="0.3">
      <c r="A73" s="9"/>
      <c r="B73" s="13" t="e">
        <f>VLOOKUP(Table24[[#This Row],[Location 
(drop-down)]],'List source'!D$2:E$60,2,FALSE)</f>
        <v>#N/A</v>
      </c>
      <c r="C73" s="23" t="s">
        <v>224</v>
      </c>
      <c r="D73" s="30" t="e">
        <f t="shared" si="1"/>
        <v>#N/A</v>
      </c>
      <c r="E73" s="11"/>
      <c r="F73" s="126"/>
      <c r="G73" s="12"/>
      <c r="H73" s="12"/>
      <c r="I73" s="12"/>
      <c r="J73" s="10"/>
      <c r="K73" s="10"/>
    </row>
    <row r="74" spans="1:11" s="4" customFormat="1" ht="30" customHeight="1" x14ac:dyDescent="0.3">
      <c r="A74" s="9"/>
      <c r="B74" s="13" t="e">
        <f>VLOOKUP(Table24[[#This Row],[Location 
(drop-down)]],'List source'!D$2:E$60,2,FALSE)</f>
        <v>#N/A</v>
      </c>
      <c r="C74" s="23" t="s">
        <v>225</v>
      </c>
      <c r="D74" s="30" t="e">
        <f t="shared" si="1"/>
        <v>#N/A</v>
      </c>
      <c r="E74" s="11"/>
      <c r="F74" s="126"/>
      <c r="G74" s="12"/>
      <c r="H74" s="12"/>
      <c r="I74" s="12"/>
      <c r="J74" s="10"/>
      <c r="K74" s="10"/>
    </row>
    <row r="75" spans="1:11" s="4" customFormat="1" ht="30" customHeight="1" x14ac:dyDescent="0.3">
      <c r="A75" s="9"/>
      <c r="B75" s="13" t="e">
        <f>VLOOKUP(Table24[[#This Row],[Location 
(drop-down)]],'List source'!D$2:E$60,2,FALSE)</f>
        <v>#N/A</v>
      </c>
      <c r="C75" s="23" t="s">
        <v>226</v>
      </c>
      <c r="D75" s="30" t="e">
        <f t="shared" si="1"/>
        <v>#N/A</v>
      </c>
      <c r="E75" s="11"/>
      <c r="F75" s="126"/>
      <c r="G75" s="12"/>
      <c r="H75" s="12"/>
      <c r="I75" s="12"/>
      <c r="J75" s="10"/>
      <c r="K75" s="10"/>
    </row>
    <row r="76" spans="1:11" s="4" customFormat="1" ht="30" customHeight="1" x14ac:dyDescent="0.3">
      <c r="A76" s="9"/>
      <c r="B76" s="13" t="e">
        <f>VLOOKUP(Table24[[#This Row],[Location 
(drop-down)]],'List source'!D$2:E$60,2,FALSE)</f>
        <v>#N/A</v>
      </c>
      <c r="C76" s="23" t="s">
        <v>227</v>
      </c>
      <c r="D76" s="30" t="e">
        <f t="shared" si="1"/>
        <v>#N/A</v>
      </c>
      <c r="E76" s="11"/>
      <c r="F76" s="126"/>
      <c r="G76" s="12"/>
      <c r="H76" s="12"/>
      <c r="I76" s="12"/>
      <c r="J76" s="10"/>
      <c r="K76" s="10"/>
    </row>
    <row r="77" spans="1:11" s="4" customFormat="1" ht="30" customHeight="1" x14ac:dyDescent="0.3">
      <c r="A77" s="9"/>
      <c r="B77" s="13" t="e">
        <f>VLOOKUP(Table24[[#This Row],[Location 
(drop-down)]],'List source'!D$2:E$60,2,FALSE)</f>
        <v>#N/A</v>
      </c>
      <c r="C77" s="23" t="s">
        <v>229</v>
      </c>
      <c r="D77" s="30" t="e">
        <f t="shared" si="1"/>
        <v>#N/A</v>
      </c>
      <c r="E77" s="11"/>
      <c r="F77" s="126"/>
      <c r="G77" s="12"/>
      <c r="H77" s="12"/>
      <c r="I77" s="12"/>
      <c r="J77" s="10"/>
      <c r="K77" s="10"/>
    </row>
    <row r="78" spans="1:11" s="4" customFormat="1" ht="30" customHeight="1" x14ac:dyDescent="0.3">
      <c r="A78" s="9"/>
      <c r="B78" s="13" t="e">
        <f>VLOOKUP(Table24[[#This Row],[Location 
(drop-down)]],'List source'!D$2:E$60,2,FALSE)</f>
        <v>#N/A</v>
      </c>
      <c r="C78" s="23" t="s">
        <v>233</v>
      </c>
      <c r="D78" s="30" t="e">
        <f t="shared" si="1"/>
        <v>#N/A</v>
      </c>
      <c r="E78" s="11"/>
      <c r="F78" s="126"/>
      <c r="G78" s="12"/>
      <c r="H78" s="12"/>
      <c r="I78" s="12"/>
      <c r="J78" s="10"/>
      <c r="K78" s="10"/>
    </row>
    <row r="79" spans="1:11" s="4" customFormat="1" ht="30" customHeight="1" x14ac:dyDescent="0.3">
      <c r="A79" s="9"/>
      <c r="B79" s="13" t="e">
        <f>VLOOKUP(Table24[[#This Row],[Location 
(drop-down)]],'List source'!D$2:E$60,2,FALSE)</f>
        <v>#N/A</v>
      </c>
      <c r="C79" s="23" t="s">
        <v>236</v>
      </c>
      <c r="D79" s="30" t="e">
        <f t="shared" si="1"/>
        <v>#N/A</v>
      </c>
      <c r="E79" s="11"/>
      <c r="F79" s="126"/>
      <c r="G79" s="12"/>
      <c r="H79" s="12"/>
      <c r="I79" s="12"/>
      <c r="J79" s="10"/>
      <c r="K79" s="10"/>
    </row>
    <row r="80" spans="1:11" s="4" customFormat="1" ht="30" customHeight="1" x14ac:dyDescent="0.3">
      <c r="A80" s="9"/>
      <c r="B80" s="13" t="e">
        <f>VLOOKUP(Table24[[#This Row],[Location 
(drop-down)]],'List source'!D$2:E$60,2,FALSE)</f>
        <v>#N/A</v>
      </c>
      <c r="C80" s="23" t="s">
        <v>238</v>
      </c>
      <c r="D80" s="30" t="e">
        <f t="shared" si="1"/>
        <v>#N/A</v>
      </c>
      <c r="E80" s="11"/>
      <c r="F80" s="126"/>
      <c r="G80" s="12"/>
      <c r="H80" s="12"/>
      <c r="I80" s="12"/>
      <c r="J80" s="10"/>
      <c r="K80" s="10"/>
    </row>
    <row r="81" spans="1:11" s="4" customFormat="1" ht="30" customHeight="1" x14ac:dyDescent="0.3">
      <c r="A81" s="9"/>
      <c r="B81" s="13" t="e">
        <f>VLOOKUP(Table24[[#This Row],[Location 
(drop-down)]],'List source'!D$2:E$60,2,FALSE)</f>
        <v>#N/A</v>
      </c>
      <c r="C81" s="23" t="s">
        <v>240</v>
      </c>
      <c r="D81" s="55" t="e">
        <f t="shared" si="1"/>
        <v>#N/A</v>
      </c>
      <c r="E81" s="11"/>
      <c r="F81" s="126"/>
      <c r="G81" s="12"/>
      <c r="H81" s="12"/>
      <c r="I81" s="12"/>
      <c r="J81" s="10"/>
      <c r="K81" s="10"/>
    </row>
    <row r="82" spans="1:11" s="4" customFormat="1" ht="30" customHeight="1" x14ac:dyDescent="0.3">
      <c r="A82" s="9"/>
      <c r="B82" s="13" t="e">
        <f>VLOOKUP(Table24[[#This Row],[Location 
(drop-down)]],'List source'!D$2:E$60,2,FALSE)</f>
        <v>#N/A</v>
      </c>
      <c r="C82" s="23" t="s">
        <v>242</v>
      </c>
      <c r="D82" s="30" t="e">
        <f t="shared" si="1"/>
        <v>#N/A</v>
      </c>
      <c r="E82" s="11"/>
      <c r="F82" s="126"/>
      <c r="G82" s="12"/>
      <c r="H82" s="12"/>
      <c r="I82" s="12"/>
      <c r="J82" s="10"/>
      <c r="K82" s="10"/>
    </row>
    <row r="83" spans="1:11" s="4" customFormat="1" ht="30" customHeight="1" x14ac:dyDescent="0.3">
      <c r="A83" s="9"/>
      <c r="B83" s="13" t="e">
        <f>VLOOKUP(Table24[[#This Row],[Location 
(drop-down)]],'List source'!D$2:E$60,2,FALSE)</f>
        <v>#N/A</v>
      </c>
      <c r="C83" s="23" t="s">
        <v>243</v>
      </c>
      <c r="D83" s="30" t="e">
        <f t="shared" si="1"/>
        <v>#N/A</v>
      </c>
      <c r="E83" s="11"/>
      <c r="F83" s="127"/>
      <c r="G83" s="12"/>
      <c r="H83" s="12"/>
      <c r="I83" s="12"/>
      <c r="J83" s="10"/>
      <c r="K83" s="10"/>
    </row>
    <row r="84" spans="1:11" s="4" customFormat="1" ht="30" customHeight="1" x14ac:dyDescent="0.3">
      <c r="A84" s="9"/>
      <c r="B84" s="13" t="e">
        <f>VLOOKUP(Table24[[#This Row],[Location 
(drop-down)]],'List source'!D$2:E$60,2,FALSE)</f>
        <v>#N/A</v>
      </c>
      <c r="C84" s="23" t="s">
        <v>246</v>
      </c>
      <c r="D84" s="30" t="e">
        <f t="shared" si="1"/>
        <v>#N/A</v>
      </c>
      <c r="E84" s="11"/>
      <c r="F84" s="126"/>
      <c r="G84" s="12"/>
      <c r="H84" s="12"/>
      <c r="I84" s="12"/>
      <c r="J84" s="10"/>
      <c r="K84" s="10"/>
    </row>
    <row r="85" spans="1:11" s="4" customFormat="1" ht="30" customHeight="1" x14ac:dyDescent="0.3">
      <c r="A85" s="9"/>
      <c r="B85" s="13" t="e">
        <f>VLOOKUP(Table24[[#This Row],[Location 
(drop-down)]],'List source'!D$2:E$60,2,FALSE)</f>
        <v>#N/A</v>
      </c>
      <c r="C85" s="23" t="s">
        <v>251</v>
      </c>
      <c r="D85" s="30" t="e">
        <f t="shared" si="1"/>
        <v>#N/A</v>
      </c>
      <c r="E85" s="11"/>
      <c r="F85" s="126"/>
      <c r="G85" s="12"/>
      <c r="H85" s="12"/>
      <c r="I85" s="12"/>
      <c r="J85" s="10"/>
      <c r="K85" s="10"/>
    </row>
    <row r="86" spans="1:11" s="4" customFormat="1" ht="30" customHeight="1" x14ac:dyDescent="0.3">
      <c r="A86" s="9"/>
      <c r="B86" s="13" t="e">
        <f>VLOOKUP(Table24[[#This Row],[Location 
(drop-down)]],'List source'!D$2:E$60,2,FALSE)</f>
        <v>#N/A</v>
      </c>
      <c r="C86" s="23" t="s">
        <v>253</v>
      </c>
      <c r="D86" s="30" t="e">
        <f t="shared" si="1"/>
        <v>#N/A</v>
      </c>
      <c r="E86" s="11"/>
      <c r="F86" s="126"/>
      <c r="G86" s="12"/>
      <c r="H86" s="12"/>
      <c r="I86" s="12"/>
      <c r="J86" s="10"/>
      <c r="K86" s="10"/>
    </row>
    <row r="87" spans="1:11" s="4" customFormat="1" ht="30" customHeight="1" x14ac:dyDescent="0.3">
      <c r="A87" s="9"/>
      <c r="B87" s="13" t="e">
        <f>VLOOKUP(Table24[[#This Row],[Location 
(drop-down)]],'List source'!D$2:E$60,2,FALSE)</f>
        <v>#N/A</v>
      </c>
      <c r="C87" s="23" t="s">
        <v>257</v>
      </c>
      <c r="D87" s="30" t="e">
        <f t="shared" si="1"/>
        <v>#N/A</v>
      </c>
      <c r="E87" s="11"/>
      <c r="F87" s="126"/>
      <c r="G87" s="12"/>
      <c r="H87" s="12"/>
      <c r="I87" s="12"/>
      <c r="J87" s="10"/>
      <c r="K87" s="10"/>
    </row>
    <row r="88" spans="1:11" s="4" customFormat="1" ht="30" customHeight="1" x14ac:dyDescent="0.3">
      <c r="A88" s="9"/>
      <c r="B88" s="13" t="e">
        <f>VLOOKUP(Table24[[#This Row],[Location 
(drop-down)]],'List source'!D$2:E$60,2,FALSE)</f>
        <v>#N/A</v>
      </c>
      <c r="C88" s="23" t="s">
        <v>259</v>
      </c>
      <c r="D88" s="30" t="e">
        <f t="shared" si="1"/>
        <v>#N/A</v>
      </c>
      <c r="E88" s="11"/>
      <c r="F88" s="126"/>
      <c r="G88" s="12"/>
      <c r="H88" s="12"/>
      <c r="I88" s="12"/>
      <c r="J88" s="10"/>
      <c r="K88" s="10"/>
    </row>
    <row r="89" spans="1:11" s="4" customFormat="1" ht="30" customHeight="1" x14ac:dyDescent="0.3">
      <c r="A89" s="9"/>
      <c r="B89" s="13" t="e">
        <f>VLOOKUP(Table24[[#This Row],[Location 
(drop-down)]],'List source'!D$2:E$60,2,FALSE)</f>
        <v>#N/A</v>
      </c>
      <c r="C89" s="23" t="s">
        <v>262</v>
      </c>
      <c r="D89" s="30" t="e">
        <f t="shared" si="1"/>
        <v>#N/A</v>
      </c>
      <c r="E89" s="11"/>
      <c r="F89" s="126"/>
      <c r="G89" s="12"/>
      <c r="H89" s="12"/>
      <c r="I89" s="12"/>
      <c r="J89" s="10"/>
      <c r="K89" s="10"/>
    </row>
    <row r="90" spans="1:11" s="4" customFormat="1" ht="30" customHeight="1" x14ac:dyDescent="0.3">
      <c r="A90" s="9"/>
      <c r="B90" s="13" t="e">
        <f>VLOOKUP(Table24[[#This Row],[Location 
(drop-down)]],'List source'!D$2:E$60,2,FALSE)</f>
        <v>#N/A</v>
      </c>
      <c r="C90" s="23" t="s">
        <v>265</v>
      </c>
      <c r="D90" s="55" t="e">
        <f t="shared" si="1"/>
        <v>#N/A</v>
      </c>
      <c r="E90" s="11"/>
      <c r="F90" s="126"/>
      <c r="G90" s="12"/>
      <c r="H90" s="12"/>
      <c r="I90" s="12"/>
      <c r="J90" s="10"/>
      <c r="K90" s="10"/>
    </row>
    <row r="91" spans="1:11" s="4" customFormat="1" ht="30" customHeight="1" x14ac:dyDescent="0.3">
      <c r="A91" s="9"/>
      <c r="B91" s="13" t="e">
        <f>VLOOKUP(Table24[[#This Row],[Location 
(drop-down)]],'List source'!D$2:E$60,2,FALSE)</f>
        <v>#N/A</v>
      </c>
      <c r="C91" s="23" t="s">
        <v>267</v>
      </c>
      <c r="D91" s="30" t="e">
        <f t="shared" si="1"/>
        <v>#N/A</v>
      </c>
      <c r="E91" s="11"/>
      <c r="F91" s="126"/>
      <c r="G91" s="12"/>
      <c r="H91" s="12"/>
      <c r="I91" s="12"/>
      <c r="J91" s="10"/>
      <c r="K91" s="10"/>
    </row>
    <row r="92" spans="1:11" s="4" customFormat="1" ht="30" customHeight="1" x14ac:dyDescent="0.3">
      <c r="A92" s="9"/>
      <c r="B92" s="13" t="e">
        <f>VLOOKUP(Table24[[#This Row],[Location 
(drop-down)]],'List source'!D$2:E$60,2,FALSE)</f>
        <v>#N/A</v>
      </c>
      <c r="C92" s="23" t="s">
        <v>269</v>
      </c>
      <c r="D92" s="30" t="e">
        <f t="shared" si="1"/>
        <v>#N/A</v>
      </c>
      <c r="E92" s="11"/>
      <c r="F92" s="126"/>
      <c r="G92" s="12"/>
      <c r="H92" s="12"/>
      <c r="I92" s="12"/>
      <c r="J92" s="10"/>
      <c r="K92" s="10"/>
    </row>
    <row r="93" spans="1:11" s="4" customFormat="1" ht="30" customHeight="1" x14ac:dyDescent="0.3">
      <c r="A93" s="9"/>
      <c r="B93" s="13" t="e">
        <f>VLOOKUP(Table24[[#This Row],[Location 
(drop-down)]],'List source'!D$2:E$60,2,FALSE)</f>
        <v>#N/A</v>
      </c>
      <c r="C93" s="23" t="s">
        <v>270</v>
      </c>
      <c r="D93" s="30" t="e">
        <f t="shared" si="1"/>
        <v>#N/A</v>
      </c>
      <c r="E93" s="11"/>
      <c r="F93" s="126"/>
      <c r="G93" s="12"/>
      <c r="H93" s="12"/>
      <c r="I93" s="12"/>
      <c r="J93" s="10"/>
      <c r="K93" s="10"/>
    </row>
    <row r="94" spans="1:11" s="4" customFormat="1" ht="30" customHeight="1" x14ac:dyDescent="0.3">
      <c r="A94" s="9"/>
      <c r="B94" s="13" t="e">
        <f>VLOOKUP(Table24[[#This Row],[Location 
(drop-down)]],'List source'!D$2:E$60,2,FALSE)</f>
        <v>#N/A</v>
      </c>
      <c r="C94" s="23" t="s">
        <v>272</v>
      </c>
      <c r="D94" s="30" t="e">
        <f t="shared" si="1"/>
        <v>#N/A</v>
      </c>
      <c r="E94" s="11"/>
      <c r="F94" s="126"/>
      <c r="G94" s="12"/>
      <c r="H94" s="12"/>
      <c r="I94" s="12"/>
      <c r="J94" s="10"/>
      <c r="K94" s="10"/>
    </row>
    <row r="95" spans="1:11" s="4" customFormat="1" ht="30" customHeight="1" x14ac:dyDescent="0.3">
      <c r="A95" s="9"/>
      <c r="B95" s="13" t="e">
        <f>VLOOKUP(Table24[[#This Row],[Location 
(drop-down)]],'List source'!D$2:E$60,2,FALSE)</f>
        <v>#N/A</v>
      </c>
      <c r="C95" s="23" t="s">
        <v>274</v>
      </c>
      <c r="D95" s="30" t="e">
        <f t="shared" si="1"/>
        <v>#N/A</v>
      </c>
      <c r="E95" s="11"/>
      <c r="F95" s="126"/>
      <c r="G95" s="12"/>
      <c r="H95" s="12"/>
      <c r="I95" s="12"/>
      <c r="J95" s="10"/>
      <c r="K95" s="10"/>
    </row>
    <row r="96" spans="1:11" s="4" customFormat="1" ht="30" customHeight="1" x14ac:dyDescent="0.3">
      <c r="A96" s="9"/>
      <c r="B96" s="13" t="e">
        <f>VLOOKUP(Table24[[#This Row],[Location 
(drop-down)]],'List source'!D$2:E$60,2,FALSE)</f>
        <v>#N/A</v>
      </c>
      <c r="C96" s="23" t="s">
        <v>276</v>
      </c>
      <c r="D96" s="30" t="e">
        <f t="shared" si="1"/>
        <v>#N/A</v>
      </c>
      <c r="E96" s="11"/>
      <c r="F96" s="126"/>
      <c r="G96" s="12"/>
      <c r="H96" s="12"/>
      <c r="I96" s="12"/>
      <c r="J96" s="10"/>
      <c r="K96" s="10"/>
    </row>
    <row r="97" spans="1:11" s="4" customFormat="1" ht="30" customHeight="1" x14ac:dyDescent="0.3">
      <c r="A97" s="9"/>
      <c r="B97" s="13" t="e">
        <f>VLOOKUP(Table24[[#This Row],[Location 
(drop-down)]],'List source'!D$2:E$60,2,FALSE)</f>
        <v>#N/A</v>
      </c>
      <c r="C97" s="23" t="s">
        <v>277</v>
      </c>
      <c r="D97" s="30" t="e">
        <f t="shared" si="1"/>
        <v>#N/A</v>
      </c>
      <c r="E97" s="11"/>
      <c r="F97" s="126"/>
      <c r="G97" s="12"/>
      <c r="H97" s="12"/>
      <c r="I97" s="12"/>
      <c r="J97" s="10"/>
      <c r="K97" s="10"/>
    </row>
    <row r="98" spans="1:11" s="4" customFormat="1" ht="30" customHeight="1" x14ac:dyDescent="0.3">
      <c r="A98" s="9"/>
      <c r="B98" s="13" t="e">
        <f>VLOOKUP(Table24[[#This Row],[Location 
(drop-down)]],'List source'!D$2:E$60,2,FALSE)</f>
        <v>#N/A</v>
      </c>
      <c r="C98" s="23" t="s">
        <v>278</v>
      </c>
      <c r="D98" s="30" t="e">
        <f t="shared" si="1"/>
        <v>#N/A</v>
      </c>
      <c r="E98" s="11"/>
      <c r="F98" s="126"/>
      <c r="G98" s="12"/>
      <c r="H98" s="12"/>
      <c r="I98" s="12"/>
      <c r="J98" s="10"/>
      <c r="K98" s="10"/>
    </row>
    <row r="99" spans="1:11" s="4" customFormat="1" ht="30" customHeight="1" x14ac:dyDescent="0.3">
      <c r="A99" s="9"/>
      <c r="B99" s="13" t="e">
        <f>VLOOKUP(Table24[[#This Row],[Location 
(drop-down)]],'List source'!D$2:E$60,2,FALSE)</f>
        <v>#N/A</v>
      </c>
      <c r="C99" s="23" t="s">
        <v>282</v>
      </c>
      <c r="D99" s="30" t="e">
        <f t="shared" si="1"/>
        <v>#N/A</v>
      </c>
      <c r="E99" s="11"/>
      <c r="F99" s="126"/>
      <c r="G99" s="12"/>
      <c r="H99" s="12"/>
      <c r="I99" s="12"/>
      <c r="J99" s="10"/>
      <c r="K99" s="10"/>
    </row>
    <row r="100" spans="1:11" s="4" customFormat="1" ht="30" customHeight="1" x14ac:dyDescent="0.3">
      <c r="A100" s="9"/>
      <c r="B100" s="13" t="e">
        <f>VLOOKUP(Table24[[#This Row],[Location 
(drop-down)]],'List source'!D$2:E$60,2,FALSE)</f>
        <v>#N/A</v>
      </c>
      <c r="C100" s="23" t="s">
        <v>284</v>
      </c>
      <c r="D100" s="30" t="e">
        <f t="shared" si="1"/>
        <v>#N/A</v>
      </c>
      <c r="E100" s="11"/>
      <c r="F100" s="126"/>
      <c r="G100" s="12"/>
      <c r="H100" s="12"/>
      <c r="I100" s="12"/>
      <c r="J100" s="10"/>
      <c r="K100" s="10"/>
    </row>
    <row r="101" spans="1:11" s="4" customFormat="1" ht="30" customHeight="1" x14ac:dyDescent="0.3">
      <c r="A101" s="9"/>
      <c r="B101" s="13" t="e">
        <f>VLOOKUP(Table24[[#This Row],[Location 
(drop-down)]],'List source'!D$2:E$60,2,FALSE)</f>
        <v>#N/A</v>
      </c>
      <c r="C101" s="23" t="s">
        <v>286</v>
      </c>
      <c r="D101" s="30" t="e">
        <f t="shared" si="1"/>
        <v>#N/A</v>
      </c>
      <c r="E101" s="11"/>
      <c r="F101" s="126"/>
      <c r="G101" s="12"/>
      <c r="H101" s="12"/>
      <c r="I101" s="12"/>
      <c r="J101" s="10"/>
      <c r="K101" s="10"/>
    </row>
    <row r="102" spans="1:11" s="4" customFormat="1" ht="30" customHeight="1" x14ac:dyDescent="0.3">
      <c r="A102" s="9"/>
      <c r="B102" s="13" t="e">
        <f>VLOOKUP(Table24[[#This Row],[Location 
(drop-down)]],'List source'!D$2:E$60,2,FALSE)</f>
        <v>#N/A</v>
      </c>
      <c r="C102" s="23" t="s">
        <v>289</v>
      </c>
      <c r="D102" s="30" t="e">
        <f t="shared" si="1"/>
        <v>#N/A</v>
      </c>
      <c r="E102" s="11"/>
      <c r="F102" s="126"/>
      <c r="G102" s="12"/>
      <c r="H102" s="12"/>
      <c r="I102" s="12"/>
      <c r="J102" s="10"/>
      <c r="K102" s="10"/>
    </row>
    <row r="103" spans="1:11" s="4" customFormat="1" ht="30" customHeight="1" x14ac:dyDescent="0.3">
      <c r="A103" s="9"/>
      <c r="B103" s="13" t="e">
        <f>VLOOKUP(Table24[[#This Row],[Location 
(drop-down)]],'List source'!D$2:E$60,2,FALSE)</f>
        <v>#N/A</v>
      </c>
      <c r="C103" s="23" t="s">
        <v>291</v>
      </c>
      <c r="D103" s="30" t="e">
        <f t="shared" si="1"/>
        <v>#N/A</v>
      </c>
      <c r="E103" s="11"/>
      <c r="F103" s="126"/>
      <c r="G103" s="12"/>
      <c r="H103" s="12"/>
      <c r="I103" s="12"/>
      <c r="J103" s="10"/>
      <c r="K103" s="10"/>
    </row>
    <row r="104" spans="1:11" s="4" customFormat="1" ht="30" customHeight="1" x14ac:dyDescent="0.3">
      <c r="A104" s="9"/>
      <c r="B104" s="13" t="e">
        <f>VLOOKUP(Table24[[#This Row],[Location 
(drop-down)]],'List source'!D$2:E$60,2,FALSE)</f>
        <v>#N/A</v>
      </c>
      <c r="C104" s="23" t="s">
        <v>292</v>
      </c>
      <c r="D104" s="30" t="e">
        <f t="shared" si="1"/>
        <v>#N/A</v>
      </c>
      <c r="E104" s="11"/>
      <c r="F104" s="126"/>
      <c r="G104" s="12"/>
      <c r="H104" s="12"/>
      <c r="I104" s="12"/>
      <c r="J104" s="10"/>
      <c r="K104" s="10"/>
    </row>
    <row r="105" spans="1:11" s="4" customFormat="1" ht="30" customHeight="1" x14ac:dyDescent="0.3">
      <c r="A105" s="9"/>
      <c r="B105" s="13" t="e">
        <f>VLOOKUP(Table24[[#This Row],[Location 
(drop-down)]],'List source'!D$2:E$60,2,FALSE)</f>
        <v>#N/A</v>
      </c>
      <c r="C105" s="23" t="s">
        <v>295</v>
      </c>
      <c r="D105" s="30" t="e">
        <f t="shared" si="1"/>
        <v>#N/A</v>
      </c>
      <c r="E105" s="11"/>
      <c r="F105" s="126"/>
      <c r="G105" s="12"/>
      <c r="H105" s="12"/>
      <c r="I105" s="12"/>
      <c r="J105" s="10"/>
      <c r="K105" s="10"/>
    </row>
    <row r="106" spans="1:11" s="4" customFormat="1" ht="30" customHeight="1" x14ac:dyDescent="0.3">
      <c r="A106" s="9"/>
      <c r="B106" s="13" t="e">
        <f>VLOOKUP(Table24[[#This Row],[Location 
(drop-down)]],'List source'!D$2:E$60,2,FALSE)</f>
        <v>#N/A</v>
      </c>
      <c r="C106" s="23" t="s">
        <v>298</v>
      </c>
      <c r="D106" s="30" t="e">
        <f t="shared" si="1"/>
        <v>#N/A</v>
      </c>
      <c r="E106" s="11"/>
      <c r="F106" s="126"/>
      <c r="G106" s="12"/>
      <c r="H106" s="12"/>
      <c r="I106" s="12"/>
      <c r="J106" s="10"/>
      <c r="K106" s="10"/>
    </row>
    <row r="107" spans="1:11" s="4" customFormat="1" ht="30" customHeight="1" x14ac:dyDescent="0.3">
      <c r="A107" s="9"/>
      <c r="B107" s="13" t="e">
        <f>VLOOKUP(Table24[[#This Row],[Location 
(drop-down)]],'List source'!D$2:E$60,2,FALSE)</f>
        <v>#N/A</v>
      </c>
      <c r="C107" s="23" t="s">
        <v>300</v>
      </c>
      <c r="D107" s="30" t="e">
        <f t="shared" si="1"/>
        <v>#N/A</v>
      </c>
      <c r="E107" s="11"/>
      <c r="F107" s="126"/>
      <c r="G107" s="12"/>
      <c r="H107" s="12"/>
      <c r="I107" s="12"/>
      <c r="J107" s="10"/>
      <c r="K107" s="10"/>
    </row>
    <row r="108" spans="1:11" s="4" customFormat="1" ht="30" customHeight="1" x14ac:dyDescent="0.3">
      <c r="A108" s="9"/>
      <c r="B108" s="13" t="e">
        <f>VLOOKUP(Table24[[#This Row],[Location 
(drop-down)]],'List source'!D$2:E$60,2,FALSE)</f>
        <v>#N/A</v>
      </c>
      <c r="C108" s="23" t="s">
        <v>304</v>
      </c>
      <c r="D108" s="30" t="e">
        <f t="shared" si="1"/>
        <v>#N/A</v>
      </c>
      <c r="E108" s="11"/>
      <c r="F108" s="127"/>
      <c r="G108" s="12"/>
      <c r="H108" s="12"/>
      <c r="I108" s="12"/>
      <c r="J108" s="10"/>
      <c r="K108" s="10"/>
    </row>
    <row r="109" spans="1:11" s="4" customFormat="1" ht="30" customHeight="1" x14ac:dyDescent="0.3">
      <c r="A109" s="9"/>
      <c r="B109" s="13" t="e">
        <f>VLOOKUP(Table24[[#This Row],[Location 
(drop-down)]],'List source'!D$2:E$60,2,FALSE)</f>
        <v>#N/A</v>
      </c>
      <c r="C109" s="23" t="s">
        <v>305</v>
      </c>
      <c r="D109" s="30" t="e">
        <f t="shared" si="1"/>
        <v>#N/A</v>
      </c>
      <c r="E109" s="11"/>
      <c r="F109" s="126"/>
      <c r="G109" s="12"/>
      <c r="H109" s="12"/>
      <c r="I109" s="12"/>
      <c r="J109" s="10"/>
      <c r="K109" s="10"/>
    </row>
    <row r="110" spans="1:11" s="4" customFormat="1" ht="30" customHeight="1" x14ac:dyDescent="0.3">
      <c r="A110" s="9"/>
      <c r="B110" s="13" t="e">
        <f>VLOOKUP(Table24[[#This Row],[Location 
(drop-down)]],'List source'!D$2:E$60,2,FALSE)</f>
        <v>#N/A</v>
      </c>
      <c r="C110" s="23" t="s">
        <v>307</v>
      </c>
      <c r="D110" s="30" t="e">
        <f t="shared" si="1"/>
        <v>#N/A</v>
      </c>
      <c r="E110" s="11"/>
      <c r="F110" s="126"/>
      <c r="G110" s="12"/>
      <c r="H110" s="12"/>
      <c r="I110" s="12"/>
      <c r="J110" s="10"/>
      <c r="K110" s="10"/>
    </row>
    <row r="111" spans="1:11" s="4" customFormat="1" ht="30" customHeight="1" x14ac:dyDescent="0.3">
      <c r="A111" s="9"/>
      <c r="B111" s="13" t="e">
        <f>VLOOKUP(Table24[[#This Row],[Location 
(drop-down)]],'List source'!D$2:E$60,2,FALSE)</f>
        <v>#N/A</v>
      </c>
      <c r="C111" s="23" t="s">
        <v>311</v>
      </c>
      <c r="D111" s="30" t="e">
        <f t="shared" si="1"/>
        <v>#N/A</v>
      </c>
      <c r="E111" s="11"/>
      <c r="F111" s="126"/>
      <c r="G111" s="12"/>
      <c r="H111" s="12"/>
      <c r="I111" s="12"/>
      <c r="J111" s="10"/>
      <c r="K111" s="10"/>
    </row>
    <row r="112" spans="1:11" s="4" customFormat="1" ht="30" customHeight="1" x14ac:dyDescent="0.3">
      <c r="A112" s="9"/>
      <c r="B112" s="13" t="e">
        <f>VLOOKUP(Table24[[#This Row],[Location 
(drop-down)]],'List source'!D$2:E$60,2,FALSE)</f>
        <v>#N/A</v>
      </c>
      <c r="C112" s="23" t="s">
        <v>313</v>
      </c>
      <c r="D112" s="30" t="e">
        <f t="shared" si="1"/>
        <v>#N/A</v>
      </c>
      <c r="E112" s="11"/>
      <c r="F112" s="126"/>
      <c r="G112" s="12"/>
      <c r="H112" s="12"/>
      <c r="I112" s="12"/>
      <c r="J112" s="10"/>
      <c r="K112" s="10"/>
    </row>
    <row r="113" spans="1:11" s="4" customFormat="1" ht="30" customHeight="1" x14ac:dyDescent="0.3">
      <c r="A113" s="9"/>
      <c r="B113" s="13" t="e">
        <f>VLOOKUP(Table24[[#This Row],[Location 
(drop-down)]],'List source'!D$2:E$60,2,FALSE)</f>
        <v>#N/A</v>
      </c>
      <c r="C113" s="23" t="s">
        <v>315</v>
      </c>
      <c r="D113" s="30" t="e">
        <f t="shared" si="1"/>
        <v>#N/A</v>
      </c>
      <c r="E113" s="11"/>
      <c r="F113" s="126"/>
      <c r="G113" s="12"/>
      <c r="H113" s="12"/>
      <c r="I113" s="12"/>
      <c r="J113" s="10"/>
      <c r="K113" s="10"/>
    </row>
    <row r="114" spans="1:11" s="4" customFormat="1" ht="30" customHeight="1" x14ac:dyDescent="0.3">
      <c r="A114" s="9"/>
      <c r="B114" s="13" t="e">
        <f>VLOOKUP(Table24[[#This Row],[Location 
(drop-down)]],'List source'!D$2:E$60,2,FALSE)</f>
        <v>#N/A</v>
      </c>
      <c r="C114" s="23" t="s">
        <v>317</v>
      </c>
      <c r="D114" s="30" t="e">
        <f t="shared" si="1"/>
        <v>#N/A</v>
      </c>
      <c r="E114" s="11"/>
      <c r="F114" s="126"/>
      <c r="G114" s="12"/>
      <c r="H114" s="12"/>
      <c r="I114" s="12"/>
      <c r="J114" s="10"/>
      <c r="K114" s="10"/>
    </row>
    <row r="115" spans="1:11" s="4" customFormat="1" ht="30" customHeight="1" x14ac:dyDescent="0.3">
      <c r="A115" s="9"/>
      <c r="B115" s="13" t="e">
        <f>VLOOKUP(Table24[[#This Row],[Location 
(drop-down)]],'List source'!D$2:E$60,2,FALSE)</f>
        <v>#N/A</v>
      </c>
      <c r="C115" s="23" t="s">
        <v>319</v>
      </c>
      <c r="D115" s="30" t="e">
        <f t="shared" si="1"/>
        <v>#N/A</v>
      </c>
      <c r="E115" s="11"/>
      <c r="F115" s="126"/>
      <c r="G115" s="12"/>
      <c r="H115" s="12"/>
      <c r="I115" s="12"/>
      <c r="J115" s="10"/>
      <c r="K115" s="10"/>
    </row>
    <row r="116" spans="1:11" s="4" customFormat="1" ht="30" customHeight="1" x14ac:dyDescent="0.3">
      <c r="A116" s="9"/>
      <c r="B116" s="13" t="e">
        <f>VLOOKUP(Table24[[#This Row],[Location 
(drop-down)]],'List source'!D$2:E$60,2,FALSE)</f>
        <v>#N/A</v>
      </c>
      <c r="C116" s="23" t="s">
        <v>321</v>
      </c>
      <c r="D116" s="30" t="e">
        <f t="shared" si="1"/>
        <v>#N/A</v>
      </c>
      <c r="E116" s="11"/>
      <c r="F116" s="126"/>
      <c r="G116" s="12"/>
      <c r="H116" s="12"/>
      <c r="I116" s="12"/>
      <c r="J116" s="10"/>
      <c r="K116" s="10"/>
    </row>
    <row r="117" spans="1:11" s="4" customFormat="1" ht="30" customHeight="1" x14ac:dyDescent="0.3">
      <c r="A117" s="9"/>
      <c r="B117" s="13" t="e">
        <f>VLOOKUP(Table24[[#This Row],[Location 
(drop-down)]],'List source'!D$2:E$60,2,FALSE)</f>
        <v>#N/A</v>
      </c>
      <c r="C117" s="23" t="s">
        <v>326</v>
      </c>
      <c r="D117" s="30" t="e">
        <f t="shared" si="1"/>
        <v>#N/A</v>
      </c>
      <c r="E117" s="11"/>
      <c r="F117" s="126"/>
      <c r="G117" s="12"/>
      <c r="H117" s="12"/>
      <c r="I117" s="12"/>
      <c r="J117" s="10"/>
      <c r="K117" s="10"/>
    </row>
    <row r="118" spans="1:11" s="4" customFormat="1" ht="30" customHeight="1" x14ac:dyDescent="0.3">
      <c r="A118" s="9"/>
      <c r="B118" s="13" t="e">
        <f>VLOOKUP(Table24[[#This Row],[Location 
(drop-down)]],'List source'!D$2:E$60,2,FALSE)</f>
        <v>#N/A</v>
      </c>
      <c r="C118" s="23" t="s">
        <v>328</v>
      </c>
      <c r="D118" s="30" t="e">
        <f t="shared" si="1"/>
        <v>#N/A</v>
      </c>
      <c r="E118" s="11"/>
      <c r="F118" s="126"/>
      <c r="G118" s="12"/>
      <c r="H118" s="12"/>
      <c r="I118" s="12"/>
      <c r="J118" s="10"/>
      <c r="K118" s="10"/>
    </row>
    <row r="119" spans="1:11" s="4" customFormat="1" ht="30" customHeight="1" x14ac:dyDescent="0.3">
      <c r="A119" s="9"/>
      <c r="B119" s="13" t="e">
        <f>VLOOKUP(Table24[[#This Row],[Location 
(drop-down)]],'List source'!D$2:E$60,2,FALSE)</f>
        <v>#N/A</v>
      </c>
      <c r="C119" s="23" t="s">
        <v>329</v>
      </c>
      <c r="D119" s="30" t="e">
        <f t="shared" si="1"/>
        <v>#N/A</v>
      </c>
      <c r="E119" s="11"/>
      <c r="F119" s="126"/>
      <c r="G119" s="12"/>
      <c r="H119" s="12"/>
      <c r="I119" s="12"/>
      <c r="J119" s="10"/>
      <c r="K119" s="10"/>
    </row>
    <row r="120" spans="1:11" s="4" customFormat="1" ht="30" customHeight="1" x14ac:dyDescent="0.3">
      <c r="A120" s="9"/>
      <c r="B120" s="13" t="e">
        <f>VLOOKUP(Table24[[#This Row],[Location 
(drop-down)]],'List source'!D$2:E$60,2,FALSE)</f>
        <v>#N/A</v>
      </c>
      <c r="C120" s="23" t="s">
        <v>335</v>
      </c>
      <c r="D120" s="30" t="e">
        <f t="shared" si="1"/>
        <v>#N/A</v>
      </c>
      <c r="E120" s="11"/>
      <c r="F120" s="126"/>
      <c r="G120" s="12"/>
      <c r="H120" s="12"/>
      <c r="I120" s="12"/>
      <c r="J120" s="10"/>
      <c r="K120" s="10"/>
    </row>
    <row r="121" spans="1:11" s="4" customFormat="1" ht="30" customHeight="1" x14ac:dyDescent="0.3">
      <c r="A121" s="9"/>
      <c r="B121" s="13" t="e">
        <f>VLOOKUP(Table24[[#This Row],[Location 
(drop-down)]],'List source'!D$2:E$60,2,FALSE)</f>
        <v>#N/A</v>
      </c>
      <c r="C121" s="23" t="s">
        <v>339</v>
      </c>
      <c r="D121" s="30" t="e">
        <f t="shared" si="1"/>
        <v>#N/A</v>
      </c>
      <c r="E121" s="11"/>
      <c r="F121" s="126"/>
      <c r="G121" s="12"/>
      <c r="H121" s="12"/>
      <c r="I121" s="12"/>
      <c r="J121" s="10"/>
      <c r="K121" s="10"/>
    </row>
    <row r="122" spans="1:11" s="4" customFormat="1" ht="30" customHeight="1" x14ac:dyDescent="0.3">
      <c r="A122" s="9"/>
      <c r="B122" s="13" t="e">
        <f>VLOOKUP(Table24[[#This Row],[Location 
(drop-down)]],'List source'!D$2:E$60,2,FALSE)</f>
        <v>#N/A</v>
      </c>
      <c r="C122" s="23" t="s">
        <v>341</v>
      </c>
      <c r="D122" s="30" t="e">
        <f t="shared" si="1"/>
        <v>#N/A</v>
      </c>
      <c r="E122" s="11"/>
      <c r="F122" s="126"/>
      <c r="G122" s="12"/>
      <c r="H122" s="12"/>
      <c r="I122" s="12"/>
      <c r="J122" s="10"/>
      <c r="K122" s="10"/>
    </row>
    <row r="123" spans="1:11" s="4" customFormat="1" ht="30" customHeight="1" x14ac:dyDescent="0.3">
      <c r="A123" s="9"/>
      <c r="B123" s="13" t="e">
        <f>VLOOKUP(Table24[[#This Row],[Location 
(drop-down)]],'List source'!D$2:E$60,2,FALSE)</f>
        <v>#N/A</v>
      </c>
      <c r="C123" s="23" t="s">
        <v>343</v>
      </c>
      <c r="D123" s="30" t="e">
        <f t="shared" si="1"/>
        <v>#N/A</v>
      </c>
      <c r="E123" s="11"/>
      <c r="F123" s="126"/>
      <c r="G123" s="12"/>
      <c r="H123" s="12"/>
      <c r="I123" s="12"/>
      <c r="J123" s="10"/>
      <c r="K123" s="10"/>
    </row>
    <row r="124" spans="1:11" s="4" customFormat="1" ht="30" customHeight="1" x14ac:dyDescent="0.3">
      <c r="A124" s="9"/>
      <c r="B124" s="13" t="e">
        <f>VLOOKUP(Table24[[#This Row],[Location 
(drop-down)]],'List source'!D$2:E$60,2,FALSE)</f>
        <v>#N/A</v>
      </c>
      <c r="C124" s="23" t="s">
        <v>346</v>
      </c>
      <c r="D124" s="30" t="e">
        <f t="shared" si="1"/>
        <v>#N/A</v>
      </c>
      <c r="E124" s="11"/>
      <c r="F124" s="126"/>
      <c r="G124" s="12"/>
      <c r="H124" s="12"/>
      <c r="I124" s="12"/>
      <c r="J124" s="10"/>
      <c r="K124" s="10"/>
    </row>
    <row r="125" spans="1:11" s="4" customFormat="1" ht="30" customHeight="1" x14ac:dyDescent="0.3">
      <c r="A125" s="9"/>
      <c r="B125" s="13" t="e">
        <f>VLOOKUP(Table24[[#This Row],[Location 
(drop-down)]],'List source'!D$2:E$60,2,FALSE)</f>
        <v>#N/A</v>
      </c>
      <c r="C125" s="23" t="s">
        <v>350</v>
      </c>
      <c r="D125" s="55" t="e">
        <f t="shared" si="1"/>
        <v>#N/A</v>
      </c>
      <c r="E125" s="11"/>
      <c r="F125" s="126"/>
      <c r="G125" s="12"/>
      <c r="H125" s="12"/>
      <c r="I125" s="12"/>
      <c r="J125" s="10"/>
      <c r="K125" s="10"/>
    </row>
    <row r="126" spans="1:11" s="4" customFormat="1" ht="30" customHeight="1" x14ac:dyDescent="0.3">
      <c r="A126" s="9"/>
      <c r="B126" s="13" t="e">
        <f>VLOOKUP(Table24[[#This Row],[Location 
(drop-down)]],'List source'!D$2:E$60,2,FALSE)</f>
        <v>#N/A</v>
      </c>
      <c r="C126" s="23" t="s">
        <v>352</v>
      </c>
      <c r="D126" s="30" t="e">
        <f t="shared" si="1"/>
        <v>#N/A</v>
      </c>
      <c r="E126" s="11"/>
      <c r="F126" s="126"/>
      <c r="G126" s="12"/>
      <c r="H126" s="12"/>
      <c r="I126" s="12"/>
      <c r="J126" s="10"/>
      <c r="K126" s="10"/>
    </row>
    <row r="127" spans="1:11" s="4" customFormat="1" ht="30" customHeight="1" x14ac:dyDescent="0.3">
      <c r="A127" s="9"/>
      <c r="B127" s="13" t="e">
        <f>VLOOKUP(Table24[[#This Row],[Location 
(drop-down)]],'List source'!D$2:E$60,2,FALSE)</f>
        <v>#N/A</v>
      </c>
      <c r="C127" s="23" t="s">
        <v>354</v>
      </c>
      <c r="D127" s="30" t="e">
        <f t="shared" si="1"/>
        <v>#N/A</v>
      </c>
      <c r="E127" s="11"/>
      <c r="F127" s="126"/>
      <c r="G127" s="12"/>
      <c r="H127" s="12"/>
      <c r="I127" s="12"/>
      <c r="J127" s="10"/>
      <c r="K127" s="10"/>
    </row>
    <row r="128" spans="1:11" s="4" customFormat="1" ht="30" customHeight="1" x14ac:dyDescent="0.3">
      <c r="A128" s="9"/>
      <c r="B128" s="13" t="e">
        <f>VLOOKUP(Table24[[#This Row],[Location 
(drop-down)]],'List source'!D$2:E$60,2,FALSE)</f>
        <v>#N/A</v>
      </c>
      <c r="C128" s="23" t="s">
        <v>356</v>
      </c>
      <c r="D128" s="30" t="e">
        <f t="shared" si="1"/>
        <v>#N/A</v>
      </c>
      <c r="E128" s="11"/>
      <c r="F128" s="126"/>
      <c r="G128" s="12"/>
      <c r="H128" s="12"/>
      <c r="I128" s="12"/>
      <c r="J128" s="10"/>
      <c r="K128" s="10"/>
    </row>
    <row r="129" spans="1:11" s="4" customFormat="1" ht="30" customHeight="1" x14ac:dyDescent="0.3">
      <c r="A129" s="9"/>
      <c r="B129" s="13" t="e">
        <f>VLOOKUP(Table24[[#This Row],[Location 
(drop-down)]],'List source'!D$2:E$60,2,FALSE)</f>
        <v>#N/A</v>
      </c>
      <c r="C129" s="23" t="s">
        <v>358</v>
      </c>
      <c r="D129" s="30" t="e">
        <f t="shared" si="1"/>
        <v>#N/A</v>
      </c>
      <c r="E129" s="11"/>
      <c r="F129" s="126"/>
      <c r="G129" s="12"/>
      <c r="H129" s="12"/>
      <c r="I129" s="12"/>
      <c r="J129" s="10"/>
      <c r="K129" s="10"/>
    </row>
    <row r="130" spans="1:11" s="4" customFormat="1" ht="30" customHeight="1" x14ac:dyDescent="0.3">
      <c r="A130" s="9"/>
      <c r="B130" s="13" t="e">
        <f>VLOOKUP(Table24[[#This Row],[Location 
(drop-down)]],'List source'!D$2:E$60,2,FALSE)</f>
        <v>#N/A</v>
      </c>
      <c r="C130" s="23" t="s">
        <v>359</v>
      </c>
      <c r="D130" s="30" t="e">
        <f t="shared" ref="D130:D193" si="2">"P" &amp; C130 &amp; "-" &amp; B130 &amp; "-" &amp; "24"</f>
        <v>#N/A</v>
      </c>
      <c r="E130" s="11"/>
      <c r="F130" s="126"/>
      <c r="G130" s="12"/>
      <c r="H130" s="12"/>
      <c r="I130" s="12"/>
      <c r="J130" s="10"/>
      <c r="K130" s="10"/>
    </row>
    <row r="131" spans="1:11" s="4" customFormat="1" ht="30" customHeight="1" x14ac:dyDescent="0.3">
      <c r="A131" s="9"/>
      <c r="B131" s="13" t="e">
        <f>VLOOKUP(Table24[[#This Row],[Location 
(drop-down)]],'List source'!D$2:E$60,2,FALSE)</f>
        <v>#N/A</v>
      </c>
      <c r="C131" s="23" t="s">
        <v>362</v>
      </c>
      <c r="D131" s="30" t="e">
        <f t="shared" si="2"/>
        <v>#N/A</v>
      </c>
      <c r="E131" s="11"/>
      <c r="F131" s="126"/>
      <c r="G131" s="12"/>
      <c r="H131" s="12"/>
      <c r="I131" s="12"/>
      <c r="J131" s="10"/>
      <c r="K131" s="10"/>
    </row>
    <row r="132" spans="1:11" s="4" customFormat="1" ht="30" customHeight="1" x14ac:dyDescent="0.3">
      <c r="A132" s="9"/>
      <c r="B132" s="13" t="e">
        <f>VLOOKUP(Table24[[#This Row],[Location 
(drop-down)]],'List source'!D$2:E$60,2,FALSE)</f>
        <v>#N/A</v>
      </c>
      <c r="C132" s="23" t="s">
        <v>364</v>
      </c>
      <c r="D132" s="30" t="e">
        <f t="shared" si="2"/>
        <v>#N/A</v>
      </c>
      <c r="E132" s="11"/>
      <c r="F132" s="126"/>
      <c r="G132" s="12"/>
      <c r="H132" s="12"/>
      <c r="I132" s="12"/>
      <c r="J132" s="10"/>
      <c r="K132" s="10"/>
    </row>
    <row r="133" spans="1:11" s="4" customFormat="1" ht="30" customHeight="1" x14ac:dyDescent="0.3">
      <c r="A133" s="9"/>
      <c r="B133" s="13" t="e">
        <f>VLOOKUP(Table24[[#This Row],[Location 
(drop-down)]],'List source'!D$2:E$60,2,FALSE)</f>
        <v>#N/A</v>
      </c>
      <c r="C133" s="23" t="s">
        <v>366</v>
      </c>
      <c r="D133" s="30" t="e">
        <f t="shared" si="2"/>
        <v>#N/A</v>
      </c>
      <c r="E133" s="11"/>
      <c r="F133" s="126"/>
      <c r="G133" s="12"/>
      <c r="H133" s="12"/>
      <c r="I133" s="12"/>
      <c r="J133" s="10"/>
      <c r="K133" s="10"/>
    </row>
    <row r="134" spans="1:11" s="4" customFormat="1" ht="30" customHeight="1" x14ac:dyDescent="0.3">
      <c r="A134" s="9"/>
      <c r="B134" s="13" t="e">
        <f>VLOOKUP(Table24[[#This Row],[Location 
(drop-down)]],'List source'!D$2:E$60,2,FALSE)</f>
        <v>#N/A</v>
      </c>
      <c r="C134" s="23" t="s">
        <v>370</v>
      </c>
      <c r="D134" s="30" t="e">
        <f t="shared" si="2"/>
        <v>#N/A</v>
      </c>
      <c r="E134" s="11"/>
      <c r="F134" s="126"/>
      <c r="G134" s="12"/>
      <c r="H134" s="12"/>
      <c r="I134" s="12"/>
      <c r="J134" s="10"/>
      <c r="K134" s="10"/>
    </row>
    <row r="135" spans="1:11" s="4" customFormat="1" ht="30" customHeight="1" x14ac:dyDescent="0.3">
      <c r="A135" s="9"/>
      <c r="B135" s="13" t="e">
        <f>VLOOKUP(Table24[[#This Row],[Location 
(drop-down)]],'List source'!D$2:E$60,2,FALSE)</f>
        <v>#N/A</v>
      </c>
      <c r="C135" s="23" t="s">
        <v>372</v>
      </c>
      <c r="D135" s="30" t="e">
        <f t="shared" si="2"/>
        <v>#N/A</v>
      </c>
      <c r="E135" s="11"/>
      <c r="F135" s="126"/>
      <c r="G135" s="12"/>
      <c r="H135" s="12"/>
      <c r="I135" s="12"/>
      <c r="J135" s="10"/>
      <c r="K135" s="10"/>
    </row>
    <row r="136" spans="1:11" s="4" customFormat="1" ht="30" customHeight="1" x14ac:dyDescent="0.3">
      <c r="A136" s="9"/>
      <c r="B136" s="13" t="e">
        <f>VLOOKUP(Table24[[#This Row],[Location 
(drop-down)]],'List source'!D$2:E$60,2,FALSE)</f>
        <v>#N/A</v>
      </c>
      <c r="C136" s="23" t="s">
        <v>374</v>
      </c>
      <c r="D136" s="30" t="e">
        <f t="shared" si="2"/>
        <v>#N/A</v>
      </c>
      <c r="E136" s="11"/>
      <c r="F136" s="126"/>
      <c r="G136" s="12"/>
      <c r="H136" s="12"/>
      <c r="I136" s="12"/>
      <c r="J136" s="10"/>
      <c r="K136" s="10"/>
    </row>
    <row r="137" spans="1:11" s="4" customFormat="1" ht="30" customHeight="1" x14ac:dyDescent="0.3">
      <c r="A137" s="9"/>
      <c r="B137" s="13" t="e">
        <f>VLOOKUP(Table24[[#This Row],[Location 
(drop-down)]],'List source'!D$2:E$60,2,FALSE)</f>
        <v>#N/A</v>
      </c>
      <c r="C137" s="23" t="s">
        <v>375</v>
      </c>
      <c r="D137" s="30" t="e">
        <f t="shared" si="2"/>
        <v>#N/A</v>
      </c>
      <c r="E137" s="11"/>
      <c r="F137" s="126"/>
      <c r="G137" s="12"/>
      <c r="H137" s="12"/>
      <c r="I137" s="12"/>
      <c r="J137" s="10"/>
      <c r="K137" s="10"/>
    </row>
    <row r="138" spans="1:11" s="4" customFormat="1" ht="30" customHeight="1" x14ac:dyDescent="0.3">
      <c r="A138" s="9"/>
      <c r="B138" s="13" t="e">
        <f>VLOOKUP(Table24[[#This Row],[Location 
(drop-down)]],'List source'!D$2:E$60,2,FALSE)</f>
        <v>#N/A</v>
      </c>
      <c r="C138" s="23" t="s">
        <v>376</v>
      </c>
      <c r="D138" s="30" t="e">
        <f t="shared" si="2"/>
        <v>#N/A</v>
      </c>
      <c r="E138" s="11"/>
      <c r="F138" s="126"/>
      <c r="G138" s="12"/>
      <c r="H138" s="12"/>
      <c r="I138" s="12"/>
      <c r="J138" s="10"/>
      <c r="K138" s="10"/>
    </row>
    <row r="139" spans="1:11" s="4" customFormat="1" ht="30" customHeight="1" x14ac:dyDescent="0.3">
      <c r="A139" s="9"/>
      <c r="B139" s="13" t="e">
        <f>VLOOKUP(Table24[[#This Row],[Location 
(drop-down)]],'List source'!D$2:E$60,2,FALSE)</f>
        <v>#N/A</v>
      </c>
      <c r="C139" s="23" t="s">
        <v>378</v>
      </c>
      <c r="D139" s="30" t="e">
        <f t="shared" si="2"/>
        <v>#N/A</v>
      </c>
      <c r="E139" s="11"/>
      <c r="F139" s="126"/>
      <c r="G139" s="12"/>
      <c r="H139" s="12"/>
      <c r="I139" s="12"/>
      <c r="J139" s="10"/>
      <c r="K139" s="10"/>
    </row>
    <row r="140" spans="1:11" s="4" customFormat="1" ht="30" customHeight="1" x14ac:dyDescent="0.3">
      <c r="A140" s="9"/>
      <c r="B140" s="13" t="e">
        <f>VLOOKUP(Table24[[#This Row],[Location 
(drop-down)]],'List source'!D$2:E$60,2,FALSE)</f>
        <v>#N/A</v>
      </c>
      <c r="C140" s="23" t="s">
        <v>380</v>
      </c>
      <c r="D140" s="30" t="e">
        <f t="shared" si="2"/>
        <v>#N/A</v>
      </c>
      <c r="E140" s="11"/>
      <c r="F140" s="126"/>
      <c r="G140" s="12"/>
      <c r="H140" s="12"/>
      <c r="I140" s="12"/>
      <c r="J140" s="10"/>
      <c r="K140" s="10"/>
    </row>
    <row r="141" spans="1:11" s="4" customFormat="1" ht="30" customHeight="1" x14ac:dyDescent="0.3">
      <c r="A141" s="9"/>
      <c r="B141" s="13" t="e">
        <f>VLOOKUP(Table24[[#This Row],[Location 
(drop-down)]],'List source'!D$2:E$60,2,FALSE)</f>
        <v>#N/A</v>
      </c>
      <c r="C141" s="23" t="s">
        <v>381</v>
      </c>
      <c r="D141" s="30" t="e">
        <f t="shared" si="2"/>
        <v>#N/A</v>
      </c>
      <c r="E141" s="11"/>
      <c r="F141" s="126"/>
      <c r="G141" s="12"/>
      <c r="H141" s="12"/>
      <c r="I141" s="12"/>
      <c r="J141" s="10"/>
      <c r="K141" s="10"/>
    </row>
    <row r="142" spans="1:11" s="4" customFormat="1" ht="30" customHeight="1" x14ac:dyDescent="0.3">
      <c r="A142" s="9"/>
      <c r="B142" s="13" t="e">
        <f>VLOOKUP(Table24[[#This Row],[Location 
(drop-down)]],'List source'!D$2:E$60,2,FALSE)</f>
        <v>#N/A</v>
      </c>
      <c r="C142" s="23" t="s">
        <v>382</v>
      </c>
      <c r="D142" s="30" t="e">
        <f t="shared" si="2"/>
        <v>#N/A</v>
      </c>
      <c r="E142" s="11"/>
      <c r="F142" s="126"/>
      <c r="G142" s="12"/>
      <c r="H142" s="12"/>
      <c r="I142" s="12"/>
      <c r="J142" s="10"/>
      <c r="K142" s="10"/>
    </row>
    <row r="143" spans="1:11" s="4" customFormat="1" ht="30" customHeight="1" x14ac:dyDescent="0.3">
      <c r="A143" s="9"/>
      <c r="B143" s="13" t="e">
        <f>VLOOKUP(Table24[[#This Row],[Location 
(drop-down)]],'List source'!D$2:E$60,2,FALSE)</f>
        <v>#N/A</v>
      </c>
      <c r="C143" s="23" t="s">
        <v>383</v>
      </c>
      <c r="D143" s="30" t="e">
        <f t="shared" si="2"/>
        <v>#N/A</v>
      </c>
      <c r="E143" s="11"/>
      <c r="F143" s="126"/>
      <c r="G143" s="12"/>
      <c r="H143" s="12"/>
      <c r="I143" s="12"/>
      <c r="J143" s="10"/>
      <c r="K143" s="10"/>
    </row>
    <row r="144" spans="1:11" s="4" customFormat="1" ht="30" customHeight="1" x14ac:dyDescent="0.3">
      <c r="A144" s="9"/>
      <c r="B144" s="13" t="e">
        <f>VLOOKUP(Table24[[#This Row],[Location 
(drop-down)]],'List source'!D$2:E$60,2,FALSE)</f>
        <v>#N/A</v>
      </c>
      <c r="C144" s="23" t="s">
        <v>386</v>
      </c>
      <c r="D144" s="30" t="e">
        <f t="shared" si="2"/>
        <v>#N/A</v>
      </c>
      <c r="E144" s="11"/>
      <c r="F144" s="126"/>
      <c r="G144" s="12"/>
      <c r="H144" s="12"/>
      <c r="I144" s="12"/>
      <c r="J144" s="10"/>
      <c r="K144" s="10"/>
    </row>
    <row r="145" spans="1:11" s="4" customFormat="1" ht="30" customHeight="1" x14ac:dyDescent="0.3">
      <c r="A145" s="9"/>
      <c r="B145" s="13" t="e">
        <f>VLOOKUP(Table24[[#This Row],[Location 
(drop-down)]],'List source'!D$2:E$60,2,FALSE)</f>
        <v>#N/A</v>
      </c>
      <c r="C145" s="23" t="s">
        <v>389</v>
      </c>
      <c r="D145" s="30" t="e">
        <f t="shared" si="2"/>
        <v>#N/A</v>
      </c>
      <c r="E145" s="11"/>
      <c r="F145" s="126"/>
      <c r="G145" s="12"/>
      <c r="H145" s="12"/>
      <c r="I145" s="12"/>
      <c r="J145" s="10"/>
      <c r="K145" s="10"/>
    </row>
    <row r="146" spans="1:11" s="4" customFormat="1" ht="30" customHeight="1" x14ac:dyDescent="0.3">
      <c r="A146" s="9"/>
      <c r="B146" s="13" t="e">
        <f>VLOOKUP(Table24[[#This Row],[Location 
(drop-down)]],'List source'!D$2:E$60,2,FALSE)</f>
        <v>#N/A</v>
      </c>
      <c r="C146" s="23" t="s">
        <v>390</v>
      </c>
      <c r="D146" s="30" t="e">
        <f t="shared" si="2"/>
        <v>#N/A</v>
      </c>
      <c r="E146" s="11"/>
      <c r="F146" s="126"/>
      <c r="G146" s="12"/>
      <c r="H146" s="12"/>
      <c r="I146" s="12"/>
      <c r="J146" s="10"/>
      <c r="K146" s="10"/>
    </row>
    <row r="147" spans="1:11" s="4" customFormat="1" ht="30" customHeight="1" x14ac:dyDescent="0.3">
      <c r="A147" s="9"/>
      <c r="B147" s="13" t="e">
        <f>VLOOKUP(Table24[[#This Row],[Location 
(drop-down)]],'List source'!D$2:E$60,2,FALSE)</f>
        <v>#N/A</v>
      </c>
      <c r="C147" s="23" t="s">
        <v>392</v>
      </c>
      <c r="D147" s="30" t="e">
        <f t="shared" si="2"/>
        <v>#N/A</v>
      </c>
      <c r="E147" s="11"/>
      <c r="F147" s="129"/>
      <c r="G147" s="12"/>
      <c r="H147" s="12"/>
      <c r="I147" s="21"/>
      <c r="J147" s="13"/>
      <c r="K147" s="10"/>
    </row>
    <row r="148" spans="1:11" s="4" customFormat="1" ht="30" customHeight="1" x14ac:dyDescent="0.3">
      <c r="A148" s="9"/>
      <c r="B148" s="13" t="e">
        <f>VLOOKUP(Table24[[#This Row],[Location 
(drop-down)]],'List source'!D$2:E$60,2,FALSE)</f>
        <v>#N/A</v>
      </c>
      <c r="C148" s="23" t="s">
        <v>395</v>
      </c>
      <c r="D148" s="30" t="e">
        <f t="shared" si="2"/>
        <v>#N/A</v>
      </c>
      <c r="E148" s="11"/>
      <c r="F148" s="130"/>
      <c r="G148" s="12"/>
      <c r="H148" s="12"/>
      <c r="I148" s="111"/>
      <c r="J148" s="112"/>
      <c r="K148" s="114"/>
    </row>
    <row r="149" spans="1:11" s="4" customFormat="1" ht="30" customHeight="1" x14ac:dyDescent="0.3">
      <c r="A149" s="9"/>
      <c r="B149" s="13" t="e">
        <f>VLOOKUP(Table24[[#This Row],[Location 
(drop-down)]],'List source'!D$2:E$60,2,FALSE)</f>
        <v>#N/A</v>
      </c>
      <c r="C149" s="23" t="s">
        <v>398</v>
      </c>
      <c r="D149" s="30" t="e">
        <f t="shared" si="2"/>
        <v>#N/A</v>
      </c>
      <c r="E149" s="11"/>
      <c r="F149" s="129"/>
      <c r="G149" s="12"/>
      <c r="H149" s="12"/>
      <c r="I149" s="21"/>
      <c r="J149" s="13"/>
      <c r="K149" s="10"/>
    </row>
    <row r="150" spans="1:11" s="4" customFormat="1" ht="30" customHeight="1" x14ac:dyDescent="0.3">
      <c r="A150" s="9"/>
      <c r="B150" s="13" t="e">
        <f>VLOOKUP(Table24[[#This Row],[Location 
(drop-down)]],'List source'!D$2:E$60,2,FALSE)</f>
        <v>#N/A</v>
      </c>
      <c r="C150" s="23" t="s">
        <v>400</v>
      </c>
      <c r="D150" s="30" t="e">
        <f t="shared" si="2"/>
        <v>#N/A</v>
      </c>
      <c r="E150" s="11"/>
      <c r="F150" s="130"/>
      <c r="G150" s="12"/>
      <c r="H150" s="12"/>
      <c r="I150" s="111"/>
      <c r="J150" s="112"/>
      <c r="K150" s="114"/>
    </row>
    <row r="151" spans="1:11" s="4" customFormat="1" ht="30" customHeight="1" x14ac:dyDescent="0.3">
      <c r="A151" s="9"/>
      <c r="B151" s="13" t="e">
        <f>VLOOKUP(Table24[[#This Row],[Location 
(drop-down)]],'List source'!D$2:E$60,2,FALSE)</f>
        <v>#N/A</v>
      </c>
      <c r="C151" s="23" t="s">
        <v>403</v>
      </c>
      <c r="D151" s="30" t="e">
        <f t="shared" si="2"/>
        <v>#N/A</v>
      </c>
      <c r="E151" s="11"/>
      <c r="F151" s="129"/>
      <c r="G151" s="12"/>
      <c r="H151" s="12"/>
      <c r="I151" s="21"/>
      <c r="J151" s="13"/>
      <c r="K151" s="10"/>
    </row>
    <row r="152" spans="1:11" s="4" customFormat="1" ht="30" customHeight="1" x14ac:dyDescent="0.3">
      <c r="A152" s="9"/>
      <c r="B152" s="13" t="e">
        <f>VLOOKUP(Table24[[#This Row],[Location 
(drop-down)]],'List source'!D$2:E$60,2,FALSE)</f>
        <v>#N/A</v>
      </c>
      <c r="C152" s="23" t="s">
        <v>406</v>
      </c>
      <c r="D152" s="30" t="e">
        <f t="shared" si="2"/>
        <v>#N/A</v>
      </c>
      <c r="E152" s="11"/>
      <c r="F152" s="130"/>
      <c r="G152" s="12"/>
      <c r="H152" s="12"/>
      <c r="I152" s="21"/>
      <c r="J152" s="112"/>
      <c r="K152" s="114"/>
    </row>
    <row r="153" spans="1:11" s="4" customFormat="1" ht="30" customHeight="1" x14ac:dyDescent="0.3">
      <c r="A153" s="9"/>
      <c r="B153" s="13" t="e">
        <f>VLOOKUP(Table24[[#This Row],[Location 
(drop-down)]],'List source'!D$2:E$60,2,FALSE)</f>
        <v>#N/A</v>
      </c>
      <c r="C153" s="23" t="s">
        <v>408</v>
      </c>
      <c r="D153" s="30" t="e">
        <f t="shared" si="2"/>
        <v>#N/A</v>
      </c>
      <c r="E153" s="11"/>
      <c r="F153" s="129"/>
      <c r="G153" s="12"/>
      <c r="H153" s="12"/>
      <c r="I153" s="21"/>
      <c r="J153" s="13"/>
      <c r="K153" s="10"/>
    </row>
    <row r="154" spans="1:11" s="4" customFormat="1" ht="30" customHeight="1" x14ac:dyDescent="0.3">
      <c r="A154" s="9"/>
      <c r="B154" s="13" t="e">
        <f>VLOOKUP(Table24[[#This Row],[Location 
(drop-down)]],'List source'!D$2:E$60,2,FALSE)</f>
        <v>#N/A</v>
      </c>
      <c r="C154" s="23" t="s">
        <v>411</v>
      </c>
      <c r="D154" s="30" t="e">
        <f t="shared" si="2"/>
        <v>#N/A</v>
      </c>
      <c r="E154" s="11"/>
      <c r="F154" s="130"/>
      <c r="G154" s="111"/>
      <c r="H154" s="115"/>
      <c r="I154" s="111"/>
      <c r="J154" s="10"/>
      <c r="K154" s="114"/>
    </row>
    <row r="155" spans="1:11" s="4" customFormat="1" ht="30" customHeight="1" x14ac:dyDescent="0.3">
      <c r="A155" s="9"/>
      <c r="B155" s="13" t="e">
        <f>VLOOKUP(Table24[[#This Row],[Location 
(drop-down)]],'List source'!D$2:E$60,2,FALSE)</f>
        <v>#N/A</v>
      </c>
      <c r="C155" s="23" t="s">
        <v>413</v>
      </c>
      <c r="D155" s="30" t="e">
        <f t="shared" si="2"/>
        <v>#N/A</v>
      </c>
      <c r="E155" s="11"/>
      <c r="F155" s="129"/>
      <c r="G155" s="21"/>
      <c r="H155" s="14"/>
      <c r="I155" s="21"/>
      <c r="J155" s="10"/>
      <c r="K155" s="10"/>
    </row>
    <row r="156" spans="1:11" s="4" customFormat="1" ht="30" customHeight="1" x14ac:dyDescent="0.3">
      <c r="A156" s="9"/>
      <c r="B156" s="13" t="e">
        <f>VLOOKUP(Table24[[#This Row],[Location 
(drop-down)]],'List source'!D$2:E$60,2,FALSE)</f>
        <v>#N/A</v>
      </c>
      <c r="C156" s="23" t="s">
        <v>416</v>
      </c>
      <c r="D156" s="30" t="e">
        <f t="shared" si="2"/>
        <v>#N/A</v>
      </c>
      <c r="E156" s="11"/>
      <c r="F156" s="130"/>
      <c r="G156" s="111"/>
      <c r="H156" s="115"/>
      <c r="I156" s="111"/>
      <c r="J156" s="10"/>
      <c r="K156" s="114"/>
    </row>
    <row r="157" spans="1:11" s="4" customFormat="1" ht="30" customHeight="1" x14ac:dyDescent="0.3">
      <c r="A157" s="9"/>
      <c r="B157" s="13" t="e">
        <f>VLOOKUP(Table24[[#This Row],[Location 
(drop-down)]],'List source'!D$2:E$60,2,FALSE)</f>
        <v>#N/A</v>
      </c>
      <c r="C157" s="23" t="s">
        <v>419</v>
      </c>
      <c r="D157" s="30" t="e">
        <f t="shared" si="2"/>
        <v>#N/A</v>
      </c>
      <c r="E157" s="11"/>
      <c r="F157" s="129"/>
      <c r="G157" s="21"/>
      <c r="H157" s="14"/>
      <c r="I157" s="21"/>
      <c r="J157" s="10"/>
      <c r="K157" s="10"/>
    </row>
    <row r="158" spans="1:11" s="4" customFormat="1" ht="30" customHeight="1" x14ac:dyDescent="0.3">
      <c r="A158" s="9"/>
      <c r="B158" s="13" t="e">
        <f>VLOOKUP(Table24[[#This Row],[Location 
(drop-down)]],'List source'!D$2:E$60,2,FALSE)</f>
        <v>#N/A</v>
      </c>
      <c r="C158" s="23" t="s">
        <v>420</v>
      </c>
      <c r="D158" s="30" t="e">
        <f t="shared" si="2"/>
        <v>#N/A</v>
      </c>
      <c r="E158" s="11"/>
      <c r="F158" s="130"/>
      <c r="G158" s="111"/>
      <c r="H158" s="116"/>
      <c r="I158" s="113"/>
      <c r="J158" s="112"/>
      <c r="K158" s="114"/>
    </row>
    <row r="159" spans="1:11" s="4" customFormat="1" ht="30" customHeight="1" x14ac:dyDescent="0.3">
      <c r="A159" s="9"/>
      <c r="B159" s="13" t="e">
        <f>VLOOKUP(Table24[[#This Row],[Location 
(drop-down)]],'List source'!D$2:E$60,2,FALSE)</f>
        <v>#N/A</v>
      </c>
      <c r="C159" s="23" t="s">
        <v>422</v>
      </c>
      <c r="D159" s="30" t="e">
        <f t="shared" si="2"/>
        <v>#N/A</v>
      </c>
      <c r="E159" s="11"/>
      <c r="F159" s="129"/>
      <c r="G159" s="21"/>
      <c r="H159" s="11"/>
      <c r="I159" s="21"/>
      <c r="J159" s="13"/>
      <c r="K159" s="10"/>
    </row>
    <row r="160" spans="1:11" s="4" customFormat="1" ht="30" customHeight="1" x14ac:dyDescent="0.3">
      <c r="A160" s="9"/>
      <c r="B160" s="13" t="e">
        <f>VLOOKUP(Table24[[#This Row],[Location 
(drop-down)]],'List source'!D$2:E$60,2,FALSE)</f>
        <v>#N/A</v>
      </c>
      <c r="C160" s="23" t="s">
        <v>424</v>
      </c>
      <c r="D160" s="30" t="e">
        <f t="shared" si="2"/>
        <v>#N/A</v>
      </c>
      <c r="E160" s="11"/>
      <c r="F160" s="130"/>
      <c r="G160" s="111"/>
      <c r="H160" s="116"/>
      <c r="I160" s="111"/>
      <c r="J160" s="112"/>
      <c r="K160" s="114"/>
    </row>
    <row r="161" spans="1:11" s="4" customFormat="1" ht="30" customHeight="1" x14ac:dyDescent="0.3">
      <c r="A161" s="9"/>
      <c r="B161" s="13" t="e">
        <f>VLOOKUP(Table24[[#This Row],[Location 
(drop-down)]],'List source'!D$2:E$60,2,FALSE)</f>
        <v>#N/A</v>
      </c>
      <c r="C161" s="23" t="s">
        <v>426</v>
      </c>
      <c r="D161" s="30" t="e">
        <f t="shared" si="2"/>
        <v>#N/A</v>
      </c>
      <c r="E161" s="11"/>
      <c r="F161" s="129"/>
      <c r="G161" s="21"/>
      <c r="H161" s="11"/>
      <c r="I161" s="21"/>
      <c r="J161" s="13"/>
      <c r="K161" s="10"/>
    </row>
    <row r="162" spans="1:11" s="4" customFormat="1" ht="30" customHeight="1" x14ac:dyDescent="0.3">
      <c r="A162" s="9"/>
      <c r="B162" s="13" t="e">
        <f>VLOOKUP(Table24[[#This Row],[Location 
(drop-down)]],'List source'!D$2:E$60,2,FALSE)</f>
        <v>#N/A</v>
      </c>
      <c r="C162" s="23" t="s">
        <v>430</v>
      </c>
      <c r="D162" s="30" t="e">
        <f t="shared" si="2"/>
        <v>#N/A</v>
      </c>
      <c r="E162" s="11"/>
      <c r="F162" s="130"/>
      <c r="G162" s="111"/>
      <c r="H162" s="116"/>
      <c r="I162" s="111"/>
      <c r="J162" s="112"/>
      <c r="K162" s="114"/>
    </row>
    <row r="163" spans="1:11" s="4" customFormat="1" ht="30" customHeight="1" x14ac:dyDescent="0.3">
      <c r="A163" s="9"/>
      <c r="B163" s="13" t="e">
        <f>VLOOKUP(Table24[[#This Row],[Location 
(drop-down)]],'List source'!D$2:E$60,2,FALSE)</f>
        <v>#N/A</v>
      </c>
      <c r="C163" s="23" t="s">
        <v>431</v>
      </c>
      <c r="D163" s="30" t="e">
        <f t="shared" si="2"/>
        <v>#N/A</v>
      </c>
      <c r="E163" s="11"/>
      <c r="F163" s="129"/>
      <c r="G163" s="21"/>
      <c r="H163" s="11"/>
      <c r="I163" s="21"/>
      <c r="J163" s="13"/>
      <c r="K163" s="10"/>
    </row>
    <row r="164" spans="1:11" s="4" customFormat="1" ht="30" customHeight="1" x14ac:dyDescent="0.3">
      <c r="A164" s="9"/>
      <c r="B164" s="13" t="e">
        <f>VLOOKUP(Table24[[#This Row],[Location 
(drop-down)]],'List source'!D$2:E$60,2,FALSE)</f>
        <v>#N/A</v>
      </c>
      <c r="C164" s="23" t="s">
        <v>433</v>
      </c>
      <c r="D164" s="30" t="e">
        <f t="shared" si="2"/>
        <v>#N/A</v>
      </c>
      <c r="E164" s="11"/>
      <c r="F164" s="130"/>
      <c r="G164" s="21"/>
      <c r="H164" s="116"/>
      <c r="I164" s="117"/>
      <c r="J164" s="112"/>
      <c r="K164" s="114"/>
    </row>
    <row r="165" spans="1:11" s="4" customFormat="1" ht="30" customHeight="1" x14ac:dyDescent="0.3">
      <c r="A165" s="9"/>
      <c r="B165" s="13" t="e">
        <f>VLOOKUP(Table24[[#This Row],[Location 
(drop-down)]],'List source'!D$2:E$60,2,FALSE)</f>
        <v>#N/A</v>
      </c>
      <c r="C165" s="23" t="s">
        <v>434</v>
      </c>
      <c r="D165" s="30" t="e">
        <f t="shared" si="2"/>
        <v>#N/A</v>
      </c>
      <c r="E165" s="11"/>
      <c r="F165" s="129"/>
      <c r="G165" s="12"/>
      <c r="H165" s="11"/>
      <c r="I165" s="12"/>
      <c r="J165" s="13"/>
      <c r="K165" s="10"/>
    </row>
    <row r="166" spans="1:11" s="4" customFormat="1" ht="30" customHeight="1" x14ac:dyDescent="0.3">
      <c r="A166" s="9"/>
      <c r="B166" s="13" t="e">
        <f>VLOOKUP(Table24[[#This Row],[Location 
(drop-down)]],'List source'!D$2:E$60,2,FALSE)</f>
        <v>#N/A</v>
      </c>
      <c r="C166" s="23" t="s">
        <v>437</v>
      </c>
      <c r="D166" s="30" t="e">
        <f t="shared" si="2"/>
        <v>#N/A</v>
      </c>
      <c r="E166" s="11"/>
      <c r="F166" s="130"/>
      <c r="G166" s="21"/>
      <c r="H166" s="116"/>
      <c r="I166" s="111"/>
      <c r="J166" s="112"/>
      <c r="K166" s="114"/>
    </row>
    <row r="167" spans="1:11" s="4" customFormat="1" ht="30" customHeight="1" x14ac:dyDescent="0.3">
      <c r="A167" s="9"/>
      <c r="B167" s="13" t="e">
        <f>VLOOKUP(Table24[[#This Row],[Location 
(drop-down)]],'List source'!D$2:E$60,2,FALSE)</f>
        <v>#N/A</v>
      </c>
      <c r="C167" s="23" t="s">
        <v>439</v>
      </c>
      <c r="D167" s="30" t="e">
        <f t="shared" si="2"/>
        <v>#N/A</v>
      </c>
      <c r="E167" s="11"/>
      <c r="F167" s="129"/>
      <c r="G167" s="21"/>
      <c r="H167" s="11"/>
      <c r="I167" s="13"/>
      <c r="J167" s="13"/>
      <c r="K167" s="10"/>
    </row>
    <row r="168" spans="1:11" s="4" customFormat="1" ht="30" customHeight="1" x14ac:dyDescent="0.3">
      <c r="A168" s="9"/>
      <c r="B168" s="13" t="e">
        <f>VLOOKUP(Table24[[#This Row],[Location 
(drop-down)]],'List source'!D$2:E$60,2,FALSE)</f>
        <v>#N/A</v>
      </c>
      <c r="C168" s="23" t="s">
        <v>441</v>
      </c>
      <c r="D168" s="30" t="e">
        <f t="shared" si="2"/>
        <v>#N/A</v>
      </c>
      <c r="E168" s="11"/>
      <c r="F168" s="130"/>
      <c r="G168" s="21"/>
      <c r="H168" s="116"/>
      <c r="I168" s="111"/>
      <c r="J168" s="112"/>
      <c r="K168" s="114"/>
    </row>
    <row r="169" spans="1:11" s="4" customFormat="1" ht="30" customHeight="1" x14ac:dyDescent="0.3">
      <c r="A169" s="9"/>
      <c r="B169" s="13" t="e">
        <f>VLOOKUP(Table24[[#This Row],[Location 
(drop-down)]],'List source'!D$2:E$60,2,FALSE)</f>
        <v>#N/A</v>
      </c>
      <c r="C169" s="23" t="s">
        <v>443</v>
      </c>
      <c r="D169" s="30" t="e">
        <f t="shared" si="2"/>
        <v>#N/A</v>
      </c>
      <c r="E169" s="11"/>
      <c r="F169" s="126"/>
      <c r="G169" s="21"/>
      <c r="H169" s="12"/>
      <c r="I169" s="12"/>
      <c r="J169" s="10"/>
      <c r="K169" s="10"/>
    </row>
    <row r="170" spans="1:11" s="4" customFormat="1" ht="30" customHeight="1" x14ac:dyDescent="0.3">
      <c r="A170" s="9"/>
      <c r="B170" s="13" t="e">
        <f>VLOOKUP(Table24[[#This Row],[Location 
(drop-down)]],'List source'!D$2:E$60,2,FALSE)</f>
        <v>#N/A</v>
      </c>
      <c r="C170" s="23" t="s">
        <v>445</v>
      </c>
      <c r="D170" s="30" t="e">
        <f t="shared" si="2"/>
        <v>#N/A</v>
      </c>
      <c r="E170" s="11"/>
      <c r="F170" s="126"/>
      <c r="G170" s="21"/>
      <c r="H170" s="12"/>
      <c r="I170" s="12"/>
      <c r="J170" s="10"/>
      <c r="K170" s="10"/>
    </row>
    <row r="171" spans="1:11" s="4" customFormat="1" ht="30" customHeight="1" x14ac:dyDescent="0.3">
      <c r="A171" s="9"/>
      <c r="B171" s="13" t="e">
        <f>VLOOKUP(Table24[[#This Row],[Location 
(drop-down)]],'List source'!D$2:E$60,2,FALSE)</f>
        <v>#N/A</v>
      </c>
      <c r="C171" s="23" t="s">
        <v>449</v>
      </c>
      <c r="D171" s="30" t="e">
        <f t="shared" si="2"/>
        <v>#N/A</v>
      </c>
      <c r="E171" s="11"/>
      <c r="F171" s="126"/>
      <c r="G171" s="21"/>
      <c r="H171" s="12"/>
      <c r="I171" s="12"/>
      <c r="J171" s="10"/>
      <c r="K171" s="10"/>
    </row>
    <row r="172" spans="1:11" s="4" customFormat="1" ht="30" customHeight="1" x14ac:dyDescent="0.3">
      <c r="A172" s="9"/>
      <c r="B172" s="13" t="e">
        <f>VLOOKUP(Table24[[#This Row],[Location 
(drop-down)]],'List source'!D$2:E$60,2,FALSE)</f>
        <v>#N/A</v>
      </c>
      <c r="C172" s="23" t="s">
        <v>452</v>
      </c>
      <c r="D172" s="30" t="e">
        <f t="shared" si="2"/>
        <v>#N/A</v>
      </c>
      <c r="E172" s="11"/>
      <c r="F172" s="126"/>
      <c r="G172" s="21"/>
      <c r="H172" s="12"/>
      <c r="I172" s="12"/>
      <c r="J172" s="10"/>
      <c r="K172" s="10"/>
    </row>
    <row r="173" spans="1:11" s="4" customFormat="1" ht="30" customHeight="1" x14ac:dyDescent="0.3">
      <c r="A173" s="9"/>
      <c r="B173" s="13" t="e">
        <f>VLOOKUP(Table24[[#This Row],[Location 
(drop-down)]],'List source'!D$2:E$60,2,FALSE)</f>
        <v>#N/A</v>
      </c>
      <c r="C173" s="23" t="s">
        <v>453</v>
      </c>
      <c r="D173" s="30" t="e">
        <f t="shared" si="2"/>
        <v>#N/A</v>
      </c>
      <c r="E173" s="11"/>
      <c r="F173" s="126"/>
      <c r="G173" s="21"/>
      <c r="H173" s="12"/>
      <c r="I173" s="12"/>
      <c r="J173" s="10"/>
      <c r="K173" s="10"/>
    </row>
    <row r="174" spans="1:11" s="4" customFormat="1" ht="30" customHeight="1" x14ac:dyDescent="0.3">
      <c r="A174" s="9"/>
      <c r="B174" s="13" t="e">
        <f>VLOOKUP(Table24[[#This Row],[Location 
(drop-down)]],'List source'!D$2:E$60,2,FALSE)</f>
        <v>#N/A</v>
      </c>
      <c r="C174" s="23" t="s">
        <v>454</v>
      </c>
      <c r="D174" s="30" t="e">
        <f t="shared" si="2"/>
        <v>#N/A</v>
      </c>
      <c r="E174" s="11"/>
      <c r="F174" s="126"/>
      <c r="G174" s="21"/>
      <c r="H174" s="12"/>
      <c r="I174" s="12"/>
      <c r="J174" s="10"/>
      <c r="K174" s="10"/>
    </row>
    <row r="175" spans="1:11" s="4" customFormat="1" ht="30" customHeight="1" x14ac:dyDescent="0.3">
      <c r="A175" s="9"/>
      <c r="B175" s="13" t="e">
        <f>VLOOKUP(Table24[[#This Row],[Location 
(drop-down)]],'List source'!D$2:E$60,2,FALSE)</f>
        <v>#N/A</v>
      </c>
      <c r="C175" s="23" t="s">
        <v>455</v>
      </c>
      <c r="D175" s="30" t="e">
        <f t="shared" si="2"/>
        <v>#N/A</v>
      </c>
      <c r="E175" s="11"/>
      <c r="F175" s="126"/>
      <c r="G175" s="21"/>
      <c r="H175" s="12"/>
      <c r="I175" s="12"/>
      <c r="J175" s="10"/>
      <c r="K175" s="10"/>
    </row>
    <row r="176" spans="1:11" s="4" customFormat="1" ht="30" customHeight="1" x14ac:dyDescent="0.3">
      <c r="A176" s="9"/>
      <c r="B176" s="13" t="e">
        <f>VLOOKUP(Table24[[#This Row],[Location 
(drop-down)]],'List source'!D$2:E$60,2,FALSE)</f>
        <v>#N/A</v>
      </c>
      <c r="C176" s="23" t="s">
        <v>456</v>
      </c>
      <c r="D176" s="30" t="e">
        <f t="shared" si="2"/>
        <v>#N/A</v>
      </c>
      <c r="E176" s="11"/>
      <c r="F176" s="126"/>
      <c r="G176" s="21"/>
      <c r="H176" s="12"/>
      <c r="I176" s="12"/>
      <c r="J176" s="10"/>
      <c r="K176" s="10"/>
    </row>
    <row r="177" spans="1:11" s="4" customFormat="1" ht="30" customHeight="1" x14ac:dyDescent="0.3">
      <c r="A177" s="9"/>
      <c r="B177" s="13" t="e">
        <f>VLOOKUP(Table24[[#This Row],[Location 
(drop-down)]],'List source'!D$2:E$60,2,FALSE)</f>
        <v>#N/A</v>
      </c>
      <c r="C177" s="23" t="s">
        <v>457</v>
      </c>
      <c r="D177" s="30" t="e">
        <f t="shared" si="2"/>
        <v>#N/A</v>
      </c>
      <c r="E177" s="11"/>
      <c r="F177" s="126"/>
      <c r="G177" s="21"/>
      <c r="H177" s="12"/>
      <c r="I177" s="12"/>
      <c r="J177" s="10"/>
      <c r="K177" s="10"/>
    </row>
    <row r="178" spans="1:11" s="4" customFormat="1" ht="30" customHeight="1" x14ac:dyDescent="0.3">
      <c r="A178" s="9"/>
      <c r="B178" s="13" t="e">
        <f>VLOOKUP(Table24[[#This Row],[Location 
(drop-down)]],'List source'!D$2:E$60,2,FALSE)</f>
        <v>#N/A</v>
      </c>
      <c r="C178" s="23" t="s">
        <v>458</v>
      </c>
      <c r="D178" s="30" t="e">
        <f t="shared" si="2"/>
        <v>#N/A</v>
      </c>
      <c r="E178" s="11"/>
      <c r="F178" s="126"/>
      <c r="G178" s="21"/>
      <c r="H178" s="12"/>
      <c r="I178" s="12"/>
      <c r="J178" s="10"/>
      <c r="K178" s="10"/>
    </row>
    <row r="179" spans="1:11" s="4" customFormat="1" ht="30" customHeight="1" x14ac:dyDescent="0.3">
      <c r="A179" s="9"/>
      <c r="B179" s="13" t="e">
        <f>VLOOKUP(Table24[[#This Row],[Location 
(drop-down)]],'List source'!D$2:E$60,2,FALSE)</f>
        <v>#N/A</v>
      </c>
      <c r="C179" s="23" t="s">
        <v>459</v>
      </c>
      <c r="D179" s="30" t="e">
        <f t="shared" si="2"/>
        <v>#N/A</v>
      </c>
      <c r="E179" s="11"/>
      <c r="F179" s="126"/>
      <c r="G179" s="21"/>
      <c r="H179" s="12"/>
      <c r="I179" s="12"/>
      <c r="J179" s="10"/>
      <c r="K179" s="10"/>
    </row>
    <row r="180" spans="1:11" s="4" customFormat="1" ht="30" customHeight="1" x14ac:dyDescent="0.3">
      <c r="A180" s="9"/>
      <c r="B180" s="13" t="e">
        <f>VLOOKUP(Table24[[#This Row],[Location 
(drop-down)]],'List source'!D$2:E$60,2,FALSE)</f>
        <v>#N/A</v>
      </c>
      <c r="C180" s="23" t="s">
        <v>460</v>
      </c>
      <c r="D180" s="30" t="e">
        <f t="shared" si="2"/>
        <v>#N/A</v>
      </c>
      <c r="E180" s="11"/>
      <c r="F180" s="126"/>
      <c r="G180" s="21"/>
      <c r="H180" s="12"/>
      <c r="I180" s="12"/>
      <c r="J180" s="10"/>
      <c r="K180" s="10"/>
    </row>
    <row r="181" spans="1:11" s="4" customFormat="1" ht="30" customHeight="1" x14ac:dyDescent="0.3">
      <c r="A181" s="9"/>
      <c r="B181" s="13" t="e">
        <f>VLOOKUP(Table24[[#This Row],[Location 
(drop-down)]],'List source'!D$2:E$60,2,FALSE)</f>
        <v>#N/A</v>
      </c>
      <c r="C181" s="23" t="s">
        <v>461</v>
      </c>
      <c r="D181" s="30" t="e">
        <f t="shared" si="2"/>
        <v>#N/A</v>
      </c>
      <c r="E181" s="11"/>
      <c r="F181" s="126"/>
      <c r="G181" s="21"/>
      <c r="H181" s="12"/>
      <c r="I181" s="12"/>
      <c r="J181" s="10"/>
      <c r="K181" s="10"/>
    </row>
    <row r="182" spans="1:11" s="4" customFormat="1" ht="30" customHeight="1" x14ac:dyDescent="0.3">
      <c r="A182" s="9"/>
      <c r="B182" s="13" t="e">
        <f>VLOOKUP(Table24[[#This Row],[Location 
(drop-down)]],'List source'!D$2:E$60,2,FALSE)</f>
        <v>#N/A</v>
      </c>
      <c r="C182" s="23" t="s">
        <v>462</v>
      </c>
      <c r="D182" s="30" t="e">
        <f t="shared" si="2"/>
        <v>#N/A</v>
      </c>
      <c r="E182" s="11"/>
      <c r="F182" s="126"/>
      <c r="G182" s="21"/>
      <c r="H182" s="12"/>
      <c r="I182" s="12"/>
      <c r="J182" s="10"/>
      <c r="K182" s="10"/>
    </row>
    <row r="183" spans="1:11" s="4" customFormat="1" ht="30" customHeight="1" x14ac:dyDescent="0.3">
      <c r="A183" s="9"/>
      <c r="B183" s="13" t="e">
        <f>VLOOKUP(Table24[[#This Row],[Location 
(drop-down)]],'List source'!D$2:E$60,2,FALSE)</f>
        <v>#N/A</v>
      </c>
      <c r="C183" s="23" t="s">
        <v>463</v>
      </c>
      <c r="D183" s="30" t="e">
        <f t="shared" si="2"/>
        <v>#N/A</v>
      </c>
      <c r="E183" s="11"/>
      <c r="F183" s="126"/>
      <c r="G183" s="21"/>
      <c r="H183" s="12"/>
      <c r="I183" s="12"/>
      <c r="J183" s="10"/>
      <c r="K183" s="10"/>
    </row>
    <row r="184" spans="1:11" s="4" customFormat="1" ht="30" customHeight="1" x14ac:dyDescent="0.3">
      <c r="A184" s="9"/>
      <c r="B184" s="13" t="e">
        <f>VLOOKUP(Table24[[#This Row],[Location 
(drop-down)]],'List source'!D$2:E$60,2,FALSE)</f>
        <v>#N/A</v>
      </c>
      <c r="C184" s="23" t="s">
        <v>464</v>
      </c>
      <c r="D184" s="30" t="e">
        <f t="shared" si="2"/>
        <v>#N/A</v>
      </c>
      <c r="E184" s="11"/>
      <c r="F184" s="126"/>
      <c r="G184" s="21"/>
      <c r="H184" s="12"/>
      <c r="I184" s="12"/>
      <c r="J184" s="10"/>
      <c r="K184" s="10"/>
    </row>
    <row r="185" spans="1:11" s="4" customFormat="1" ht="30" customHeight="1" x14ac:dyDescent="0.3">
      <c r="A185" s="9"/>
      <c r="B185" s="13" t="e">
        <f>VLOOKUP(Table24[[#This Row],[Location 
(drop-down)]],'List source'!D$2:E$60,2,FALSE)</f>
        <v>#N/A</v>
      </c>
      <c r="C185" s="23" t="s">
        <v>465</v>
      </c>
      <c r="D185" s="30" t="e">
        <f t="shared" si="2"/>
        <v>#N/A</v>
      </c>
      <c r="E185" s="11"/>
      <c r="F185" s="126"/>
      <c r="G185" s="21"/>
      <c r="H185" s="12"/>
      <c r="I185" s="12"/>
      <c r="J185" s="10"/>
      <c r="K185" s="10"/>
    </row>
    <row r="186" spans="1:11" s="4" customFormat="1" ht="30" customHeight="1" x14ac:dyDescent="0.3">
      <c r="A186" s="9"/>
      <c r="B186" s="13" t="e">
        <f>VLOOKUP(Table24[[#This Row],[Location 
(drop-down)]],'List source'!D$2:E$60,2,FALSE)</f>
        <v>#N/A</v>
      </c>
      <c r="C186" s="23" t="s">
        <v>466</v>
      </c>
      <c r="D186" s="30" t="e">
        <f t="shared" si="2"/>
        <v>#N/A</v>
      </c>
      <c r="E186" s="11"/>
      <c r="F186" s="126"/>
      <c r="G186" s="21"/>
      <c r="H186" s="12"/>
      <c r="I186" s="12"/>
      <c r="J186" s="10"/>
      <c r="K186" s="10"/>
    </row>
    <row r="187" spans="1:11" s="4" customFormat="1" ht="30" customHeight="1" x14ac:dyDescent="0.3">
      <c r="A187" s="9"/>
      <c r="B187" s="13" t="e">
        <f>VLOOKUP(Table24[[#This Row],[Location 
(drop-down)]],'List source'!D$2:E$60,2,FALSE)</f>
        <v>#N/A</v>
      </c>
      <c r="C187" s="23" t="s">
        <v>467</v>
      </c>
      <c r="D187" s="30" t="e">
        <f t="shared" si="2"/>
        <v>#N/A</v>
      </c>
      <c r="E187" s="11"/>
      <c r="F187" s="126"/>
      <c r="G187" s="21"/>
      <c r="H187" s="12"/>
      <c r="I187" s="12"/>
      <c r="J187" s="10"/>
      <c r="K187" s="10"/>
    </row>
    <row r="188" spans="1:11" s="4" customFormat="1" ht="30" customHeight="1" x14ac:dyDescent="0.3">
      <c r="A188" s="9"/>
      <c r="B188" s="13" t="e">
        <f>VLOOKUP(Table24[[#This Row],[Location 
(drop-down)]],'List source'!D$2:E$60,2,FALSE)</f>
        <v>#N/A</v>
      </c>
      <c r="C188" s="23" t="s">
        <v>468</v>
      </c>
      <c r="D188" s="30" t="e">
        <f t="shared" si="2"/>
        <v>#N/A</v>
      </c>
      <c r="E188" s="11"/>
      <c r="F188" s="126"/>
      <c r="G188" s="21"/>
      <c r="H188" s="12"/>
      <c r="I188" s="12"/>
      <c r="J188" s="10"/>
      <c r="K188" s="10"/>
    </row>
    <row r="189" spans="1:11" s="4" customFormat="1" ht="30" customHeight="1" x14ac:dyDescent="0.3">
      <c r="A189" s="9"/>
      <c r="B189" s="13" t="e">
        <f>VLOOKUP(Table24[[#This Row],[Location 
(drop-down)]],'List source'!D$2:E$60,2,FALSE)</f>
        <v>#N/A</v>
      </c>
      <c r="C189" s="23" t="s">
        <v>469</v>
      </c>
      <c r="D189" s="30" t="e">
        <f t="shared" si="2"/>
        <v>#N/A</v>
      </c>
      <c r="E189" s="11"/>
      <c r="F189" s="126"/>
      <c r="G189" s="21"/>
      <c r="H189" s="12"/>
      <c r="I189" s="12"/>
      <c r="J189" s="10"/>
      <c r="K189" s="10"/>
    </row>
    <row r="190" spans="1:11" s="4" customFormat="1" ht="30" customHeight="1" x14ac:dyDescent="0.3">
      <c r="A190" s="9"/>
      <c r="B190" s="13" t="e">
        <f>VLOOKUP(Table24[[#This Row],[Location 
(drop-down)]],'List source'!D$2:E$60,2,FALSE)</f>
        <v>#N/A</v>
      </c>
      <c r="C190" s="23" t="s">
        <v>470</v>
      </c>
      <c r="D190" s="30" t="e">
        <f t="shared" si="2"/>
        <v>#N/A</v>
      </c>
      <c r="E190" s="11"/>
      <c r="F190" s="126"/>
      <c r="G190" s="21"/>
      <c r="H190" s="12"/>
      <c r="I190" s="12"/>
      <c r="J190" s="10"/>
      <c r="K190" s="10"/>
    </row>
    <row r="191" spans="1:11" s="4" customFormat="1" ht="30" customHeight="1" x14ac:dyDescent="0.3">
      <c r="A191" s="9"/>
      <c r="B191" s="13" t="e">
        <f>VLOOKUP(Table24[[#This Row],[Location 
(drop-down)]],'List source'!D$2:E$60,2,FALSE)</f>
        <v>#N/A</v>
      </c>
      <c r="C191" s="23" t="s">
        <v>471</v>
      </c>
      <c r="D191" s="30" t="e">
        <f t="shared" si="2"/>
        <v>#N/A</v>
      </c>
      <c r="E191" s="11"/>
      <c r="F191" s="126"/>
      <c r="G191" s="21"/>
      <c r="H191" s="12"/>
      <c r="I191" s="12"/>
      <c r="J191" s="10"/>
      <c r="K191" s="10"/>
    </row>
    <row r="192" spans="1:11" s="4" customFormat="1" ht="30" customHeight="1" x14ac:dyDescent="0.3">
      <c r="A192" s="9"/>
      <c r="B192" s="13" t="e">
        <f>VLOOKUP(Table24[[#This Row],[Location 
(drop-down)]],'List source'!D$2:E$60,2,FALSE)</f>
        <v>#N/A</v>
      </c>
      <c r="C192" s="23" t="s">
        <v>472</v>
      </c>
      <c r="D192" s="30" t="e">
        <f t="shared" si="2"/>
        <v>#N/A</v>
      </c>
      <c r="E192" s="11"/>
      <c r="F192" s="126"/>
      <c r="G192" s="21"/>
      <c r="H192" s="12"/>
      <c r="I192" s="12"/>
      <c r="J192" s="10"/>
      <c r="K192" s="10"/>
    </row>
    <row r="193" spans="1:11" s="4" customFormat="1" ht="30" customHeight="1" x14ac:dyDescent="0.3">
      <c r="A193" s="9"/>
      <c r="B193" s="13" t="e">
        <f>VLOOKUP(Table24[[#This Row],[Location 
(drop-down)]],'List source'!D$2:E$60,2,FALSE)</f>
        <v>#N/A</v>
      </c>
      <c r="C193" s="23" t="s">
        <v>473</v>
      </c>
      <c r="D193" s="30" t="e">
        <f t="shared" si="2"/>
        <v>#N/A</v>
      </c>
      <c r="E193" s="11"/>
      <c r="F193" s="126"/>
      <c r="G193" s="21"/>
      <c r="H193" s="12"/>
      <c r="I193" s="12"/>
      <c r="J193" s="10"/>
      <c r="K193" s="10"/>
    </row>
    <row r="194" spans="1:11" s="4" customFormat="1" ht="30" customHeight="1" x14ac:dyDescent="0.3">
      <c r="A194" s="9"/>
      <c r="B194" s="13" t="e">
        <f>VLOOKUP(Table24[[#This Row],[Location 
(drop-down)]],'List source'!D$2:E$60,2,FALSE)</f>
        <v>#N/A</v>
      </c>
      <c r="C194" s="23" t="s">
        <v>474</v>
      </c>
      <c r="D194" s="30" t="e">
        <f t="shared" ref="D194:D257" si="3">"P" &amp; C194 &amp; "-" &amp; B194 &amp; "-" &amp; "24"</f>
        <v>#N/A</v>
      </c>
      <c r="E194" s="11"/>
      <c r="F194" s="126"/>
      <c r="G194" s="21"/>
      <c r="H194" s="12"/>
      <c r="I194" s="12"/>
      <c r="J194" s="10"/>
      <c r="K194" s="10"/>
    </row>
    <row r="195" spans="1:11" s="4" customFormat="1" ht="30" customHeight="1" x14ac:dyDescent="0.3">
      <c r="A195" s="9"/>
      <c r="B195" s="13" t="e">
        <f>VLOOKUP(Table24[[#This Row],[Location 
(drop-down)]],'List source'!D$2:E$60,2,FALSE)</f>
        <v>#N/A</v>
      </c>
      <c r="C195" s="23" t="s">
        <v>475</v>
      </c>
      <c r="D195" s="30" t="e">
        <f t="shared" si="3"/>
        <v>#N/A</v>
      </c>
      <c r="E195" s="11"/>
      <c r="F195" s="126"/>
      <c r="G195" s="21"/>
      <c r="H195" s="12"/>
      <c r="I195" s="12"/>
      <c r="J195" s="10"/>
      <c r="K195" s="10"/>
    </row>
    <row r="196" spans="1:11" s="4" customFormat="1" ht="30" customHeight="1" x14ac:dyDescent="0.3">
      <c r="A196" s="9"/>
      <c r="B196" s="13" t="e">
        <f>VLOOKUP(Table24[[#This Row],[Location 
(drop-down)]],'List source'!D$2:E$60,2,FALSE)</f>
        <v>#N/A</v>
      </c>
      <c r="C196" s="23" t="s">
        <v>476</v>
      </c>
      <c r="D196" s="30" t="e">
        <f t="shared" si="3"/>
        <v>#N/A</v>
      </c>
      <c r="E196" s="11"/>
      <c r="F196" s="126"/>
      <c r="G196" s="21"/>
      <c r="H196" s="12"/>
      <c r="I196" s="12"/>
      <c r="J196" s="10"/>
      <c r="K196" s="10"/>
    </row>
    <row r="197" spans="1:11" s="4" customFormat="1" ht="30" customHeight="1" x14ac:dyDescent="0.3">
      <c r="A197" s="9"/>
      <c r="B197" s="13" t="e">
        <f>VLOOKUP(Table24[[#This Row],[Location 
(drop-down)]],'List source'!D$2:E$60,2,FALSE)</f>
        <v>#N/A</v>
      </c>
      <c r="C197" s="23" t="s">
        <v>477</v>
      </c>
      <c r="D197" s="30" t="e">
        <f t="shared" si="3"/>
        <v>#N/A</v>
      </c>
      <c r="E197" s="11"/>
      <c r="F197" s="126"/>
      <c r="G197" s="21"/>
      <c r="H197" s="12"/>
      <c r="I197" s="12"/>
      <c r="J197" s="10"/>
      <c r="K197" s="10"/>
    </row>
    <row r="198" spans="1:11" s="4" customFormat="1" ht="30" customHeight="1" x14ac:dyDescent="0.3">
      <c r="A198" s="9"/>
      <c r="B198" s="13" t="e">
        <f>VLOOKUP(Table24[[#This Row],[Location 
(drop-down)]],'List source'!D$2:E$60,2,FALSE)</f>
        <v>#N/A</v>
      </c>
      <c r="C198" s="23" t="s">
        <v>478</v>
      </c>
      <c r="D198" s="30" t="e">
        <f t="shared" si="3"/>
        <v>#N/A</v>
      </c>
      <c r="E198" s="11"/>
      <c r="F198" s="126"/>
      <c r="G198" s="21"/>
      <c r="H198" s="12"/>
      <c r="I198" s="12"/>
      <c r="J198" s="10"/>
      <c r="K198" s="10"/>
    </row>
    <row r="199" spans="1:11" s="4" customFormat="1" ht="30" customHeight="1" x14ac:dyDescent="0.3">
      <c r="A199" s="9"/>
      <c r="B199" s="13" t="e">
        <f>VLOOKUP(Table24[[#This Row],[Location 
(drop-down)]],'List source'!D$2:E$60,2,FALSE)</f>
        <v>#N/A</v>
      </c>
      <c r="C199" s="23" t="s">
        <v>479</v>
      </c>
      <c r="D199" s="30" t="e">
        <f t="shared" si="3"/>
        <v>#N/A</v>
      </c>
      <c r="E199" s="11"/>
      <c r="F199" s="126"/>
      <c r="G199" s="21"/>
      <c r="H199" s="12"/>
      <c r="I199" s="12"/>
      <c r="J199" s="10"/>
      <c r="K199" s="10"/>
    </row>
    <row r="200" spans="1:11" s="4" customFormat="1" ht="30" customHeight="1" x14ac:dyDescent="0.3">
      <c r="A200" s="9"/>
      <c r="B200" s="13" t="e">
        <f>VLOOKUP(Table24[[#This Row],[Location 
(drop-down)]],'List source'!D$2:E$60,2,FALSE)</f>
        <v>#N/A</v>
      </c>
      <c r="C200" s="23" t="s">
        <v>480</v>
      </c>
      <c r="D200" s="30" t="e">
        <f t="shared" si="3"/>
        <v>#N/A</v>
      </c>
      <c r="E200" s="11"/>
      <c r="F200" s="126"/>
      <c r="G200" s="21"/>
      <c r="H200" s="12"/>
      <c r="I200" s="12"/>
      <c r="J200" s="10"/>
      <c r="K200" s="10"/>
    </row>
    <row r="201" spans="1:11" s="4" customFormat="1" ht="30" customHeight="1" x14ac:dyDescent="0.3">
      <c r="A201" s="9"/>
      <c r="B201" s="13" t="e">
        <f>VLOOKUP(Table24[[#This Row],[Location 
(drop-down)]],'List source'!D$2:E$60,2,FALSE)</f>
        <v>#N/A</v>
      </c>
      <c r="C201" s="23" t="s">
        <v>481</v>
      </c>
      <c r="D201" s="30" t="e">
        <f t="shared" si="3"/>
        <v>#N/A</v>
      </c>
      <c r="E201" s="11"/>
      <c r="F201" s="126"/>
      <c r="G201" s="21"/>
      <c r="H201" s="12"/>
      <c r="I201" s="12"/>
      <c r="J201" s="10"/>
      <c r="K201" s="10"/>
    </row>
    <row r="202" spans="1:11" s="4" customFormat="1" ht="30" customHeight="1" x14ac:dyDescent="0.3">
      <c r="A202" s="9"/>
      <c r="B202" s="13" t="e">
        <f>VLOOKUP(Table24[[#This Row],[Location 
(drop-down)]],'List source'!D$2:E$60,2,FALSE)</f>
        <v>#N/A</v>
      </c>
      <c r="C202" s="23" t="s">
        <v>771</v>
      </c>
      <c r="D202" s="30" t="e">
        <f t="shared" si="3"/>
        <v>#N/A</v>
      </c>
      <c r="E202" s="11"/>
      <c r="F202" s="126"/>
      <c r="G202" s="21"/>
      <c r="H202" s="12"/>
      <c r="I202" s="12"/>
      <c r="J202" s="10"/>
      <c r="K202" s="10"/>
    </row>
    <row r="203" spans="1:11" s="4" customFormat="1" ht="30" customHeight="1" x14ac:dyDescent="0.3">
      <c r="A203" s="9"/>
      <c r="B203" s="13" t="e">
        <f>VLOOKUP(Table24[[#This Row],[Location 
(drop-down)]],'List source'!D$2:E$60,2,FALSE)</f>
        <v>#N/A</v>
      </c>
      <c r="C203" s="23" t="s">
        <v>773</v>
      </c>
      <c r="D203" s="30" t="e">
        <f t="shared" si="3"/>
        <v>#N/A</v>
      </c>
      <c r="E203" s="11"/>
      <c r="F203" s="126"/>
      <c r="G203" s="21"/>
      <c r="H203" s="12"/>
      <c r="I203" s="12"/>
      <c r="J203" s="10"/>
      <c r="K203" s="10"/>
    </row>
    <row r="204" spans="1:11" s="4" customFormat="1" ht="30" customHeight="1" x14ac:dyDescent="0.3">
      <c r="A204" s="9"/>
      <c r="B204" s="13" t="e">
        <f>VLOOKUP(Table24[[#This Row],[Location 
(drop-down)]],'List source'!D$2:E$60,2,FALSE)</f>
        <v>#N/A</v>
      </c>
      <c r="C204" s="23" t="s">
        <v>776</v>
      </c>
      <c r="D204" s="30" t="e">
        <f t="shared" si="3"/>
        <v>#N/A</v>
      </c>
      <c r="E204" s="11"/>
      <c r="F204" s="126"/>
      <c r="G204" s="14"/>
      <c r="H204" s="12"/>
      <c r="I204" s="12"/>
      <c r="J204" s="10"/>
      <c r="K204" s="10"/>
    </row>
    <row r="205" spans="1:11" s="4" customFormat="1" ht="30" customHeight="1" x14ac:dyDescent="0.3">
      <c r="A205" s="9"/>
      <c r="B205" s="13" t="e">
        <f>VLOOKUP(Table24[[#This Row],[Location 
(drop-down)]],'List source'!D$2:E$60,2,FALSE)</f>
        <v>#N/A</v>
      </c>
      <c r="C205" s="23" t="s">
        <v>778</v>
      </c>
      <c r="D205" s="30" t="e">
        <f t="shared" si="3"/>
        <v>#N/A</v>
      </c>
      <c r="E205" s="11"/>
      <c r="F205" s="126"/>
      <c r="G205" s="21"/>
      <c r="H205" s="12"/>
      <c r="I205" s="12"/>
      <c r="J205" s="10"/>
      <c r="K205" s="10"/>
    </row>
    <row r="206" spans="1:11" s="4" customFormat="1" ht="30" customHeight="1" x14ac:dyDescent="0.3">
      <c r="A206" s="9"/>
      <c r="B206" s="13" t="e">
        <f>VLOOKUP(Table24[[#This Row],[Location 
(drop-down)]],'List source'!D$2:E$60,2,FALSE)</f>
        <v>#N/A</v>
      </c>
      <c r="C206" s="23" t="s">
        <v>781</v>
      </c>
      <c r="D206" s="30" t="e">
        <f t="shared" si="3"/>
        <v>#N/A</v>
      </c>
      <c r="E206" s="11"/>
      <c r="F206" s="126"/>
      <c r="G206" s="21"/>
      <c r="H206" s="12"/>
      <c r="I206" s="12"/>
      <c r="J206" s="10"/>
      <c r="K206" s="10"/>
    </row>
    <row r="207" spans="1:11" s="4" customFormat="1" ht="30" customHeight="1" x14ac:dyDescent="0.3">
      <c r="A207" s="9"/>
      <c r="B207" s="13" t="e">
        <f>VLOOKUP(Table24[[#This Row],[Location 
(drop-down)]],'List source'!D$2:E$60,2,FALSE)</f>
        <v>#N/A</v>
      </c>
      <c r="C207" s="23" t="s">
        <v>782</v>
      </c>
      <c r="D207" s="30" t="e">
        <f t="shared" si="3"/>
        <v>#N/A</v>
      </c>
      <c r="E207" s="11"/>
      <c r="F207" s="126"/>
      <c r="G207" s="21"/>
      <c r="H207" s="12"/>
      <c r="I207" s="12"/>
      <c r="J207" s="10"/>
      <c r="K207" s="10"/>
    </row>
    <row r="208" spans="1:11" s="4" customFormat="1" ht="30" customHeight="1" x14ac:dyDescent="0.3">
      <c r="A208" s="9"/>
      <c r="B208" s="13" t="e">
        <f>VLOOKUP(Table24[[#This Row],[Location 
(drop-down)]],'List source'!D$2:E$60,2,FALSE)</f>
        <v>#N/A</v>
      </c>
      <c r="C208" s="23" t="s">
        <v>785</v>
      </c>
      <c r="D208" s="30" t="e">
        <f t="shared" si="3"/>
        <v>#N/A</v>
      </c>
      <c r="E208" s="11"/>
      <c r="F208" s="126"/>
      <c r="G208" s="12"/>
      <c r="H208" s="12"/>
      <c r="I208" s="12"/>
      <c r="J208" s="10"/>
      <c r="K208" s="10"/>
    </row>
    <row r="209" spans="1:11" s="4" customFormat="1" ht="30" customHeight="1" x14ac:dyDescent="0.3">
      <c r="A209" s="9"/>
      <c r="B209" s="13" t="e">
        <f>VLOOKUP(Table24[[#This Row],[Location 
(drop-down)]],'List source'!D$2:E$60,2,FALSE)</f>
        <v>#N/A</v>
      </c>
      <c r="C209" s="23" t="s">
        <v>787</v>
      </c>
      <c r="D209" s="30" t="e">
        <f t="shared" si="3"/>
        <v>#N/A</v>
      </c>
      <c r="E209" s="11"/>
      <c r="F209" s="126"/>
      <c r="G209" s="12"/>
      <c r="H209" s="12"/>
      <c r="I209" s="12"/>
      <c r="J209" s="10"/>
      <c r="K209" s="10"/>
    </row>
    <row r="210" spans="1:11" s="4" customFormat="1" ht="30" customHeight="1" x14ac:dyDescent="0.3">
      <c r="A210" s="9"/>
      <c r="B210" s="13" t="e">
        <f>VLOOKUP(Table24[[#This Row],[Location 
(drop-down)]],'List source'!D$2:E$60,2,FALSE)</f>
        <v>#N/A</v>
      </c>
      <c r="C210" s="23" t="s">
        <v>789</v>
      </c>
      <c r="D210" s="30" t="e">
        <f t="shared" si="3"/>
        <v>#N/A</v>
      </c>
      <c r="E210" s="11"/>
      <c r="F210" s="126"/>
      <c r="G210" s="21"/>
      <c r="H210" s="12"/>
      <c r="I210" s="12"/>
      <c r="J210" s="10"/>
      <c r="K210" s="10"/>
    </row>
    <row r="211" spans="1:11" s="4" customFormat="1" ht="30" customHeight="1" x14ac:dyDescent="0.3">
      <c r="A211" s="9"/>
      <c r="B211" s="13" t="e">
        <f>VLOOKUP(Table24[[#This Row],[Location 
(drop-down)]],'List source'!D$2:E$60,2,FALSE)</f>
        <v>#N/A</v>
      </c>
      <c r="C211" s="23" t="s">
        <v>792</v>
      </c>
      <c r="D211" s="30" t="e">
        <f t="shared" si="3"/>
        <v>#N/A</v>
      </c>
      <c r="E211" s="11"/>
      <c r="F211" s="126"/>
      <c r="G211" s="21"/>
      <c r="H211" s="12"/>
      <c r="I211" s="12"/>
      <c r="J211" s="10"/>
      <c r="K211" s="10"/>
    </row>
    <row r="212" spans="1:11" s="4" customFormat="1" ht="30" customHeight="1" x14ac:dyDescent="0.3">
      <c r="A212" s="9"/>
      <c r="B212" s="13" t="e">
        <f>VLOOKUP(Table24[[#This Row],[Location 
(drop-down)]],'List source'!D$2:E$60,2,FALSE)</f>
        <v>#N/A</v>
      </c>
      <c r="C212" s="23" t="s">
        <v>794</v>
      </c>
      <c r="D212" s="30" t="e">
        <f t="shared" si="3"/>
        <v>#N/A</v>
      </c>
      <c r="E212" s="11"/>
      <c r="F212" s="126"/>
      <c r="G212" s="21"/>
      <c r="H212" s="12"/>
      <c r="I212" s="12"/>
      <c r="J212" s="10"/>
      <c r="K212" s="10"/>
    </row>
    <row r="213" spans="1:11" s="4" customFormat="1" ht="30" customHeight="1" x14ac:dyDescent="0.3">
      <c r="A213" s="9"/>
      <c r="B213" s="13" t="e">
        <f>VLOOKUP(Table24[[#This Row],[Location 
(drop-down)]],'List source'!D$2:E$60,2,FALSE)</f>
        <v>#N/A</v>
      </c>
      <c r="C213" s="23" t="s">
        <v>797</v>
      </c>
      <c r="D213" s="30" t="e">
        <f t="shared" si="3"/>
        <v>#N/A</v>
      </c>
      <c r="E213" s="11"/>
      <c r="F213" s="126"/>
      <c r="G213" s="21"/>
      <c r="H213" s="12"/>
      <c r="I213" s="12"/>
      <c r="J213" s="10"/>
      <c r="K213" s="10"/>
    </row>
    <row r="214" spans="1:11" s="4" customFormat="1" ht="30" customHeight="1" x14ac:dyDescent="0.3">
      <c r="A214" s="9"/>
      <c r="B214" s="13" t="e">
        <f>VLOOKUP(Table24[[#This Row],[Location 
(drop-down)]],'List source'!D$2:E$60,2,FALSE)</f>
        <v>#N/A</v>
      </c>
      <c r="C214" s="23" t="s">
        <v>800</v>
      </c>
      <c r="D214" s="30" t="e">
        <f t="shared" si="3"/>
        <v>#N/A</v>
      </c>
      <c r="E214" s="11"/>
      <c r="F214" s="126"/>
      <c r="G214" s="21"/>
      <c r="H214" s="12"/>
      <c r="I214" s="12"/>
      <c r="J214" s="10"/>
      <c r="K214" s="10"/>
    </row>
    <row r="215" spans="1:11" s="4" customFormat="1" ht="30" customHeight="1" x14ac:dyDescent="0.3">
      <c r="A215" s="9"/>
      <c r="B215" s="13" t="e">
        <f>VLOOKUP(Table24[[#This Row],[Location 
(drop-down)]],'List source'!D$2:E$60,2,FALSE)</f>
        <v>#N/A</v>
      </c>
      <c r="C215" s="23" t="s">
        <v>802</v>
      </c>
      <c r="D215" s="30" t="e">
        <f t="shared" si="3"/>
        <v>#N/A</v>
      </c>
      <c r="E215" s="11"/>
      <c r="F215" s="126"/>
      <c r="G215" s="21"/>
      <c r="H215" s="12"/>
      <c r="I215" s="12"/>
      <c r="J215" s="10"/>
      <c r="K215" s="10"/>
    </row>
    <row r="216" spans="1:11" s="4" customFormat="1" ht="30" customHeight="1" x14ac:dyDescent="0.3">
      <c r="A216" s="9"/>
      <c r="B216" s="13" t="e">
        <f>VLOOKUP(Table24[[#This Row],[Location 
(drop-down)]],'List source'!D$2:E$60,2,FALSE)</f>
        <v>#N/A</v>
      </c>
      <c r="C216" s="23" t="s">
        <v>804</v>
      </c>
      <c r="D216" s="30" t="e">
        <f t="shared" si="3"/>
        <v>#N/A</v>
      </c>
      <c r="E216" s="11"/>
      <c r="F216" s="126"/>
      <c r="G216" s="21"/>
      <c r="H216" s="12"/>
      <c r="I216" s="12"/>
      <c r="J216" s="10"/>
      <c r="K216" s="10"/>
    </row>
    <row r="217" spans="1:11" s="4" customFormat="1" ht="30" customHeight="1" x14ac:dyDescent="0.3">
      <c r="A217" s="9"/>
      <c r="B217" s="13" t="e">
        <f>VLOOKUP(Table24[[#This Row],[Location 
(drop-down)]],'List source'!D$2:E$60,2,FALSE)</f>
        <v>#N/A</v>
      </c>
      <c r="C217" s="23" t="s">
        <v>807</v>
      </c>
      <c r="D217" s="30" t="e">
        <f t="shared" si="3"/>
        <v>#N/A</v>
      </c>
      <c r="E217" s="11"/>
      <c r="F217" s="126"/>
      <c r="G217" s="21"/>
      <c r="H217" s="12"/>
      <c r="I217" s="12"/>
      <c r="J217" s="10"/>
      <c r="K217" s="10"/>
    </row>
    <row r="218" spans="1:11" s="4" customFormat="1" ht="30" customHeight="1" x14ac:dyDescent="0.3">
      <c r="A218" s="9"/>
      <c r="B218" s="13" t="e">
        <f>VLOOKUP(Table24[[#This Row],[Location 
(drop-down)]],'List source'!D$2:E$60,2,FALSE)</f>
        <v>#N/A</v>
      </c>
      <c r="C218" s="23" t="s">
        <v>809</v>
      </c>
      <c r="D218" s="30" t="e">
        <f t="shared" si="3"/>
        <v>#N/A</v>
      </c>
      <c r="E218" s="11"/>
      <c r="F218" s="126"/>
      <c r="G218" s="21"/>
      <c r="H218" s="12"/>
      <c r="I218" s="12"/>
      <c r="J218" s="10"/>
      <c r="K218" s="10"/>
    </row>
    <row r="219" spans="1:11" s="4" customFormat="1" ht="30" customHeight="1" x14ac:dyDescent="0.3">
      <c r="A219" s="9"/>
      <c r="B219" s="13" t="e">
        <f>VLOOKUP(Table24[[#This Row],[Location 
(drop-down)]],'List source'!D$2:E$60,2,FALSE)</f>
        <v>#N/A</v>
      </c>
      <c r="C219" s="23" t="s">
        <v>811</v>
      </c>
      <c r="D219" s="30" t="e">
        <f t="shared" si="3"/>
        <v>#N/A</v>
      </c>
      <c r="E219" s="11"/>
      <c r="F219" s="126"/>
      <c r="G219" s="21"/>
      <c r="H219" s="12"/>
      <c r="I219" s="12"/>
      <c r="J219" s="10"/>
      <c r="K219" s="10"/>
    </row>
    <row r="220" spans="1:11" s="4" customFormat="1" ht="30" customHeight="1" x14ac:dyDescent="0.3">
      <c r="A220" s="9"/>
      <c r="B220" s="13" t="e">
        <f>VLOOKUP(Table24[[#This Row],[Location 
(drop-down)]],'List source'!D$2:E$60,2,FALSE)</f>
        <v>#N/A</v>
      </c>
      <c r="C220" s="23" t="s">
        <v>814</v>
      </c>
      <c r="D220" s="30" t="e">
        <f t="shared" si="3"/>
        <v>#N/A</v>
      </c>
      <c r="E220" s="11"/>
      <c r="G220" s="21"/>
      <c r="H220" s="12"/>
      <c r="I220" s="12"/>
      <c r="J220" s="10"/>
      <c r="K220" s="10"/>
    </row>
    <row r="221" spans="1:11" s="4" customFormat="1" ht="30" customHeight="1" x14ac:dyDescent="0.3">
      <c r="A221" s="9"/>
      <c r="B221" s="13" t="e">
        <f>VLOOKUP(Table24[[#This Row],[Location 
(drop-down)]],'List source'!D$2:E$60,2,FALSE)</f>
        <v>#N/A</v>
      </c>
      <c r="C221" s="23" t="s">
        <v>816</v>
      </c>
      <c r="D221" s="30" t="e">
        <f t="shared" si="3"/>
        <v>#N/A</v>
      </c>
      <c r="E221" s="11"/>
      <c r="F221" s="126"/>
      <c r="G221" s="21"/>
      <c r="H221" s="12"/>
      <c r="I221" s="12"/>
      <c r="J221" s="10"/>
      <c r="K221" s="10"/>
    </row>
    <row r="222" spans="1:11" s="4" customFormat="1" ht="30" customHeight="1" x14ac:dyDescent="0.3">
      <c r="A222" s="9"/>
      <c r="B222" s="13" t="e">
        <f>VLOOKUP(Table24[[#This Row],[Location 
(drop-down)]],'List source'!D$2:E$60,2,FALSE)</f>
        <v>#N/A</v>
      </c>
      <c r="C222" s="23" t="s">
        <v>819</v>
      </c>
      <c r="D222" s="30" t="e">
        <f t="shared" si="3"/>
        <v>#N/A</v>
      </c>
      <c r="E222" s="11"/>
      <c r="F222" s="126"/>
      <c r="G222" s="21"/>
      <c r="H222" s="12"/>
      <c r="I222" s="12"/>
      <c r="J222" s="10"/>
      <c r="K222" s="10"/>
    </row>
    <row r="223" spans="1:11" s="4" customFormat="1" ht="30" customHeight="1" x14ac:dyDescent="0.3">
      <c r="A223" s="9"/>
      <c r="B223" s="13" t="e">
        <f>VLOOKUP(Table24[[#This Row],[Location 
(drop-down)]],'List source'!D$2:E$60,2,FALSE)</f>
        <v>#N/A</v>
      </c>
      <c r="C223" s="23" t="s">
        <v>821</v>
      </c>
      <c r="D223" s="30" t="e">
        <f t="shared" si="3"/>
        <v>#N/A</v>
      </c>
      <c r="E223" s="11"/>
      <c r="F223" s="126"/>
      <c r="G223" s="21"/>
      <c r="H223" s="12"/>
      <c r="I223" s="12"/>
      <c r="J223" s="10"/>
      <c r="K223" s="10"/>
    </row>
    <row r="224" spans="1:11" s="4" customFormat="1" ht="30" customHeight="1" x14ac:dyDescent="0.3">
      <c r="A224" s="9"/>
      <c r="B224" s="13" t="e">
        <f>VLOOKUP(Table24[[#This Row],[Location 
(drop-down)]],'List source'!D$2:E$60,2,FALSE)</f>
        <v>#N/A</v>
      </c>
      <c r="C224" s="23" t="s">
        <v>823</v>
      </c>
      <c r="D224" s="30" t="e">
        <f t="shared" si="3"/>
        <v>#N/A</v>
      </c>
      <c r="E224" s="11"/>
      <c r="F224" s="126"/>
      <c r="G224" s="21"/>
      <c r="H224" s="12"/>
      <c r="I224" s="12"/>
      <c r="J224" s="10"/>
      <c r="K224" s="10"/>
    </row>
    <row r="225" spans="1:11" s="4" customFormat="1" ht="30" customHeight="1" x14ac:dyDescent="0.3">
      <c r="A225" s="9"/>
      <c r="B225" s="13" t="e">
        <f>VLOOKUP(Table24[[#This Row],[Location 
(drop-down)]],'List source'!D$2:E$60,2,FALSE)</f>
        <v>#N/A</v>
      </c>
      <c r="C225" s="23" t="s">
        <v>825</v>
      </c>
      <c r="D225" s="30" t="e">
        <f t="shared" si="3"/>
        <v>#N/A</v>
      </c>
      <c r="E225" s="11"/>
      <c r="F225" s="126"/>
      <c r="G225" s="21"/>
      <c r="H225" s="12"/>
      <c r="I225" s="12"/>
      <c r="J225" s="10"/>
      <c r="K225" s="10"/>
    </row>
    <row r="226" spans="1:11" s="4" customFormat="1" ht="30" customHeight="1" x14ac:dyDescent="0.3">
      <c r="A226" s="9"/>
      <c r="B226" s="13" t="e">
        <f>VLOOKUP(Table24[[#This Row],[Location 
(drop-down)]],'List source'!D$2:E$60,2,FALSE)</f>
        <v>#N/A</v>
      </c>
      <c r="C226" s="23" t="s">
        <v>827</v>
      </c>
      <c r="D226" s="30" t="e">
        <f t="shared" si="3"/>
        <v>#N/A</v>
      </c>
      <c r="E226" s="11"/>
      <c r="F226" s="126"/>
      <c r="G226" s="21"/>
      <c r="H226" s="12"/>
      <c r="I226" s="12"/>
      <c r="J226" s="10"/>
      <c r="K226" s="10"/>
    </row>
    <row r="227" spans="1:11" s="4" customFormat="1" ht="30" customHeight="1" x14ac:dyDescent="0.3">
      <c r="A227" s="9"/>
      <c r="B227" s="13" t="e">
        <f>VLOOKUP(Table24[[#This Row],[Location 
(drop-down)]],'List source'!D$2:E$60,2,FALSE)</f>
        <v>#N/A</v>
      </c>
      <c r="C227" s="23" t="s">
        <v>830</v>
      </c>
      <c r="D227" s="30" t="e">
        <f t="shared" si="3"/>
        <v>#N/A</v>
      </c>
      <c r="E227" s="11"/>
      <c r="F227" s="126"/>
      <c r="G227" s="21"/>
      <c r="H227" s="12"/>
      <c r="I227" s="12"/>
      <c r="J227" s="10"/>
      <c r="K227" s="10"/>
    </row>
    <row r="228" spans="1:11" s="4" customFormat="1" ht="30" customHeight="1" x14ac:dyDescent="0.3">
      <c r="A228" s="9"/>
      <c r="B228" s="13" t="e">
        <f>VLOOKUP(Table24[[#This Row],[Location 
(drop-down)]],'List source'!D$2:E$60,2,FALSE)</f>
        <v>#N/A</v>
      </c>
      <c r="C228" s="23" t="s">
        <v>833</v>
      </c>
      <c r="D228" s="30" t="e">
        <f t="shared" si="3"/>
        <v>#N/A</v>
      </c>
      <c r="E228" s="11"/>
      <c r="F228" s="126"/>
      <c r="G228" s="21"/>
      <c r="H228" s="12"/>
      <c r="I228" s="12"/>
      <c r="J228" s="10"/>
      <c r="K228" s="10"/>
    </row>
    <row r="229" spans="1:11" s="4" customFormat="1" ht="30" customHeight="1" x14ac:dyDescent="0.3">
      <c r="A229" s="9"/>
      <c r="B229" s="13" t="e">
        <f>VLOOKUP(Table24[[#This Row],[Location 
(drop-down)]],'List source'!D$2:E$60,2,FALSE)</f>
        <v>#N/A</v>
      </c>
      <c r="C229" s="23" t="s">
        <v>835</v>
      </c>
      <c r="D229" s="30" t="e">
        <f t="shared" si="3"/>
        <v>#N/A</v>
      </c>
      <c r="E229" s="11"/>
      <c r="F229" s="126"/>
      <c r="G229" s="21"/>
      <c r="H229" s="12"/>
      <c r="I229" s="12"/>
      <c r="J229" s="10"/>
      <c r="K229" s="10"/>
    </row>
    <row r="230" spans="1:11" s="4" customFormat="1" ht="30" customHeight="1" x14ac:dyDescent="0.3">
      <c r="A230" s="9"/>
      <c r="B230" s="13" t="e">
        <f>VLOOKUP(Table24[[#This Row],[Location 
(drop-down)]],'List source'!D$2:E$60,2,FALSE)</f>
        <v>#N/A</v>
      </c>
      <c r="C230" s="23" t="s">
        <v>837</v>
      </c>
      <c r="D230" s="30" t="e">
        <f t="shared" si="3"/>
        <v>#N/A</v>
      </c>
      <c r="E230" s="11"/>
      <c r="F230" s="126"/>
      <c r="G230" s="21"/>
      <c r="H230" s="12"/>
      <c r="I230" s="12"/>
      <c r="J230" s="10"/>
      <c r="K230" s="10"/>
    </row>
    <row r="231" spans="1:11" s="4" customFormat="1" ht="30" customHeight="1" x14ac:dyDescent="0.3">
      <c r="A231" s="9"/>
      <c r="B231" s="13" t="e">
        <f>VLOOKUP(Table24[[#This Row],[Location 
(drop-down)]],'List source'!D$2:E$60,2,FALSE)</f>
        <v>#N/A</v>
      </c>
      <c r="C231" s="23" t="s">
        <v>839</v>
      </c>
      <c r="D231" s="30" t="e">
        <f t="shared" si="3"/>
        <v>#N/A</v>
      </c>
      <c r="E231" s="11"/>
      <c r="F231" s="126"/>
      <c r="G231" s="21"/>
      <c r="H231" s="12"/>
      <c r="I231" s="12"/>
      <c r="J231" s="10"/>
      <c r="K231" s="10"/>
    </row>
    <row r="232" spans="1:11" s="4" customFormat="1" ht="30" customHeight="1" x14ac:dyDescent="0.3">
      <c r="A232" s="9"/>
      <c r="B232" s="13" t="e">
        <f>VLOOKUP(Table24[[#This Row],[Location 
(drop-down)]],'List source'!D$2:E$60,2,FALSE)</f>
        <v>#N/A</v>
      </c>
      <c r="C232" s="23" t="s">
        <v>842</v>
      </c>
      <c r="D232" s="30" t="e">
        <f t="shared" si="3"/>
        <v>#N/A</v>
      </c>
      <c r="E232" s="11"/>
      <c r="F232" s="126"/>
      <c r="G232" s="21"/>
      <c r="H232" s="12"/>
      <c r="I232" s="12"/>
      <c r="J232" s="10"/>
      <c r="K232" s="10"/>
    </row>
    <row r="233" spans="1:11" s="4" customFormat="1" ht="30" customHeight="1" x14ac:dyDescent="0.3">
      <c r="A233" s="9"/>
      <c r="B233" s="13" t="e">
        <f>VLOOKUP(Table24[[#This Row],[Location 
(drop-down)]],'List source'!D$2:E$60,2,FALSE)</f>
        <v>#N/A</v>
      </c>
      <c r="C233" s="23" t="s">
        <v>844</v>
      </c>
      <c r="D233" s="30" t="e">
        <f t="shared" si="3"/>
        <v>#N/A</v>
      </c>
      <c r="E233" s="11"/>
      <c r="F233" s="126"/>
      <c r="G233" s="21"/>
      <c r="H233" s="12"/>
      <c r="I233" s="12"/>
      <c r="J233" s="10"/>
      <c r="K233" s="10"/>
    </row>
    <row r="234" spans="1:11" s="4" customFormat="1" ht="30" customHeight="1" x14ac:dyDescent="0.3">
      <c r="A234" s="9"/>
      <c r="B234" s="13" t="e">
        <f>VLOOKUP(Table24[[#This Row],[Location 
(drop-down)]],'List source'!D$2:E$60,2,FALSE)</f>
        <v>#N/A</v>
      </c>
      <c r="C234" s="23" t="s">
        <v>846</v>
      </c>
      <c r="D234" s="30" t="e">
        <f t="shared" si="3"/>
        <v>#N/A</v>
      </c>
      <c r="E234" s="11"/>
      <c r="F234" s="126"/>
      <c r="G234" s="21"/>
      <c r="H234" s="12"/>
      <c r="I234" s="12"/>
      <c r="J234" s="10"/>
      <c r="K234" s="10"/>
    </row>
    <row r="235" spans="1:11" s="4" customFormat="1" ht="30" customHeight="1" x14ac:dyDescent="0.3">
      <c r="A235" s="9"/>
      <c r="B235" s="13" t="e">
        <f>VLOOKUP(Table24[[#This Row],[Location 
(drop-down)]],'List source'!D$2:E$60,2,FALSE)</f>
        <v>#N/A</v>
      </c>
      <c r="C235" s="23" t="s">
        <v>848</v>
      </c>
      <c r="D235" s="30" t="e">
        <f t="shared" si="3"/>
        <v>#N/A</v>
      </c>
      <c r="E235" s="11"/>
      <c r="F235" s="126"/>
      <c r="G235" s="21"/>
      <c r="H235" s="12"/>
      <c r="I235" s="12"/>
      <c r="J235" s="10"/>
      <c r="K235" s="10"/>
    </row>
    <row r="236" spans="1:11" s="4" customFormat="1" ht="30" customHeight="1" x14ac:dyDescent="0.3">
      <c r="A236" s="9"/>
      <c r="B236" s="13" t="e">
        <f>VLOOKUP(Table24[[#This Row],[Location 
(drop-down)]],'List source'!D$2:E$60,2,FALSE)</f>
        <v>#N/A</v>
      </c>
      <c r="C236" s="23" t="s">
        <v>850</v>
      </c>
      <c r="D236" s="30" t="e">
        <f t="shared" si="3"/>
        <v>#N/A</v>
      </c>
      <c r="E236" s="11"/>
      <c r="F236" s="126"/>
      <c r="G236" s="21"/>
      <c r="H236" s="12"/>
      <c r="I236" s="12"/>
      <c r="J236" s="10"/>
      <c r="K236" s="10"/>
    </row>
    <row r="237" spans="1:11" s="4" customFormat="1" ht="30" customHeight="1" x14ac:dyDescent="0.3">
      <c r="A237" s="9"/>
      <c r="B237" s="13" t="e">
        <f>VLOOKUP(Table24[[#This Row],[Location 
(drop-down)]],'List source'!D$2:E$60,2,FALSE)</f>
        <v>#N/A</v>
      </c>
      <c r="C237" s="23" t="s">
        <v>852</v>
      </c>
      <c r="D237" s="30" t="e">
        <f t="shared" si="3"/>
        <v>#N/A</v>
      </c>
      <c r="E237" s="11"/>
      <c r="F237" s="126"/>
      <c r="G237" s="12"/>
      <c r="H237" s="12"/>
      <c r="I237" s="12"/>
      <c r="J237" s="10"/>
      <c r="K237" s="10"/>
    </row>
    <row r="238" spans="1:11" s="4" customFormat="1" ht="30" customHeight="1" x14ac:dyDescent="0.3">
      <c r="A238" s="9"/>
      <c r="B238" s="13" t="e">
        <f>VLOOKUP(Table24[[#This Row],[Location 
(drop-down)]],'List source'!D$2:E$60,2,FALSE)</f>
        <v>#N/A</v>
      </c>
      <c r="C238" s="23" t="s">
        <v>854</v>
      </c>
      <c r="D238" s="30" t="e">
        <f t="shared" si="3"/>
        <v>#N/A</v>
      </c>
      <c r="E238" s="11"/>
      <c r="F238" s="126"/>
      <c r="G238" s="12"/>
      <c r="H238" s="12"/>
      <c r="I238" s="12"/>
      <c r="J238" s="10"/>
      <c r="K238" s="10"/>
    </row>
    <row r="239" spans="1:11" s="4" customFormat="1" ht="30" customHeight="1" x14ac:dyDescent="0.3">
      <c r="A239" s="9"/>
      <c r="B239" s="13" t="e">
        <f>VLOOKUP(Table24[[#This Row],[Location 
(drop-down)]],'List source'!D$2:E$60,2,FALSE)</f>
        <v>#N/A</v>
      </c>
      <c r="C239" s="23" t="s">
        <v>857</v>
      </c>
      <c r="D239" s="30" t="e">
        <f t="shared" si="3"/>
        <v>#N/A</v>
      </c>
      <c r="E239" s="11"/>
      <c r="F239" s="126"/>
      <c r="G239" s="12"/>
      <c r="H239" s="12"/>
      <c r="I239" s="12"/>
      <c r="J239" s="10"/>
      <c r="K239" s="10"/>
    </row>
    <row r="240" spans="1:11" s="4" customFormat="1" ht="30" customHeight="1" x14ac:dyDescent="0.3">
      <c r="A240" s="9"/>
      <c r="B240" s="13" t="e">
        <f>VLOOKUP(Table24[[#This Row],[Location 
(drop-down)]],'List source'!D$2:E$60,2,FALSE)</f>
        <v>#N/A</v>
      </c>
      <c r="C240" s="23" t="s">
        <v>859</v>
      </c>
      <c r="D240" s="30" t="e">
        <f t="shared" si="3"/>
        <v>#N/A</v>
      </c>
      <c r="E240" s="11"/>
      <c r="F240" s="126"/>
      <c r="G240" s="12"/>
      <c r="H240" s="12"/>
      <c r="I240" s="12"/>
      <c r="J240" s="10"/>
      <c r="K240" s="10"/>
    </row>
    <row r="241" spans="1:11" s="4" customFormat="1" ht="30" customHeight="1" x14ac:dyDescent="0.3">
      <c r="A241" s="9"/>
      <c r="B241" s="13" t="e">
        <f>VLOOKUP(Table24[[#This Row],[Location 
(drop-down)]],'List source'!D$2:E$60,2,FALSE)</f>
        <v>#N/A</v>
      </c>
      <c r="C241" s="23" t="s">
        <v>862</v>
      </c>
      <c r="D241" s="30" t="e">
        <f t="shared" si="3"/>
        <v>#N/A</v>
      </c>
      <c r="E241" s="11"/>
      <c r="F241" s="126"/>
      <c r="G241" s="12"/>
      <c r="H241" s="12"/>
      <c r="I241" s="12"/>
      <c r="J241" s="10"/>
      <c r="K241" s="10"/>
    </row>
    <row r="242" spans="1:11" s="4" customFormat="1" ht="30" customHeight="1" x14ac:dyDescent="0.3">
      <c r="A242" s="9"/>
      <c r="B242" s="13" t="e">
        <f>VLOOKUP(Table24[[#This Row],[Location 
(drop-down)]],'List source'!D$2:E$60,2,FALSE)</f>
        <v>#N/A</v>
      </c>
      <c r="C242" s="23" t="s">
        <v>864</v>
      </c>
      <c r="D242" s="30" t="e">
        <f t="shared" si="3"/>
        <v>#N/A</v>
      </c>
      <c r="E242" s="11"/>
      <c r="F242" s="126"/>
      <c r="G242" s="12"/>
      <c r="H242" s="12"/>
      <c r="I242" s="12"/>
      <c r="J242" s="10"/>
      <c r="K242" s="10"/>
    </row>
    <row r="243" spans="1:11" s="4" customFormat="1" ht="30" customHeight="1" x14ac:dyDescent="0.3">
      <c r="A243" s="9"/>
      <c r="B243" s="13" t="e">
        <f>VLOOKUP(Table24[[#This Row],[Location 
(drop-down)]],'List source'!D$2:E$60,2,FALSE)</f>
        <v>#N/A</v>
      </c>
      <c r="C243" s="23" t="s">
        <v>866</v>
      </c>
      <c r="D243" s="30" t="e">
        <f t="shared" si="3"/>
        <v>#N/A</v>
      </c>
      <c r="E243" s="11"/>
      <c r="F243" s="126"/>
      <c r="G243" s="12"/>
      <c r="H243" s="12"/>
      <c r="I243" s="12"/>
      <c r="J243" s="10"/>
      <c r="K243" s="10"/>
    </row>
    <row r="244" spans="1:11" s="4" customFormat="1" ht="30" customHeight="1" x14ac:dyDescent="0.3">
      <c r="A244" s="9"/>
      <c r="B244" s="13" t="e">
        <f>VLOOKUP(Table24[[#This Row],[Location 
(drop-down)]],'List source'!D$2:E$60,2,FALSE)</f>
        <v>#N/A</v>
      </c>
      <c r="C244" s="23" t="s">
        <v>869</v>
      </c>
      <c r="D244" s="30" t="e">
        <f t="shared" si="3"/>
        <v>#N/A</v>
      </c>
      <c r="E244" s="11"/>
      <c r="F244" s="126"/>
      <c r="G244" s="12"/>
      <c r="H244" s="12"/>
      <c r="I244" s="12"/>
      <c r="J244" s="10"/>
      <c r="K244" s="10"/>
    </row>
    <row r="245" spans="1:11" s="4" customFormat="1" ht="30" customHeight="1" x14ac:dyDescent="0.3">
      <c r="A245" s="9"/>
      <c r="B245" s="13" t="e">
        <f>VLOOKUP(Table24[[#This Row],[Location 
(drop-down)]],'List source'!D$2:E$60,2,FALSE)</f>
        <v>#N/A</v>
      </c>
      <c r="C245" s="23" t="s">
        <v>871</v>
      </c>
      <c r="D245" s="30" t="e">
        <f t="shared" si="3"/>
        <v>#N/A</v>
      </c>
      <c r="E245" s="11"/>
      <c r="F245" s="126"/>
      <c r="G245" s="12"/>
      <c r="H245" s="12"/>
      <c r="I245" s="12"/>
      <c r="J245" s="10"/>
      <c r="K245" s="10"/>
    </row>
    <row r="246" spans="1:11" s="4" customFormat="1" ht="30" customHeight="1" x14ac:dyDescent="0.3">
      <c r="A246" s="9"/>
      <c r="B246" s="13" t="e">
        <f>VLOOKUP(Table24[[#This Row],[Location 
(drop-down)]],'List source'!D$2:E$60,2,FALSE)</f>
        <v>#N/A</v>
      </c>
      <c r="C246" s="23" t="s">
        <v>874</v>
      </c>
      <c r="D246" s="30" t="e">
        <f t="shared" si="3"/>
        <v>#N/A</v>
      </c>
      <c r="E246" s="11"/>
      <c r="F246" s="126"/>
      <c r="G246" s="12"/>
      <c r="H246" s="12"/>
      <c r="I246" s="12"/>
      <c r="J246" s="10"/>
      <c r="K246" s="10"/>
    </row>
    <row r="247" spans="1:11" s="4" customFormat="1" ht="30" customHeight="1" x14ac:dyDescent="0.3">
      <c r="A247" s="9"/>
      <c r="B247" s="13" t="e">
        <f>VLOOKUP(Table24[[#This Row],[Location 
(drop-down)]],'List source'!D$2:E$60,2,FALSE)</f>
        <v>#N/A</v>
      </c>
      <c r="C247" s="23" t="s">
        <v>877</v>
      </c>
      <c r="D247" s="30" t="e">
        <f t="shared" si="3"/>
        <v>#N/A</v>
      </c>
      <c r="E247" s="11"/>
      <c r="F247" s="126"/>
      <c r="G247" s="12"/>
      <c r="H247" s="12"/>
      <c r="I247" s="12"/>
      <c r="J247" s="10"/>
      <c r="K247" s="10"/>
    </row>
    <row r="248" spans="1:11" s="4" customFormat="1" ht="30" customHeight="1" x14ac:dyDescent="0.3">
      <c r="A248" s="9"/>
      <c r="B248" s="13" t="e">
        <f>VLOOKUP(Table24[[#This Row],[Location 
(drop-down)]],'List source'!D$2:E$60,2,FALSE)</f>
        <v>#N/A</v>
      </c>
      <c r="C248" s="23" t="s">
        <v>880</v>
      </c>
      <c r="D248" s="30" t="e">
        <f t="shared" si="3"/>
        <v>#N/A</v>
      </c>
      <c r="E248" s="11"/>
      <c r="F248" s="126"/>
      <c r="G248" s="12"/>
      <c r="H248" s="12"/>
      <c r="I248" s="12"/>
      <c r="J248" s="10"/>
      <c r="K248" s="10"/>
    </row>
    <row r="249" spans="1:11" s="4" customFormat="1" ht="30" customHeight="1" x14ac:dyDescent="0.3">
      <c r="A249" s="9"/>
      <c r="B249" s="13" t="e">
        <f>VLOOKUP(Table24[[#This Row],[Location 
(drop-down)]],'List source'!D$2:E$60,2,FALSE)</f>
        <v>#N/A</v>
      </c>
      <c r="C249" s="23" t="s">
        <v>883</v>
      </c>
      <c r="D249" s="30" t="e">
        <f t="shared" si="3"/>
        <v>#N/A</v>
      </c>
      <c r="E249" s="11"/>
      <c r="F249" s="126"/>
      <c r="G249" s="12"/>
      <c r="H249" s="12"/>
      <c r="I249" s="12"/>
      <c r="J249" s="10"/>
      <c r="K249" s="10"/>
    </row>
    <row r="250" spans="1:11" s="4" customFormat="1" ht="30" customHeight="1" x14ac:dyDescent="0.3">
      <c r="A250" s="9"/>
      <c r="B250" s="13" t="e">
        <f>VLOOKUP(Table24[[#This Row],[Location 
(drop-down)]],'List source'!D$2:E$60,2,FALSE)</f>
        <v>#N/A</v>
      </c>
      <c r="C250" s="23" t="s">
        <v>887</v>
      </c>
      <c r="D250" s="30" t="e">
        <f t="shared" si="3"/>
        <v>#N/A</v>
      </c>
      <c r="E250" s="11"/>
      <c r="F250" s="126"/>
      <c r="G250" s="12"/>
      <c r="H250" s="12"/>
      <c r="I250" s="12"/>
      <c r="J250" s="10"/>
      <c r="K250" s="10"/>
    </row>
    <row r="251" spans="1:11" s="4" customFormat="1" ht="30" customHeight="1" x14ac:dyDescent="0.3">
      <c r="A251" s="9"/>
      <c r="B251" s="13" t="e">
        <f>VLOOKUP(Table24[[#This Row],[Location 
(drop-down)]],'List source'!D$2:E$60,2,FALSE)</f>
        <v>#N/A</v>
      </c>
      <c r="C251" s="23" t="s">
        <v>890</v>
      </c>
      <c r="D251" s="30" t="e">
        <f t="shared" si="3"/>
        <v>#N/A</v>
      </c>
      <c r="E251" s="11"/>
      <c r="F251" s="126"/>
      <c r="G251" s="12"/>
      <c r="H251" s="12"/>
      <c r="I251" s="12"/>
      <c r="J251" s="10"/>
      <c r="K251" s="10"/>
    </row>
    <row r="252" spans="1:11" s="4" customFormat="1" ht="30" customHeight="1" x14ac:dyDescent="0.3">
      <c r="A252" s="9"/>
      <c r="B252" s="13" t="e">
        <f>VLOOKUP(Table24[[#This Row],[Location 
(drop-down)]],'List source'!D$2:E$60,2,FALSE)</f>
        <v>#N/A</v>
      </c>
      <c r="C252" s="23" t="s">
        <v>893</v>
      </c>
      <c r="D252" s="30" t="e">
        <f t="shared" si="3"/>
        <v>#N/A</v>
      </c>
      <c r="E252" s="11"/>
      <c r="F252" s="126"/>
      <c r="G252" s="12"/>
      <c r="H252" s="12"/>
      <c r="I252" s="12"/>
      <c r="J252" s="10"/>
      <c r="K252" s="10"/>
    </row>
    <row r="253" spans="1:11" s="4" customFormat="1" ht="30" customHeight="1" x14ac:dyDescent="0.3">
      <c r="A253" s="9"/>
      <c r="B253" s="13" t="e">
        <f>VLOOKUP(Table24[[#This Row],[Location 
(drop-down)]],'List source'!D$2:E$60,2,FALSE)</f>
        <v>#N/A</v>
      </c>
      <c r="C253" s="23" t="s">
        <v>896</v>
      </c>
      <c r="D253" s="30" t="e">
        <f t="shared" si="3"/>
        <v>#N/A</v>
      </c>
      <c r="E253" s="11"/>
      <c r="F253" s="126"/>
      <c r="G253" s="12"/>
      <c r="H253" s="12"/>
      <c r="I253" s="12"/>
      <c r="J253" s="10"/>
      <c r="K253" s="10"/>
    </row>
    <row r="254" spans="1:11" s="4" customFormat="1" ht="30" customHeight="1" x14ac:dyDescent="0.3">
      <c r="A254" s="9"/>
      <c r="B254" s="13" t="e">
        <f>VLOOKUP(Table24[[#This Row],[Location 
(drop-down)]],'List source'!D$2:E$60,2,FALSE)</f>
        <v>#N/A</v>
      </c>
      <c r="C254" s="23" t="s">
        <v>899</v>
      </c>
      <c r="D254" s="30" t="e">
        <f t="shared" si="3"/>
        <v>#N/A</v>
      </c>
      <c r="E254" s="11"/>
      <c r="F254" s="126"/>
      <c r="G254" s="12"/>
      <c r="H254" s="12"/>
      <c r="I254" s="12"/>
      <c r="J254" s="10"/>
      <c r="K254" s="10"/>
    </row>
    <row r="255" spans="1:11" s="4" customFormat="1" ht="30" customHeight="1" x14ac:dyDescent="0.3">
      <c r="A255" s="9"/>
      <c r="B255" s="13" t="e">
        <f>VLOOKUP(Table24[[#This Row],[Location 
(drop-down)]],'List source'!D$2:E$60,2,FALSE)</f>
        <v>#N/A</v>
      </c>
      <c r="C255" s="23" t="s">
        <v>901</v>
      </c>
      <c r="D255" s="30" t="e">
        <f t="shared" si="3"/>
        <v>#N/A</v>
      </c>
      <c r="E255" s="11"/>
      <c r="F255" s="126"/>
      <c r="G255" s="12"/>
      <c r="H255" s="12"/>
      <c r="I255" s="12"/>
      <c r="J255" s="10"/>
      <c r="K255" s="10"/>
    </row>
    <row r="256" spans="1:11" s="4" customFormat="1" ht="30" customHeight="1" x14ac:dyDescent="0.3">
      <c r="A256" s="9"/>
      <c r="B256" s="13" t="e">
        <f>VLOOKUP(Table24[[#This Row],[Location 
(drop-down)]],'List source'!D$2:E$60,2,FALSE)</f>
        <v>#N/A</v>
      </c>
      <c r="C256" s="23" t="s">
        <v>905</v>
      </c>
      <c r="D256" s="30" t="e">
        <f t="shared" si="3"/>
        <v>#N/A</v>
      </c>
      <c r="E256" s="11"/>
      <c r="F256" s="126"/>
      <c r="G256" s="12"/>
      <c r="H256" s="12"/>
      <c r="I256" s="12"/>
      <c r="J256" s="10"/>
      <c r="K256" s="10"/>
    </row>
    <row r="257" spans="1:11" s="4" customFormat="1" ht="30" customHeight="1" x14ac:dyDescent="0.3">
      <c r="A257" s="9"/>
      <c r="B257" s="13" t="e">
        <f>VLOOKUP(Table24[[#This Row],[Location 
(drop-down)]],'List source'!D$2:E$60,2,FALSE)</f>
        <v>#N/A</v>
      </c>
      <c r="C257" s="23" t="s">
        <v>908</v>
      </c>
      <c r="D257" s="30" t="e">
        <f t="shared" si="3"/>
        <v>#N/A</v>
      </c>
      <c r="E257" s="11"/>
      <c r="F257" s="126"/>
      <c r="G257" s="12"/>
      <c r="H257" s="12"/>
      <c r="I257" s="12"/>
      <c r="J257" s="10"/>
      <c r="K257" s="10"/>
    </row>
    <row r="258" spans="1:11" s="4" customFormat="1" ht="30" customHeight="1" x14ac:dyDescent="0.3">
      <c r="A258" s="9"/>
      <c r="B258" s="13" t="e">
        <f>VLOOKUP(Table24[[#This Row],[Location 
(drop-down)]],'List source'!D$2:E$60,2,FALSE)</f>
        <v>#N/A</v>
      </c>
      <c r="C258" s="23" t="s">
        <v>911</v>
      </c>
      <c r="D258" s="30" t="e">
        <f t="shared" ref="D258:D321" si="4">"P" &amp; C258 &amp; "-" &amp; B258 &amp; "-" &amp; "24"</f>
        <v>#N/A</v>
      </c>
      <c r="E258" s="11"/>
      <c r="F258" s="126"/>
      <c r="G258" s="12"/>
      <c r="H258" s="12"/>
      <c r="I258" s="12"/>
      <c r="J258" s="10"/>
      <c r="K258" s="10"/>
    </row>
    <row r="259" spans="1:11" s="4" customFormat="1" ht="30" customHeight="1" x14ac:dyDescent="0.3">
      <c r="A259" s="9"/>
      <c r="B259" s="13" t="e">
        <f>VLOOKUP(Table24[[#This Row],[Location 
(drop-down)]],'List source'!D$2:E$60,2,FALSE)</f>
        <v>#N/A</v>
      </c>
      <c r="C259" s="23" t="s">
        <v>913</v>
      </c>
      <c r="D259" s="30" t="e">
        <f t="shared" si="4"/>
        <v>#N/A</v>
      </c>
      <c r="E259" s="11"/>
      <c r="F259" s="126"/>
      <c r="G259" s="12"/>
      <c r="H259" s="12"/>
      <c r="I259" s="12"/>
      <c r="J259" s="10"/>
      <c r="K259" s="10"/>
    </row>
    <row r="260" spans="1:11" s="4" customFormat="1" ht="30" customHeight="1" x14ac:dyDescent="0.3">
      <c r="A260" s="9"/>
      <c r="B260" s="13" t="e">
        <f>VLOOKUP(Table24[[#This Row],[Location 
(drop-down)]],'List source'!D$2:E$60,2,FALSE)</f>
        <v>#N/A</v>
      </c>
      <c r="C260" s="23" t="s">
        <v>916</v>
      </c>
      <c r="D260" s="30" t="e">
        <f t="shared" si="4"/>
        <v>#N/A</v>
      </c>
      <c r="E260" s="11"/>
      <c r="F260" s="126"/>
      <c r="G260" s="12"/>
      <c r="H260" s="12"/>
      <c r="I260" s="12"/>
      <c r="J260" s="10"/>
      <c r="K260" s="10"/>
    </row>
    <row r="261" spans="1:11" s="4" customFormat="1" ht="30" customHeight="1" x14ac:dyDescent="0.3">
      <c r="A261" s="9"/>
      <c r="B261" s="13" t="e">
        <f>VLOOKUP(Table24[[#This Row],[Location 
(drop-down)]],'List source'!D$2:E$60,2,FALSE)</f>
        <v>#N/A</v>
      </c>
      <c r="C261" s="23" t="s">
        <v>919</v>
      </c>
      <c r="D261" s="30" t="e">
        <f t="shared" si="4"/>
        <v>#N/A</v>
      </c>
      <c r="E261" s="11"/>
      <c r="F261" s="126"/>
      <c r="G261" s="12"/>
      <c r="H261" s="12"/>
      <c r="I261" s="12"/>
      <c r="J261" s="10"/>
      <c r="K261" s="10"/>
    </row>
    <row r="262" spans="1:11" s="4" customFormat="1" ht="30" customHeight="1" x14ac:dyDescent="0.3">
      <c r="A262" s="9"/>
      <c r="B262" s="13" t="e">
        <f>VLOOKUP(Table24[[#This Row],[Location 
(drop-down)]],'List source'!D$2:E$60,2,FALSE)</f>
        <v>#N/A</v>
      </c>
      <c r="C262" s="23" t="s">
        <v>921</v>
      </c>
      <c r="D262" s="30" t="e">
        <f t="shared" si="4"/>
        <v>#N/A</v>
      </c>
      <c r="E262" s="11"/>
      <c r="F262" s="126"/>
      <c r="G262" s="12"/>
      <c r="H262" s="12"/>
      <c r="I262" s="12"/>
      <c r="J262" s="10"/>
      <c r="K262" s="10"/>
    </row>
    <row r="263" spans="1:11" s="4" customFormat="1" ht="30" customHeight="1" x14ac:dyDescent="0.3">
      <c r="A263" s="9"/>
      <c r="B263" s="13" t="e">
        <f>VLOOKUP(Table24[[#This Row],[Location 
(drop-down)]],'List source'!D$2:E$60,2,FALSE)</f>
        <v>#N/A</v>
      </c>
      <c r="C263" s="23" t="s">
        <v>924</v>
      </c>
      <c r="D263" s="30" t="e">
        <f t="shared" si="4"/>
        <v>#N/A</v>
      </c>
      <c r="E263" s="11"/>
      <c r="F263" s="126"/>
      <c r="G263" s="12"/>
      <c r="H263" s="12"/>
      <c r="I263" s="12"/>
      <c r="J263" s="10"/>
      <c r="K263" s="10"/>
    </row>
    <row r="264" spans="1:11" s="4" customFormat="1" ht="30" customHeight="1" x14ac:dyDescent="0.3">
      <c r="A264" s="9"/>
      <c r="B264" s="13" t="e">
        <f>VLOOKUP(Table24[[#This Row],[Location 
(drop-down)]],'List source'!D$2:E$60,2,FALSE)</f>
        <v>#N/A</v>
      </c>
      <c r="C264" s="23" t="s">
        <v>927</v>
      </c>
      <c r="D264" s="30" t="e">
        <f t="shared" si="4"/>
        <v>#N/A</v>
      </c>
      <c r="E264" s="11"/>
      <c r="F264" s="126"/>
      <c r="G264" s="12"/>
      <c r="H264" s="12"/>
      <c r="I264" s="12"/>
      <c r="J264" s="10"/>
      <c r="K264" s="10"/>
    </row>
    <row r="265" spans="1:11" s="4" customFormat="1" ht="30" customHeight="1" x14ac:dyDescent="0.3">
      <c r="A265" s="9"/>
      <c r="B265" s="13" t="e">
        <f>VLOOKUP(Table24[[#This Row],[Location 
(drop-down)]],'List source'!D$2:E$60,2,FALSE)</f>
        <v>#N/A</v>
      </c>
      <c r="C265" s="23" t="s">
        <v>929</v>
      </c>
      <c r="D265" s="30" t="e">
        <f t="shared" si="4"/>
        <v>#N/A</v>
      </c>
      <c r="E265" s="11"/>
      <c r="F265" s="126"/>
      <c r="G265" s="12"/>
      <c r="H265" s="12"/>
      <c r="I265" s="12"/>
      <c r="J265" s="10"/>
      <c r="K265" s="10"/>
    </row>
    <row r="266" spans="1:11" s="4" customFormat="1" ht="30" customHeight="1" x14ac:dyDescent="0.3">
      <c r="A266" s="9"/>
      <c r="B266" s="13" t="e">
        <f>VLOOKUP(Table24[[#This Row],[Location 
(drop-down)]],'List source'!D$2:E$60,2,FALSE)</f>
        <v>#N/A</v>
      </c>
      <c r="C266" s="23" t="s">
        <v>931</v>
      </c>
      <c r="D266" s="30" t="e">
        <f t="shared" si="4"/>
        <v>#N/A</v>
      </c>
      <c r="E266" s="11"/>
      <c r="F266" s="126"/>
      <c r="G266" s="12"/>
      <c r="H266" s="12"/>
      <c r="I266" s="12"/>
      <c r="J266" s="10"/>
      <c r="K266" s="10"/>
    </row>
    <row r="267" spans="1:11" s="4" customFormat="1" ht="30" customHeight="1" x14ac:dyDescent="0.3">
      <c r="A267" s="9"/>
      <c r="B267" s="13" t="e">
        <f>VLOOKUP(Table24[[#This Row],[Location 
(drop-down)]],'List source'!D$2:E$60,2,FALSE)</f>
        <v>#N/A</v>
      </c>
      <c r="C267" s="23" t="s">
        <v>933</v>
      </c>
      <c r="D267" s="30" t="e">
        <f t="shared" si="4"/>
        <v>#N/A</v>
      </c>
      <c r="E267" s="11"/>
      <c r="F267" s="126"/>
      <c r="G267" s="12"/>
      <c r="H267" s="12"/>
      <c r="I267" s="12"/>
      <c r="J267" s="10"/>
      <c r="K267" s="10"/>
    </row>
    <row r="268" spans="1:11" s="4" customFormat="1" ht="30" customHeight="1" x14ac:dyDescent="0.3">
      <c r="A268" s="9"/>
      <c r="B268" s="13" t="e">
        <f>VLOOKUP(Table24[[#This Row],[Location 
(drop-down)]],'List source'!D$2:E$60,2,FALSE)</f>
        <v>#N/A</v>
      </c>
      <c r="C268" s="23" t="s">
        <v>935</v>
      </c>
      <c r="D268" s="30" t="e">
        <f t="shared" si="4"/>
        <v>#N/A</v>
      </c>
      <c r="E268" s="11"/>
      <c r="F268" s="126"/>
      <c r="G268" s="12"/>
      <c r="H268" s="12"/>
      <c r="I268" s="12"/>
      <c r="J268" s="10"/>
      <c r="K268" s="10"/>
    </row>
    <row r="269" spans="1:11" s="4" customFormat="1" ht="30" customHeight="1" x14ac:dyDescent="0.3">
      <c r="A269" s="9"/>
      <c r="B269" s="13" t="e">
        <f>VLOOKUP(Table24[[#This Row],[Location 
(drop-down)]],'List source'!D$2:E$60,2,FALSE)</f>
        <v>#N/A</v>
      </c>
      <c r="C269" s="23" t="s">
        <v>937</v>
      </c>
      <c r="D269" s="30" t="e">
        <f t="shared" si="4"/>
        <v>#N/A</v>
      </c>
      <c r="E269" s="11"/>
      <c r="F269" s="126"/>
      <c r="G269" s="12"/>
      <c r="H269" s="12"/>
      <c r="I269" s="12"/>
      <c r="J269" s="10"/>
      <c r="K269" s="10"/>
    </row>
    <row r="270" spans="1:11" s="4" customFormat="1" ht="30" customHeight="1" x14ac:dyDescent="0.3">
      <c r="A270" s="9"/>
      <c r="B270" s="13" t="e">
        <f>VLOOKUP(Table24[[#This Row],[Location 
(drop-down)]],'List source'!D$2:E$60,2,FALSE)</f>
        <v>#N/A</v>
      </c>
      <c r="C270" s="23" t="s">
        <v>939</v>
      </c>
      <c r="D270" s="30" t="e">
        <f t="shared" si="4"/>
        <v>#N/A</v>
      </c>
      <c r="E270" s="11"/>
      <c r="F270" s="126"/>
      <c r="G270" s="12"/>
      <c r="H270" s="12"/>
      <c r="I270" s="12"/>
      <c r="J270" s="10"/>
      <c r="K270" s="10"/>
    </row>
    <row r="271" spans="1:11" s="4" customFormat="1" ht="30" customHeight="1" x14ac:dyDescent="0.3">
      <c r="A271" s="9"/>
      <c r="B271" s="13" t="e">
        <f>VLOOKUP(Table24[[#This Row],[Location 
(drop-down)]],'List source'!D$2:E$60,2,FALSE)</f>
        <v>#N/A</v>
      </c>
      <c r="C271" s="23" t="s">
        <v>942</v>
      </c>
      <c r="D271" s="30" t="e">
        <f t="shared" si="4"/>
        <v>#N/A</v>
      </c>
      <c r="E271" s="11"/>
      <c r="F271" s="126"/>
      <c r="G271" s="12"/>
      <c r="H271" s="12"/>
      <c r="I271" s="12"/>
      <c r="J271" s="10"/>
      <c r="K271" s="10"/>
    </row>
    <row r="272" spans="1:11" s="4" customFormat="1" ht="30" customHeight="1" x14ac:dyDescent="0.3">
      <c r="A272" s="9"/>
      <c r="B272" s="13" t="e">
        <f>VLOOKUP(Table24[[#This Row],[Location 
(drop-down)]],'List source'!D$2:E$60,2,FALSE)</f>
        <v>#N/A</v>
      </c>
      <c r="C272" s="23" t="s">
        <v>945</v>
      </c>
      <c r="D272" s="30" t="e">
        <f t="shared" si="4"/>
        <v>#N/A</v>
      </c>
      <c r="E272" s="11"/>
      <c r="F272" s="126"/>
      <c r="G272" s="12"/>
      <c r="H272" s="12"/>
      <c r="I272" s="12"/>
      <c r="J272" s="10"/>
      <c r="K272" s="10"/>
    </row>
    <row r="273" spans="1:11" s="4" customFormat="1" ht="30" customHeight="1" x14ac:dyDescent="0.3">
      <c r="A273" s="9"/>
      <c r="B273" s="13" t="e">
        <f>VLOOKUP(Table24[[#This Row],[Location 
(drop-down)]],'List source'!D$2:E$60,2,FALSE)</f>
        <v>#N/A</v>
      </c>
      <c r="C273" s="23" t="s">
        <v>947</v>
      </c>
      <c r="D273" s="30" t="e">
        <f t="shared" si="4"/>
        <v>#N/A</v>
      </c>
      <c r="E273" s="11"/>
      <c r="F273" s="126"/>
      <c r="G273" s="12"/>
      <c r="H273" s="12"/>
      <c r="I273" s="12"/>
      <c r="J273" s="10"/>
      <c r="K273" s="10"/>
    </row>
    <row r="274" spans="1:11" s="4" customFormat="1" ht="30" customHeight="1" x14ac:dyDescent="0.3">
      <c r="A274" s="9"/>
      <c r="B274" s="13" t="e">
        <f>VLOOKUP(Table24[[#This Row],[Location 
(drop-down)]],'List source'!D$2:E$60,2,FALSE)</f>
        <v>#N/A</v>
      </c>
      <c r="C274" s="23" t="s">
        <v>949</v>
      </c>
      <c r="D274" s="30" t="e">
        <f t="shared" si="4"/>
        <v>#N/A</v>
      </c>
      <c r="E274" s="11"/>
      <c r="F274" s="126"/>
      <c r="G274" s="12"/>
      <c r="H274" s="12"/>
      <c r="I274" s="12"/>
      <c r="J274" s="10"/>
      <c r="K274" s="10"/>
    </row>
    <row r="275" spans="1:11" s="4" customFormat="1" ht="30" customHeight="1" x14ac:dyDescent="0.3">
      <c r="A275" s="9"/>
      <c r="B275" s="13" t="e">
        <f>VLOOKUP(Table24[[#This Row],[Location 
(drop-down)]],'List source'!D$2:E$60,2,FALSE)</f>
        <v>#N/A</v>
      </c>
      <c r="C275" s="23" t="s">
        <v>951</v>
      </c>
      <c r="D275" s="30" t="e">
        <f t="shared" si="4"/>
        <v>#N/A</v>
      </c>
      <c r="E275" s="11"/>
      <c r="F275" s="126"/>
      <c r="G275" s="12"/>
      <c r="H275" s="12"/>
      <c r="I275" s="12"/>
      <c r="J275" s="10"/>
      <c r="K275" s="10"/>
    </row>
    <row r="276" spans="1:11" s="4" customFormat="1" ht="30" customHeight="1" x14ac:dyDescent="0.3">
      <c r="A276" s="9"/>
      <c r="B276" s="13" t="e">
        <f>VLOOKUP(Table24[[#This Row],[Location 
(drop-down)]],'List source'!D$2:E$60,2,FALSE)</f>
        <v>#N/A</v>
      </c>
      <c r="C276" s="23" t="s">
        <v>953</v>
      </c>
      <c r="D276" s="30" t="e">
        <f t="shared" si="4"/>
        <v>#N/A</v>
      </c>
      <c r="E276" s="11"/>
      <c r="F276" s="126"/>
      <c r="G276" s="12"/>
      <c r="H276" s="12"/>
      <c r="I276" s="12"/>
      <c r="J276" s="10"/>
      <c r="K276" s="10"/>
    </row>
    <row r="277" spans="1:11" s="4" customFormat="1" ht="30" customHeight="1" x14ac:dyDescent="0.3">
      <c r="A277" s="9"/>
      <c r="B277" s="13" t="e">
        <f>VLOOKUP(Table24[[#This Row],[Location 
(drop-down)]],'List source'!D$2:E$60,2,FALSE)</f>
        <v>#N/A</v>
      </c>
      <c r="C277" s="23" t="s">
        <v>955</v>
      </c>
      <c r="D277" s="30" t="e">
        <f t="shared" si="4"/>
        <v>#N/A</v>
      </c>
      <c r="E277" s="11"/>
      <c r="F277" s="126"/>
      <c r="G277" s="12"/>
      <c r="H277" s="12"/>
      <c r="I277" s="12"/>
      <c r="J277" s="10"/>
      <c r="K277" s="10"/>
    </row>
    <row r="278" spans="1:11" s="4" customFormat="1" ht="30" customHeight="1" x14ac:dyDescent="0.3">
      <c r="A278" s="9"/>
      <c r="B278" s="13" t="e">
        <f>VLOOKUP(Table24[[#This Row],[Location 
(drop-down)]],'List source'!D$2:E$60,2,FALSE)</f>
        <v>#N/A</v>
      </c>
      <c r="C278" s="23" t="s">
        <v>958</v>
      </c>
      <c r="D278" s="30" t="e">
        <f t="shared" si="4"/>
        <v>#N/A</v>
      </c>
      <c r="E278" s="11"/>
      <c r="F278" s="126"/>
      <c r="G278" s="12"/>
      <c r="H278" s="12"/>
      <c r="I278" s="12"/>
      <c r="J278" s="10"/>
      <c r="K278" s="10"/>
    </row>
    <row r="279" spans="1:11" s="4" customFormat="1" ht="30" customHeight="1" x14ac:dyDescent="0.3">
      <c r="A279" s="9"/>
      <c r="B279" s="13" t="e">
        <f>VLOOKUP(Table24[[#This Row],[Location 
(drop-down)]],'List source'!D$2:E$60,2,FALSE)</f>
        <v>#N/A</v>
      </c>
      <c r="C279" s="23" t="s">
        <v>960</v>
      </c>
      <c r="D279" s="30" t="e">
        <f t="shared" si="4"/>
        <v>#N/A</v>
      </c>
      <c r="E279" s="11"/>
      <c r="F279" s="126"/>
      <c r="G279" s="12"/>
      <c r="H279" s="12"/>
      <c r="I279" s="12"/>
      <c r="J279" s="10"/>
      <c r="K279" s="10"/>
    </row>
    <row r="280" spans="1:11" s="4" customFormat="1" ht="30" customHeight="1" x14ac:dyDescent="0.3">
      <c r="A280" s="9"/>
      <c r="B280" s="13" t="e">
        <f>VLOOKUP(Table24[[#This Row],[Location 
(drop-down)]],'List source'!D$2:E$60,2,FALSE)</f>
        <v>#N/A</v>
      </c>
      <c r="C280" s="23" t="s">
        <v>962</v>
      </c>
      <c r="D280" s="30" t="e">
        <f t="shared" si="4"/>
        <v>#N/A</v>
      </c>
      <c r="E280" s="11"/>
      <c r="F280" s="126"/>
      <c r="G280" s="12"/>
      <c r="H280" s="12"/>
      <c r="I280" s="12"/>
      <c r="J280" s="10"/>
      <c r="K280" s="10"/>
    </row>
    <row r="281" spans="1:11" s="4" customFormat="1" ht="30" customHeight="1" x14ac:dyDescent="0.3">
      <c r="A281" s="9"/>
      <c r="B281" s="13" t="e">
        <f>VLOOKUP(Table24[[#This Row],[Location 
(drop-down)]],'List source'!D$2:E$60,2,FALSE)</f>
        <v>#N/A</v>
      </c>
      <c r="C281" s="23" t="s">
        <v>964</v>
      </c>
      <c r="D281" s="30" t="e">
        <f t="shared" si="4"/>
        <v>#N/A</v>
      </c>
      <c r="E281" s="11"/>
      <c r="F281" s="126"/>
      <c r="G281" s="12"/>
      <c r="H281" s="12"/>
      <c r="I281" s="12"/>
      <c r="J281" s="10"/>
      <c r="K281" s="10"/>
    </row>
    <row r="282" spans="1:11" s="4" customFormat="1" ht="30" customHeight="1" x14ac:dyDescent="0.3">
      <c r="A282" s="9"/>
      <c r="B282" s="13" t="e">
        <f>VLOOKUP(Table24[[#This Row],[Location 
(drop-down)]],'List source'!D$2:E$60,2,FALSE)</f>
        <v>#N/A</v>
      </c>
      <c r="C282" s="23" t="s">
        <v>967</v>
      </c>
      <c r="D282" s="30" t="e">
        <f t="shared" si="4"/>
        <v>#N/A</v>
      </c>
      <c r="E282" s="11"/>
      <c r="F282" s="126"/>
      <c r="G282" s="12"/>
      <c r="H282" s="12"/>
      <c r="I282" s="12"/>
      <c r="J282" s="10"/>
      <c r="K282" s="10"/>
    </row>
    <row r="283" spans="1:11" s="4" customFormat="1" ht="30" customHeight="1" x14ac:dyDescent="0.3">
      <c r="A283" s="9"/>
      <c r="B283" s="13" t="e">
        <f>VLOOKUP(Table24[[#This Row],[Location 
(drop-down)]],'List source'!D$2:E$60,2,FALSE)</f>
        <v>#N/A</v>
      </c>
      <c r="C283" s="23" t="s">
        <v>969</v>
      </c>
      <c r="D283" s="30" t="e">
        <f t="shared" si="4"/>
        <v>#N/A</v>
      </c>
      <c r="E283" s="11"/>
      <c r="F283" s="126"/>
      <c r="G283" s="12"/>
      <c r="H283" s="12"/>
      <c r="I283" s="12"/>
      <c r="J283" s="10"/>
      <c r="K283" s="10"/>
    </row>
    <row r="284" spans="1:11" s="4" customFormat="1" ht="30" customHeight="1" x14ac:dyDescent="0.3">
      <c r="A284" s="9"/>
      <c r="B284" s="13" t="e">
        <f>VLOOKUP(Table24[[#This Row],[Location 
(drop-down)]],'List source'!D$2:E$60,2,FALSE)</f>
        <v>#N/A</v>
      </c>
      <c r="C284" s="23" t="s">
        <v>972</v>
      </c>
      <c r="D284" s="30" t="e">
        <f t="shared" si="4"/>
        <v>#N/A</v>
      </c>
      <c r="E284" s="11"/>
      <c r="F284" s="126"/>
      <c r="G284" s="12"/>
      <c r="H284" s="12"/>
      <c r="I284" s="12"/>
      <c r="J284" s="10"/>
      <c r="K284" s="10"/>
    </row>
    <row r="285" spans="1:11" s="4" customFormat="1" ht="30" customHeight="1" x14ac:dyDescent="0.3">
      <c r="A285" s="9"/>
      <c r="B285" s="13" t="e">
        <f>VLOOKUP(Table24[[#This Row],[Location 
(drop-down)]],'List source'!D$2:E$60,2,FALSE)</f>
        <v>#N/A</v>
      </c>
      <c r="C285" s="23" t="s">
        <v>974</v>
      </c>
      <c r="D285" s="30" t="e">
        <f t="shared" si="4"/>
        <v>#N/A</v>
      </c>
      <c r="E285" s="11"/>
      <c r="F285" s="126"/>
      <c r="G285" s="12"/>
      <c r="H285" s="12"/>
      <c r="I285" s="12"/>
      <c r="J285" s="10"/>
      <c r="K285" s="10"/>
    </row>
    <row r="286" spans="1:11" s="4" customFormat="1" ht="30" customHeight="1" x14ac:dyDescent="0.3">
      <c r="A286" s="9"/>
      <c r="B286" s="13" t="e">
        <f>VLOOKUP(Table24[[#This Row],[Location 
(drop-down)]],'List source'!D$2:E$60,2,FALSE)</f>
        <v>#N/A</v>
      </c>
      <c r="C286" s="23" t="s">
        <v>976</v>
      </c>
      <c r="D286" s="30" t="e">
        <f t="shared" si="4"/>
        <v>#N/A</v>
      </c>
      <c r="E286" s="11"/>
      <c r="F286" s="126"/>
      <c r="G286" s="12"/>
      <c r="H286" s="12"/>
      <c r="I286" s="12"/>
      <c r="J286" s="10"/>
      <c r="K286" s="10"/>
    </row>
    <row r="287" spans="1:11" s="4" customFormat="1" ht="30" customHeight="1" x14ac:dyDescent="0.3">
      <c r="A287" s="9"/>
      <c r="B287" s="13" t="e">
        <f>VLOOKUP(Table24[[#This Row],[Location 
(drop-down)]],'List source'!D$2:E$60,2,FALSE)</f>
        <v>#N/A</v>
      </c>
      <c r="C287" s="23" t="s">
        <v>978</v>
      </c>
      <c r="D287" s="30" t="e">
        <f t="shared" si="4"/>
        <v>#N/A</v>
      </c>
      <c r="E287" s="11"/>
      <c r="F287" s="126"/>
      <c r="G287" s="12"/>
      <c r="H287" s="12"/>
      <c r="I287" s="12"/>
      <c r="J287" s="10"/>
      <c r="K287" s="10"/>
    </row>
    <row r="288" spans="1:11" s="4" customFormat="1" ht="30" customHeight="1" x14ac:dyDescent="0.3">
      <c r="A288" s="9"/>
      <c r="B288" s="13" t="e">
        <f>VLOOKUP(Table24[[#This Row],[Location 
(drop-down)]],'List source'!D$2:E$60,2,FALSE)</f>
        <v>#N/A</v>
      </c>
      <c r="C288" s="23" t="s">
        <v>980</v>
      </c>
      <c r="D288" s="30" t="e">
        <f t="shared" si="4"/>
        <v>#N/A</v>
      </c>
      <c r="E288" s="11"/>
      <c r="F288" s="126"/>
      <c r="G288" s="12"/>
      <c r="H288" s="12"/>
      <c r="I288" s="12"/>
      <c r="J288" s="10"/>
      <c r="K288" s="10"/>
    </row>
    <row r="289" spans="1:11" s="4" customFormat="1" ht="30" customHeight="1" x14ac:dyDescent="0.3">
      <c r="A289" s="9"/>
      <c r="B289" s="13" t="e">
        <f>VLOOKUP(Table24[[#This Row],[Location 
(drop-down)]],'List source'!D$2:E$60,2,FALSE)</f>
        <v>#N/A</v>
      </c>
      <c r="C289" s="23" t="s">
        <v>983</v>
      </c>
      <c r="D289" s="30" t="e">
        <f t="shared" si="4"/>
        <v>#N/A</v>
      </c>
      <c r="E289" s="11"/>
      <c r="F289" s="126"/>
      <c r="G289" s="12"/>
      <c r="H289" s="12"/>
      <c r="I289" s="12"/>
      <c r="J289" s="10"/>
      <c r="K289" s="10"/>
    </row>
    <row r="290" spans="1:11" s="4" customFormat="1" ht="30" customHeight="1" x14ac:dyDescent="0.3">
      <c r="A290" s="9"/>
      <c r="B290" s="13" t="e">
        <f>VLOOKUP(Table24[[#This Row],[Location 
(drop-down)]],'List source'!D$2:E$60,2,FALSE)</f>
        <v>#N/A</v>
      </c>
      <c r="C290" s="23" t="s">
        <v>986</v>
      </c>
      <c r="D290" s="30" t="e">
        <f t="shared" si="4"/>
        <v>#N/A</v>
      </c>
      <c r="E290" s="11"/>
      <c r="F290" s="126"/>
      <c r="G290" s="12"/>
      <c r="H290" s="12"/>
      <c r="I290" s="12"/>
      <c r="J290" s="10"/>
      <c r="K290" s="10"/>
    </row>
    <row r="291" spans="1:11" s="4" customFormat="1" ht="30" customHeight="1" x14ac:dyDescent="0.3">
      <c r="A291" s="9"/>
      <c r="B291" s="13" t="e">
        <f>VLOOKUP(Table24[[#This Row],[Location 
(drop-down)]],'List source'!D$2:E$60,2,FALSE)</f>
        <v>#N/A</v>
      </c>
      <c r="C291" s="23" t="s">
        <v>989</v>
      </c>
      <c r="D291" s="30" t="e">
        <f t="shared" si="4"/>
        <v>#N/A</v>
      </c>
      <c r="E291" s="11"/>
      <c r="F291" s="126"/>
      <c r="G291" s="12"/>
      <c r="H291" s="12"/>
      <c r="I291" s="12"/>
      <c r="J291" s="10"/>
      <c r="K291" s="10"/>
    </row>
    <row r="292" spans="1:11" s="4" customFormat="1" ht="30" customHeight="1" x14ac:dyDescent="0.3">
      <c r="A292" s="9"/>
      <c r="B292" s="13" t="e">
        <f>VLOOKUP(Table24[[#This Row],[Location 
(drop-down)]],'List source'!D$2:E$60,2,FALSE)</f>
        <v>#N/A</v>
      </c>
      <c r="C292" s="23" t="s">
        <v>992</v>
      </c>
      <c r="D292" s="30" t="e">
        <f t="shared" si="4"/>
        <v>#N/A</v>
      </c>
      <c r="E292" s="11"/>
      <c r="F292" s="126"/>
      <c r="G292" s="12"/>
      <c r="H292" s="12"/>
      <c r="I292" s="12"/>
      <c r="J292" s="10"/>
      <c r="K292" s="10"/>
    </row>
    <row r="293" spans="1:11" s="4" customFormat="1" ht="30" customHeight="1" x14ac:dyDescent="0.3">
      <c r="A293" s="9"/>
      <c r="B293" s="13" t="e">
        <f>VLOOKUP(Table24[[#This Row],[Location 
(drop-down)]],'List source'!D$2:E$60,2,FALSE)</f>
        <v>#N/A</v>
      </c>
      <c r="C293" s="23" t="s">
        <v>995</v>
      </c>
      <c r="D293" s="30" t="e">
        <f t="shared" si="4"/>
        <v>#N/A</v>
      </c>
      <c r="E293" s="11"/>
      <c r="F293" s="126"/>
      <c r="G293" s="12"/>
      <c r="H293" s="12"/>
      <c r="I293" s="12"/>
      <c r="J293" s="10"/>
      <c r="K293" s="10"/>
    </row>
    <row r="294" spans="1:11" s="4" customFormat="1" ht="30" customHeight="1" x14ac:dyDescent="0.3">
      <c r="A294" s="9"/>
      <c r="B294" s="13" t="e">
        <f>VLOOKUP(Table24[[#This Row],[Location 
(drop-down)]],'List source'!D$2:E$60,2,FALSE)</f>
        <v>#N/A</v>
      </c>
      <c r="C294" s="23" t="s">
        <v>998</v>
      </c>
      <c r="D294" s="30" t="e">
        <f t="shared" si="4"/>
        <v>#N/A</v>
      </c>
      <c r="E294" s="11"/>
      <c r="F294" s="126"/>
      <c r="G294" s="12"/>
      <c r="H294" s="12"/>
      <c r="I294" s="12"/>
      <c r="J294" s="10"/>
      <c r="K294" s="10"/>
    </row>
    <row r="295" spans="1:11" s="4" customFormat="1" ht="30" customHeight="1" x14ac:dyDescent="0.3">
      <c r="A295" s="9"/>
      <c r="B295" s="13" t="e">
        <f>VLOOKUP(Table24[[#This Row],[Location 
(drop-down)]],'List source'!D$2:E$60,2,FALSE)</f>
        <v>#N/A</v>
      </c>
      <c r="C295" s="23" t="s">
        <v>1001</v>
      </c>
      <c r="D295" s="30" t="e">
        <f t="shared" si="4"/>
        <v>#N/A</v>
      </c>
      <c r="E295" s="11"/>
      <c r="F295" s="126"/>
      <c r="G295" s="12"/>
      <c r="H295" s="12"/>
      <c r="I295" s="12"/>
      <c r="J295" s="10"/>
      <c r="K295" s="10"/>
    </row>
    <row r="296" spans="1:11" s="4" customFormat="1" ht="30" customHeight="1" x14ac:dyDescent="0.3">
      <c r="A296" s="9"/>
      <c r="B296" s="13" t="e">
        <f>VLOOKUP(Table24[[#This Row],[Location 
(drop-down)]],'List source'!D$2:E$60,2,FALSE)</f>
        <v>#N/A</v>
      </c>
      <c r="C296" s="23" t="s">
        <v>1003</v>
      </c>
      <c r="D296" s="30" t="e">
        <f t="shared" si="4"/>
        <v>#N/A</v>
      </c>
      <c r="E296" s="11"/>
      <c r="F296" s="126"/>
      <c r="G296" s="12"/>
      <c r="H296" s="12"/>
      <c r="I296" s="12"/>
      <c r="J296" s="10"/>
      <c r="K296" s="10"/>
    </row>
    <row r="297" spans="1:11" s="4" customFormat="1" ht="30" customHeight="1" x14ac:dyDescent="0.3">
      <c r="A297" s="9"/>
      <c r="B297" s="13" t="e">
        <f>VLOOKUP(Table24[[#This Row],[Location 
(drop-down)]],'List source'!D$2:E$60,2,FALSE)</f>
        <v>#N/A</v>
      </c>
      <c r="C297" s="23" t="s">
        <v>1005</v>
      </c>
      <c r="D297" s="30" t="e">
        <f t="shared" si="4"/>
        <v>#N/A</v>
      </c>
      <c r="E297" s="11"/>
      <c r="F297" s="126"/>
      <c r="G297" s="12"/>
      <c r="H297" s="12"/>
      <c r="I297" s="12"/>
      <c r="J297" s="10"/>
      <c r="K297" s="10"/>
    </row>
    <row r="298" spans="1:11" s="4" customFormat="1" ht="30" customHeight="1" x14ac:dyDescent="0.3">
      <c r="A298" s="9"/>
      <c r="B298" s="13" t="e">
        <f>VLOOKUP(Table24[[#This Row],[Location 
(drop-down)]],'List source'!D$2:E$60,2,FALSE)</f>
        <v>#N/A</v>
      </c>
      <c r="C298" s="23" t="s">
        <v>1007</v>
      </c>
      <c r="D298" s="30" t="e">
        <f t="shared" si="4"/>
        <v>#N/A</v>
      </c>
      <c r="E298" s="11"/>
      <c r="F298" s="126"/>
      <c r="G298" s="12"/>
      <c r="H298" s="12"/>
      <c r="I298" s="12"/>
      <c r="J298" s="10"/>
      <c r="K298" s="10"/>
    </row>
    <row r="299" spans="1:11" s="4" customFormat="1" ht="30" customHeight="1" x14ac:dyDescent="0.3">
      <c r="A299" s="9"/>
      <c r="B299" s="13" t="e">
        <f>VLOOKUP(Table24[[#This Row],[Location 
(drop-down)]],'List source'!D$2:E$60,2,FALSE)</f>
        <v>#N/A</v>
      </c>
      <c r="C299" s="23" t="s">
        <v>1008</v>
      </c>
      <c r="D299" s="30" t="e">
        <f t="shared" si="4"/>
        <v>#N/A</v>
      </c>
      <c r="E299" s="11"/>
      <c r="F299" s="126"/>
      <c r="G299" s="12"/>
      <c r="H299" s="12"/>
      <c r="I299" s="12"/>
      <c r="J299" s="10"/>
      <c r="K299" s="10"/>
    </row>
    <row r="300" spans="1:11" s="4" customFormat="1" ht="30" customHeight="1" x14ac:dyDescent="0.3">
      <c r="A300" s="9"/>
      <c r="B300" s="13" t="e">
        <f>VLOOKUP(Table24[[#This Row],[Location 
(drop-down)]],'List source'!D$2:E$60,2,FALSE)</f>
        <v>#N/A</v>
      </c>
      <c r="C300" s="23" t="s">
        <v>1010</v>
      </c>
      <c r="D300" s="30" t="e">
        <f t="shared" si="4"/>
        <v>#N/A</v>
      </c>
      <c r="E300" s="11"/>
      <c r="F300" s="126"/>
      <c r="G300" s="12"/>
      <c r="H300" s="12"/>
      <c r="I300" s="12"/>
      <c r="J300" s="10"/>
      <c r="K300" s="10"/>
    </row>
    <row r="301" spans="1:11" s="4" customFormat="1" ht="30" customHeight="1" x14ac:dyDescent="0.3">
      <c r="A301" s="9"/>
      <c r="B301" s="13" t="e">
        <f>VLOOKUP(Table24[[#This Row],[Location 
(drop-down)]],'List source'!D$2:E$60,2,FALSE)</f>
        <v>#N/A</v>
      </c>
      <c r="C301" s="23" t="s">
        <v>1012</v>
      </c>
      <c r="D301" s="30" t="e">
        <f t="shared" si="4"/>
        <v>#N/A</v>
      </c>
      <c r="E301" s="11"/>
      <c r="F301" s="126"/>
      <c r="G301" s="12"/>
      <c r="H301" s="12"/>
      <c r="I301" s="12"/>
      <c r="J301" s="10"/>
      <c r="K301" s="10"/>
    </row>
    <row r="302" spans="1:11" s="4" customFormat="1" ht="30" customHeight="1" x14ac:dyDescent="0.3">
      <c r="A302" s="9"/>
      <c r="B302" s="13" t="e">
        <f>VLOOKUP(Table24[[#This Row],[Location 
(drop-down)]],'List source'!D$2:E$60,2,FALSE)</f>
        <v>#N/A</v>
      </c>
      <c r="C302" s="23" t="s">
        <v>1014</v>
      </c>
      <c r="D302" s="30" t="e">
        <f t="shared" si="4"/>
        <v>#N/A</v>
      </c>
      <c r="E302" s="11"/>
      <c r="F302" s="126"/>
      <c r="G302" s="12"/>
      <c r="H302" s="12"/>
      <c r="I302" s="12"/>
      <c r="J302" s="10"/>
      <c r="K302" s="10"/>
    </row>
    <row r="303" spans="1:11" s="4" customFormat="1" ht="30" customHeight="1" x14ac:dyDescent="0.3">
      <c r="A303" s="9"/>
      <c r="B303" s="13" t="e">
        <f>VLOOKUP(Table24[[#This Row],[Location 
(drop-down)]],'List source'!D$2:E$60,2,FALSE)</f>
        <v>#N/A</v>
      </c>
      <c r="C303" s="23" t="s">
        <v>1016</v>
      </c>
      <c r="D303" s="30" t="e">
        <f t="shared" si="4"/>
        <v>#N/A</v>
      </c>
      <c r="E303" s="11"/>
      <c r="F303" s="126"/>
      <c r="G303" s="12"/>
      <c r="H303" s="12"/>
      <c r="I303" s="12"/>
      <c r="J303" s="10"/>
      <c r="K303" s="10"/>
    </row>
    <row r="304" spans="1:11" s="4" customFormat="1" ht="30" customHeight="1" x14ac:dyDescent="0.3">
      <c r="A304" s="9"/>
      <c r="B304" s="13" t="e">
        <f>VLOOKUP(Table24[[#This Row],[Location 
(drop-down)]],'List source'!D$2:E$60,2,FALSE)</f>
        <v>#N/A</v>
      </c>
      <c r="C304" s="23" t="s">
        <v>1018</v>
      </c>
      <c r="D304" s="30" t="e">
        <f t="shared" si="4"/>
        <v>#N/A</v>
      </c>
      <c r="E304" s="11"/>
      <c r="F304" s="126"/>
      <c r="G304" s="12"/>
      <c r="H304" s="12"/>
      <c r="I304" s="12"/>
      <c r="J304" s="10"/>
      <c r="K304" s="10"/>
    </row>
    <row r="305" spans="1:11" s="4" customFormat="1" ht="30" customHeight="1" x14ac:dyDescent="0.3">
      <c r="A305" s="9"/>
      <c r="B305" s="13" t="e">
        <f>VLOOKUP(Table24[[#This Row],[Location 
(drop-down)]],'List source'!D$2:E$60,2,FALSE)</f>
        <v>#N/A</v>
      </c>
      <c r="C305" s="23" t="s">
        <v>1020</v>
      </c>
      <c r="D305" s="30" t="e">
        <f t="shared" si="4"/>
        <v>#N/A</v>
      </c>
      <c r="E305" s="11"/>
      <c r="F305" s="126"/>
      <c r="G305" s="12"/>
      <c r="H305" s="12"/>
      <c r="I305" s="12"/>
      <c r="J305" s="10"/>
      <c r="K305" s="10"/>
    </row>
    <row r="306" spans="1:11" s="4" customFormat="1" ht="30" customHeight="1" x14ac:dyDescent="0.3">
      <c r="A306" s="9"/>
      <c r="B306" s="13" t="e">
        <f>VLOOKUP(Table24[[#This Row],[Location 
(drop-down)]],'List source'!D$2:E$60,2,FALSE)</f>
        <v>#N/A</v>
      </c>
      <c r="C306" s="23" t="s">
        <v>1022</v>
      </c>
      <c r="D306" s="30" t="e">
        <f t="shared" si="4"/>
        <v>#N/A</v>
      </c>
      <c r="E306" s="11"/>
      <c r="F306" s="126"/>
      <c r="G306" s="12"/>
      <c r="H306" s="12"/>
      <c r="I306" s="12"/>
      <c r="J306" s="10"/>
      <c r="K306" s="10"/>
    </row>
    <row r="307" spans="1:11" s="4" customFormat="1" ht="30" customHeight="1" x14ac:dyDescent="0.3">
      <c r="A307" s="9"/>
      <c r="B307" s="13" t="e">
        <f>VLOOKUP(Table24[[#This Row],[Location 
(drop-down)]],'List source'!D$2:E$60,2,FALSE)</f>
        <v>#N/A</v>
      </c>
      <c r="C307" s="23" t="s">
        <v>1023</v>
      </c>
      <c r="D307" s="30" t="e">
        <f t="shared" si="4"/>
        <v>#N/A</v>
      </c>
      <c r="E307" s="11"/>
      <c r="F307" s="126"/>
      <c r="G307" s="12"/>
      <c r="H307" s="12"/>
      <c r="I307" s="12"/>
      <c r="J307" s="10"/>
      <c r="K307" s="10"/>
    </row>
    <row r="308" spans="1:11" s="4" customFormat="1" ht="30" customHeight="1" x14ac:dyDescent="0.3">
      <c r="A308" s="9"/>
      <c r="B308" s="13" t="e">
        <f>VLOOKUP(Table24[[#This Row],[Location 
(drop-down)]],'List source'!D$2:E$60,2,FALSE)</f>
        <v>#N/A</v>
      </c>
      <c r="C308" s="23" t="s">
        <v>1026</v>
      </c>
      <c r="D308" s="30" t="e">
        <f t="shared" si="4"/>
        <v>#N/A</v>
      </c>
      <c r="E308" s="11"/>
      <c r="F308" s="126"/>
      <c r="G308" s="12"/>
      <c r="H308" s="12"/>
      <c r="I308" s="12"/>
      <c r="J308" s="10"/>
      <c r="K308" s="10"/>
    </row>
    <row r="309" spans="1:11" s="4" customFormat="1" ht="30" customHeight="1" x14ac:dyDescent="0.3">
      <c r="A309" s="9"/>
      <c r="B309" s="13" t="e">
        <f>VLOOKUP(Table24[[#This Row],[Location 
(drop-down)]],'List source'!D$2:E$60,2,FALSE)</f>
        <v>#N/A</v>
      </c>
      <c r="C309" s="23" t="s">
        <v>1028</v>
      </c>
      <c r="D309" s="30" t="e">
        <f t="shared" si="4"/>
        <v>#N/A</v>
      </c>
      <c r="E309" s="11"/>
      <c r="F309" s="126"/>
      <c r="G309" s="12"/>
      <c r="H309" s="12"/>
      <c r="I309" s="12"/>
      <c r="J309" s="10"/>
      <c r="K309" s="10"/>
    </row>
    <row r="310" spans="1:11" s="4" customFormat="1" ht="30" customHeight="1" x14ac:dyDescent="0.3">
      <c r="A310" s="9"/>
      <c r="B310" s="13" t="e">
        <f>VLOOKUP(Table24[[#This Row],[Location 
(drop-down)]],'List source'!D$2:E$60,2,FALSE)</f>
        <v>#N/A</v>
      </c>
      <c r="C310" s="23" t="s">
        <v>1031</v>
      </c>
      <c r="D310" s="30" t="e">
        <f t="shared" si="4"/>
        <v>#N/A</v>
      </c>
      <c r="E310" s="11"/>
      <c r="F310" s="126"/>
      <c r="G310" s="12"/>
      <c r="H310" s="12"/>
      <c r="I310" s="12"/>
      <c r="J310" s="10"/>
      <c r="K310" s="10"/>
    </row>
    <row r="311" spans="1:11" s="4" customFormat="1" ht="30" customHeight="1" x14ac:dyDescent="0.3">
      <c r="A311" s="9"/>
      <c r="B311" s="13" t="e">
        <f>VLOOKUP(Table24[[#This Row],[Location 
(drop-down)]],'List source'!D$2:E$60,2,FALSE)</f>
        <v>#N/A</v>
      </c>
      <c r="C311" s="23" t="s">
        <v>1035</v>
      </c>
      <c r="D311" s="30" t="e">
        <f t="shared" si="4"/>
        <v>#N/A</v>
      </c>
      <c r="E311" s="11"/>
      <c r="F311" s="126"/>
      <c r="G311" s="12"/>
      <c r="H311" s="12"/>
      <c r="I311" s="12"/>
      <c r="J311" s="10"/>
      <c r="K311" s="10"/>
    </row>
    <row r="312" spans="1:11" s="4" customFormat="1" ht="30" customHeight="1" x14ac:dyDescent="0.3">
      <c r="A312" s="9"/>
      <c r="B312" s="13" t="e">
        <f>VLOOKUP(Table24[[#This Row],[Location 
(drop-down)]],'List source'!D$2:E$60,2,FALSE)</f>
        <v>#N/A</v>
      </c>
      <c r="C312" s="23" t="s">
        <v>1038</v>
      </c>
      <c r="D312" s="30" t="e">
        <f t="shared" si="4"/>
        <v>#N/A</v>
      </c>
      <c r="E312" s="11"/>
      <c r="F312" s="126"/>
      <c r="G312" s="12"/>
      <c r="H312" s="12"/>
      <c r="I312" s="12"/>
      <c r="J312" s="10"/>
      <c r="K312" s="10"/>
    </row>
    <row r="313" spans="1:11" s="4" customFormat="1" ht="30" customHeight="1" x14ac:dyDescent="0.3">
      <c r="A313" s="9"/>
      <c r="B313" s="13" t="e">
        <f>VLOOKUP(Table24[[#This Row],[Location 
(drop-down)]],'List source'!D$2:E$60,2,FALSE)</f>
        <v>#N/A</v>
      </c>
      <c r="C313" s="23" t="s">
        <v>1040</v>
      </c>
      <c r="D313" s="30" t="e">
        <f t="shared" si="4"/>
        <v>#N/A</v>
      </c>
      <c r="E313" s="11"/>
      <c r="F313" s="126"/>
      <c r="G313" s="12"/>
      <c r="H313" s="12"/>
      <c r="I313" s="12"/>
      <c r="J313" s="10"/>
      <c r="K313" s="10"/>
    </row>
    <row r="314" spans="1:11" s="4" customFormat="1" ht="30" customHeight="1" x14ac:dyDescent="0.3">
      <c r="A314" s="9"/>
      <c r="B314" s="13" t="e">
        <f>VLOOKUP(Table24[[#This Row],[Location 
(drop-down)]],'List source'!D$2:E$60,2,FALSE)</f>
        <v>#N/A</v>
      </c>
      <c r="C314" s="23" t="s">
        <v>1043</v>
      </c>
      <c r="D314" s="30" t="e">
        <f t="shared" si="4"/>
        <v>#N/A</v>
      </c>
      <c r="E314" s="11"/>
      <c r="F314" s="126"/>
      <c r="G314" s="12"/>
      <c r="H314" s="12"/>
      <c r="I314" s="12"/>
      <c r="J314" s="10"/>
      <c r="K314" s="10"/>
    </row>
    <row r="315" spans="1:11" s="4" customFormat="1" ht="30" customHeight="1" x14ac:dyDescent="0.3">
      <c r="A315" s="9"/>
      <c r="B315" s="13" t="e">
        <f>VLOOKUP(Table24[[#This Row],[Location 
(drop-down)]],'List source'!D$2:E$60,2,FALSE)</f>
        <v>#N/A</v>
      </c>
      <c r="C315" s="23" t="s">
        <v>1046</v>
      </c>
      <c r="D315" s="30" t="e">
        <f t="shared" si="4"/>
        <v>#N/A</v>
      </c>
      <c r="E315" s="11"/>
      <c r="F315" s="126"/>
      <c r="G315" s="12"/>
      <c r="H315" s="12"/>
      <c r="I315" s="12"/>
      <c r="J315" s="10"/>
      <c r="K315" s="10"/>
    </row>
    <row r="316" spans="1:11" s="4" customFormat="1" ht="30" customHeight="1" x14ac:dyDescent="0.3">
      <c r="A316" s="9"/>
      <c r="B316" s="13" t="e">
        <f>VLOOKUP(Table24[[#This Row],[Location 
(drop-down)]],'List source'!D$2:E$60,2,FALSE)</f>
        <v>#N/A</v>
      </c>
      <c r="C316" s="23" t="s">
        <v>1048</v>
      </c>
      <c r="D316" s="30" t="e">
        <f t="shared" si="4"/>
        <v>#N/A</v>
      </c>
      <c r="E316" s="11"/>
      <c r="F316" s="126"/>
      <c r="G316" s="12"/>
      <c r="H316" s="12"/>
      <c r="I316" s="12"/>
      <c r="J316" s="10"/>
      <c r="K316" s="10"/>
    </row>
    <row r="317" spans="1:11" s="4" customFormat="1" ht="30" customHeight="1" x14ac:dyDescent="0.3">
      <c r="A317" s="9"/>
      <c r="B317" s="13" t="e">
        <f>VLOOKUP(Table24[[#This Row],[Location 
(drop-down)]],'List source'!D$2:E$60,2,FALSE)</f>
        <v>#N/A</v>
      </c>
      <c r="C317" s="23" t="s">
        <v>1051</v>
      </c>
      <c r="D317" s="30" t="e">
        <f t="shared" si="4"/>
        <v>#N/A</v>
      </c>
      <c r="E317" s="11"/>
      <c r="F317" s="126"/>
      <c r="G317" s="12"/>
      <c r="H317" s="12"/>
      <c r="I317" s="12"/>
      <c r="J317" s="10"/>
      <c r="K317" s="10"/>
    </row>
    <row r="318" spans="1:11" s="4" customFormat="1" ht="30" customHeight="1" x14ac:dyDescent="0.3">
      <c r="A318" s="9"/>
      <c r="B318" s="13" t="e">
        <f>VLOOKUP(Table24[[#This Row],[Location 
(drop-down)]],'List source'!D$2:E$60,2,FALSE)</f>
        <v>#N/A</v>
      </c>
      <c r="C318" s="23" t="s">
        <v>1053</v>
      </c>
      <c r="D318" s="30" t="e">
        <f t="shared" si="4"/>
        <v>#N/A</v>
      </c>
      <c r="E318" s="11"/>
      <c r="F318" s="126"/>
      <c r="G318" s="12"/>
      <c r="H318" s="12"/>
      <c r="I318" s="12"/>
      <c r="J318" s="10"/>
      <c r="K318" s="10"/>
    </row>
    <row r="319" spans="1:11" s="4" customFormat="1" ht="30" customHeight="1" x14ac:dyDescent="0.3">
      <c r="A319" s="9"/>
      <c r="B319" s="13" t="e">
        <f>VLOOKUP(Table24[[#This Row],[Location 
(drop-down)]],'List source'!D$2:E$60,2,FALSE)</f>
        <v>#N/A</v>
      </c>
      <c r="C319" s="23" t="s">
        <v>1055</v>
      </c>
      <c r="D319" s="30" t="e">
        <f t="shared" si="4"/>
        <v>#N/A</v>
      </c>
      <c r="E319" s="11"/>
      <c r="F319" s="126"/>
      <c r="G319" s="12"/>
      <c r="H319" s="12"/>
      <c r="I319" s="12"/>
      <c r="J319" s="10"/>
      <c r="K319" s="10"/>
    </row>
    <row r="320" spans="1:11" s="4" customFormat="1" ht="30" customHeight="1" x14ac:dyDescent="0.3">
      <c r="A320" s="9"/>
      <c r="B320" s="13" t="e">
        <f>VLOOKUP(Table24[[#This Row],[Location 
(drop-down)]],'List source'!D$2:E$60,2,FALSE)</f>
        <v>#N/A</v>
      </c>
      <c r="C320" s="23" t="s">
        <v>1057</v>
      </c>
      <c r="D320" s="30" t="e">
        <f t="shared" si="4"/>
        <v>#N/A</v>
      </c>
      <c r="E320" s="11"/>
      <c r="F320" s="126"/>
      <c r="G320" s="12"/>
      <c r="H320" s="12"/>
      <c r="I320" s="12"/>
      <c r="J320" s="10"/>
      <c r="K320" s="10"/>
    </row>
    <row r="321" spans="1:11" s="4" customFormat="1" ht="30" customHeight="1" x14ac:dyDescent="0.3">
      <c r="A321" s="9"/>
      <c r="B321" s="13" t="e">
        <f>VLOOKUP(Table24[[#This Row],[Location 
(drop-down)]],'List source'!D$2:E$60,2,FALSE)</f>
        <v>#N/A</v>
      </c>
      <c r="C321" s="23" t="s">
        <v>1059</v>
      </c>
      <c r="D321" s="30" t="e">
        <f t="shared" si="4"/>
        <v>#N/A</v>
      </c>
      <c r="E321" s="11"/>
      <c r="F321" s="126"/>
      <c r="G321" s="12"/>
      <c r="H321" s="12"/>
      <c r="I321" s="12"/>
      <c r="J321" s="10"/>
      <c r="K321" s="10"/>
    </row>
    <row r="322" spans="1:11" s="4" customFormat="1" ht="30" customHeight="1" x14ac:dyDescent="0.3">
      <c r="A322" s="9"/>
      <c r="B322" s="13" t="e">
        <f>VLOOKUP(Table24[[#This Row],[Location 
(drop-down)]],'List source'!D$2:E$60,2,FALSE)</f>
        <v>#N/A</v>
      </c>
      <c r="C322" s="23" t="s">
        <v>1061</v>
      </c>
      <c r="D322" s="30" t="e">
        <f t="shared" ref="D322:D385" si="5">"P" &amp; C322 &amp; "-" &amp; B322 &amp; "-" &amp; "24"</f>
        <v>#N/A</v>
      </c>
      <c r="E322" s="11"/>
      <c r="F322" s="126"/>
      <c r="G322" s="12"/>
      <c r="H322" s="12"/>
      <c r="I322" s="12"/>
      <c r="J322" s="10"/>
      <c r="K322" s="10"/>
    </row>
    <row r="323" spans="1:11" s="4" customFormat="1" ht="30" customHeight="1" x14ac:dyDescent="0.3">
      <c r="A323" s="9"/>
      <c r="B323" s="13" t="e">
        <f>VLOOKUP(Table24[[#This Row],[Location 
(drop-down)]],'List source'!D$2:E$60,2,FALSE)</f>
        <v>#N/A</v>
      </c>
      <c r="C323" s="23" t="s">
        <v>1064</v>
      </c>
      <c r="D323" s="30" t="e">
        <f t="shared" si="5"/>
        <v>#N/A</v>
      </c>
      <c r="E323" s="11"/>
      <c r="F323" s="126"/>
      <c r="G323" s="12"/>
      <c r="H323" s="12"/>
      <c r="I323" s="12"/>
      <c r="J323" s="10"/>
      <c r="K323" s="10"/>
    </row>
    <row r="324" spans="1:11" s="4" customFormat="1" ht="30" customHeight="1" x14ac:dyDescent="0.3">
      <c r="A324" s="9"/>
      <c r="B324" s="13" t="e">
        <f>VLOOKUP(Table24[[#This Row],[Location 
(drop-down)]],'List source'!D$2:E$60,2,FALSE)</f>
        <v>#N/A</v>
      </c>
      <c r="C324" s="23" t="s">
        <v>1067</v>
      </c>
      <c r="D324" s="30" t="e">
        <f t="shared" si="5"/>
        <v>#N/A</v>
      </c>
      <c r="E324" s="11"/>
      <c r="F324" s="126"/>
      <c r="G324" s="12"/>
      <c r="H324" s="12"/>
      <c r="I324" s="12"/>
      <c r="J324" s="10"/>
      <c r="K324" s="10"/>
    </row>
    <row r="325" spans="1:11" s="4" customFormat="1" ht="30" customHeight="1" x14ac:dyDescent="0.3">
      <c r="A325" s="9"/>
      <c r="B325" s="13" t="e">
        <f>VLOOKUP(Table24[[#This Row],[Location 
(drop-down)]],'List source'!D$2:E$60,2,FALSE)</f>
        <v>#N/A</v>
      </c>
      <c r="C325" s="23" t="s">
        <v>1071</v>
      </c>
      <c r="D325" s="30" t="e">
        <f t="shared" si="5"/>
        <v>#N/A</v>
      </c>
      <c r="E325" s="11"/>
      <c r="F325" s="126"/>
      <c r="G325" s="12"/>
      <c r="H325" s="12"/>
      <c r="I325" s="12"/>
      <c r="J325" s="10"/>
      <c r="K325" s="10"/>
    </row>
    <row r="326" spans="1:11" s="4" customFormat="1" ht="30" customHeight="1" x14ac:dyDescent="0.3">
      <c r="A326" s="9"/>
      <c r="B326" s="13" t="e">
        <f>VLOOKUP(Table24[[#This Row],[Location 
(drop-down)]],'List source'!D$2:E$60,2,FALSE)</f>
        <v>#N/A</v>
      </c>
      <c r="C326" s="23" t="s">
        <v>1073</v>
      </c>
      <c r="D326" s="30" t="e">
        <f t="shared" si="5"/>
        <v>#N/A</v>
      </c>
      <c r="E326" s="11"/>
      <c r="F326" s="126"/>
      <c r="G326" s="12"/>
      <c r="H326" s="12"/>
      <c r="I326" s="12"/>
      <c r="J326" s="10"/>
      <c r="K326" s="10"/>
    </row>
    <row r="327" spans="1:11" s="4" customFormat="1" ht="30" customHeight="1" x14ac:dyDescent="0.3">
      <c r="A327" s="9"/>
      <c r="B327" s="13" t="e">
        <f>VLOOKUP(Table24[[#This Row],[Location 
(drop-down)]],'List source'!D$2:E$60,2,FALSE)</f>
        <v>#N/A</v>
      </c>
      <c r="C327" s="23" t="s">
        <v>1077</v>
      </c>
      <c r="D327" s="30" t="e">
        <f t="shared" si="5"/>
        <v>#N/A</v>
      </c>
      <c r="E327" s="11"/>
      <c r="F327" s="126"/>
      <c r="G327" s="12"/>
      <c r="H327" s="12"/>
      <c r="I327" s="12"/>
      <c r="J327" s="10"/>
      <c r="K327" s="10"/>
    </row>
    <row r="328" spans="1:11" s="4" customFormat="1" ht="30" customHeight="1" x14ac:dyDescent="0.3">
      <c r="A328" s="9"/>
      <c r="B328" s="13" t="e">
        <f>VLOOKUP(Table24[[#This Row],[Location 
(drop-down)]],'List source'!D$2:E$60,2,FALSE)</f>
        <v>#N/A</v>
      </c>
      <c r="C328" s="23" t="s">
        <v>1079</v>
      </c>
      <c r="D328" s="30" t="e">
        <f t="shared" si="5"/>
        <v>#N/A</v>
      </c>
      <c r="E328" s="11"/>
      <c r="F328" s="126"/>
      <c r="G328" s="12"/>
      <c r="H328" s="12"/>
      <c r="I328" s="12"/>
      <c r="J328" s="10"/>
      <c r="K328" s="10"/>
    </row>
    <row r="329" spans="1:11" s="4" customFormat="1" ht="30" customHeight="1" x14ac:dyDescent="0.3">
      <c r="A329" s="9"/>
      <c r="B329" s="13" t="e">
        <f>VLOOKUP(Table24[[#This Row],[Location 
(drop-down)]],'List source'!D$2:E$60,2,FALSE)</f>
        <v>#N/A</v>
      </c>
      <c r="C329" s="23" t="s">
        <v>1082</v>
      </c>
      <c r="D329" s="30" t="e">
        <f t="shared" si="5"/>
        <v>#N/A</v>
      </c>
      <c r="E329" s="11"/>
      <c r="F329" s="126"/>
      <c r="G329" s="12"/>
      <c r="H329" s="12"/>
      <c r="I329" s="12"/>
      <c r="J329" s="10"/>
      <c r="K329" s="10"/>
    </row>
    <row r="330" spans="1:11" s="4" customFormat="1" ht="30" customHeight="1" x14ac:dyDescent="0.3">
      <c r="A330" s="9"/>
      <c r="B330" s="13" t="e">
        <f>VLOOKUP(Table24[[#This Row],[Location 
(drop-down)]],'List source'!D$2:E$60,2,FALSE)</f>
        <v>#N/A</v>
      </c>
      <c r="C330" s="23" t="s">
        <v>1085</v>
      </c>
      <c r="D330" s="30" t="e">
        <f t="shared" si="5"/>
        <v>#N/A</v>
      </c>
      <c r="E330" s="11"/>
      <c r="F330" s="126"/>
      <c r="G330" s="12"/>
      <c r="H330" s="12"/>
      <c r="I330" s="12"/>
      <c r="J330" s="10"/>
      <c r="K330" s="10"/>
    </row>
    <row r="331" spans="1:11" s="4" customFormat="1" ht="30" customHeight="1" x14ac:dyDescent="0.3">
      <c r="A331" s="9"/>
      <c r="B331" s="13" t="e">
        <f>VLOOKUP(Table24[[#This Row],[Location 
(drop-down)]],'List source'!D$2:E$60,2,FALSE)</f>
        <v>#N/A</v>
      </c>
      <c r="C331" s="23" t="s">
        <v>1087</v>
      </c>
      <c r="D331" s="30" t="e">
        <f t="shared" si="5"/>
        <v>#N/A</v>
      </c>
      <c r="E331" s="11"/>
      <c r="F331" s="126"/>
      <c r="G331" s="12"/>
      <c r="H331" s="12"/>
      <c r="I331" s="12"/>
      <c r="J331" s="10"/>
      <c r="K331" s="10"/>
    </row>
    <row r="332" spans="1:11" s="4" customFormat="1" ht="30" customHeight="1" x14ac:dyDescent="0.3">
      <c r="A332" s="9"/>
      <c r="B332" s="13" t="e">
        <f>VLOOKUP(Table24[[#This Row],[Location 
(drop-down)]],'List source'!D$2:E$60,2,FALSE)</f>
        <v>#N/A</v>
      </c>
      <c r="C332" s="23" t="s">
        <v>1090</v>
      </c>
      <c r="D332" s="30" t="e">
        <f t="shared" si="5"/>
        <v>#N/A</v>
      </c>
      <c r="E332" s="11"/>
      <c r="F332" s="126"/>
      <c r="G332" s="12"/>
      <c r="H332" s="12"/>
      <c r="I332" s="12"/>
      <c r="J332" s="10"/>
      <c r="K332" s="10"/>
    </row>
    <row r="333" spans="1:11" s="4" customFormat="1" ht="30" customHeight="1" x14ac:dyDescent="0.3">
      <c r="A333" s="9"/>
      <c r="B333" s="13" t="e">
        <f>VLOOKUP(Table24[[#This Row],[Location 
(drop-down)]],'List source'!D$2:E$60,2,FALSE)</f>
        <v>#N/A</v>
      </c>
      <c r="C333" s="23" t="s">
        <v>1094</v>
      </c>
      <c r="D333" s="30" t="e">
        <f t="shared" si="5"/>
        <v>#N/A</v>
      </c>
      <c r="E333" s="11"/>
      <c r="F333" s="126"/>
      <c r="G333" s="12"/>
      <c r="H333" s="12"/>
      <c r="I333" s="12"/>
      <c r="J333" s="10"/>
      <c r="K333" s="10"/>
    </row>
    <row r="334" spans="1:11" s="4" customFormat="1" ht="30" customHeight="1" x14ac:dyDescent="0.3">
      <c r="A334" s="9"/>
      <c r="B334" s="13" t="e">
        <f>VLOOKUP(Table24[[#This Row],[Location 
(drop-down)]],'List source'!D$2:E$60,2,FALSE)</f>
        <v>#N/A</v>
      </c>
      <c r="C334" s="23" t="s">
        <v>1097</v>
      </c>
      <c r="D334" s="30" t="e">
        <f t="shared" si="5"/>
        <v>#N/A</v>
      </c>
      <c r="E334" s="11"/>
      <c r="F334" s="126"/>
      <c r="G334" s="12"/>
      <c r="H334" s="12"/>
      <c r="I334" s="12"/>
      <c r="J334" s="10"/>
      <c r="K334" s="10"/>
    </row>
    <row r="335" spans="1:11" s="4" customFormat="1" ht="30" customHeight="1" x14ac:dyDescent="0.3">
      <c r="A335" s="9"/>
      <c r="B335" s="13" t="e">
        <f>VLOOKUP(Table24[[#This Row],[Location 
(drop-down)]],'List source'!D$2:E$60,2,FALSE)</f>
        <v>#N/A</v>
      </c>
      <c r="C335" s="23" t="s">
        <v>1099</v>
      </c>
      <c r="D335" s="30" t="e">
        <f t="shared" si="5"/>
        <v>#N/A</v>
      </c>
      <c r="E335" s="11"/>
      <c r="F335" s="126"/>
      <c r="G335" s="12"/>
      <c r="H335" s="12"/>
      <c r="I335" s="12"/>
      <c r="J335" s="10"/>
      <c r="K335" s="10"/>
    </row>
    <row r="336" spans="1:11" s="4" customFormat="1" ht="30" customHeight="1" x14ac:dyDescent="0.3">
      <c r="A336" s="9"/>
      <c r="B336" s="13" t="e">
        <f>VLOOKUP(Table24[[#This Row],[Location 
(drop-down)]],'List source'!D$2:E$60,2,FALSE)</f>
        <v>#N/A</v>
      </c>
      <c r="C336" s="23" t="s">
        <v>1102</v>
      </c>
      <c r="D336" s="30" t="e">
        <f t="shared" si="5"/>
        <v>#N/A</v>
      </c>
      <c r="E336" s="11"/>
      <c r="F336" s="126"/>
      <c r="G336" s="12"/>
      <c r="H336" s="12"/>
      <c r="I336" s="12"/>
      <c r="J336" s="10"/>
      <c r="K336" s="10"/>
    </row>
    <row r="337" spans="1:11" s="4" customFormat="1" ht="30" customHeight="1" x14ac:dyDescent="0.3">
      <c r="A337" s="9"/>
      <c r="B337" s="13" t="e">
        <f>VLOOKUP(Table24[[#This Row],[Location 
(drop-down)]],'List source'!D$2:E$60,2,FALSE)</f>
        <v>#N/A</v>
      </c>
      <c r="C337" s="23" t="s">
        <v>1105</v>
      </c>
      <c r="D337" s="30" t="e">
        <f t="shared" si="5"/>
        <v>#N/A</v>
      </c>
      <c r="E337" s="11"/>
      <c r="F337" s="126"/>
      <c r="G337" s="12"/>
      <c r="H337" s="12"/>
      <c r="I337" s="12"/>
      <c r="J337" s="10"/>
      <c r="K337" s="10"/>
    </row>
    <row r="338" spans="1:11" s="4" customFormat="1" ht="30" customHeight="1" x14ac:dyDescent="0.3">
      <c r="A338" s="9"/>
      <c r="B338" s="13" t="e">
        <f>VLOOKUP(Table24[[#This Row],[Location 
(drop-down)]],'List source'!D$2:E$60,2,FALSE)</f>
        <v>#N/A</v>
      </c>
      <c r="C338" s="23" t="s">
        <v>1108</v>
      </c>
      <c r="D338" s="30" t="e">
        <f t="shared" si="5"/>
        <v>#N/A</v>
      </c>
      <c r="E338" s="11"/>
      <c r="F338" s="126"/>
      <c r="G338" s="12"/>
      <c r="H338" s="12"/>
      <c r="I338" s="12"/>
      <c r="J338" s="10"/>
      <c r="K338" s="10"/>
    </row>
    <row r="339" spans="1:11" s="4" customFormat="1" ht="30" customHeight="1" x14ac:dyDescent="0.3">
      <c r="A339" s="9"/>
      <c r="B339" s="13" t="e">
        <f>VLOOKUP(Table24[[#This Row],[Location 
(drop-down)]],'List source'!D$2:E$60,2,FALSE)</f>
        <v>#N/A</v>
      </c>
      <c r="C339" s="23" t="s">
        <v>1110</v>
      </c>
      <c r="D339" s="30" t="e">
        <f t="shared" si="5"/>
        <v>#N/A</v>
      </c>
      <c r="E339" s="11"/>
      <c r="F339" s="126"/>
      <c r="G339" s="12"/>
      <c r="H339" s="12"/>
      <c r="I339" s="12"/>
      <c r="J339" s="10"/>
      <c r="K339" s="10"/>
    </row>
    <row r="340" spans="1:11" s="4" customFormat="1" ht="30" customHeight="1" x14ac:dyDescent="0.3">
      <c r="A340" s="9"/>
      <c r="B340" s="13" t="e">
        <f>VLOOKUP(Table24[[#This Row],[Location 
(drop-down)]],'List source'!D$2:E$60,2,FALSE)</f>
        <v>#N/A</v>
      </c>
      <c r="C340" s="23" t="s">
        <v>1112</v>
      </c>
      <c r="D340" s="30" t="e">
        <f t="shared" si="5"/>
        <v>#N/A</v>
      </c>
      <c r="E340" s="11"/>
      <c r="F340" s="126"/>
      <c r="G340" s="12"/>
      <c r="H340" s="12"/>
      <c r="I340" s="12"/>
      <c r="J340" s="10"/>
      <c r="K340" s="10"/>
    </row>
    <row r="341" spans="1:11" s="4" customFormat="1" ht="30" customHeight="1" x14ac:dyDescent="0.3">
      <c r="A341" s="9"/>
      <c r="B341" s="13" t="e">
        <f>VLOOKUP(Table24[[#This Row],[Location 
(drop-down)]],'List source'!D$2:E$60,2,FALSE)</f>
        <v>#N/A</v>
      </c>
      <c r="C341" s="23" t="s">
        <v>1115</v>
      </c>
      <c r="D341" s="30" t="e">
        <f t="shared" si="5"/>
        <v>#N/A</v>
      </c>
      <c r="E341" s="11"/>
      <c r="F341" s="126"/>
      <c r="G341" s="12"/>
      <c r="H341" s="12"/>
      <c r="I341" s="12"/>
      <c r="J341" s="10"/>
      <c r="K341" s="10"/>
    </row>
    <row r="342" spans="1:11" s="4" customFormat="1" ht="30" customHeight="1" x14ac:dyDescent="0.3">
      <c r="A342" s="9"/>
      <c r="B342" s="13" t="e">
        <f>VLOOKUP(Table24[[#This Row],[Location 
(drop-down)]],'List source'!D$2:E$60,2,FALSE)</f>
        <v>#N/A</v>
      </c>
      <c r="C342" s="23" t="s">
        <v>1118</v>
      </c>
      <c r="D342" s="30" t="e">
        <f t="shared" si="5"/>
        <v>#N/A</v>
      </c>
      <c r="E342" s="11"/>
      <c r="F342" s="126"/>
      <c r="G342" s="12"/>
      <c r="H342" s="12"/>
      <c r="I342" s="12"/>
      <c r="J342" s="10"/>
      <c r="K342" s="10"/>
    </row>
    <row r="343" spans="1:11" s="4" customFormat="1" ht="30" customHeight="1" x14ac:dyDescent="0.3">
      <c r="A343" s="9"/>
      <c r="B343" s="13" t="e">
        <f>VLOOKUP(Table24[[#This Row],[Location 
(drop-down)]],'List source'!D$2:E$60,2,FALSE)</f>
        <v>#N/A</v>
      </c>
      <c r="C343" s="23" t="s">
        <v>1122</v>
      </c>
      <c r="D343" s="30" t="e">
        <f t="shared" si="5"/>
        <v>#N/A</v>
      </c>
      <c r="E343" s="11"/>
      <c r="F343" s="126"/>
      <c r="G343" s="12"/>
      <c r="H343" s="12"/>
      <c r="I343" s="12"/>
      <c r="J343" s="10"/>
      <c r="K343" s="10"/>
    </row>
    <row r="344" spans="1:11" s="4" customFormat="1" ht="30" customHeight="1" x14ac:dyDescent="0.3">
      <c r="A344" s="9"/>
      <c r="B344" s="13" t="e">
        <f>VLOOKUP(Table24[[#This Row],[Location 
(drop-down)]],'List source'!D$2:E$60,2,FALSE)</f>
        <v>#N/A</v>
      </c>
      <c r="C344" s="23" t="s">
        <v>1126</v>
      </c>
      <c r="D344" s="30" t="e">
        <f t="shared" si="5"/>
        <v>#N/A</v>
      </c>
      <c r="E344" s="11"/>
      <c r="F344" s="126"/>
      <c r="G344" s="12"/>
      <c r="H344" s="12"/>
      <c r="I344" s="12"/>
      <c r="J344" s="10"/>
      <c r="K344" s="10"/>
    </row>
    <row r="345" spans="1:11" s="4" customFormat="1" ht="30" customHeight="1" x14ac:dyDescent="0.3">
      <c r="A345" s="9"/>
      <c r="B345" s="13" t="e">
        <f>VLOOKUP(Table24[[#This Row],[Location 
(drop-down)]],'List source'!D$2:E$60,2,FALSE)</f>
        <v>#N/A</v>
      </c>
      <c r="C345" s="23" t="s">
        <v>1129</v>
      </c>
      <c r="D345" s="30" t="e">
        <f t="shared" si="5"/>
        <v>#N/A</v>
      </c>
      <c r="E345" s="11"/>
      <c r="F345" s="126"/>
      <c r="G345" s="12"/>
      <c r="H345" s="12"/>
      <c r="I345" s="12"/>
      <c r="J345" s="10"/>
      <c r="K345" s="10"/>
    </row>
    <row r="346" spans="1:11" s="4" customFormat="1" ht="30" customHeight="1" x14ac:dyDescent="0.3">
      <c r="A346" s="9"/>
      <c r="B346" s="13" t="e">
        <f>VLOOKUP(Table24[[#This Row],[Location 
(drop-down)]],'List source'!D$2:E$60,2,FALSE)</f>
        <v>#N/A</v>
      </c>
      <c r="C346" s="23" t="s">
        <v>1132</v>
      </c>
      <c r="D346" s="30" t="e">
        <f t="shared" si="5"/>
        <v>#N/A</v>
      </c>
      <c r="E346" s="11"/>
      <c r="F346" s="126"/>
      <c r="G346" s="12"/>
      <c r="H346" s="12"/>
      <c r="I346" s="12"/>
      <c r="J346" s="10"/>
      <c r="K346" s="10"/>
    </row>
    <row r="347" spans="1:11" s="4" customFormat="1" ht="30" customHeight="1" x14ac:dyDescent="0.3">
      <c r="A347" s="9"/>
      <c r="B347" s="13" t="e">
        <f>VLOOKUP(Table24[[#This Row],[Location 
(drop-down)]],'List source'!D$2:E$60,2,FALSE)</f>
        <v>#N/A</v>
      </c>
      <c r="C347" s="23" t="s">
        <v>1135</v>
      </c>
      <c r="D347" s="30" t="e">
        <f t="shared" si="5"/>
        <v>#N/A</v>
      </c>
      <c r="E347" s="11"/>
      <c r="F347" s="126"/>
      <c r="G347" s="12"/>
      <c r="H347" s="12"/>
      <c r="I347" s="12"/>
      <c r="J347" s="10"/>
      <c r="K347" s="10"/>
    </row>
    <row r="348" spans="1:11" s="4" customFormat="1" ht="30" customHeight="1" x14ac:dyDescent="0.3">
      <c r="A348" s="9"/>
      <c r="B348" s="13" t="e">
        <f>VLOOKUP(Table24[[#This Row],[Location 
(drop-down)]],'List source'!D$2:E$60,2,FALSE)</f>
        <v>#N/A</v>
      </c>
      <c r="C348" s="23" t="s">
        <v>1138</v>
      </c>
      <c r="D348" s="30" t="e">
        <f t="shared" si="5"/>
        <v>#N/A</v>
      </c>
      <c r="E348" s="11"/>
      <c r="F348" s="126"/>
      <c r="G348" s="12"/>
      <c r="H348" s="12"/>
      <c r="I348" s="12"/>
      <c r="J348" s="10"/>
      <c r="K348" s="10"/>
    </row>
    <row r="349" spans="1:11" s="4" customFormat="1" ht="30" customHeight="1" x14ac:dyDescent="0.3">
      <c r="A349" s="9"/>
      <c r="B349" s="13" t="e">
        <f>VLOOKUP(Table24[[#This Row],[Location 
(drop-down)]],'List source'!D$2:E$60,2,FALSE)</f>
        <v>#N/A</v>
      </c>
      <c r="C349" s="23" t="s">
        <v>1141</v>
      </c>
      <c r="D349" s="30" t="e">
        <f t="shared" si="5"/>
        <v>#N/A</v>
      </c>
      <c r="E349" s="11"/>
      <c r="F349" s="126"/>
      <c r="G349" s="12"/>
      <c r="H349" s="12"/>
      <c r="I349" s="12"/>
      <c r="J349" s="10"/>
      <c r="K349" s="10"/>
    </row>
    <row r="350" spans="1:11" s="4" customFormat="1" ht="30" customHeight="1" x14ac:dyDescent="0.3">
      <c r="A350" s="9"/>
      <c r="B350" s="13" t="e">
        <f>VLOOKUP(Table24[[#This Row],[Location 
(drop-down)]],'List source'!D$2:E$60,2,FALSE)</f>
        <v>#N/A</v>
      </c>
      <c r="C350" s="23" t="s">
        <v>1144</v>
      </c>
      <c r="D350" s="30" t="e">
        <f t="shared" si="5"/>
        <v>#N/A</v>
      </c>
      <c r="E350" s="11"/>
      <c r="F350" s="126"/>
      <c r="G350" s="12"/>
      <c r="H350" s="12"/>
      <c r="I350" s="12"/>
      <c r="J350" s="10"/>
      <c r="K350" s="10"/>
    </row>
    <row r="351" spans="1:11" s="4" customFormat="1" ht="30" customHeight="1" x14ac:dyDescent="0.3">
      <c r="A351" s="9"/>
      <c r="B351" s="13" t="e">
        <f>VLOOKUP(Table24[[#This Row],[Location 
(drop-down)]],'List source'!D$2:E$60,2,FALSE)</f>
        <v>#N/A</v>
      </c>
      <c r="C351" s="23" t="s">
        <v>1147</v>
      </c>
      <c r="D351" s="30" t="e">
        <f t="shared" si="5"/>
        <v>#N/A</v>
      </c>
      <c r="E351" s="11"/>
      <c r="F351" s="126"/>
      <c r="G351" s="12"/>
      <c r="H351" s="12"/>
      <c r="I351" s="12"/>
      <c r="J351" s="10"/>
      <c r="K351" s="10"/>
    </row>
    <row r="352" spans="1:11" s="4" customFormat="1" ht="30" customHeight="1" x14ac:dyDescent="0.3">
      <c r="A352" s="9"/>
      <c r="B352" s="13" t="e">
        <f>VLOOKUP(Table24[[#This Row],[Location 
(drop-down)]],'List source'!D$2:E$60,2,FALSE)</f>
        <v>#N/A</v>
      </c>
      <c r="C352" s="23" t="s">
        <v>1149</v>
      </c>
      <c r="D352" s="30" t="e">
        <f t="shared" si="5"/>
        <v>#N/A</v>
      </c>
      <c r="E352" s="11"/>
      <c r="F352" s="126"/>
      <c r="G352" s="12"/>
      <c r="H352" s="12"/>
      <c r="I352" s="12"/>
      <c r="J352" s="10"/>
      <c r="K352" s="10"/>
    </row>
    <row r="353" spans="1:11" s="4" customFormat="1" ht="30" customHeight="1" x14ac:dyDescent="0.3">
      <c r="A353" s="9"/>
      <c r="B353" s="13" t="e">
        <f>VLOOKUP(Table24[[#This Row],[Location 
(drop-down)]],'List source'!D$2:E$60,2,FALSE)</f>
        <v>#N/A</v>
      </c>
      <c r="C353" s="23" t="s">
        <v>1152</v>
      </c>
      <c r="D353" s="30" t="e">
        <f t="shared" si="5"/>
        <v>#N/A</v>
      </c>
      <c r="E353" s="11"/>
      <c r="F353" s="126"/>
      <c r="G353" s="12"/>
      <c r="H353" s="12"/>
      <c r="I353" s="12"/>
      <c r="J353" s="10"/>
      <c r="K353" s="10"/>
    </row>
    <row r="354" spans="1:11" s="4" customFormat="1" ht="30" customHeight="1" x14ac:dyDescent="0.3">
      <c r="A354" s="9"/>
      <c r="B354" s="13" t="e">
        <f>VLOOKUP(Table24[[#This Row],[Location 
(drop-down)]],'List source'!D$2:E$60,2,FALSE)</f>
        <v>#N/A</v>
      </c>
      <c r="C354" s="23" t="s">
        <v>1154</v>
      </c>
      <c r="D354" s="30" t="e">
        <f t="shared" si="5"/>
        <v>#N/A</v>
      </c>
      <c r="E354" s="11"/>
      <c r="F354" s="126"/>
      <c r="G354" s="12"/>
      <c r="H354" s="12"/>
      <c r="I354" s="12"/>
      <c r="J354" s="10"/>
      <c r="K354" s="10"/>
    </row>
    <row r="355" spans="1:11" s="4" customFormat="1" ht="30" customHeight="1" x14ac:dyDescent="0.3">
      <c r="A355" s="9"/>
      <c r="B355" s="13" t="e">
        <f>VLOOKUP(Table24[[#This Row],[Location 
(drop-down)]],'List source'!D$2:E$60,2,FALSE)</f>
        <v>#N/A</v>
      </c>
      <c r="C355" s="23" t="s">
        <v>1156</v>
      </c>
      <c r="D355" s="30" t="e">
        <f t="shared" si="5"/>
        <v>#N/A</v>
      </c>
      <c r="E355" s="11"/>
      <c r="F355" s="126"/>
      <c r="G355" s="12"/>
      <c r="H355" s="12"/>
      <c r="I355" s="12"/>
      <c r="J355" s="10"/>
      <c r="K355" s="10"/>
    </row>
    <row r="356" spans="1:11" s="4" customFormat="1" ht="30" customHeight="1" x14ac:dyDescent="0.3">
      <c r="A356" s="9"/>
      <c r="B356" s="13" t="e">
        <f>VLOOKUP(Table24[[#This Row],[Location 
(drop-down)]],'List source'!D$2:E$60,2,FALSE)</f>
        <v>#N/A</v>
      </c>
      <c r="C356" s="23" t="s">
        <v>1159</v>
      </c>
      <c r="D356" s="30" t="e">
        <f t="shared" si="5"/>
        <v>#N/A</v>
      </c>
      <c r="E356" s="11"/>
      <c r="F356" s="126"/>
      <c r="G356" s="12"/>
      <c r="H356" s="12"/>
      <c r="I356" s="12"/>
      <c r="J356" s="10"/>
      <c r="K356" s="10"/>
    </row>
    <row r="357" spans="1:11" s="4" customFormat="1" ht="30" customHeight="1" x14ac:dyDescent="0.3">
      <c r="A357" s="9"/>
      <c r="B357" s="13" t="e">
        <f>VLOOKUP(Table24[[#This Row],[Location 
(drop-down)]],'List source'!D$2:E$60,2,FALSE)</f>
        <v>#N/A</v>
      </c>
      <c r="C357" s="23" t="s">
        <v>1162</v>
      </c>
      <c r="D357" s="30" t="e">
        <f t="shared" si="5"/>
        <v>#N/A</v>
      </c>
      <c r="E357" s="11"/>
      <c r="F357" s="126"/>
      <c r="G357" s="12"/>
      <c r="H357" s="12"/>
      <c r="I357" s="12"/>
      <c r="J357" s="10"/>
      <c r="K357" s="10"/>
    </row>
    <row r="358" spans="1:11" s="4" customFormat="1" ht="30" customHeight="1" x14ac:dyDescent="0.3">
      <c r="A358" s="9"/>
      <c r="B358" s="13" t="e">
        <f>VLOOKUP(Table24[[#This Row],[Location 
(drop-down)]],'List source'!D$2:E$60,2,FALSE)</f>
        <v>#N/A</v>
      </c>
      <c r="C358" s="23" t="s">
        <v>1164</v>
      </c>
      <c r="D358" s="30" t="e">
        <f t="shared" si="5"/>
        <v>#N/A</v>
      </c>
      <c r="E358" s="11"/>
      <c r="F358" s="126"/>
      <c r="G358" s="12"/>
      <c r="H358" s="12"/>
      <c r="I358" s="12"/>
      <c r="J358" s="10"/>
      <c r="K358" s="10"/>
    </row>
    <row r="359" spans="1:11" s="4" customFormat="1" ht="30" customHeight="1" x14ac:dyDescent="0.3">
      <c r="A359" s="9"/>
      <c r="B359" s="13" t="e">
        <f>VLOOKUP(Table24[[#This Row],[Location 
(drop-down)]],'List source'!D$2:E$60,2,FALSE)</f>
        <v>#N/A</v>
      </c>
      <c r="C359" s="23" t="s">
        <v>1166</v>
      </c>
      <c r="D359" s="30" t="e">
        <f t="shared" si="5"/>
        <v>#N/A</v>
      </c>
      <c r="E359" s="11"/>
      <c r="F359" s="126"/>
      <c r="G359" s="12"/>
      <c r="H359" s="12"/>
      <c r="I359" s="12"/>
      <c r="J359" s="10"/>
      <c r="K359" s="10"/>
    </row>
    <row r="360" spans="1:11" s="4" customFormat="1" ht="30" customHeight="1" x14ac:dyDescent="0.3">
      <c r="A360" s="9"/>
      <c r="B360" s="13" t="e">
        <f>VLOOKUP(Table24[[#This Row],[Location 
(drop-down)]],'List source'!D$2:E$60,2,FALSE)</f>
        <v>#N/A</v>
      </c>
      <c r="C360" s="23" t="s">
        <v>1168</v>
      </c>
      <c r="D360" s="30" t="e">
        <f t="shared" si="5"/>
        <v>#N/A</v>
      </c>
      <c r="E360" s="11"/>
      <c r="F360" s="126"/>
      <c r="G360" s="12"/>
      <c r="H360" s="12"/>
      <c r="I360" s="12"/>
      <c r="J360" s="10"/>
      <c r="K360" s="10"/>
    </row>
    <row r="361" spans="1:11" s="4" customFormat="1" ht="30" customHeight="1" x14ac:dyDescent="0.3">
      <c r="A361" s="9"/>
      <c r="B361" s="13" t="e">
        <f>VLOOKUP(Table24[[#This Row],[Location 
(drop-down)]],'List source'!D$2:E$60,2,FALSE)</f>
        <v>#N/A</v>
      </c>
      <c r="C361" s="23" t="s">
        <v>1170</v>
      </c>
      <c r="D361" s="30" t="e">
        <f t="shared" si="5"/>
        <v>#N/A</v>
      </c>
      <c r="E361" s="11"/>
      <c r="F361" s="126"/>
      <c r="G361" s="12"/>
      <c r="H361" s="12"/>
      <c r="I361" s="12"/>
      <c r="J361" s="10"/>
      <c r="K361" s="10"/>
    </row>
    <row r="362" spans="1:11" s="4" customFormat="1" ht="30" customHeight="1" x14ac:dyDescent="0.3">
      <c r="A362" s="9"/>
      <c r="B362" s="13" t="e">
        <f>VLOOKUP(Table24[[#This Row],[Location 
(drop-down)]],'List source'!D$2:E$60,2,FALSE)</f>
        <v>#N/A</v>
      </c>
      <c r="C362" s="23" t="s">
        <v>1172</v>
      </c>
      <c r="D362" s="30" t="e">
        <f t="shared" si="5"/>
        <v>#N/A</v>
      </c>
      <c r="E362" s="11"/>
      <c r="F362" s="126"/>
      <c r="G362" s="12"/>
      <c r="H362" s="12"/>
      <c r="I362" s="12"/>
      <c r="J362" s="10"/>
      <c r="K362" s="10"/>
    </row>
    <row r="363" spans="1:11" s="4" customFormat="1" ht="30" customHeight="1" x14ac:dyDescent="0.3">
      <c r="A363" s="9"/>
      <c r="B363" s="13" t="e">
        <f>VLOOKUP(Table24[[#This Row],[Location 
(drop-down)]],'List source'!D$2:E$60,2,FALSE)</f>
        <v>#N/A</v>
      </c>
      <c r="C363" s="23" t="s">
        <v>1175</v>
      </c>
      <c r="D363" s="30" t="e">
        <f t="shared" si="5"/>
        <v>#N/A</v>
      </c>
      <c r="E363" s="11"/>
      <c r="F363" s="126"/>
      <c r="G363" s="12"/>
      <c r="H363" s="12"/>
      <c r="I363" s="12"/>
      <c r="J363" s="10"/>
      <c r="K363" s="10"/>
    </row>
    <row r="364" spans="1:11" s="4" customFormat="1" ht="30" customHeight="1" x14ac:dyDescent="0.3">
      <c r="A364" s="9"/>
      <c r="B364" s="13" t="e">
        <f>VLOOKUP(Table24[[#This Row],[Location 
(drop-down)]],'List source'!D$2:E$60,2,FALSE)</f>
        <v>#N/A</v>
      </c>
      <c r="C364" s="23" t="s">
        <v>1176</v>
      </c>
      <c r="D364" s="30" t="e">
        <f t="shared" si="5"/>
        <v>#N/A</v>
      </c>
      <c r="E364" s="11"/>
      <c r="F364" s="126"/>
      <c r="G364" s="12"/>
      <c r="H364" s="12"/>
      <c r="I364" s="12"/>
      <c r="J364" s="10"/>
      <c r="K364" s="10"/>
    </row>
    <row r="365" spans="1:11" s="4" customFormat="1" ht="30" customHeight="1" x14ac:dyDescent="0.3">
      <c r="A365" s="9"/>
      <c r="B365" s="13" t="e">
        <f>VLOOKUP(Table24[[#This Row],[Location 
(drop-down)]],'List source'!D$2:E$60,2,FALSE)</f>
        <v>#N/A</v>
      </c>
      <c r="C365" s="23" t="s">
        <v>1179</v>
      </c>
      <c r="D365" s="30" t="e">
        <f t="shared" si="5"/>
        <v>#N/A</v>
      </c>
      <c r="E365" s="11"/>
      <c r="F365" s="126"/>
      <c r="G365" s="12"/>
      <c r="H365" s="12"/>
      <c r="I365" s="12"/>
      <c r="J365" s="10"/>
      <c r="K365" s="10"/>
    </row>
    <row r="366" spans="1:11" s="4" customFormat="1" ht="30" customHeight="1" x14ac:dyDescent="0.3">
      <c r="A366" s="9"/>
      <c r="B366" s="13" t="e">
        <f>VLOOKUP(Table24[[#This Row],[Location 
(drop-down)]],'List source'!D$2:E$60,2,FALSE)</f>
        <v>#N/A</v>
      </c>
      <c r="C366" s="23" t="s">
        <v>1181</v>
      </c>
      <c r="D366" s="30" t="e">
        <f t="shared" si="5"/>
        <v>#N/A</v>
      </c>
      <c r="E366" s="11"/>
      <c r="F366" s="126"/>
      <c r="G366" s="12"/>
      <c r="H366" s="12"/>
      <c r="I366" s="12"/>
      <c r="J366" s="10"/>
      <c r="K366" s="10"/>
    </row>
    <row r="367" spans="1:11" s="4" customFormat="1" ht="30" customHeight="1" x14ac:dyDescent="0.3">
      <c r="A367" s="9"/>
      <c r="B367" s="13" t="e">
        <f>VLOOKUP(Table24[[#This Row],[Location 
(drop-down)]],'List source'!D$2:E$60,2,FALSE)</f>
        <v>#N/A</v>
      </c>
      <c r="C367" s="23" t="s">
        <v>1183</v>
      </c>
      <c r="D367" s="30" t="e">
        <f t="shared" si="5"/>
        <v>#N/A</v>
      </c>
      <c r="E367" s="11"/>
      <c r="F367" s="126"/>
      <c r="G367" s="12"/>
      <c r="H367" s="12"/>
      <c r="I367" s="12"/>
      <c r="J367" s="10"/>
      <c r="K367" s="10"/>
    </row>
    <row r="368" spans="1:11" s="4" customFormat="1" ht="30" customHeight="1" x14ac:dyDescent="0.3">
      <c r="A368" s="9"/>
      <c r="B368" s="13" t="e">
        <f>VLOOKUP(Table24[[#This Row],[Location 
(drop-down)]],'List source'!D$2:E$60,2,FALSE)</f>
        <v>#N/A</v>
      </c>
      <c r="C368" s="23" t="s">
        <v>1185</v>
      </c>
      <c r="D368" s="30" t="e">
        <f t="shared" si="5"/>
        <v>#N/A</v>
      </c>
      <c r="E368" s="11"/>
      <c r="F368" s="126"/>
      <c r="G368" s="12"/>
      <c r="H368" s="12"/>
      <c r="I368" s="12"/>
      <c r="J368" s="10"/>
      <c r="K368" s="10"/>
    </row>
    <row r="369" spans="1:11" s="4" customFormat="1" ht="30" customHeight="1" x14ac:dyDescent="0.3">
      <c r="A369" s="9"/>
      <c r="B369" s="13" t="e">
        <f>VLOOKUP(Table24[[#This Row],[Location 
(drop-down)]],'List source'!D$2:E$60,2,FALSE)</f>
        <v>#N/A</v>
      </c>
      <c r="C369" s="23" t="s">
        <v>1188</v>
      </c>
      <c r="D369" s="30" t="e">
        <f t="shared" si="5"/>
        <v>#N/A</v>
      </c>
      <c r="E369" s="11"/>
      <c r="F369" s="126"/>
      <c r="G369" s="12"/>
      <c r="H369" s="12"/>
      <c r="I369" s="12"/>
      <c r="J369" s="10"/>
      <c r="K369" s="10"/>
    </row>
    <row r="370" spans="1:11" s="4" customFormat="1" ht="30" customHeight="1" x14ac:dyDescent="0.3">
      <c r="A370" s="9"/>
      <c r="B370" s="13" t="e">
        <f>VLOOKUP(Table24[[#This Row],[Location 
(drop-down)]],'List source'!D$2:E$60,2,FALSE)</f>
        <v>#N/A</v>
      </c>
      <c r="C370" s="23" t="s">
        <v>1190</v>
      </c>
      <c r="D370" s="30" t="e">
        <f t="shared" si="5"/>
        <v>#N/A</v>
      </c>
      <c r="E370" s="11"/>
      <c r="F370" s="126"/>
      <c r="G370" s="12"/>
      <c r="H370" s="12"/>
      <c r="I370" s="12"/>
      <c r="J370" s="10"/>
      <c r="K370" s="10"/>
    </row>
    <row r="371" spans="1:11" s="4" customFormat="1" ht="30" customHeight="1" x14ac:dyDescent="0.3">
      <c r="A371" s="9"/>
      <c r="B371" s="13" t="e">
        <f>VLOOKUP(Table24[[#This Row],[Location 
(drop-down)]],'List source'!D$2:E$60,2,FALSE)</f>
        <v>#N/A</v>
      </c>
      <c r="C371" s="23" t="s">
        <v>1192</v>
      </c>
      <c r="D371" s="30" t="e">
        <f t="shared" si="5"/>
        <v>#N/A</v>
      </c>
      <c r="E371" s="11"/>
      <c r="F371" s="126"/>
      <c r="G371" s="12"/>
      <c r="H371" s="12"/>
      <c r="I371" s="12"/>
      <c r="J371" s="10"/>
      <c r="K371" s="10"/>
    </row>
    <row r="372" spans="1:11" s="4" customFormat="1" ht="30" customHeight="1" x14ac:dyDescent="0.3">
      <c r="A372" s="9"/>
      <c r="B372" s="13" t="e">
        <f>VLOOKUP(Table24[[#This Row],[Location 
(drop-down)]],'List source'!D$2:E$60,2,FALSE)</f>
        <v>#N/A</v>
      </c>
      <c r="C372" s="23" t="s">
        <v>1194</v>
      </c>
      <c r="D372" s="30" t="e">
        <f t="shared" si="5"/>
        <v>#N/A</v>
      </c>
      <c r="E372" s="11"/>
      <c r="F372" s="126"/>
      <c r="G372" s="12"/>
      <c r="H372" s="12"/>
      <c r="I372" s="12"/>
      <c r="J372" s="10"/>
      <c r="K372" s="10"/>
    </row>
    <row r="373" spans="1:11" s="4" customFormat="1" ht="30" customHeight="1" x14ac:dyDescent="0.3">
      <c r="A373" s="9"/>
      <c r="B373" s="13" t="e">
        <f>VLOOKUP(Table24[[#This Row],[Location 
(drop-down)]],'List source'!D$2:E$60,2,FALSE)</f>
        <v>#N/A</v>
      </c>
      <c r="C373" s="23" t="s">
        <v>1196</v>
      </c>
      <c r="D373" s="30" t="e">
        <f t="shared" si="5"/>
        <v>#N/A</v>
      </c>
      <c r="E373" s="11"/>
      <c r="F373" s="126"/>
      <c r="G373" s="12"/>
      <c r="H373" s="12"/>
      <c r="I373" s="12"/>
      <c r="J373" s="10"/>
      <c r="K373" s="10"/>
    </row>
    <row r="374" spans="1:11" s="4" customFormat="1" ht="30" customHeight="1" x14ac:dyDescent="0.3">
      <c r="A374" s="9"/>
      <c r="B374" s="13" t="e">
        <f>VLOOKUP(Table24[[#This Row],[Location 
(drop-down)]],'List source'!D$2:E$60,2,FALSE)</f>
        <v>#N/A</v>
      </c>
      <c r="C374" s="23" t="s">
        <v>1198</v>
      </c>
      <c r="D374" s="30" t="e">
        <f t="shared" si="5"/>
        <v>#N/A</v>
      </c>
      <c r="E374" s="11"/>
      <c r="F374" s="126"/>
      <c r="G374" s="12"/>
      <c r="H374" s="12"/>
      <c r="I374" s="12"/>
      <c r="J374" s="10"/>
      <c r="K374" s="10"/>
    </row>
    <row r="375" spans="1:11" s="4" customFormat="1" ht="30" customHeight="1" x14ac:dyDescent="0.3">
      <c r="A375" s="9"/>
      <c r="B375" s="13" t="e">
        <f>VLOOKUP(Table24[[#This Row],[Location 
(drop-down)]],'List source'!D$2:E$60,2,FALSE)</f>
        <v>#N/A</v>
      </c>
      <c r="C375" s="23" t="s">
        <v>1200</v>
      </c>
      <c r="D375" s="30" t="e">
        <f t="shared" si="5"/>
        <v>#N/A</v>
      </c>
      <c r="E375" s="11"/>
      <c r="F375" s="126"/>
      <c r="G375" s="12"/>
      <c r="H375" s="12"/>
      <c r="I375" s="12"/>
      <c r="J375" s="10"/>
      <c r="K375" s="10"/>
    </row>
    <row r="376" spans="1:11" s="4" customFormat="1" ht="30" customHeight="1" x14ac:dyDescent="0.3">
      <c r="A376" s="9"/>
      <c r="B376" s="13" t="e">
        <f>VLOOKUP(Table24[[#This Row],[Location 
(drop-down)]],'List source'!D$2:E$60,2,FALSE)</f>
        <v>#N/A</v>
      </c>
      <c r="C376" s="23" t="s">
        <v>1202</v>
      </c>
      <c r="D376" s="30" t="e">
        <f t="shared" si="5"/>
        <v>#N/A</v>
      </c>
      <c r="E376" s="11"/>
      <c r="F376" s="126"/>
      <c r="G376" s="12"/>
      <c r="H376" s="12"/>
      <c r="I376" s="12"/>
      <c r="J376" s="10"/>
      <c r="K376" s="10"/>
    </row>
    <row r="377" spans="1:11" s="4" customFormat="1" ht="30" customHeight="1" x14ac:dyDescent="0.3">
      <c r="A377" s="9"/>
      <c r="B377" s="13" t="e">
        <f>VLOOKUP(Table24[[#This Row],[Location 
(drop-down)]],'List source'!D$2:E$60,2,FALSE)</f>
        <v>#N/A</v>
      </c>
      <c r="C377" s="23" t="s">
        <v>1205</v>
      </c>
      <c r="D377" s="30" t="e">
        <f t="shared" si="5"/>
        <v>#N/A</v>
      </c>
      <c r="E377" s="11"/>
      <c r="F377" s="126"/>
      <c r="G377" s="12"/>
      <c r="H377" s="12"/>
      <c r="I377" s="12"/>
      <c r="J377" s="10"/>
      <c r="K377" s="10"/>
    </row>
    <row r="378" spans="1:11" s="4" customFormat="1" ht="30" customHeight="1" x14ac:dyDescent="0.3">
      <c r="A378" s="9"/>
      <c r="B378" s="13" t="e">
        <f>VLOOKUP(Table24[[#This Row],[Location 
(drop-down)]],'List source'!D$2:E$60,2,FALSE)</f>
        <v>#N/A</v>
      </c>
      <c r="C378" s="23" t="s">
        <v>1207</v>
      </c>
      <c r="D378" s="30" t="e">
        <f t="shared" si="5"/>
        <v>#N/A</v>
      </c>
      <c r="E378" s="11"/>
      <c r="F378" s="126"/>
      <c r="G378" s="12"/>
      <c r="H378" s="12"/>
      <c r="I378" s="12"/>
      <c r="J378" s="10"/>
      <c r="K378" s="10"/>
    </row>
    <row r="379" spans="1:11" s="4" customFormat="1" ht="30" customHeight="1" x14ac:dyDescent="0.3">
      <c r="A379" s="9"/>
      <c r="B379" s="13" t="e">
        <f>VLOOKUP(Table24[[#This Row],[Location 
(drop-down)]],'List source'!D$2:E$60,2,FALSE)</f>
        <v>#N/A</v>
      </c>
      <c r="C379" s="23" t="s">
        <v>1211</v>
      </c>
      <c r="D379" s="30" t="e">
        <f t="shared" si="5"/>
        <v>#N/A</v>
      </c>
      <c r="E379" s="11"/>
      <c r="F379" s="126"/>
      <c r="G379" s="12"/>
      <c r="H379" s="12"/>
      <c r="I379" s="12"/>
      <c r="J379" s="10"/>
      <c r="K379" s="10"/>
    </row>
    <row r="380" spans="1:11" s="4" customFormat="1" ht="30" customHeight="1" x14ac:dyDescent="0.3">
      <c r="A380" s="9"/>
      <c r="B380" s="13" t="e">
        <f>VLOOKUP(Table24[[#This Row],[Location 
(drop-down)]],'List source'!D$2:E$60,2,FALSE)</f>
        <v>#N/A</v>
      </c>
      <c r="C380" s="23" t="s">
        <v>1214</v>
      </c>
      <c r="D380" s="30" t="e">
        <f t="shared" si="5"/>
        <v>#N/A</v>
      </c>
      <c r="E380" s="11"/>
      <c r="F380" s="126"/>
      <c r="G380" s="12"/>
      <c r="H380" s="12"/>
      <c r="I380" s="12"/>
      <c r="J380" s="10"/>
      <c r="K380" s="10"/>
    </row>
    <row r="381" spans="1:11" s="4" customFormat="1" ht="30" customHeight="1" x14ac:dyDescent="0.3">
      <c r="A381" s="9"/>
      <c r="B381" s="13" t="e">
        <f>VLOOKUP(Table24[[#This Row],[Location 
(drop-down)]],'List source'!D$2:E$60,2,FALSE)</f>
        <v>#N/A</v>
      </c>
      <c r="C381" s="23" t="s">
        <v>1216</v>
      </c>
      <c r="D381" s="30" t="e">
        <f t="shared" si="5"/>
        <v>#N/A</v>
      </c>
      <c r="E381" s="11"/>
      <c r="F381" s="126"/>
      <c r="G381" s="12"/>
      <c r="H381" s="12"/>
      <c r="I381" s="12"/>
      <c r="J381" s="10"/>
      <c r="K381" s="10"/>
    </row>
    <row r="382" spans="1:11" s="4" customFormat="1" ht="30" customHeight="1" x14ac:dyDescent="0.3">
      <c r="A382" s="9"/>
      <c r="B382" s="13" t="e">
        <f>VLOOKUP(Table24[[#This Row],[Location 
(drop-down)]],'List source'!D$2:E$60,2,FALSE)</f>
        <v>#N/A</v>
      </c>
      <c r="C382" s="23" t="s">
        <v>1219</v>
      </c>
      <c r="D382" s="30" t="e">
        <f t="shared" si="5"/>
        <v>#N/A</v>
      </c>
      <c r="E382" s="11"/>
      <c r="F382" s="126"/>
      <c r="G382" s="12"/>
      <c r="H382" s="12"/>
      <c r="I382" s="12"/>
      <c r="J382" s="10"/>
      <c r="K382" s="10"/>
    </row>
    <row r="383" spans="1:11" s="4" customFormat="1" ht="30" customHeight="1" x14ac:dyDescent="0.3">
      <c r="A383" s="9"/>
      <c r="B383" s="13" t="e">
        <f>VLOOKUP(Table24[[#This Row],[Location 
(drop-down)]],'List source'!D$2:E$60,2,FALSE)</f>
        <v>#N/A</v>
      </c>
      <c r="C383" s="23" t="s">
        <v>1222</v>
      </c>
      <c r="D383" s="30" t="e">
        <f t="shared" si="5"/>
        <v>#N/A</v>
      </c>
      <c r="E383" s="11"/>
      <c r="F383" s="126"/>
      <c r="G383" s="12"/>
      <c r="H383" s="12"/>
      <c r="I383" s="12"/>
      <c r="J383" s="10"/>
      <c r="K383" s="10"/>
    </row>
    <row r="384" spans="1:11" s="4" customFormat="1" ht="30" customHeight="1" x14ac:dyDescent="0.3">
      <c r="A384" s="9"/>
      <c r="B384" s="13" t="e">
        <f>VLOOKUP(Table24[[#This Row],[Location 
(drop-down)]],'List source'!D$2:E$60,2,FALSE)</f>
        <v>#N/A</v>
      </c>
      <c r="C384" s="23" t="s">
        <v>1224</v>
      </c>
      <c r="D384" s="30" t="e">
        <f t="shared" si="5"/>
        <v>#N/A</v>
      </c>
      <c r="E384" s="11"/>
      <c r="F384" s="126"/>
      <c r="G384" s="12"/>
      <c r="H384" s="12"/>
      <c r="I384" s="12"/>
      <c r="J384" s="10"/>
      <c r="K384" s="10"/>
    </row>
    <row r="385" spans="1:11" s="4" customFormat="1" ht="30" customHeight="1" x14ac:dyDescent="0.3">
      <c r="A385" s="9"/>
      <c r="B385" s="13" t="e">
        <f>VLOOKUP(Table24[[#This Row],[Location 
(drop-down)]],'List source'!D$2:E$60,2,FALSE)</f>
        <v>#N/A</v>
      </c>
      <c r="C385" s="23" t="s">
        <v>1226</v>
      </c>
      <c r="D385" s="30" t="e">
        <f t="shared" si="5"/>
        <v>#N/A</v>
      </c>
      <c r="E385" s="11"/>
      <c r="F385" s="126"/>
      <c r="G385" s="12"/>
      <c r="H385" s="12"/>
      <c r="I385" s="12"/>
      <c r="J385" s="10"/>
      <c r="K385" s="10"/>
    </row>
    <row r="386" spans="1:11" s="4" customFormat="1" ht="30" customHeight="1" x14ac:dyDescent="0.3">
      <c r="A386" s="9"/>
      <c r="B386" s="13" t="e">
        <f>VLOOKUP(Table24[[#This Row],[Location 
(drop-down)]],'List source'!D$2:E$60,2,FALSE)</f>
        <v>#N/A</v>
      </c>
      <c r="C386" s="23" t="s">
        <v>1228</v>
      </c>
      <c r="D386" s="30" t="e">
        <f t="shared" ref="D386:D449" si="6">"P" &amp; C386 &amp; "-" &amp; B386 &amp; "-" &amp; "24"</f>
        <v>#N/A</v>
      </c>
      <c r="E386" s="11"/>
      <c r="F386" s="126"/>
      <c r="G386" s="12"/>
      <c r="H386" s="12"/>
      <c r="I386" s="12"/>
      <c r="J386" s="10"/>
      <c r="K386" s="10"/>
    </row>
    <row r="387" spans="1:11" s="4" customFormat="1" ht="30" customHeight="1" x14ac:dyDescent="0.3">
      <c r="A387" s="9"/>
      <c r="B387" s="13" t="e">
        <f>VLOOKUP(Table24[[#This Row],[Location 
(drop-down)]],'List source'!D$2:E$60,2,FALSE)</f>
        <v>#N/A</v>
      </c>
      <c r="C387" s="23" t="s">
        <v>1231</v>
      </c>
      <c r="D387" s="30" t="e">
        <f t="shared" si="6"/>
        <v>#N/A</v>
      </c>
      <c r="E387" s="11"/>
      <c r="F387" s="126"/>
      <c r="G387" s="12"/>
      <c r="H387" s="12"/>
      <c r="I387" s="12"/>
      <c r="J387" s="10"/>
      <c r="K387" s="10"/>
    </row>
    <row r="388" spans="1:11" s="4" customFormat="1" ht="30" customHeight="1" x14ac:dyDescent="0.3">
      <c r="A388" s="9"/>
      <c r="B388" s="13" t="e">
        <f>VLOOKUP(Table24[[#This Row],[Location 
(drop-down)]],'List source'!D$2:E$60,2,FALSE)</f>
        <v>#N/A</v>
      </c>
      <c r="C388" s="23" t="s">
        <v>1233</v>
      </c>
      <c r="D388" s="30" t="e">
        <f t="shared" si="6"/>
        <v>#N/A</v>
      </c>
      <c r="E388" s="11"/>
      <c r="F388" s="126"/>
      <c r="G388" s="12"/>
      <c r="H388" s="12"/>
      <c r="I388" s="12"/>
      <c r="J388" s="10"/>
      <c r="K388" s="10"/>
    </row>
    <row r="389" spans="1:11" s="4" customFormat="1" ht="30" customHeight="1" x14ac:dyDescent="0.3">
      <c r="A389" s="9"/>
      <c r="B389" s="13" t="e">
        <f>VLOOKUP(Table24[[#This Row],[Location 
(drop-down)]],'List source'!D$2:E$60,2,FALSE)</f>
        <v>#N/A</v>
      </c>
      <c r="C389" s="23" t="s">
        <v>1234</v>
      </c>
      <c r="D389" s="30" t="e">
        <f t="shared" si="6"/>
        <v>#N/A</v>
      </c>
      <c r="E389" s="11"/>
      <c r="F389" s="126"/>
      <c r="G389" s="12"/>
      <c r="H389" s="12"/>
      <c r="I389" s="12"/>
      <c r="J389" s="10"/>
      <c r="K389" s="10"/>
    </row>
    <row r="390" spans="1:11" s="4" customFormat="1" ht="30" customHeight="1" x14ac:dyDescent="0.3">
      <c r="A390" s="9"/>
      <c r="B390" s="13" t="e">
        <f>VLOOKUP(Table24[[#This Row],[Location 
(drop-down)]],'List source'!D$2:E$60,2,FALSE)</f>
        <v>#N/A</v>
      </c>
      <c r="C390" s="23" t="s">
        <v>1237</v>
      </c>
      <c r="D390" s="30" t="e">
        <f t="shared" si="6"/>
        <v>#N/A</v>
      </c>
      <c r="E390" s="11"/>
      <c r="F390" s="126"/>
      <c r="G390" s="12"/>
      <c r="H390" s="12"/>
      <c r="I390" s="12"/>
      <c r="J390" s="10"/>
      <c r="K390" s="10"/>
    </row>
    <row r="391" spans="1:11" s="4" customFormat="1" ht="30" customHeight="1" x14ac:dyDescent="0.3">
      <c r="A391" s="9"/>
      <c r="B391" s="13" t="e">
        <f>VLOOKUP(Table24[[#This Row],[Location 
(drop-down)]],'List source'!D$2:E$60,2,FALSE)</f>
        <v>#N/A</v>
      </c>
      <c r="C391" s="23" t="s">
        <v>1240</v>
      </c>
      <c r="D391" s="30" t="e">
        <f t="shared" si="6"/>
        <v>#N/A</v>
      </c>
      <c r="E391" s="11"/>
      <c r="F391" s="126"/>
      <c r="G391" s="12"/>
      <c r="H391" s="12"/>
      <c r="I391" s="12"/>
      <c r="J391" s="10"/>
      <c r="K391" s="10"/>
    </row>
    <row r="392" spans="1:11" s="4" customFormat="1" ht="30" customHeight="1" x14ac:dyDescent="0.3">
      <c r="A392" s="9"/>
      <c r="B392" s="13" t="e">
        <f>VLOOKUP(Table24[[#This Row],[Location 
(drop-down)]],'List source'!D$2:E$60,2,FALSE)</f>
        <v>#N/A</v>
      </c>
      <c r="C392" s="23" t="s">
        <v>1243</v>
      </c>
      <c r="D392" s="30" t="e">
        <f t="shared" si="6"/>
        <v>#N/A</v>
      </c>
      <c r="E392" s="11"/>
      <c r="F392" s="126"/>
      <c r="G392" s="12"/>
      <c r="H392" s="12"/>
      <c r="I392" s="12"/>
      <c r="J392" s="10"/>
      <c r="K392" s="10"/>
    </row>
    <row r="393" spans="1:11" s="4" customFormat="1" ht="30" customHeight="1" x14ac:dyDescent="0.3">
      <c r="A393" s="9"/>
      <c r="B393" s="13" t="e">
        <f>VLOOKUP(Table24[[#This Row],[Location 
(drop-down)]],'List source'!D$2:E$60,2,FALSE)</f>
        <v>#N/A</v>
      </c>
      <c r="C393" s="23" t="s">
        <v>1246</v>
      </c>
      <c r="D393" s="30" t="e">
        <f t="shared" si="6"/>
        <v>#N/A</v>
      </c>
      <c r="E393" s="11"/>
      <c r="F393" s="126"/>
      <c r="G393" s="12"/>
      <c r="H393" s="12"/>
      <c r="I393" s="12"/>
      <c r="J393" s="10"/>
      <c r="K393" s="10"/>
    </row>
    <row r="394" spans="1:11" s="4" customFormat="1" ht="30" customHeight="1" x14ac:dyDescent="0.3">
      <c r="A394" s="9"/>
      <c r="B394" s="13" t="e">
        <f>VLOOKUP(Table24[[#This Row],[Location 
(drop-down)]],'List source'!D$2:E$60,2,FALSE)</f>
        <v>#N/A</v>
      </c>
      <c r="C394" s="23" t="s">
        <v>1248</v>
      </c>
      <c r="D394" s="30" t="e">
        <f t="shared" si="6"/>
        <v>#N/A</v>
      </c>
      <c r="E394" s="11"/>
      <c r="F394" s="126"/>
      <c r="G394" s="12"/>
      <c r="H394" s="12"/>
      <c r="I394" s="12"/>
      <c r="J394" s="10"/>
      <c r="K394" s="10"/>
    </row>
    <row r="395" spans="1:11" s="4" customFormat="1" ht="30" customHeight="1" x14ac:dyDescent="0.3">
      <c r="A395" s="9"/>
      <c r="B395" s="13" t="e">
        <f>VLOOKUP(Table24[[#This Row],[Location 
(drop-down)]],'List source'!D$2:E$60,2,FALSE)</f>
        <v>#N/A</v>
      </c>
      <c r="C395" s="23" t="s">
        <v>1250</v>
      </c>
      <c r="D395" s="30" t="e">
        <f t="shared" si="6"/>
        <v>#N/A</v>
      </c>
      <c r="E395" s="11"/>
      <c r="F395" s="126"/>
      <c r="G395" s="12"/>
      <c r="H395" s="12"/>
      <c r="I395" s="12"/>
      <c r="J395" s="10"/>
      <c r="K395" s="10"/>
    </row>
    <row r="396" spans="1:11" s="4" customFormat="1" ht="30" customHeight="1" x14ac:dyDescent="0.3">
      <c r="A396" s="9"/>
      <c r="B396" s="13" t="e">
        <f>VLOOKUP(Table24[[#This Row],[Location 
(drop-down)]],'List source'!D$2:E$60,2,FALSE)</f>
        <v>#N/A</v>
      </c>
      <c r="C396" s="23" t="s">
        <v>1251</v>
      </c>
      <c r="D396" s="30" t="e">
        <f t="shared" si="6"/>
        <v>#N/A</v>
      </c>
      <c r="E396" s="11"/>
      <c r="F396" s="126"/>
      <c r="G396" s="12"/>
      <c r="H396" s="12"/>
      <c r="I396" s="12"/>
      <c r="J396" s="10"/>
      <c r="K396" s="10"/>
    </row>
    <row r="397" spans="1:11" s="4" customFormat="1" ht="30" customHeight="1" x14ac:dyDescent="0.3">
      <c r="A397" s="9"/>
      <c r="B397" s="13" t="e">
        <f>VLOOKUP(Table24[[#This Row],[Location 
(drop-down)]],'List source'!D$2:E$60,2,FALSE)</f>
        <v>#N/A</v>
      </c>
      <c r="C397" s="23" t="s">
        <v>1253</v>
      </c>
      <c r="D397" s="30" t="e">
        <f t="shared" si="6"/>
        <v>#N/A</v>
      </c>
      <c r="E397" s="11"/>
      <c r="F397" s="126"/>
      <c r="G397" s="12"/>
      <c r="H397" s="12"/>
      <c r="I397" s="12"/>
      <c r="J397" s="10"/>
      <c r="K397" s="10"/>
    </row>
    <row r="398" spans="1:11" s="4" customFormat="1" ht="30" customHeight="1" x14ac:dyDescent="0.3">
      <c r="A398" s="9"/>
      <c r="B398" s="13" t="e">
        <f>VLOOKUP(Table24[[#This Row],[Location 
(drop-down)]],'List source'!D$2:E$60,2,FALSE)</f>
        <v>#N/A</v>
      </c>
      <c r="C398" s="23" t="s">
        <v>1255</v>
      </c>
      <c r="D398" s="30" t="e">
        <f t="shared" si="6"/>
        <v>#N/A</v>
      </c>
      <c r="E398" s="11"/>
      <c r="F398" s="126"/>
      <c r="G398" s="12"/>
      <c r="H398" s="12"/>
      <c r="I398" s="12"/>
      <c r="J398" s="10"/>
      <c r="K398" s="10"/>
    </row>
    <row r="399" spans="1:11" s="4" customFormat="1" ht="30" customHeight="1" x14ac:dyDescent="0.3">
      <c r="A399" s="9"/>
      <c r="B399" s="13" t="e">
        <f>VLOOKUP(Table24[[#This Row],[Location 
(drop-down)]],'List source'!D$2:E$60,2,FALSE)</f>
        <v>#N/A</v>
      </c>
      <c r="C399" s="23" t="s">
        <v>1257</v>
      </c>
      <c r="D399" s="30" t="e">
        <f t="shared" si="6"/>
        <v>#N/A</v>
      </c>
      <c r="E399" s="11"/>
      <c r="F399" s="126"/>
      <c r="G399" s="12"/>
      <c r="H399" s="12"/>
      <c r="I399" s="12"/>
      <c r="J399" s="10"/>
      <c r="K399" s="10"/>
    </row>
    <row r="400" spans="1:11" s="4" customFormat="1" ht="30" customHeight="1" x14ac:dyDescent="0.3">
      <c r="A400" s="9"/>
      <c r="B400" s="13" t="e">
        <f>VLOOKUP(Table24[[#This Row],[Location 
(drop-down)]],'List source'!D$2:E$60,2,FALSE)</f>
        <v>#N/A</v>
      </c>
      <c r="C400" s="23" t="s">
        <v>1259</v>
      </c>
      <c r="D400" s="30" t="e">
        <f t="shared" si="6"/>
        <v>#N/A</v>
      </c>
      <c r="E400" s="11"/>
      <c r="F400" s="126"/>
      <c r="G400" s="12"/>
      <c r="H400" s="12"/>
      <c r="I400" s="12"/>
      <c r="J400" s="10"/>
      <c r="K400" s="10"/>
    </row>
    <row r="401" spans="1:11" s="4" customFormat="1" ht="30" customHeight="1" x14ac:dyDescent="0.3">
      <c r="A401" s="9"/>
      <c r="B401" s="13" t="e">
        <f>VLOOKUP(Table24[[#This Row],[Location 
(drop-down)]],'List source'!D$2:E$60,2,FALSE)</f>
        <v>#N/A</v>
      </c>
      <c r="C401" s="23" t="s">
        <v>1262</v>
      </c>
      <c r="D401" s="30" t="e">
        <f t="shared" si="6"/>
        <v>#N/A</v>
      </c>
      <c r="E401" s="11"/>
      <c r="F401" s="126"/>
      <c r="G401" s="12"/>
      <c r="H401" s="12"/>
      <c r="I401" s="12"/>
      <c r="J401" s="10"/>
      <c r="K401" s="10"/>
    </row>
    <row r="402" spans="1:11" s="4" customFormat="1" ht="30" customHeight="1" x14ac:dyDescent="0.3">
      <c r="A402" s="9"/>
      <c r="B402" s="13" t="e">
        <f>VLOOKUP(Table24[[#This Row],[Location 
(drop-down)]],'List source'!D$2:E$60,2,FALSE)</f>
        <v>#N/A</v>
      </c>
      <c r="C402" s="23" t="s">
        <v>1265</v>
      </c>
      <c r="D402" s="30" t="e">
        <f t="shared" si="6"/>
        <v>#N/A</v>
      </c>
      <c r="E402" s="11"/>
      <c r="F402" s="126"/>
      <c r="G402" s="12"/>
      <c r="H402" s="12"/>
      <c r="I402" s="12"/>
      <c r="J402" s="10"/>
      <c r="K402" s="10"/>
    </row>
    <row r="403" spans="1:11" s="4" customFormat="1" ht="30" customHeight="1" x14ac:dyDescent="0.3">
      <c r="A403" s="9"/>
      <c r="B403" s="13" t="e">
        <f>VLOOKUP(Table24[[#This Row],[Location 
(drop-down)]],'List source'!D$2:E$60,2,FALSE)</f>
        <v>#N/A</v>
      </c>
      <c r="C403" s="23" t="s">
        <v>1267</v>
      </c>
      <c r="D403" s="30" t="e">
        <f t="shared" si="6"/>
        <v>#N/A</v>
      </c>
      <c r="E403" s="11"/>
      <c r="F403" s="126"/>
      <c r="G403" s="12"/>
      <c r="H403" s="12"/>
      <c r="I403" s="12"/>
      <c r="J403" s="10"/>
      <c r="K403" s="10"/>
    </row>
    <row r="404" spans="1:11" s="4" customFormat="1" ht="30" customHeight="1" x14ac:dyDescent="0.3">
      <c r="A404" s="9"/>
      <c r="B404" s="13" t="e">
        <f>VLOOKUP(Table24[[#This Row],[Location 
(drop-down)]],'List source'!D$2:E$60,2,FALSE)</f>
        <v>#N/A</v>
      </c>
      <c r="C404" s="23" t="s">
        <v>1269</v>
      </c>
      <c r="D404" s="30" t="e">
        <f t="shared" si="6"/>
        <v>#N/A</v>
      </c>
      <c r="E404" s="11"/>
      <c r="F404" s="126"/>
      <c r="G404" s="12"/>
      <c r="H404" s="12"/>
      <c r="I404" s="12"/>
      <c r="J404" s="10"/>
      <c r="K404" s="10"/>
    </row>
    <row r="405" spans="1:11" s="4" customFormat="1" ht="30" customHeight="1" x14ac:dyDescent="0.3">
      <c r="A405" s="9"/>
      <c r="B405" s="13" t="e">
        <f>VLOOKUP(Table24[[#This Row],[Location 
(drop-down)]],'List source'!D$2:E$60,2,FALSE)</f>
        <v>#N/A</v>
      </c>
      <c r="C405" s="23" t="s">
        <v>1271</v>
      </c>
      <c r="D405" s="30" t="e">
        <f t="shared" si="6"/>
        <v>#N/A</v>
      </c>
      <c r="E405" s="11"/>
      <c r="F405" s="126"/>
      <c r="G405" s="12"/>
      <c r="H405" s="12"/>
      <c r="I405" s="12"/>
      <c r="J405" s="10"/>
      <c r="K405" s="10"/>
    </row>
    <row r="406" spans="1:11" s="4" customFormat="1" ht="30" customHeight="1" x14ac:dyDescent="0.3">
      <c r="A406" s="9"/>
      <c r="B406" s="13" t="e">
        <f>VLOOKUP(Table24[[#This Row],[Location 
(drop-down)]],'List source'!D$2:E$60,2,FALSE)</f>
        <v>#N/A</v>
      </c>
      <c r="C406" s="23" t="s">
        <v>1275</v>
      </c>
      <c r="D406" s="30" t="e">
        <f t="shared" si="6"/>
        <v>#N/A</v>
      </c>
      <c r="E406" s="11"/>
      <c r="F406" s="126"/>
      <c r="G406" s="12"/>
      <c r="H406" s="12"/>
      <c r="I406" s="12"/>
      <c r="J406" s="10"/>
      <c r="K406" s="10"/>
    </row>
    <row r="407" spans="1:11" s="4" customFormat="1" ht="30" customHeight="1" x14ac:dyDescent="0.3">
      <c r="A407" s="9"/>
      <c r="B407" s="13" t="e">
        <f>VLOOKUP(Table24[[#This Row],[Location 
(drop-down)]],'List source'!D$2:E$60,2,FALSE)</f>
        <v>#N/A</v>
      </c>
      <c r="C407" s="23" t="s">
        <v>1277</v>
      </c>
      <c r="D407" s="30" t="e">
        <f t="shared" si="6"/>
        <v>#N/A</v>
      </c>
      <c r="E407" s="11"/>
      <c r="F407" s="126"/>
      <c r="G407" s="12"/>
      <c r="H407" s="12"/>
      <c r="I407" s="12"/>
      <c r="J407" s="10"/>
      <c r="K407" s="10"/>
    </row>
    <row r="408" spans="1:11" s="4" customFormat="1" ht="30" customHeight="1" x14ac:dyDescent="0.3">
      <c r="A408" s="9"/>
      <c r="B408" s="13" t="e">
        <f>VLOOKUP(Table24[[#This Row],[Location 
(drop-down)]],'List source'!D$2:E$60,2,FALSE)</f>
        <v>#N/A</v>
      </c>
      <c r="C408" s="23" t="s">
        <v>1279</v>
      </c>
      <c r="D408" s="30" t="e">
        <f t="shared" si="6"/>
        <v>#N/A</v>
      </c>
      <c r="E408" s="11"/>
      <c r="F408" s="126"/>
      <c r="G408" s="12"/>
      <c r="H408" s="12"/>
      <c r="I408" s="12"/>
      <c r="J408" s="10"/>
      <c r="K408" s="10"/>
    </row>
    <row r="409" spans="1:11" s="4" customFormat="1" ht="30" customHeight="1" x14ac:dyDescent="0.3">
      <c r="A409" s="9"/>
      <c r="B409" s="13" t="e">
        <f>VLOOKUP(Table24[[#This Row],[Location 
(drop-down)]],'List source'!D$2:E$60,2,FALSE)</f>
        <v>#N/A</v>
      </c>
      <c r="C409" s="23" t="s">
        <v>1281</v>
      </c>
      <c r="D409" s="30" t="e">
        <f t="shared" si="6"/>
        <v>#N/A</v>
      </c>
      <c r="E409" s="11"/>
      <c r="F409" s="126"/>
      <c r="G409" s="12"/>
      <c r="H409" s="12"/>
      <c r="I409" s="12"/>
      <c r="J409" s="10"/>
      <c r="K409" s="10"/>
    </row>
    <row r="410" spans="1:11" s="4" customFormat="1" ht="30" customHeight="1" x14ac:dyDescent="0.3">
      <c r="A410" s="9"/>
      <c r="B410" s="13" t="e">
        <f>VLOOKUP(Table24[[#This Row],[Location 
(drop-down)]],'List source'!D$2:E$60,2,FALSE)</f>
        <v>#N/A</v>
      </c>
      <c r="C410" s="23" t="s">
        <v>1283</v>
      </c>
      <c r="D410" s="30" t="e">
        <f t="shared" si="6"/>
        <v>#N/A</v>
      </c>
      <c r="E410" s="11"/>
      <c r="F410" s="126"/>
      <c r="G410" s="12"/>
      <c r="H410" s="12"/>
      <c r="I410" s="12"/>
      <c r="J410" s="10"/>
      <c r="K410" s="10"/>
    </row>
    <row r="411" spans="1:11" s="4" customFormat="1" ht="30" customHeight="1" x14ac:dyDescent="0.3">
      <c r="A411" s="9"/>
      <c r="B411" s="13" t="e">
        <f>VLOOKUP(Table24[[#This Row],[Location 
(drop-down)]],'List source'!D$2:E$60,2,FALSE)</f>
        <v>#N/A</v>
      </c>
      <c r="C411" s="23" t="s">
        <v>1285</v>
      </c>
      <c r="D411" s="30" t="e">
        <f t="shared" si="6"/>
        <v>#N/A</v>
      </c>
      <c r="E411" s="11"/>
      <c r="F411" s="126"/>
      <c r="G411" s="12"/>
      <c r="H411" s="12"/>
      <c r="I411" s="12"/>
      <c r="J411" s="10"/>
      <c r="K411" s="10"/>
    </row>
    <row r="412" spans="1:11" s="4" customFormat="1" ht="30" customHeight="1" x14ac:dyDescent="0.3">
      <c r="A412" s="9"/>
      <c r="B412" s="13" t="e">
        <f>VLOOKUP(Table24[[#This Row],[Location 
(drop-down)]],'List source'!D$2:E$60,2,FALSE)</f>
        <v>#N/A</v>
      </c>
      <c r="C412" s="23" t="s">
        <v>1288</v>
      </c>
      <c r="D412" s="30" t="e">
        <f t="shared" si="6"/>
        <v>#N/A</v>
      </c>
      <c r="E412" s="11"/>
      <c r="F412" s="126"/>
      <c r="G412" s="12"/>
      <c r="H412" s="12"/>
      <c r="I412" s="12"/>
      <c r="J412" s="10"/>
      <c r="K412" s="10"/>
    </row>
    <row r="413" spans="1:11" s="4" customFormat="1" ht="30" customHeight="1" x14ac:dyDescent="0.3">
      <c r="A413" s="9"/>
      <c r="B413" s="13" t="e">
        <f>VLOOKUP(Table24[[#This Row],[Location 
(drop-down)]],'List source'!D$2:E$60,2,FALSE)</f>
        <v>#N/A</v>
      </c>
      <c r="C413" s="23" t="s">
        <v>1290</v>
      </c>
      <c r="D413" s="30" t="e">
        <f t="shared" si="6"/>
        <v>#N/A</v>
      </c>
      <c r="E413" s="11"/>
      <c r="F413" s="126"/>
      <c r="G413" s="12"/>
      <c r="H413" s="12"/>
      <c r="I413" s="12"/>
      <c r="J413" s="10"/>
      <c r="K413" s="10"/>
    </row>
    <row r="414" spans="1:11" s="4" customFormat="1" ht="30" customHeight="1" x14ac:dyDescent="0.3">
      <c r="A414" s="9"/>
      <c r="B414" s="13" t="e">
        <f>VLOOKUP(Table24[[#This Row],[Location 
(drop-down)]],'List source'!D$2:E$60,2,FALSE)</f>
        <v>#N/A</v>
      </c>
      <c r="C414" s="23" t="s">
        <v>1292</v>
      </c>
      <c r="D414" s="30" t="e">
        <f t="shared" si="6"/>
        <v>#N/A</v>
      </c>
      <c r="E414" s="11"/>
      <c r="F414" s="126"/>
      <c r="G414" s="12"/>
      <c r="H414" s="12"/>
      <c r="I414" s="12"/>
      <c r="J414" s="10"/>
      <c r="K414" s="10"/>
    </row>
    <row r="415" spans="1:11" s="4" customFormat="1" ht="30" customHeight="1" x14ac:dyDescent="0.3">
      <c r="A415" s="9"/>
      <c r="B415" s="13" t="e">
        <f>VLOOKUP(Table24[[#This Row],[Location 
(drop-down)]],'List source'!D$2:E$60,2,FALSE)</f>
        <v>#N/A</v>
      </c>
      <c r="C415" s="23" t="s">
        <v>1294</v>
      </c>
      <c r="D415" s="30" t="e">
        <f t="shared" si="6"/>
        <v>#N/A</v>
      </c>
      <c r="E415" s="11"/>
      <c r="F415" s="126"/>
      <c r="G415" s="12"/>
      <c r="H415" s="12"/>
      <c r="I415" s="12"/>
      <c r="J415" s="10"/>
      <c r="K415" s="10"/>
    </row>
    <row r="416" spans="1:11" s="4" customFormat="1" ht="30" customHeight="1" x14ac:dyDescent="0.3">
      <c r="A416" s="9"/>
      <c r="B416" s="13" t="e">
        <f>VLOOKUP(Table24[[#This Row],[Location 
(drop-down)]],'List source'!D$2:E$60,2,FALSE)</f>
        <v>#N/A</v>
      </c>
      <c r="C416" s="23" t="s">
        <v>1296</v>
      </c>
      <c r="D416" s="30" t="e">
        <f t="shared" si="6"/>
        <v>#N/A</v>
      </c>
      <c r="E416" s="11"/>
      <c r="F416" s="126"/>
      <c r="G416" s="12"/>
      <c r="H416" s="12"/>
      <c r="I416" s="12"/>
      <c r="J416" s="10"/>
      <c r="K416" s="10"/>
    </row>
    <row r="417" spans="1:11" s="4" customFormat="1" ht="30" customHeight="1" x14ac:dyDescent="0.3">
      <c r="A417" s="9"/>
      <c r="B417" s="13" t="e">
        <f>VLOOKUP(Table24[[#This Row],[Location 
(drop-down)]],'List source'!D$2:E$60,2,FALSE)</f>
        <v>#N/A</v>
      </c>
      <c r="C417" s="23" t="s">
        <v>1298</v>
      </c>
      <c r="D417" s="30" t="e">
        <f t="shared" si="6"/>
        <v>#N/A</v>
      </c>
      <c r="E417" s="11"/>
      <c r="F417" s="126"/>
      <c r="G417" s="12"/>
      <c r="H417" s="12"/>
      <c r="I417" s="12"/>
      <c r="J417" s="10"/>
      <c r="K417" s="10"/>
    </row>
    <row r="418" spans="1:11" s="4" customFormat="1" ht="30" customHeight="1" x14ac:dyDescent="0.3">
      <c r="A418" s="9"/>
      <c r="B418" s="13" t="e">
        <f>VLOOKUP(Table24[[#This Row],[Location 
(drop-down)]],'List source'!D$2:E$60,2,FALSE)</f>
        <v>#N/A</v>
      </c>
      <c r="C418" s="23" t="s">
        <v>1299</v>
      </c>
      <c r="D418" s="30" t="e">
        <f t="shared" si="6"/>
        <v>#N/A</v>
      </c>
      <c r="E418" s="11"/>
      <c r="F418" s="126"/>
      <c r="G418" s="12"/>
      <c r="H418" s="12"/>
      <c r="I418" s="12"/>
      <c r="J418" s="10"/>
      <c r="K418" s="10"/>
    </row>
    <row r="419" spans="1:11" s="4" customFormat="1" ht="30" customHeight="1" x14ac:dyDescent="0.3">
      <c r="A419" s="9"/>
      <c r="B419" s="13" t="e">
        <f>VLOOKUP(Table24[[#This Row],[Location 
(drop-down)]],'List source'!D$2:E$60,2,FALSE)</f>
        <v>#N/A</v>
      </c>
      <c r="C419" s="23" t="s">
        <v>1301</v>
      </c>
      <c r="D419" s="30" t="e">
        <f t="shared" si="6"/>
        <v>#N/A</v>
      </c>
      <c r="E419" s="11"/>
      <c r="F419" s="126"/>
      <c r="G419" s="12"/>
      <c r="H419" s="12"/>
      <c r="I419" s="12"/>
      <c r="J419" s="10"/>
      <c r="K419" s="10"/>
    </row>
    <row r="420" spans="1:11" s="4" customFormat="1" ht="30" customHeight="1" x14ac:dyDescent="0.3">
      <c r="A420" s="9"/>
      <c r="B420" s="13" t="e">
        <f>VLOOKUP(Table24[[#This Row],[Location 
(drop-down)]],'List source'!D$2:E$60,2,FALSE)</f>
        <v>#N/A</v>
      </c>
      <c r="C420" s="23" t="s">
        <v>1303</v>
      </c>
      <c r="D420" s="30" t="e">
        <f t="shared" si="6"/>
        <v>#N/A</v>
      </c>
      <c r="E420" s="11"/>
      <c r="F420" s="126"/>
      <c r="G420" s="12"/>
      <c r="H420" s="12"/>
      <c r="I420" s="12"/>
      <c r="J420" s="10"/>
      <c r="K420" s="10"/>
    </row>
    <row r="421" spans="1:11" s="4" customFormat="1" ht="30" customHeight="1" x14ac:dyDescent="0.3">
      <c r="A421" s="9"/>
      <c r="B421" s="13" t="e">
        <f>VLOOKUP(Table24[[#This Row],[Location 
(drop-down)]],'List source'!D$2:E$60,2,FALSE)</f>
        <v>#N/A</v>
      </c>
      <c r="C421" s="23" t="s">
        <v>1305</v>
      </c>
      <c r="D421" s="30" t="e">
        <f t="shared" si="6"/>
        <v>#N/A</v>
      </c>
      <c r="E421" s="11"/>
      <c r="F421" s="126"/>
      <c r="G421" s="12"/>
      <c r="H421" s="12"/>
      <c r="I421" s="12"/>
      <c r="J421" s="10"/>
      <c r="K421" s="10"/>
    </row>
    <row r="422" spans="1:11" s="4" customFormat="1" ht="30" customHeight="1" x14ac:dyDescent="0.3">
      <c r="A422" s="9"/>
      <c r="B422" s="13" t="e">
        <f>VLOOKUP(Table24[[#This Row],[Location 
(drop-down)]],'List source'!D$2:E$60,2,FALSE)</f>
        <v>#N/A</v>
      </c>
      <c r="C422" s="23" t="s">
        <v>1307</v>
      </c>
      <c r="D422" s="30" t="e">
        <f t="shared" si="6"/>
        <v>#N/A</v>
      </c>
      <c r="E422" s="11"/>
      <c r="F422" s="126"/>
      <c r="G422" s="12"/>
      <c r="H422" s="12"/>
      <c r="I422" s="12"/>
      <c r="J422" s="10"/>
      <c r="K422" s="10"/>
    </row>
    <row r="423" spans="1:11" s="4" customFormat="1" ht="30" customHeight="1" x14ac:dyDescent="0.3">
      <c r="A423" s="9"/>
      <c r="B423" s="13" t="e">
        <f>VLOOKUP(Table24[[#This Row],[Location 
(drop-down)]],'List source'!D$2:E$60,2,FALSE)</f>
        <v>#N/A</v>
      </c>
      <c r="C423" s="23" t="s">
        <v>1309</v>
      </c>
      <c r="D423" s="30" t="e">
        <f t="shared" si="6"/>
        <v>#N/A</v>
      </c>
      <c r="E423" s="11"/>
      <c r="F423" s="126"/>
      <c r="G423" s="12"/>
      <c r="H423" s="12"/>
      <c r="I423" s="12"/>
      <c r="J423" s="10"/>
      <c r="K423" s="10"/>
    </row>
    <row r="424" spans="1:11" s="4" customFormat="1" ht="30" customHeight="1" x14ac:dyDescent="0.3">
      <c r="A424" s="9"/>
      <c r="B424" s="13" t="e">
        <f>VLOOKUP(Table24[[#This Row],[Location 
(drop-down)]],'List source'!D$2:E$60,2,FALSE)</f>
        <v>#N/A</v>
      </c>
      <c r="C424" s="23" t="s">
        <v>1311</v>
      </c>
      <c r="D424" s="30" t="e">
        <f t="shared" si="6"/>
        <v>#N/A</v>
      </c>
      <c r="E424" s="11"/>
      <c r="F424" s="126"/>
      <c r="G424" s="12"/>
      <c r="H424" s="12"/>
      <c r="I424" s="12"/>
      <c r="J424" s="10"/>
      <c r="K424" s="10"/>
    </row>
    <row r="425" spans="1:11" s="4" customFormat="1" ht="30" customHeight="1" x14ac:dyDescent="0.3">
      <c r="A425" s="9"/>
      <c r="B425" s="13" t="e">
        <f>VLOOKUP(Table24[[#This Row],[Location 
(drop-down)]],'List source'!D$2:E$60,2,FALSE)</f>
        <v>#N/A</v>
      </c>
      <c r="C425" s="23" t="s">
        <v>1313</v>
      </c>
      <c r="D425" s="30" t="e">
        <f t="shared" si="6"/>
        <v>#N/A</v>
      </c>
      <c r="E425" s="11"/>
      <c r="F425" s="126"/>
      <c r="G425" s="12"/>
      <c r="H425" s="12"/>
      <c r="I425" s="12"/>
      <c r="J425" s="10"/>
      <c r="K425" s="10"/>
    </row>
    <row r="426" spans="1:11" s="4" customFormat="1" ht="30" customHeight="1" x14ac:dyDescent="0.3">
      <c r="A426" s="9"/>
      <c r="B426" s="13" t="e">
        <f>VLOOKUP(Table24[[#This Row],[Location 
(drop-down)]],'List source'!D$2:E$60,2,FALSE)</f>
        <v>#N/A</v>
      </c>
      <c r="C426" s="23" t="s">
        <v>1315</v>
      </c>
      <c r="D426" s="30" t="e">
        <f t="shared" si="6"/>
        <v>#N/A</v>
      </c>
      <c r="E426" s="11"/>
      <c r="F426" s="126"/>
      <c r="G426" s="12"/>
      <c r="H426" s="12"/>
      <c r="I426" s="12"/>
      <c r="J426" s="10"/>
      <c r="K426" s="10"/>
    </row>
    <row r="427" spans="1:11" s="4" customFormat="1" ht="30" customHeight="1" x14ac:dyDescent="0.3">
      <c r="A427" s="9"/>
      <c r="B427" s="13" t="e">
        <f>VLOOKUP(Table24[[#This Row],[Location 
(drop-down)]],'List source'!D$2:E$60,2,FALSE)</f>
        <v>#N/A</v>
      </c>
      <c r="C427" s="23" t="s">
        <v>1317</v>
      </c>
      <c r="D427" s="30" t="e">
        <f t="shared" si="6"/>
        <v>#N/A</v>
      </c>
      <c r="E427" s="11"/>
      <c r="F427" s="126"/>
      <c r="G427" s="12"/>
      <c r="H427" s="12"/>
      <c r="I427" s="12"/>
      <c r="J427" s="10"/>
      <c r="K427" s="10"/>
    </row>
    <row r="428" spans="1:11" s="4" customFormat="1" ht="30" customHeight="1" x14ac:dyDescent="0.3">
      <c r="A428" s="9"/>
      <c r="B428" s="13" t="e">
        <f>VLOOKUP(Table24[[#This Row],[Location 
(drop-down)]],'List source'!D$2:E$60,2,FALSE)</f>
        <v>#N/A</v>
      </c>
      <c r="C428" s="23" t="s">
        <v>1319</v>
      </c>
      <c r="D428" s="30" t="e">
        <f t="shared" si="6"/>
        <v>#N/A</v>
      </c>
      <c r="E428" s="11"/>
      <c r="F428" s="126"/>
      <c r="G428" s="12"/>
      <c r="H428" s="12"/>
      <c r="I428" s="12"/>
      <c r="J428" s="10"/>
      <c r="K428" s="10"/>
    </row>
    <row r="429" spans="1:11" s="4" customFormat="1" ht="30" customHeight="1" x14ac:dyDescent="0.3">
      <c r="A429" s="9"/>
      <c r="B429" s="13" t="e">
        <f>VLOOKUP(Table24[[#This Row],[Location 
(drop-down)]],'List source'!D$2:E$60,2,FALSE)</f>
        <v>#N/A</v>
      </c>
      <c r="C429" s="23" t="s">
        <v>1321</v>
      </c>
      <c r="D429" s="30" t="e">
        <f t="shared" si="6"/>
        <v>#N/A</v>
      </c>
      <c r="E429" s="11"/>
      <c r="F429" s="126"/>
      <c r="G429" s="12"/>
      <c r="H429" s="12"/>
      <c r="I429" s="12"/>
      <c r="J429" s="10"/>
      <c r="K429" s="10"/>
    </row>
    <row r="430" spans="1:11" s="4" customFormat="1" ht="30" customHeight="1" x14ac:dyDescent="0.3">
      <c r="A430" s="9"/>
      <c r="B430" s="13" t="e">
        <f>VLOOKUP(Table24[[#This Row],[Location 
(drop-down)]],'List source'!D$2:E$60,2,FALSE)</f>
        <v>#N/A</v>
      </c>
      <c r="C430" s="23" t="s">
        <v>1323</v>
      </c>
      <c r="D430" s="30" t="e">
        <f t="shared" si="6"/>
        <v>#N/A</v>
      </c>
      <c r="E430" s="11"/>
      <c r="F430" s="126"/>
      <c r="G430" s="12"/>
      <c r="H430" s="12"/>
      <c r="I430" s="12"/>
      <c r="J430" s="10"/>
      <c r="K430" s="10"/>
    </row>
    <row r="431" spans="1:11" s="4" customFormat="1" ht="30" customHeight="1" x14ac:dyDescent="0.3">
      <c r="A431" s="9"/>
      <c r="B431" s="13" t="e">
        <f>VLOOKUP(Table24[[#This Row],[Location 
(drop-down)]],'List source'!D$2:E$60,2,FALSE)</f>
        <v>#N/A</v>
      </c>
      <c r="C431" s="23" t="s">
        <v>1324</v>
      </c>
      <c r="D431" s="30" t="e">
        <f t="shared" si="6"/>
        <v>#N/A</v>
      </c>
      <c r="E431" s="11"/>
      <c r="F431" s="126"/>
      <c r="G431" s="12"/>
      <c r="H431" s="12"/>
      <c r="I431" s="12"/>
      <c r="J431" s="10"/>
      <c r="K431" s="10"/>
    </row>
    <row r="432" spans="1:11" s="4" customFormat="1" ht="30" customHeight="1" x14ac:dyDescent="0.3">
      <c r="A432" s="9"/>
      <c r="B432" s="13" t="e">
        <f>VLOOKUP(Table24[[#This Row],[Location 
(drop-down)]],'List source'!D$2:E$60,2,FALSE)</f>
        <v>#N/A</v>
      </c>
      <c r="C432" s="23" t="s">
        <v>1326</v>
      </c>
      <c r="D432" s="30" t="e">
        <f t="shared" si="6"/>
        <v>#N/A</v>
      </c>
      <c r="E432" s="11"/>
      <c r="F432" s="126"/>
      <c r="G432" s="12"/>
      <c r="H432" s="12"/>
      <c r="I432" s="12"/>
      <c r="J432" s="10"/>
      <c r="K432" s="10"/>
    </row>
    <row r="433" spans="1:11" s="4" customFormat="1" ht="30" customHeight="1" x14ac:dyDescent="0.3">
      <c r="A433" s="9"/>
      <c r="B433" s="13" t="e">
        <f>VLOOKUP(Table24[[#This Row],[Location 
(drop-down)]],'List source'!D$2:E$60,2,FALSE)</f>
        <v>#N/A</v>
      </c>
      <c r="C433" s="23" t="s">
        <v>1328</v>
      </c>
      <c r="D433" s="30" t="e">
        <f t="shared" si="6"/>
        <v>#N/A</v>
      </c>
      <c r="E433" s="11"/>
      <c r="F433" s="126"/>
      <c r="G433" s="12"/>
      <c r="H433" s="12"/>
      <c r="I433" s="12"/>
      <c r="J433" s="10"/>
      <c r="K433" s="10"/>
    </row>
    <row r="434" spans="1:11" s="4" customFormat="1" ht="30" customHeight="1" x14ac:dyDescent="0.3">
      <c r="A434" s="9"/>
      <c r="B434" s="13" t="e">
        <f>VLOOKUP(Table24[[#This Row],[Location 
(drop-down)]],'List source'!D$2:E$60,2,FALSE)</f>
        <v>#N/A</v>
      </c>
      <c r="C434" s="23" t="s">
        <v>1331</v>
      </c>
      <c r="D434" s="30" t="e">
        <f t="shared" si="6"/>
        <v>#N/A</v>
      </c>
      <c r="E434" s="11"/>
      <c r="F434" s="126"/>
      <c r="G434" s="12"/>
      <c r="H434" s="12"/>
      <c r="I434" s="12"/>
      <c r="J434" s="10"/>
      <c r="K434" s="10"/>
    </row>
    <row r="435" spans="1:11" s="4" customFormat="1" ht="30" customHeight="1" x14ac:dyDescent="0.3">
      <c r="A435" s="9"/>
      <c r="B435" s="13" t="e">
        <f>VLOOKUP(Table24[[#This Row],[Location 
(drop-down)]],'List source'!D$2:E$60,2,FALSE)</f>
        <v>#N/A</v>
      </c>
      <c r="C435" s="23" t="s">
        <v>1333</v>
      </c>
      <c r="D435" s="30" t="e">
        <f t="shared" si="6"/>
        <v>#N/A</v>
      </c>
      <c r="E435" s="11"/>
      <c r="F435" s="126"/>
      <c r="G435" s="12"/>
      <c r="H435" s="12"/>
      <c r="I435" s="12"/>
      <c r="J435" s="10"/>
      <c r="K435" s="10"/>
    </row>
    <row r="436" spans="1:11" s="4" customFormat="1" ht="30" customHeight="1" x14ac:dyDescent="0.3">
      <c r="A436" s="9"/>
      <c r="B436" s="13" t="e">
        <f>VLOOKUP(Table24[[#This Row],[Location 
(drop-down)]],'List source'!D$2:E$60,2,FALSE)</f>
        <v>#N/A</v>
      </c>
      <c r="C436" s="23" t="s">
        <v>1335</v>
      </c>
      <c r="D436" s="30" t="e">
        <f t="shared" si="6"/>
        <v>#N/A</v>
      </c>
      <c r="E436" s="11"/>
      <c r="F436" s="126"/>
      <c r="G436" s="12"/>
      <c r="H436" s="12"/>
      <c r="I436" s="12"/>
      <c r="J436" s="10"/>
      <c r="K436" s="10"/>
    </row>
    <row r="437" spans="1:11" s="4" customFormat="1" ht="30" customHeight="1" x14ac:dyDescent="0.3">
      <c r="A437" s="9"/>
      <c r="B437" s="13" t="e">
        <f>VLOOKUP(Table24[[#This Row],[Location 
(drop-down)]],'List source'!D$2:E$60,2,FALSE)</f>
        <v>#N/A</v>
      </c>
      <c r="C437" s="23" t="s">
        <v>1338</v>
      </c>
      <c r="D437" s="30" t="e">
        <f t="shared" si="6"/>
        <v>#N/A</v>
      </c>
      <c r="E437" s="11"/>
      <c r="F437" s="126"/>
      <c r="G437" s="12"/>
      <c r="H437" s="12"/>
      <c r="I437" s="12"/>
      <c r="J437" s="10"/>
      <c r="K437" s="10"/>
    </row>
    <row r="438" spans="1:11" s="4" customFormat="1" ht="30" customHeight="1" x14ac:dyDescent="0.3">
      <c r="A438" s="9"/>
      <c r="B438" s="13" t="e">
        <f>VLOOKUP(Table24[[#This Row],[Location 
(drop-down)]],'List source'!D$2:E$60,2,FALSE)</f>
        <v>#N/A</v>
      </c>
      <c r="C438" s="23" t="s">
        <v>1341</v>
      </c>
      <c r="D438" s="30" t="e">
        <f t="shared" si="6"/>
        <v>#N/A</v>
      </c>
      <c r="E438" s="11"/>
      <c r="F438" s="126"/>
      <c r="G438" s="12"/>
      <c r="H438" s="12"/>
      <c r="I438" s="12"/>
      <c r="J438" s="10"/>
      <c r="K438" s="10"/>
    </row>
    <row r="439" spans="1:11" s="4" customFormat="1" ht="30" customHeight="1" x14ac:dyDescent="0.3">
      <c r="A439" s="9"/>
      <c r="B439" s="13" t="e">
        <f>VLOOKUP(Table24[[#This Row],[Location 
(drop-down)]],'List source'!D$2:E$60,2,FALSE)</f>
        <v>#N/A</v>
      </c>
      <c r="C439" s="23" t="s">
        <v>1343</v>
      </c>
      <c r="D439" s="30" t="e">
        <f t="shared" si="6"/>
        <v>#N/A</v>
      </c>
      <c r="E439" s="11"/>
      <c r="F439" s="126"/>
      <c r="G439" s="12"/>
      <c r="H439" s="12"/>
      <c r="I439" s="12"/>
      <c r="J439" s="10"/>
      <c r="K439" s="10"/>
    </row>
    <row r="440" spans="1:11" s="4" customFormat="1" ht="30" customHeight="1" x14ac:dyDescent="0.3">
      <c r="A440" s="9"/>
      <c r="B440" s="13" t="e">
        <f>VLOOKUP(Table24[[#This Row],[Location 
(drop-down)]],'List source'!D$2:E$60,2,FALSE)</f>
        <v>#N/A</v>
      </c>
      <c r="C440" s="23" t="s">
        <v>1346</v>
      </c>
      <c r="D440" s="30" t="e">
        <f t="shared" si="6"/>
        <v>#N/A</v>
      </c>
      <c r="E440" s="11"/>
      <c r="F440" s="126"/>
      <c r="G440" s="12"/>
      <c r="H440" s="12"/>
      <c r="I440" s="12"/>
      <c r="J440" s="10"/>
      <c r="K440" s="10"/>
    </row>
    <row r="441" spans="1:11" s="4" customFormat="1" ht="30" customHeight="1" x14ac:dyDescent="0.3">
      <c r="A441" s="9"/>
      <c r="B441" s="13" t="e">
        <f>VLOOKUP(Table24[[#This Row],[Location 
(drop-down)]],'List source'!D$2:E$60,2,FALSE)</f>
        <v>#N/A</v>
      </c>
      <c r="C441" s="23" t="s">
        <v>1349</v>
      </c>
      <c r="D441" s="30" t="e">
        <f t="shared" si="6"/>
        <v>#N/A</v>
      </c>
      <c r="E441" s="11"/>
      <c r="F441" s="126"/>
      <c r="G441" s="12"/>
      <c r="H441" s="12"/>
      <c r="I441" s="12"/>
      <c r="J441" s="10"/>
      <c r="K441" s="10"/>
    </row>
    <row r="442" spans="1:11" s="4" customFormat="1" ht="30" customHeight="1" x14ac:dyDescent="0.3">
      <c r="A442" s="9"/>
      <c r="B442" s="13" t="e">
        <f>VLOOKUP(Table24[[#This Row],[Location 
(drop-down)]],'List source'!D$2:E$60,2,FALSE)</f>
        <v>#N/A</v>
      </c>
      <c r="C442" s="23" t="s">
        <v>1351</v>
      </c>
      <c r="D442" s="30" t="e">
        <f t="shared" si="6"/>
        <v>#N/A</v>
      </c>
      <c r="E442" s="11"/>
      <c r="F442" s="126"/>
      <c r="G442" s="12"/>
      <c r="H442" s="12"/>
      <c r="I442" s="12"/>
      <c r="J442" s="10"/>
      <c r="K442" s="10"/>
    </row>
    <row r="443" spans="1:11" s="4" customFormat="1" ht="30" customHeight="1" x14ac:dyDescent="0.3">
      <c r="A443" s="9"/>
      <c r="B443" s="13" t="e">
        <f>VLOOKUP(Table24[[#This Row],[Location 
(drop-down)]],'List source'!D$2:E$60,2,FALSE)</f>
        <v>#N/A</v>
      </c>
      <c r="C443" s="23" t="s">
        <v>1353</v>
      </c>
      <c r="D443" s="30" t="e">
        <f t="shared" si="6"/>
        <v>#N/A</v>
      </c>
      <c r="E443" s="11"/>
      <c r="F443" s="126"/>
      <c r="G443" s="12"/>
      <c r="H443" s="12"/>
      <c r="I443" s="12"/>
      <c r="J443" s="10"/>
      <c r="K443" s="10"/>
    </row>
    <row r="444" spans="1:11" s="4" customFormat="1" ht="30" customHeight="1" x14ac:dyDescent="0.3">
      <c r="A444" s="9"/>
      <c r="B444" s="13" t="e">
        <f>VLOOKUP(Table24[[#This Row],[Location 
(drop-down)]],'List source'!D$2:E$60,2,FALSE)</f>
        <v>#N/A</v>
      </c>
      <c r="C444" s="23" t="s">
        <v>1355</v>
      </c>
      <c r="D444" s="30" t="e">
        <f t="shared" si="6"/>
        <v>#N/A</v>
      </c>
      <c r="E444" s="11"/>
      <c r="F444" s="126"/>
      <c r="G444" s="12"/>
      <c r="H444" s="12"/>
      <c r="I444" s="12"/>
      <c r="J444" s="10"/>
      <c r="K444" s="10"/>
    </row>
    <row r="445" spans="1:11" s="4" customFormat="1" ht="30" customHeight="1" x14ac:dyDescent="0.3">
      <c r="A445" s="9"/>
      <c r="B445" s="13" t="e">
        <f>VLOOKUP(Table24[[#This Row],[Location 
(drop-down)]],'List source'!D$2:E$60,2,FALSE)</f>
        <v>#N/A</v>
      </c>
      <c r="C445" s="23" t="s">
        <v>1358</v>
      </c>
      <c r="D445" s="30" t="e">
        <f t="shared" si="6"/>
        <v>#N/A</v>
      </c>
      <c r="E445" s="11"/>
      <c r="F445" s="126"/>
      <c r="G445" s="12"/>
      <c r="H445" s="12"/>
      <c r="I445" s="12"/>
      <c r="J445" s="10"/>
      <c r="K445" s="10"/>
    </row>
    <row r="446" spans="1:11" s="4" customFormat="1" ht="30" customHeight="1" x14ac:dyDescent="0.3">
      <c r="A446" s="9"/>
      <c r="B446" s="13" t="e">
        <f>VLOOKUP(Table24[[#This Row],[Location 
(drop-down)]],'List source'!D$2:E$60,2,FALSE)</f>
        <v>#N/A</v>
      </c>
      <c r="C446" s="23" t="s">
        <v>1360</v>
      </c>
      <c r="D446" s="30" t="e">
        <f t="shared" si="6"/>
        <v>#N/A</v>
      </c>
      <c r="E446" s="11"/>
      <c r="F446" s="126"/>
      <c r="G446" s="12"/>
      <c r="H446" s="12"/>
      <c r="I446" s="12"/>
      <c r="J446" s="10"/>
      <c r="K446" s="10"/>
    </row>
    <row r="447" spans="1:11" s="4" customFormat="1" ht="30" customHeight="1" x14ac:dyDescent="0.3">
      <c r="A447" s="9"/>
      <c r="B447" s="13" t="e">
        <f>VLOOKUP(Table24[[#This Row],[Location 
(drop-down)]],'List source'!D$2:E$60,2,FALSE)</f>
        <v>#N/A</v>
      </c>
      <c r="C447" s="23" t="s">
        <v>1362</v>
      </c>
      <c r="D447" s="30" t="e">
        <f t="shared" si="6"/>
        <v>#N/A</v>
      </c>
      <c r="E447" s="11"/>
      <c r="F447" s="126"/>
      <c r="G447" s="12"/>
      <c r="H447" s="12"/>
      <c r="I447" s="12"/>
      <c r="J447" s="10"/>
      <c r="K447" s="10"/>
    </row>
    <row r="448" spans="1:11" s="4" customFormat="1" ht="30" customHeight="1" x14ac:dyDescent="0.3">
      <c r="A448" s="9"/>
      <c r="B448" s="13" t="e">
        <f>VLOOKUP(Table24[[#This Row],[Location 
(drop-down)]],'List source'!D$2:E$60,2,FALSE)</f>
        <v>#N/A</v>
      </c>
      <c r="C448" s="23" t="s">
        <v>1365</v>
      </c>
      <c r="D448" s="30" t="e">
        <f t="shared" si="6"/>
        <v>#N/A</v>
      </c>
      <c r="E448" s="11"/>
      <c r="F448" s="126"/>
      <c r="G448" s="12"/>
      <c r="H448" s="12"/>
      <c r="I448" s="12"/>
      <c r="J448" s="10"/>
      <c r="K448" s="10"/>
    </row>
    <row r="449" spans="1:11" s="4" customFormat="1" ht="30" customHeight="1" x14ac:dyDescent="0.3">
      <c r="A449" s="9"/>
      <c r="B449" s="13" t="e">
        <f>VLOOKUP(Table24[[#This Row],[Location 
(drop-down)]],'List source'!D$2:E$60,2,FALSE)</f>
        <v>#N/A</v>
      </c>
      <c r="C449" s="23" t="s">
        <v>1368</v>
      </c>
      <c r="D449" s="30" t="e">
        <f t="shared" si="6"/>
        <v>#N/A</v>
      </c>
      <c r="E449" s="11"/>
      <c r="F449" s="126"/>
      <c r="G449" s="12"/>
      <c r="H449" s="12"/>
      <c r="I449" s="12"/>
      <c r="J449" s="10"/>
      <c r="K449" s="10"/>
    </row>
    <row r="450" spans="1:11" s="4" customFormat="1" ht="30" customHeight="1" x14ac:dyDescent="0.3">
      <c r="A450" s="9"/>
      <c r="B450" s="13" t="e">
        <f>VLOOKUP(Table24[[#This Row],[Location 
(drop-down)]],'List source'!D$2:E$60,2,FALSE)</f>
        <v>#N/A</v>
      </c>
      <c r="C450" s="23" t="s">
        <v>1370</v>
      </c>
      <c r="D450" s="30" t="e">
        <f t="shared" ref="D450:D501" si="7">"P" &amp; C450 &amp; "-" &amp; B450 &amp; "-" &amp; "24"</f>
        <v>#N/A</v>
      </c>
      <c r="E450" s="11"/>
      <c r="F450" s="126"/>
      <c r="G450" s="12"/>
      <c r="H450" s="12"/>
      <c r="I450" s="12"/>
      <c r="J450" s="10"/>
      <c r="K450" s="10"/>
    </row>
    <row r="451" spans="1:11" s="4" customFormat="1" ht="30" customHeight="1" x14ac:dyDescent="0.3">
      <c r="A451" s="9"/>
      <c r="B451" s="13" t="e">
        <f>VLOOKUP(Table24[[#This Row],[Location 
(drop-down)]],'List source'!D$2:E$60,2,FALSE)</f>
        <v>#N/A</v>
      </c>
      <c r="C451" s="23" t="s">
        <v>1373</v>
      </c>
      <c r="D451" s="30" t="e">
        <f t="shared" si="7"/>
        <v>#N/A</v>
      </c>
      <c r="E451" s="11"/>
      <c r="F451" s="126"/>
      <c r="G451" s="12"/>
      <c r="H451" s="12"/>
      <c r="I451" s="12"/>
      <c r="J451" s="10"/>
      <c r="K451" s="10"/>
    </row>
    <row r="452" spans="1:11" s="4" customFormat="1" ht="30" customHeight="1" x14ac:dyDescent="0.3">
      <c r="A452" s="9"/>
      <c r="B452" s="13" t="e">
        <f>VLOOKUP(Table24[[#This Row],[Location 
(drop-down)]],'List source'!D$2:E$60,2,FALSE)</f>
        <v>#N/A</v>
      </c>
      <c r="C452" s="23" t="s">
        <v>1375</v>
      </c>
      <c r="D452" s="30" t="e">
        <f t="shared" si="7"/>
        <v>#N/A</v>
      </c>
      <c r="E452" s="11"/>
      <c r="F452" s="126"/>
      <c r="G452" s="12"/>
      <c r="H452" s="12"/>
      <c r="I452" s="12"/>
      <c r="J452" s="10"/>
      <c r="K452" s="10"/>
    </row>
    <row r="453" spans="1:11" s="4" customFormat="1" ht="30" customHeight="1" x14ac:dyDescent="0.3">
      <c r="A453" s="9"/>
      <c r="B453" s="13" t="e">
        <f>VLOOKUP(Table24[[#This Row],[Location 
(drop-down)]],'List source'!D$2:E$60,2,FALSE)</f>
        <v>#N/A</v>
      </c>
      <c r="C453" s="23" t="s">
        <v>1378</v>
      </c>
      <c r="D453" s="30" t="e">
        <f t="shared" si="7"/>
        <v>#N/A</v>
      </c>
      <c r="E453" s="11"/>
      <c r="F453" s="126"/>
      <c r="G453" s="12"/>
      <c r="H453" s="12"/>
      <c r="I453" s="12"/>
      <c r="J453" s="10"/>
      <c r="K453" s="10"/>
    </row>
    <row r="454" spans="1:11" s="4" customFormat="1" ht="30" customHeight="1" x14ac:dyDescent="0.3">
      <c r="A454" s="9"/>
      <c r="B454" s="13" t="e">
        <f>VLOOKUP(Table24[[#This Row],[Location 
(drop-down)]],'List source'!D$2:E$60,2,FALSE)</f>
        <v>#N/A</v>
      </c>
      <c r="C454" s="23" t="s">
        <v>1380</v>
      </c>
      <c r="D454" s="30" t="e">
        <f t="shared" si="7"/>
        <v>#N/A</v>
      </c>
      <c r="E454" s="11"/>
      <c r="F454" s="126"/>
      <c r="G454" s="12"/>
      <c r="H454" s="12"/>
      <c r="I454" s="12"/>
      <c r="J454" s="10"/>
      <c r="K454" s="10"/>
    </row>
    <row r="455" spans="1:11" s="4" customFormat="1" ht="30" customHeight="1" x14ac:dyDescent="0.3">
      <c r="A455" s="9"/>
      <c r="B455" s="13" t="e">
        <f>VLOOKUP(Table24[[#This Row],[Location 
(drop-down)]],'List source'!D$2:E$60,2,FALSE)</f>
        <v>#N/A</v>
      </c>
      <c r="C455" s="23" t="s">
        <v>1383</v>
      </c>
      <c r="D455" s="30" t="e">
        <f t="shared" si="7"/>
        <v>#N/A</v>
      </c>
      <c r="E455" s="11"/>
      <c r="F455" s="126"/>
      <c r="G455" s="12"/>
      <c r="H455" s="12"/>
      <c r="I455" s="12"/>
      <c r="J455" s="10"/>
      <c r="K455" s="10"/>
    </row>
    <row r="456" spans="1:11" s="4" customFormat="1" ht="30" customHeight="1" x14ac:dyDescent="0.3">
      <c r="A456" s="9"/>
      <c r="B456" s="13" t="e">
        <f>VLOOKUP(Table24[[#This Row],[Location 
(drop-down)]],'List source'!D$2:E$60,2,FALSE)</f>
        <v>#N/A</v>
      </c>
      <c r="C456" s="23" t="s">
        <v>1386</v>
      </c>
      <c r="D456" s="30" t="e">
        <f t="shared" si="7"/>
        <v>#N/A</v>
      </c>
      <c r="E456" s="11"/>
      <c r="F456" s="126"/>
      <c r="G456" s="12"/>
      <c r="H456" s="12"/>
      <c r="I456" s="12"/>
      <c r="J456" s="10"/>
      <c r="K456" s="10"/>
    </row>
    <row r="457" spans="1:11" s="4" customFormat="1" ht="30" customHeight="1" x14ac:dyDescent="0.3">
      <c r="A457" s="9"/>
      <c r="B457" s="13" t="e">
        <f>VLOOKUP(Table24[[#This Row],[Location 
(drop-down)]],'List source'!D$2:E$60,2,FALSE)</f>
        <v>#N/A</v>
      </c>
      <c r="C457" s="23" t="s">
        <v>1389</v>
      </c>
      <c r="D457" s="30" t="e">
        <f t="shared" si="7"/>
        <v>#N/A</v>
      </c>
      <c r="E457" s="11"/>
      <c r="F457" s="126"/>
      <c r="G457" s="12"/>
      <c r="H457" s="12"/>
      <c r="I457" s="12"/>
      <c r="J457" s="10"/>
      <c r="K457" s="10"/>
    </row>
    <row r="458" spans="1:11" s="4" customFormat="1" ht="30" customHeight="1" x14ac:dyDescent="0.3">
      <c r="A458" s="9"/>
      <c r="B458" s="13" t="e">
        <f>VLOOKUP(Table24[[#This Row],[Location 
(drop-down)]],'List source'!D$2:E$60,2,FALSE)</f>
        <v>#N/A</v>
      </c>
      <c r="C458" s="23" t="s">
        <v>1392</v>
      </c>
      <c r="D458" s="30" t="e">
        <f t="shared" si="7"/>
        <v>#N/A</v>
      </c>
      <c r="E458" s="11"/>
      <c r="F458" s="126"/>
      <c r="G458" s="12"/>
      <c r="H458" s="12"/>
      <c r="I458" s="12"/>
      <c r="J458" s="10"/>
      <c r="K458" s="10"/>
    </row>
    <row r="459" spans="1:11" s="4" customFormat="1" ht="30" customHeight="1" x14ac:dyDescent="0.3">
      <c r="A459" s="9"/>
      <c r="B459" s="13" t="e">
        <f>VLOOKUP(Table24[[#This Row],[Location 
(drop-down)]],'List source'!D$2:E$60,2,FALSE)</f>
        <v>#N/A</v>
      </c>
      <c r="C459" s="23" t="s">
        <v>1394</v>
      </c>
      <c r="D459" s="30" t="e">
        <f t="shared" si="7"/>
        <v>#N/A</v>
      </c>
      <c r="E459" s="11"/>
      <c r="F459" s="126"/>
      <c r="G459" s="12"/>
      <c r="H459" s="12"/>
      <c r="I459" s="12"/>
      <c r="J459" s="10"/>
      <c r="K459" s="10"/>
    </row>
    <row r="460" spans="1:11" s="4" customFormat="1" ht="30" customHeight="1" x14ac:dyDescent="0.3">
      <c r="A460" s="9"/>
      <c r="B460" s="13" t="e">
        <f>VLOOKUP(Table24[[#This Row],[Location 
(drop-down)]],'List source'!D$2:E$60,2,FALSE)</f>
        <v>#N/A</v>
      </c>
      <c r="C460" s="23" t="s">
        <v>1395</v>
      </c>
      <c r="D460" s="30" t="e">
        <f t="shared" si="7"/>
        <v>#N/A</v>
      </c>
      <c r="E460" s="11"/>
      <c r="F460" s="126"/>
      <c r="G460" s="12"/>
      <c r="H460" s="12"/>
      <c r="I460" s="12"/>
      <c r="J460" s="10"/>
      <c r="K460" s="10"/>
    </row>
    <row r="461" spans="1:11" s="4" customFormat="1" ht="30" customHeight="1" x14ac:dyDescent="0.3">
      <c r="A461" s="9"/>
      <c r="B461" s="13" t="e">
        <f>VLOOKUP(Table24[[#This Row],[Location 
(drop-down)]],'List source'!D$2:E$60,2,FALSE)</f>
        <v>#N/A</v>
      </c>
      <c r="C461" s="23" t="s">
        <v>1398</v>
      </c>
      <c r="D461" s="30" t="e">
        <f t="shared" si="7"/>
        <v>#N/A</v>
      </c>
      <c r="E461" s="11"/>
      <c r="F461" s="126"/>
      <c r="G461" s="12"/>
      <c r="H461" s="12"/>
      <c r="I461" s="12"/>
      <c r="J461" s="10"/>
      <c r="K461" s="10"/>
    </row>
    <row r="462" spans="1:11" s="4" customFormat="1" ht="30" customHeight="1" x14ac:dyDescent="0.3">
      <c r="A462" s="9"/>
      <c r="B462" s="13" t="e">
        <f>VLOOKUP(Table24[[#This Row],[Location 
(drop-down)]],'List source'!D$2:E$60,2,FALSE)</f>
        <v>#N/A</v>
      </c>
      <c r="C462" s="23" t="s">
        <v>1400</v>
      </c>
      <c r="D462" s="30" t="e">
        <f t="shared" si="7"/>
        <v>#N/A</v>
      </c>
      <c r="E462" s="11"/>
      <c r="F462" s="126"/>
      <c r="G462" s="12"/>
      <c r="H462" s="12"/>
      <c r="I462" s="12"/>
      <c r="J462" s="10"/>
      <c r="K462" s="10"/>
    </row>
    <row r="463" spans="1:11" s="4" customFormat="1" ht="30" customHeight="1" x14ac:dyDescent="0.3">
      <c r="A463" s="9"/>
      <c r="B463" s="13" t="e">
        <f>VLOOKUP(Table24[[#This Row],[Location 
(drop-down)]],'List source'!D$2:E$60,2,FALSE)</f>
        <v>#N/A</v>
      </c>
      <c r="C463" s="23" t="s">
        <v>1402</v>
      </c>
      <c r="D463" s="30" t="e">
        <f t="shared" si="7"/>
        <v>#N/A</v>
      </c>
      <c r="E463" s="11"/>
      <c r="F463" s="126"/>
      <c r="G463" s="12"/>
      <c r="H463" s="12"/>
      <c r="I463" s="12"/>
      <c r="J463" s="10"/>
      <c r="K463" s="10"/>
    </row>
    <row r="464" spans="1:11" s="4" customFormat="1" ht="30" customHeight="1" x14ac:dyDescent="0.3">
      <c r="A464" s="9"/>
      <c r="B464" s="13" t="e">
        <f>VLOOKUP(Table24[[#This Row],[Location 
(drop-down)]],'List source'!D$2:E$60,2,FALSE)</f>
        <v>#N/A</v>
      </c>
      <c r="C464" s="23" t="s">
        <v>1405</v>
      </c>
      <c r="D464" s="30" t="e">
        <f t="shared" si="7"/>
        <v>#N/A</v>
      </c>
      <c r="E464" s="11"/>
      <c r="F464" s="126"/>
      <c r="G464" s="12"/>
      <c r="H464" s="12"/>
      <c r="I464" s="12"/>
      <c r="J464" s="10"/>
      <c r="K464" s="10"/>
    </row>
    <row r="465" spans="1:11" s="4" customFormat="1" ht="30" customHeight="1" x14ac:dyDescent="0.3">
      <c r="A465" s="9"/>
      <c r="B465" s="13" t="e">
        <f>VLOOKUP(Table24[[#This Row],[Location 
(drop-down)]],'List source'!D$2:E$60,2,FALSE)</f>
        <v>#N/A</v>
      </c>
      <c r="C465" s="23" t="s">
        <v>1407</v>
      </c>
      <c r="D465" s="30" t="e">
        <f t="shared" si="7"/>
        <v>#N/A</v>
      </c>
      <c r="E465" s="11"/>
      <c r="F465" s="126"/>
      <c r="G465" s="12"/>
      <c r="H465" s="12"/>
      <c r="I465" s="12"/>
      <c r="J465" s="10"/>
      <c r="K465" s="10"/>
    </row>
    <row r="466" spans="1:11" s="4" customFormat="1" ht="30" customHeight="1" x14ac:dyDescent="0.3">
      <c r="A466" s="9"/>
      <c r="B466" s="13" t="e">
        <f>VLOOKUP(Table24[[#This Row],[Location 
(drop-down)]],'List source'!D$2:E$60,2,FALSE)</f>
        <v>#N/A</v>
      </c>
      <c r="C466" s="23" t="s">
        <v>1410</v>
      </c>
      <c r="D466" s="30" t="e">
        <f t="shared" si="7"/>
        <v>#N/A</v>
      </c>
      <c r="E466" s="11"/>
      <c r="F466" s="126"/>
      <c r="G466" s="12"/>
      <c r="H466" s="12"/>
      <c r="I466" s="12"/>
      <c r="J466" s="10"/>
      <c r="K466" s="10"/>
    </row>
    <row r="467" spans="1:11" s="4" customFormat="1" ht="30" customHeight="1" x14ac:dyDescent="0.3">
      <c r="A467" s="9"/>
      <c r="B467" s="13" t="e">
        <f>VLOOKUP(Table24[[#This Row],[Location 
(drop-down)]],'List source'!D$2:E$60,2,FALSE)</f>
        <v>#N/A</v>
      </c>
      <c r="C467" s="23" t="s">
        <v>1413</v>
      </c>
      <c r="D467" s="30" t="e">
        <f t="shared" si="7"/>
        <v>#N/A</v>
      </c>
      <c r="E467" s="11"/>
      <c r="F467" s="126"/>
      <c r="G467" s="12"/>
      <c r="H467" s="12"/>
      <c r="I467" s="12"/>
      <c r="J467" s="10"/>
      <c r="K467" s="10"/>
    </row>
    <row r="468" spans="1:11" s="4" customFormat="1" ht="30" customHeight="1" x14ac:dyDescent="0.3">
      <c r="A468" s="9"/>
      <c r="B468" s="13" t="e">
        <f>VLOOKUP(Table24[[#This Row],[Location 
(drop-down)]],'List source'!D$2:E$60,2,FALSE)</f>
        <v>#N/A</v>
      </c>
      <c r="C468" s="23" t="s">
        <v>1415</v>
      </c>
      <c r="D468" s="30" t="e">
        <f t="shared" si="7"/>
        <v>#N/A</v>
      </c>
      <c r="E468" s="11"/>
      <c r="F468" s="126"/>
      <c r="G468" s="12"/>
      <c r="H468" s="12"/>
      <c r="I468" s="12"/>
      <c r="J468" s="10"/>
      <c r="K468" s="10"/>
    </row>
    <row r="469" spans="1:11" s="4" customFormat="1" ht="30" customHeight="1" x14ac:dyDescent="0.3">
      <c r="A469" s="9"/>
      <c r="B469" s="13" t="e">
        <f>VLOOKUP(Table24[[#This Row],[Location 
(drop-down)]],'List source'!D$2:E$60,2,FALSE)</f>
        <v>#N/A</v>
      </c>
      <c r="C469" s="23" t="s">
        <v>1418</v>
      </c>
      <c r="D469" s="30" t="e">
        <f t="shared" si="7"/>
        <v>#N/A</v>
      </c>
      <c r="E469" s="11"/>
      <c r="F469" s="126"/>
      <c r="G469" s="12"/>
      <c r="H469" s="12"/>
      <c r="I469" s="12"/>
      <c r="J469" s="10"/>
      <c r="K469" s="10"/>
    </row>
    <row r="470" spans="1:11" s="4" customFormat="1" ht="30" customHeight="1" x14ac:dyDescent="0.3">
      <c r="A470" s="9"/>
      <c r="B470" s="13" t="e">
        <f>VLOOKUP(Table24[[#This Row],[Location 
(drop-down)]],'List source'!D$2:E$60,2,FALSE)</f>
        <v>#N/A</v>
      </c>
      <c r="C470" s="23" t="s">
        <v>1420</v>
      </c>
      <c r="D470" s="30" t="e">
        <f t="shared" si="7"/>
        <v>#N/A</v>
      </c>
      <c r="E470" s="11"/>
      <c r="F470" s="126"/>
      <c r="G470" s="12"/>
      <c r="H470" s="12"/>
      <c r="I470" s="12"/>
      <c r="J470" s="10"/>
      <c r="K470" s="10"/>
    </row>
    <row r="471" spans="1:11" s="4" customFormat="1" ht="30" customHeight="1" x14ac:dyDescent="0.3">
      <c r="A471" s="9"/>
      <c r="B471" s="13" t="e">
        <f>VLOOKUP(Table24[[#This Row],[Location 
(drop-down)]],'List source'!D$2:E$60,2,FALSE)</f>
        <v>#N/A</v>
      </c>
      <c r="C471" s="23" t="s">
        <v>1422</v>
      </c>
      <c r="D471" s="30" t="e">
        <f t="shared" si="7"/>
        <v>#N/A</v>
      </c>
      <c r="E471" s="11"/>
      <c r="F471" s="126"/>
      <c r="G471" s="12"/>
      <c r="H471" s="12"/>
      <c r="I471" s="12"/>
      <c r="J471" s="10"/>
      <c r="K471" s="10"/>
    </row>
    <row r="472" spans="1:11" s="4" customFormat="1" ht="30" customHeight="1" x14ac:dyDescent="0.3">
      <c r="A472" s="9"/>
      <c r="B472" s="13" t="e">
        <f>VLOOKUP(Table24[[#This Row],[Location 
(drop-down)]],'List source'!D$2:E$60,2,FALSE)</f>
        <v>#N/A</v>
      </c>
      <c r="C472" s="23" t="s">
        <v>1424</v>
      </c>
      <c r="D472" s="30" t="e">
        <f t="shared" si="7"/>
        <v>#N/A</v>
      </c>
      <c r="E472" s="11"/>
      <c r="F472" s="126"/>
      <c r="G472" s="12"/>
      <c r="H472" s="12"/>
      <c r="I472" s="12"/>
      <c r="J472" s="10"/>
      <c r="K472" s="10"/>
    </row>
    <row r="473" spans="1:11" s="4" customFormat="1" ht="30" customHeight="1" x14ac:dyDescent="0.3">
      <c r="A473" s="9"/>
      <c r="B473" s="13" t="e">
        <f>VLOOKUP(Table24[[#This Row],[Location 
(drop-down)]],'List source'!D$2:E$60,2,FALSE)</f>
        <v>#N/A</v>
      </c>
      <c r="C473" s="23" t="s">
        <v>1426</v>
      </c>
      <c r="D473" s="30" t="e">
        <f t="shared" si="7"/>
        <v>#N/A</v>
      </c>
      <c r="E473" s="11"/>
      <c r="F473" s="126"/>
      <c r="G473" s="12"/>
      <c r="H473" s="12"/>
      <c r="I473" s="12"/>
      <c r="J473" s="10"/>
      <c r="K473" s="10"/>
    </row>
    <row r="474" spans="1:11" s="4" customFormat="1" ht="30" customHeight="1" x14ac:dyDescent="0.3">
      <c r="A474" s="9"/>
      <c r="B474" s="13" t="e">
        <f>VLOOKUP(Table24[[#This Row],[Location 
(drop-down)]],'List source'!D$2:E$60,2,FALSE)</f>
        <v>#N/A</v>
      </c>
      <c r="C474" s="23" t="s">
        <v>1429</v>
      </c>
      <c r="D474" s="30" t="e">
        <f t="shared" si="7"/>
        <v>#N/A</v>
      </c>
      <c r="E474" s="11"/>
      <c r="F474" s="126"/>
      <c r="G474" s="12"/>
      <c r="H474" s="12"/>
      <c r="I474" s="12"/>
      <c r="J474" s="10"/>
      <c r="K474" s="10"/>
    </row>
    <row r="475" spans="1:11" s="4" customFormat="1" ht="30" customHeight="1" x14ac:dyDescent="0.3">
      <c r="A475" s="9"/>
      <c r="B475" s="13" t="e">
        <f>VLOOKUP(Table24[[#This Row],[Location 
(drop-down)]],'List source'!D$2:E$60,2,FALSE)</f>
        <v>#N/A</v>
      </c>
      <c r="C475" s="23" t="s">
        <v>1431</v>
      </c>
      <c r="D475" s="30" t="e">
        <f t="shared" si="7"/>
        <v>#N/A</v>
      </c>
      <c r="E475" s="11"/>
      <c r="F475" s="126"/>
      <c r="G475" s="12"/>
      <c r="H475" s="12"/>
      <c r="I475" s="12"/>
      <c r="J475" s="10"/>
      <c r="K475" s="10"/>
    </row>
    <row r="476" spans="1:11" s="4" customFormat="1" ht="30" customHeight="1" x14ac:dyDescent="0.3">
      <c r="A476" s="9"/>
      <c r="B476" s="13" t="e">
        <f>VLOOKUP(Table24[[#This Row],[Location 
(drop-down)]],'List source'!D$2:E$60,2,FALSE)</f>
        <v>#N/A</v>
      </c>
      <c r="C476" s="23" t="s">
        <v>1433</v>
      </c>
      <c r="D476" s="30" t="e">
        <f t="shared" si="7"/>
        <v>#N/A</v>
      </c>
      <c r="E476" s="11"/>
      <c r="F476" s="126"/>
      <c r="G476" s="12"/>
      <c r="H476" s="12"/>
      <c r="I476" s="12"/>
      <c r="J476" s="10"/>
      <c r="K476" s="10"/>
    </row>
    <row r="477" spans="1:11" s="4" customFormat="1" ht="30" customHeight="1" x14ac:dyDescent="0.3">
      <c r="A477" s="9"/>
      <c r="B477" s="13" t="e">
        <f>VLOOKUP(Table24[[#This Row],[Location 
(drop-down)]],'List source'!D$2:E$60,2,FALSE)</f>
        <v>#N/A</v>
      </c>
      <c r="C477" s="23" t="s">
        <v>1435</v>
      </c>
      <c r="D477" s="30" t="e">
        <f t="shared" si="7"/>
        <v>#N/A</v>
      </c>
      <c r="E477" s="11"/>
      <c r="F477" s="126"/>
      <c r="G477" s="12"/>
      <c r="H477" s="12"/>
      <c r="I477" s="12"/>
      <c r="J477" s="10"/>
      <c r="K477" s="10"/>
    </row>
    <row r="478" spans="1:11" s="4" customFormat="1" ht="30" customHeight="1" x14ac:dyDescent="0.3">
      <c r="A478" s="9"/>
      <c r="B478" s="13" t="e">
        <f>VLOOKUP(Table24[[#This Row],[Location 
(drop-down)]],'List source'!D$2:E$60,2,FALSE)</f>
        <v>#N/A</v>
      </c>
      <c r="C478" s="23" t="s">
        <v>1436</v>
      </c>
      <c r="D478" s="30" t="e">
        <f t="shared" si="7"/>
        <v>#N/A</v>
      </c>
      <c r="E478" s="11"/>
      <c r="F478" s="126"/>
      <c r="G478" s="12"/>
      <c r="H478" s="12"/>
      <c r="I478" s="12"/>
      <c r="J478" s="10"/>
      <c r="K478" s="10"/>
    </row>
    <row r="479" spans="1:11" s="4" customFormat="1" ht="30" customHeight="1" x14ac:dyDescent="0.3">
      <c r="A479" s="9"/>
      <c r="B479" s="13" t="e">
        <f>VLOOKUP(Table24[[#This Row],[Location 
(drop-down)]],'List source'!D$2:E$60,2,FALSE)</f>
        <v>#N/A</v>
      </c>
      <c r="C479" s="23" t="s">
        <v>1439</v>
      </c>
      <c r="D479" s="30" t="e">
        <f t="shared" si="7"/>
        <v>#N/A</v>
      </c>
      <c r="E479" s="11"/>
      <c r="F479" s="126"/>
      <c r="G479" s="12"/>
      <c r="H479" s="12"/>
      <c r="I479" s="12"/>
      <c r="J479" s="10"/>
      <c r="K479" s="10"/>
    </row>
    <row r="480" spans="1:11" s="4" customFormat="1" ht="30" customHeight="1" x14ac:dyDescent="0.3">
      <c r="A480" s="9"/>
      <c r="B480" s="13" t="e">
        <f>VLOOKUP(Table24[[#This Row],[Location 
(drop-down)]],'List source'!D$2:E$60,2,FALSE)</f>
        <v>#N/A</v>
      </c>
      <c r="C480" s="23" t="s">
        <v>1441</v>
      </c>
      <c r="D480" s="30" t="e">
        <f t="shared" si="7"/>
        <v>#N/A</v>
      </c>
      <c r="E480" s="11"/>
      <c r="F480" s="126"/>
      <c r="G480" s="12"/>
      <c r="H480" s="12"/>
      <c r="I480" s="12"/>
      <c r="J480" s="10"/>
      <c r="K480" s="10"/>
    </row>
    <row r="481" spans="1:11" s="4" customFormat="1" ht="30" customHeight="1" x14ac:dyDescent="0.3">
      <c r="A481" s="9"/>
      <c r="B481" s="13" t="e">
        <f>VLOOKUP(Table24[[#This Row],[Location 
(drop-down)]],'List source'!D$2:E$60,2,FALSE)</f>
        <v>#N/A</v>
      </c>
      <c r="C481" s="23" t="s">
        <v>1442</v>
      </c>
      <c r="D481" s="30" t="e">
        <f t="shared" si="7"/>
        <v>#N/A</v>
      </c>
      <c r="E481" s="11"/>
      <c r="F481" s="126"/>
      <c r="G481" s="12"/>
      <c r="H481" s="12"/>
      <c r="I481" s="12"/>
      <c r="J481" s="10"/>
      <c r="K481" s="10"/>
    </row>
    <row r="482" spans="1:11" s="4" customFormat="1" ht="30" customHeight="1" x14ac:dyDescent="0.3">
      <c r="A482" s="9"/>
      <c r="B482" s="13" t="e">
        <f>VLOOKUP(Table24[[#This Row],[Location 
(drop-down)]],'List source'!D$2:E$60,2,FALSE)</f>
        <v>#N/A</v>
      </c>
      <c r="C482" s="23" t="s">
        <v>1445</v>
      </c>
      <c r="D482" s="30" t="e">
        <f t="shared" si="7"/>
        <v>#N/A</v>
      </c>
      <c r="E482" s="11"/>
      <c r="F482" s="126"/>
      <c r="G482" s="12"/>
      <c r="H482" s="12"/>
      <c r="I482" s="12"/>
      <c r="J482" s="10"/>
      <c r="K482" s="10"/>
    </row>
    <row r="483" spans="1:11" s="4" customFormat="1" ht="30" customHeight="1" x14ac:dyDescent="0.3">
      <c r="A483" s="9"/>
      <c r="B483" s="13" t="e">
        <f>VLOOKUP(Table24[[#This Row],[Location 
(drop-down)]],'List source'!D$2:E$60,2,FALSE)</f>
        <v>#N/A</v>
      </c>
      <c r="C483" s="23" t="s">
        <v>1447</v>
      </c>
      <c r="D483" s="30" t="e">
        <f t="shared" si="7"/>
        <v>#N/A</v>
      </c>
      <c r="E483" s="11"/>
      <c r="F483" s="126"/>
      <c r="G483" s="12"/>
      <c r="H483" s="12"/>
      <c r="I483" s="12"/>
      <c r="J483" s="10"/>
      <c r="K483" s="10"/>
    </row>
    <row r="484" spans="1:11" s="4" customFormat="1" ht="30" customHeight="1" x14ac:dyDescent="0.3">
      <c r="A484" s="9"/>
      <c r="B484" s="13" t="e">
        <f>VLOOKUP(Table24[[#This Row],[Location 
(drop-down)]],'List source'!D$2:E$60,2,FALSE)</f>
        <v>#N/A</v>
      </c>
      <c r="C484" s="23" t="s">
        <v>1449</v>
      </c>
      <c r="D484" s="30" t="e">
        <f t="shared" si="7"/>
        <v>#N/A</v>
      </c>
      <c r="E484" s="11"/>
      <c r="F484" s="126"/>
      <c r="G484" s="12"/>
      <c r="H484" s="12"/>
      <c r="I484" s="12"/>
      <c r="J484" s="10"/>
      <c r="K484" s="10"/>
    </row>
    <row r="485" spans="1:11" s="4" customFormat="1" ht="30" customHeight="1" x14ac:dyDescent="0.3">
      <c r="A485" s="9"/>
      <c r="B485" s="13" t="e">
        <f>VLOOKUP(Table24[[#This Row],[Location 
(drop-down)]],'List source'!D$2:E$60,2,FALSE)</f>
        <v>#N/A</v>
      </c>
      <c r="C485" s="23" t="s">
        <v>1451</v>
      </c>
      <c r="D485" s="30" t="e">
        <f t="shared" si="7"/>
        <v>#N/A</v>
      </c>
      <c r="E485" s="11"/>
      <c r="F485" s="126"/>
      <c r="G485" s="12"/>
      <c r="H485" s="12"/>
      <c r="I485" s="12"/>
      <c r="J485" s="10"/>
      <c r="K485" s="10"/>
    </row>
    <row r="486" spans="1:11" s="4" customFormat="1" ht="30" customHeight="1" x14ac:dyDescent="0.3">
      <c r="A486" s="9"/>
      <c r="B486" s="13" t="e">
        <f>VLOOKUP(Table24[[#This Row],[Location 
(drop-down)]],'List source'!D$2:E$60,2,FALSE)</f>
        <v>#N/A</v>
      </c>
      <c r="C486" s="23" t="s">
        <v>1455</v>
      </c>
      <c r="D486" s="30" t="e">
        <f t="shared" si="7"/>
        <v>#N/A</v>
      </c>
      <c r="E486" s="11"/>
      <c r="F486" s="126"/>
      <c r="G486" s="12"/>
      <c r="H486" s="12"/>
      <c r="I486" s="12"/>
      <c r="J486" s="10"/>
      <c r="K486" s="10"/>
    </row>
    <row r="487" spans="1:11" s="4" customFormat="1" ht="30" customHeight="1" x14ac:dyDescent="0.3">
      <c r="A487" s="9"/>
      <c r="B487" s="13" t="e">
        <f>VLOOKUP(Table24[[#This Row],[Location 
(drop-down)]],'List source'!D$2:E$60,2,FALSE)</f>
        <v>#N/A</v>
      </c>
      <c r="C487" s="23" t="s">
        <v>1459</v>
      </c>
      <c r="D487" s="30" t="e">
        <f t="shared" si="7"/>
        <v>#N/A</v>
      </c>
      <c r="E487" s="11"/>
      <c r="F487" s="126"/>
      <c r="G487" s="12"/>
      <c r="H487" s="12"/>
      <c r="I487" s="12"/>
      <c r="J487" s="10"/>
      <c r="K487" s="10"/>
    </row>
    <row r="488" spans="1:11" s="4" customFormat="1" ht="30" customHeight="1" x14ac:dyDescent="0.3">
      <c r="A488" s="9"/>
      <c r="B488" s="13" t="e">
        <f>VLOOKUP(Table24[[#This Row],[Location 
(drop-down)]],'List source'!D$2:E$60,2,FALSE)</f>
        <v>#N/A</v>
      </c>
      <c r="C488" s="23" t="s">
        <v>1462</v>
      </c>
      <c r="D488" s="30" t="e">
        <f t="shared" si="7"/>
        <v>#N/A</v>
      </c>
      <c r="E488" s="11"/>
      <c r="F488" s="126"/>
      <c r="G488" s="12"/>
      <c r="H488" s="12"/>
      <c r="I488" s="12"/>
      <c r="J488" s="10"/>
      <c r="K488" s="10"/>
    </row>
    <row r="489" spans="1:11" s="4" customFormat="1" ht="30" customHeight="1" x14ac:dyDescent="0.3">
      <c r="A489" s="9"/>
      <c r="B489" s="13" t="e">
        <f>VLOOKUP(Table24[[#This Row],[Location 
(drop-down)]],'List source'!D$2:E$60,2,FALSE)</f>
        <v>#N/A</v>
      </c>
      <c r="C489" s="23" t="s">
        <v>1464</v>
      </c>
      <c r="D489" s="30" t="e">
        <f t="shared" si="7"/>
        <v>#N/A</v>
      </c>
      <c r="E489" s="11"/>
      <c r="F489" s="126"/>
      <c r="G489" s="12"/>
      <c r="H489" s="12"/>
      <c r="I489" s="12"/>
      <c r="J489" s="10"/>
      <c r="K489" s="10"/>
    </row>
    <row r="490" spans="1:11" s="4" customFormat="1" ht="30" customHeight="1" x14ac:dyDescent="0.3">
      <c r="A490" s="9"/>
      <c r="B490" s="13" t="e">
        <f>VLOOKUP(Table24[[#This Row],[Location 
(drop-down)]],'List source'!D$2:E$60,2,FALSE)</f>
        <v>#N/A</v>
      </c>
      <c r="C490" s="23" t="s">
        <v>1466</v>
      </c>
      <c r="D490" s="30" t="e">
        <f t="shared" si="7"/>
        <v>#N/A</v>
      </c>
      <c r="E490" s="11"/>
      <c r="F490" s="126"/>
      <c r="G490" s="12"/>
      <c r="H490" s="12"/>
      <c r="I490" s="12"/>
      <c r="J490" s="10"/>
      <c r="K490" s="10"/>
    </row>
    <row r="491" spans="1:11" s="4" customFormat="1" ht="30" customHeight="1" x14ac:dyDescent="0.3">
      <c r="A491" s="9"/>
      <c r="B491" s="13" t="e">
        <f>VLOOKUP(Table24[[#This Row],[Location 
(drop-down)]],'List source'!D$2:E$60,2,FALSE)</f>
        <v>#N/A</v>
      </c>
      <c r="C491" s="23" t="s">
        <v>1468</v>
      </c>
      <c r="D491" s="30" t="e">
        <f t="shared" si="7"/>
        <v>#N/A</v>
      </c>
      <c r="E491" s="11"/>
      <c r="F491" s="126"/>
      <c r="G491" s="12"/>
      <c r="H491" s="12"/>
      <c r="I491" s="12"/>
      <c r="J491" s="10"/>
      <c r="K491" s="10"/>
    </row>
    <row r="492" spans="1:11" s="4" customFormat="1" ht="30" customHeight="1" x14ac:dyDescent="0.3">
      <c r="A492" s="9"/>
      <c r="B492" s="13" t="e">
        <f>VLOOKUP(Table24[[#This Row],[Location 
(drop-down)]],'List source'!D$2:E$60,2,FALSE)</f>
        <v>#N/A</v>
      </c>
      <c r="C492" s="23" t="s">
        <v>1470</v>
      </c>
      <c r="D492" s="30" t="e">
        <f t="shared" si="7"/>
        <v>#N/A</v>
      </c>
      <c r="E492" s="11"/>
      <c r="F492" s="126"/>
      <c r="G492" s="12"/>
      <c r="H492" s="12"/>
      <c r="I492" s="12"/>
      <c r="J492" s="10"/>
      <c r="K492" s="10"/>
    </row>
    <row r="493" spans="1:11" s="4" customFormat="1" ht="30" customHeight="1" x14ac:dyDescent="0.3">
      <c r="A493" s="9"/>
      <c r="B493" s="13" t="e">
        <f>VLOOKUP(Table24[[#This Row],[Location 
(drop-down)]],'List source'!D$2:E$60,2,FALSE)</f>
        <v>#N/A</v>
      </c>
      <c r="C493" s="23" t="s">
        <v>1472</v>
      </c>
      <c r="D493" s="30" t="e">
        <f t="shared" si="7"/>
        <v>#N/A</v>
      </c>
      <c r="E493" s="11"/>
      <c r="F493" s="126"/>
      <c r="G493" s="12"/>
      <c r="H493" s="12"/>
      <c r="I493" s="12"/>
      <c r="J493" s="10"/>
      <c r="K493" s="10"/>
    </row>
    <row r="494" spans="1:11" s="4" customFormat="1" ht="30" customHeight="1" x14ac:dyDescent="0.3">
      <c r="A494" s="9"/>
      <c r="B494" s="13" t="e">
        <f>VLOOKUP(Table24[[#This Row],[Location 
(drop-down)]],'List source'!D$2:E$60,2,FALSE)</f>
        <v>#N/A</v>
      </c>
      <c r="C494" s="23" t="s">
        <v>1474</v>
      </c>
      <c r="D494" s="30" t="e">
        <f t="shared" si="7"/>
        <v>#N/A</v>
      </c>
      <c r="E494" s="11"/>
      <c r="F494" s="126"/>
      <c r="G494" s="12"/>
      <c r="H494" s="12"/>
      <c r="I494" s="12"/>
      <c r="J494" s="10"/>
      <c r="K494" s="10"/>
    </row>
    <row r="495" spans="1:11" s="4" customFormat="1" ht="30" customHeight="1" x14ac:dyDescent="0.3">
      <c r="A495" s="9"/>
      <c r="B495" s="13" t="e">
        <f>VLOOKUP(Table24[[#This Row],[Location 
(drop-down)]],'List source'!D$2:E$60,2,FALSE)</f>
        <v>#N/A</v>
      </c>
      <c r="C495" s="23" t="s">
        <v>1477</v>
      </c>
      <c r="D495" s="30" t="e">
        <f t="shared" si="7"/>
        <v>#N/A</v>
      </c>
      <c r="E495" s="11"/>
      <c r="F495" s="126"/>
      <c r="G495" s="12"/>
      <c r="H495" s="12"/>
      <c r="I495" s="12"/>
      <c r="J495" s="10"/>
      <c r="K495" s="10"/>
    </row>
    <row r="496" spans="1:11" s="4" customFormat="1" ht="30" customHeight="1" x14ac:dyDescent="0.3">
      <c r="A496" s="9"/>
      <c r="B496" s="13" t="e">
        <f>VLOOKUP(Table24[[#This Row],[Location 
(drop-down)]],'List source'!D$2:E$60,2,FALSE)</f>
        <v>#N/A</v>
      </c>
      <c r="C496" s="23" t="s">
        <v>1479</v>
      </c>
      <c r="D496" s="30" t="e">
        <f t="shared" si="7"/>
        <v>#N/A</v>
      </c>
      <c r="E496" s="11"/>
      <c r="F496" s="126"/>
      <c r="G496" s="12"/>
      <c r="H496" s="12"/>
      <c r="I496" s="12"/>
      <c r="J496" s="10"/>
      <c r="K496" s="10"/>
    </row>
    <row r="497" spans="1:11" s="4" customFormat="1" ht="30" customHeight="1" x14ac:dyDescent="0.3">
      <c r="A497" s="9"/>
      <c r="B497" s="13" t="e">
        <f>VLOOKUP(Table24[[#This Row],[Location 
(drop-down)]],'List source'!D$2:E$60,2,FALSE)</f>
        <v>#N/A</v>
      </c>
      <c r="C497" s="23" t="s">
        <v>1482</v>
      </c>
      <c r="D497" s="30" t="e">
        <f t="shared" si="7"/>
        <v>#N/A</v>
      </c>
      <c r="E497" s="11"/>
      <c r="F497" s="126"/>
      <c r="G497" s="12"/>
      <c r="H497" s="12"/>
      <c r="I497" s="12"/>
      <c r="J497" s="10"/>
      <c r="K497" s="10"/>
    </row>
    <row r="498" spans="1:11" s="4" customFormat="1" ht="30" customHeight="1" x14ac:dyDescent="0.3">
      <c r="A498" s="9"/>
      <c r="B498" s="13" t="e">
        <f>VLOOKUP(Table24[[#This Row],[Location 
(drop-down)]],'List source'!D$2:E$60,2,FALSE)</f>
        <v>#N/A</v>
      </c>
      <c r="C498" s="23" t="s">
        <v>1485</v>
      </c>
      <c r="D498" s="30" t="e">
        <f t="shared" si="7"/>
        <v>#N/A</v>
      </c>
      <c r="E498" s="11"/>
      <c r="F498" s="126"/>
      <c r="G498" s="12"/>
      <c r="H498" s="12"/>
      <c r="I498" s="12"/>
      <c r="J498" s="10"/>
      <c r="K498" s="10"/>
    </row>
    <row r="499" spans="1:11" s="4" customFormat="1" ht="30" customHeight="1" x14ac:dyDescent="0.3">
      <c r="A499" s="9"/>
      <c r="B499" s="13" t="e">
        <f>VLOOKUP(Table24[[#This Row],[Location 
(drop-down)]],'List source'!D$2:E$60,2,FALSE)</f>
        <v>#N/A</v>
      </c>
      <c r="C499" s="23" t="s">
        <v>1487</v>
      </c>
      <c r="D499" s="30" t="e">
        <f t="shared" si="7"/>
        <v>#N/A</v>
      </c>
      <c r="E499" s="11"/>
      <c r="F499" s="126"/>
      <c r="G499" s="12"/>
      <c r="H499" s="12"/>
      <c r="I499" s="12"/>
      <c r="J499" s="10"/>
      <c r="K499" s="10"/>
    </row>
    <row r="500" spans="1:11" s="4" customFormat="1" ht="30" customHeight="1" x14ac:dyDescent="0.3">
      <c r="A500" s="9"/>
      <c r="B500" s="13" t="e">
        <f>VLOOKUP(Table24[[#This Row],[Location 
(drop-down)]],'List source'!D$2:E$60,2,FALSE)</f>
        <v>#N/A</v>
      </c>
      <c r="C500" s="23" t="s">
        <v>1490</v>
      </c>
      <c r="D500" s="30" t="e">
        <f t="shared" si="7"/>
        <v>#N/A</v>
      </c>
      <c r="E500" s="11"/>
      <c r="F500" s="126"/>
      <c r="G500" s="12"/>
      <c r="H500" s="12"/>
      <c r="I500" s="12"/>
      <c r="J500" s="10"/>
      <c r="K500" s="10"/>
    </row>
    <row r="501" spans="1:11" s="4" customFormat="1" ht="30" customHeight="1" x14ac:dyDescent="0.3">
      <c r="A501" s="9"/>
      <c r="B501" s="13" t="e">
        <f>VLOOKUP(Table24[[#This Row],[Location 
(drop-down)]],'List source'!D$2:E$60,2,FALSE)</f>
        <v>#N/A</v>
      </c>
      <c r="C501" s="23" t="s">
        <v>1492</v>
      </c>
      <c r="D501" s="30" t="e">
        <f t="shared" si="7"/>
        <v>#N/A</v>
      </c>
      <c r="E501" s="11"/>
      <c r="F501" s="126"/>
      <c r="G501" s="12"/>
      <c r="H501" s="12"/>
      <c r="I501" s="12"/>
      <c r="J501" s="10"/>
      <c r="K501" s="10"/>
    </row>
  </sheetData>
  <phoneticPr fontId="4" type="noConversion"/>
  <pageMargins left="0.7" right="0.7" top="0.75" bottom="0.75" header="0.3" footer="0.3"/>
  <pageSetup scale="47" fitToHeight="0" orientation="landscape"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1000000}">
          <x14:formula1>
            <xm:f>'List source'!$D$2:$D$61</xm:f>
          </x14:formula1>
          <xm:sqref>A2:A501</xm:sqref>
        </x14:dataValidation>
        <x14:dataValidation type="list" allowBlank="1" showInputMessage="1" showErrorMessage="1" xr:uid="{00000000-0002-0000-0100-000000000000}">
          <x14:formula1>
            <xm:f>'List source'!$C$2:$C$6</xm:f>
          </x14:formula1>
          <xm:sqref>J2:J501</xm:sqref>
        </x14:dataValidation>
        <x14:dataValidation type="list" allowBlank="1" showInputMessage="1" showErrorMessage="1" xr:uid="{00000000-0002-0000-0100-000002000000}">
          <x14:formula1>
            <xm:f>'List source'!$A$14:$A$19</xm:f>
          </x14:formula1>
          <xm:sqref>E2:E501</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F73"/>
  <sheetViews>
    <sheetView topLeftCell="B1" zoomScaleNormal="100" workbookViewId="0">
      <pane ySplit="1" topLeftCell="A19" activePane="bottomLeft" state="frozen"/>
      <selection activeCell="C1" sqref="C1"/>
      <selection pane="bottomLeft" activeCell="J26" sqref="J26"/>
    </sheetView>
  </sheetViews>
  <sheetFormatPr defaultRowHeight="14.4" x14ac:dyDescent="0.3"/>
  <cols>
    <col min="1" max="1" width="67.5546875" customWidth="1"/>
    <col min="2" max="2" width="36.44140625" customWidth="1"/>
    <col min="3" max="3" width="18.44140625" customWidth="1"/>
    <col min="4" max="4" width="30.5546875" bestFit="1" customWidth="1"/>
    <col min="5" max="5" width="13.44140625" style="1" customWidth="1"/>
    <col min="6" max="6" width="23" customWidth="1"/>
  </cols>
  <sheetData>
    <row r="1" spans="1:6" ht="15" thickBot="1" x14ac:dyDescent="0.35">
      <c r="A1" s="167" t="s">
        <v>4319</v>
      </c>
      <c r="B1" s="168" t="s">
        <v>4320</v>
      </c>
      <c r="C1" s="44" t="s">
        <v>4321</v>
      </c>
      <c r="D1" s="46" t="s">
        <v>4322</v>
      </c>
      <c r="E1" s="47" t="s">
        <v>1</v>
      </c>
      <c r="F1" s="46" t="s">
        <v>3610</v>
      </c>
    </row>
    <row r="2" spans="1:6" x14ac:dyDescent="0.3">
      <c r="A2" s="169" t="s">
        <v>4323</v>
      </c>
      <c r="B2" s="170" t="s">
        <v>4324</v>
      </c>
      <c r="C2" s="41" t="s">
        <v>3621</v>
      </c>
      <c r="D2" s="42" t="s">
        <v>149</v>
      </c>
      <c r="E2" s="43">
        <v>119</v>
      </c>
      <c r="F2" s="56" t="s">
        <v>4325</v>
      </c>
    </row>
    <row r="3" spans="1:6" x14ac:dyDescent="0.3">
      <c r="A3" s="171" t="s">
        <v>4326</v>
      </c>
      <c r="B3" s="172" t="s">
        <v>4327</v>
      </c>
      <c r="C3" s="31" t="s">
        <v>3737</v>
      </c>
      <c r="D3" s="34" t="s">
        <v>95</v>
      </c>
      <c r="E3" s="33">
        <v>111</v>
      </c>
      <c r="F3" s="56" t="s">
        <v>4328</v>
      </c>
    </row>
    <row r="4" spans="1:6" x14ac:dyDescent="0.3">
      <c r="A4" s="171" t="s">
        <v>4329</v>
      </c>
      <c r="B4" s="172" t="s">
        <v>4330</v>
      </c>
      <c r="C4" s="31" t="s">
        <v>3785</v>
      </c>
      <c r="D4" s="32" t="s">
        <v>138</v>
      </c>
      <c r="E4" s="33">
        <v>110</v>
      </c>
      <c r="F4" s="56" t="s">
        <v>4328</v>
      </c>
    </row>
    <row r="5" spans="1:6" x14ac:dyDescent="0.3">
      <c r="A5" s="171" t="s">
        <v>338</v>
      </c>
      <c r="B5" s="172" t="s">
        <v>4331</v>
      </c>
      <c r="C5" s="31" t="s">
        <v>4332</v>
      </c>
      <c r="D5" s="32" t="s">
        <v>564</v>
      </c>
      <c r="E5" s="33">
        <v>215</v>
      </c>
      <c r="F5" s="56" t="s">
        <v>4333</v>
      </c>
    </row>
    <row r="6" spans="1:6" x14ac:dyDescent="0.3">
      <c r="A6" s="171" t="s">
        <v>4334</v>
      </c>
      <c r="B6" s="173" t="s">
        <v>4335</v>
      </c>
      <c r="C6" s="31" t="s">
        <v>114</v>
      </c>
      <c r="D6" s="35" t="s">
        <v>369</v>
      </c>
      <c r="E6" s="33">
        <v>195</v>
      </c>
      <c r="F6" s="56" t="s">
        <v>4333</v>
      </c>
    </row>
    <row r="7" spans="1:6" x14ac:dyDescent="0.3">
      <c r="A7" s="171" t="s">
        <v>4336</v>
      </c>
      <c r="B7" s="172" t="s">
        <v>4337</v>
      </c>
      <c r="C7" s="176"/>
      <c r="D7" s="35" t="s">
        <v>75</v>
      </c>
      <c r="E7" s="33">
        <v>190</v>
      </c>
      <c r="F7" s="56" t="s">
        <v>4333</v>
      </c>
    </row>
    <row r="8" spans="1:6" x14ac:dyDescent="0.3">
      <c r="A8" s="171" t="s">
        <v>4338</v>
      </c>
      <c r="B8" s="172" t="s">
        <v>4339</v>
      </c>
      <c r="C8" s="175"/>
      <c r="D8" s="35" t="s">
        <v>334</v>
      </c>
      <c r="E8" s="33">
        <v>161</v>
      </c>
      <c r="F8" s="56" t="s">
        <v>4325</v>
      </c>
    </row>
    <row r="9" spans="1:6" x14ac:dyDescent="0.3">
      <c r="A9" s="171" t="s">
        <v>114</v>
      </c>
      <c r="B9" s="174" t="s">
        <v>114</v>
      </c>
      <c r="C9" s="165"/>
      <c r="D9" s="32" t="s">
        <v>239</v>
      </c>
      <c r="E9" s="33">
        <v>116</v>
      </c>
      <c r="F9" s="56" t="s">
        <v>4333</v>
      </c>
    </row>
    <row r="10" spans="1:6" x14ac:dyDescent="0.3">
      <c r="C10" s="166"/>
      <c r="D10" s="35" t="s">
        <v>264</v>
      </c>
      <c r="E10" s="33">
        <v>132</v>
      </c>
      <c r="F10" s="56" t="s">
        <v>4340</v>
      </c>
    </row>
    <row r="11" spans="1:6" x14ac:dyDescent="0.3">
      <c r="C11" s="166"/>
      <c r="D11" s="32" t="s">
        <v>151</v>
      </c>
      <c r="E11" s="33">
        <v>124</v>
      </c>
      <c r="F11" s="56" t="s">
        <v>4325</v>
      </c>
    </row>
    <row r="12" spans="1:6" x14ac:dyDescent="0.3">
      <c r="C12" s="166"/>
      <c r="D12" s="32" t="s">
        <v>29</v>
      </c>
      <c r="E12" s="33">
        <v>141</v>
      </c>
      <c r="F12" s="56" t="s">
        <v>4328</v>
      </c>
    </row>
    <row r="13" spans="1:6" x14ac:dyDescent="0.3">
      <c r="A13" s="52" t="s">
        <v>3730</v>
      </c>
      <c r="C13" s="166"/>
      <c r="D13" s="32" t="s">
        <v>35</v>
      </c>
      <c r="E13" s="33">
        <v>158</v>
      </c>
      <c r="F13" s="56" t="s">
        <v>4325</v>
      </c>
    </row>
    <row r="14" spans="1:6" x14ac:dyDescent="0.3">
      <c r="A14" s="53" t="s">
        <v>3735</v>
      </c>
      <c r="C14" s="166"/>
      <c r="D14" s="35" t="s">
        <v>39</v>
      </c>
      <c r="E14" s="33">
        <v>127</v>
      </c>
      <c r="F14" s="56" t="s">
        <v>4333</v>
      </c>
    </row>
    <row r="15" spans="1:6" x14ac:dyDescent="0.3">
      <c r="A15" s="53" t="s">
        <v>3783</v>
      </c>
      <c r="C15" s="3"/>
      <c r="D15" s="32" t="s">
        <v>157</v>
      </c>
      <c r="E15" s="33">
        <v>136</v>
      </c>
      <c r="F15" s="56" t="s">
        <v>4333</v>
      </c>
    </row>
    <row r="16" spans="1:6" x14ac:dyDescent="0.3">
      <c r="A16" s="53" t="s">
        <v>3773</v>
      </c>
      <c r="D16" s="35" t="s">
        <v>42</v>
      </c>
      <c r="E16" s="33">
        <v>138</v>
      </c>
      <c r="F16" s="56" t="s">
        <v>4333</v>
      </c>
    </row>
    <row r="17" spans="1:6" x14ac:dyDescent="0.3">
      <c r="A17" s="53" t="s">
        <v>3740</v>
      </c>
      <c r="C17" s="69" t="s">
        <v>4341</v>
      </c>
      <c r="D17" s="35" t="s">
        <v>318</v>
      </c>
      <c r="E17" s="33">
        <v>115</v>
      </c>
      <c r="F17" s="56" t="s">
        <v>4333</v>
      </c>
    </row>
    <row r="18" spans="1:6" ht="16.8" x14ac:dyDescent="0.4">
      <c r="A18" s="54" t="s">
        <v>3770</v>
      </c>
      <c r="C18" s="70" t="s">
        <v>3621</v>
      </c>
      <c r="D18" s="32" t="s">
        <v>3636</v>
      </c>
      <c r="E18" s="33">
        <v>101</v>
      </c>
      <c r="F18" s="56" t="s">
        <v>4342</v>
      </c>
    </row>
    <row r="19" spans="1:6" x14ac:dyDescent="0.3">
      <c r="A19" s="53" t="s">
        <v>114</v>
      </c>
      <c r="C19" s="70" t="s">
        <v>3618</v>
      </c>
      <c r="D19" s="35" t="s">
        <v>65</v>
      </c>
      <c r="E19" s="33">
        <v>155</v>
      </c>
      <c r="F19" s="56" t="s">
        <v>4325</v>
      </c>
    </row>
    <row r="20" spans="1:6" x14ac:dyDescent="0.3">
      <c r="C20" s="70" t="s">
        <v>3785</v>
      </c>
      <c r="D20" s="35" t="s">
        <v>4343</v>
      </c>
      <c r="E20" s="33">
        <v>154</v>
      </c>
      <c r="F20" s="56" t="s">
        <v>4325</v>
      </c>
    </row>
    <row r="21" spans="1:6" x14ac:dyDescent="0.3">
      <c r="C21" s="70" t="s">
        <v>4344</v>
      </c>
      <c r="D21" s="35" t="s">
        <v>175</v>
      </c>
      <c r="E21" s="33">
        <v>159</v>
      </c>
      <c r="F21" s="56" t="s">
        <v>4325</v>
      </c>
    </row>
    <row r="22" spans="1:6" x14ac:dyDescent="0.3">
      <c r="C22" s="70" t="s">
        <v>4345</v>
      </c>
      <c r="D22" s="35" t="s">
        <v>178</v>
      </c>
      <c r="E22" s="33">
        <v>147</v>
      </c>
      <c r="F22" s="56" t="s">
        <v>4333</v>
      </c>
    </row>
    <row r="23" spans="1:6" x14ac:dyDescent="0.3">
      <c r="C23" s="70" t="s">
        <v>114</v>
      </c>
      <c r="D23" s="35" t="s">
        <v>90</v>
      </c>
      <c r="E23" s="33">
        <v>157</v>
      </c>
      <c r="F23" s="56" t="s">
        <v>4325</v>
      </c>
    </row>
    <row r="24" spans="1:6" x14ac:dyDescent="0.3">
      <c r="A24" s="71" t="s">
        <v>4346</v>
      </c>
      <c r="B24" s="155" t="s">
        <v>4347</v>
      </c>
      <c r="D24" s="32" t="s">
        <v>126</v>
      </c>
      <c r="E24" s="33">
        <v>125</v>
      </c>
      <c r="F24" s="56" t="s">
        <v>4333</v>
      </c>
    </row>
    <row r="25" spans="1:6" x14ac:dyDescent="0.3">
      <c r="A25" s="72" t="s">
        <v>16</v>
      </c>
      <c r="B25" s="73" t="s">
        <v>53</v>
      </c>
      <c r="D25" s="34" t="s">
        <v>166</v>
      </c>
      <c r="E25" s="33">
        <v>198</v>
      </c>
      <c r="F25" s="56" t="s">
        <v>4328</v>
      </c>
    </row>
    <row r="26" spans="1:6" x14ac:dyDescent="0.3">
      <c r="A26" s="72" t="s">
        <v>52</v>
      </c>
      <c r="B26" s="73" t="s">
        <v>26</v>
      </c>
      <c r="D26" s="34" t="s">
        <v>207</v>
      </c>
      <c r="E26" s="33">
        <v>189</v>
      </c>
      <c r="F26" s="56" t="s">
        <v>4328</v>
      </c>
    </row>
    <row r="27" spans="1:6" x14ac:dyDescent="0.3">
      <c r="A27" s="72" t="s">
        <v>59</v>
      </c>
      <c r="B27" s="73" t="s">
        <v>17</v>
      </c>
      <c r="D27" s="34" t="s">
        <v>93</v>
      </c>
      <c r="E27" s="33">
        <v>128</v>
      </c>
      <c r="F27" s="56" t="s">
        <v>4325</v>
      </c>
    </row>
    <row r="28" spans="1:6" x14ac:dyDescent="0.3">
      <c r="A28" s="72" t="s">
        <v>31</v>
      </c>
      <c r="B28" s="73" t="s">
        <v>114</v>
      </c>
      <c r="D28" s="32" t="s">
        <v>107</v>
      </c>
      <c r="E28" s="33">
        <v>120</v>
      </c>
      <c r="F28" s="56" t="s">
        <v>4325</v>
      </c>
    </row>
    <row r="29" spans="1:6" x14ac:dyDescent="0.3">
      <c r="A29" s="72" t="s">
        <v>114</v>
      </c>
      <c r="D29" s="35" t="s">
        <v>429</v>
      </c>
      <c r="E29" s="33">
        <v>133</v>
      </c>
      <c r="F29" s="56" t="s">
        <v>4340</v>
      </c>
    </row>
    <row r="30" spans="1:6" x14ac:dyDescent="0.3">
      <c r="D30" s="32" t="s">
        <v>209</v>
      </c>
      <c r="E30" s="33">
        <v>165</v>
      </c>
      <c r="F30" s="56" t="s">
        <v>4325</v>
      </c>
    </row>
    <row r="31" spans="1:6" x14ac:dyDescent="0.3">
      <c r="A31" s="75" t="s">
        <v>4348</v>
      </c>
      <c r="D31" s="32" t="s">
        <v>130</v>
      </c>
      <c r="E31" s="33">
        <v>194</v>
      </c>
      <c r="F31" s="56" t="s">
        <v>4328</v>
      </c>
    </row>
    <row r="32" spans="1:6" x14ac:dyDescent="0.3">
      <c r="A32" s="74" t="s">
        <v>31</v>
      </c>
      <c r="D32" s="32" t="s">
        <v>186</v>
      </c>
      <c r="E32" s="33">
        <v>130</v>
      </c>
      <c r="F32" s="56" t="s">
        <v>4340</v>
      </c>
    </row>
    <row r="33" spans="1:6" x14ac:dyDescent="0.3">
      <c r="A33" s="74" t="s">
        <v>59</v>
      </c>
      <c r="D33" s="32" t="s">
        <v>418</v>
      </c>
      <c r="E33" s="33">
        <v>179</v>
      </c>
      <c r="F33" s="56" t="s">
        <v>4333</v>
      </c>
    </row>
    <row r="34" spans="1:6" x14ac:dyDescent="0.3">
      <c r="A34" s="74" t="s">
        <v>63</v>
      </c>
      <c r="D34" s="35" t="s">
        <v>388</v>
      </c>
      <c r="E34" s="33">
        <v>191</v>
      </c>
      <c r="F34" s="56" t="s">
        <v>4333</v>
      </c>
    </row>
    <row r="35" spans="1:6" x14ac:dyDescent="0.3">
      <c r="A35" s="74" t="s">
        <v>114</v>
      </c>
      <c r="D35" s="34" t="s">
        <v>325</v>
      </c>
      <c r="E35" s="33">
        <v>180</v>
      </c>
      <c r="F35" s="56" t="s">
        <v>4333</v>
      </c>
    </row>
    <row r="36" spans="1:6" x14ac:dyDescent="0.3">
      <c r="D36" s="32" t="s">
        <v>252</v>
      </c>
      <c r="E36" s="33">
        <v>135</v>
      </c>
      <c r="F36" s="56" t="s">
        <v>4325</v>
      </c>
    </row>
    <row r="37" spans="1:6" x14ac:dyDescent="0.3">
      <c r="D37" s="32" t="s">
        <v>70</v>
      </c>
      <c r="E37" s="33">
        <v>146</v>
      </c>
      <c r="F37" s="56" t="s">
        <v>4333</v>
      </c>
    </row>
    <row r="38" spans="1:6" x14ac:dyDescent="0.3">
      <c r="D38" s="36" t="s">
        <v>47</v>
      </c>
      <c r="E38" s="37" t="s">
        <v>4349</v>
      </c>
      <c r="F38" s="304" t="s">
        <v>4325</v>
      </c>
    </row>
    <row r="39" spans="1:6" x14ac:dyDescent="0.3">
      <c r="D39" s="32" t="s">
        <v>288</v>
      </c>
      <c r="E39" s="33">
        <v>197</v>
      </c>
      <c r="F39" s="56" t="s">
        <v>4328</v>
      </c>
    </row>
    <row r="40" spans="1:6" x14ac:dyDescent="0.3">
      <c r="D40" s="32" t="s">
        <v>145</v>
      </c>
      <c r="E40" s="33">
        <v>145</v>
      </c>
      <c r="F40" s="56" t="s">
        <v>4328</v>
      </c>
    </row>
    <row r="41" spans="1:6" x14ac:dyDescent="0.3">
      <c r="D41" s="32" t="s">
        <v>57</v>
      </c>
      <c r="E41" s="33">
        <v>170</v>
      </c>
      <c r="F41" s="56" t="s">
        <v>4333</v>
      </c>
    </row>
    <row r="42" spans="1:6" x14ac:dyDescent="0.3">
      <c r="D42" s="32" t="s">
        <v>275</v>
      </c>
      <c r="E42" s="33">
        <v>188</v>
      </c>
      <c r="F42" s="56" t="s">
        <v>4328</v>
      </c>
    </row>
    <row r="43" spans="1:6" x14ac:dyDescent="0.3">
      <c r="D43" s="35" t="s">
        <v>159</v>
      </c>
      <c r="E43" s="33">
        <v>156</v>
      </c>
      <c r="F43" s="56" t="s">
        <v>4325</v>
      </c>
    </row>
    <row r="44" spans="1:6" x14ac:dyDescent="0.3">
      <c r="D44" s="32" t="s">
        <v>14</v>
      </c>
      <c r="E44" s="33">
        <v>178</v>
      </c>
      <c r="F44" s="56" t="s">
        <v>4333</v>
      </c>
    </row>
    <row r="45" spans="1:6" x14ac:dyDescent="0.3">
      <c r="D45" s="35" t="s">
        <v>235</v>
      </c>
      <c r="E45" s="33">
        <v>160</v>
      </c>
      <c r="F45" s="56" t="s">
        <v>4325</v>
      </c>
    </row>
    <row r="46" spans="1:6" x14ac:dyDescent="0.3">
      <c r="D46" s="32" t="s">
        <v>161</v>
      </c>
      <c r="E46" s="33">
        <v>142</v>
      </c>
      <c r="F46" s="56" t="s">
        <v>4328</v>
      </c>
    </row>
    <row r="47" spans="1:6" x14ac:dyDescent="0.3">
      <c r="D47" s="35" t="s">
        <v>273</v>
      </c>
      <c r="E47" s="33">
        <v>140</v>
      </c>
      <c r="F47" s="56" t="s">
        <v>4328</v>
      </c>
    </row>
    <row r="48" spans="1:6" x14ac:dyDescent="0.3">
      <c r="D48" s="35" t="s">
        <v>44</v>
      </c>
      <c r="E48" s="33">
        <v>192</v>
      </c>
      <c r="F48" s="56" t="s">
        <v>4333</v>
      </c>
    </row>
    <row r="49" spans="4:6" x14ac:dyDescent="0.3">
      <c r="D49" s="35" t="s">
        <v>21</v>
      </c>
      <c r="E49" s="33">
        <v>131</v>
      </c>
      <c r="F49" s="56" t="s">
        <v>4340</v>
      </c>
    </row>
    <row r="50" spans="4:6" x14ac:dyDescent="0.3">
      <c r="D50" s="32" t="s">
        <v>310</v>
      </c>
      <c r="E50" s="33">
        <v>144</v>
      </c>
      <c r="F50" s="56" t="s">
        <v>4333</v>
      </c>
    </row>
    <row r="51" spans="4:6" x14ac:dyDescent="0.3">
      <c r="D51" s="35" t="s">
        <v>215</v>
      </c>
      <c r="E51" s="33">
        <v>121</v>
      </c>
      <c r="F51" s="56" t="s">
        <v>4325</v>
      </c>
    </row>
    <row r="52" spans="4:6" x14ac:dyDescent="0.3">
      <c r="D52" s="35" t="s">
        <v>261</v>
      </c>
      <c r="E52" s="33">
        <v>210</v>
      </c>
      <c r="F52" s="56" t="s">
        <v>4333</v>
      </c>
    </row>
    <row r="53" spans="4:6" x14ac:dyDescent="0.3">
      <c r="D53" s="35" t="s">
        <v>241</v>
      </c>
      <c r="E53" s="33">
        <v>171</v>
      </c>
      <c r="F53" s="56" t="s">
        <v>4333</v>
      </c>
    </row>
    <row r="54" spans="4:6" x14ac:dyDescent="0.3">
      <c r="D54" s="35" t="s">
        <v>250</v>
      </c>
      <c r="E54" s="33">
        <v>199</v>
      </c>
      <c r="F54" s="56" t="s">
        <v>4328</v>
      </c>
    </row>
    <row r="55" spans="4:6" x14ac:dyDescent="0.3">
      <c r="D55" s="35" t="s">
        <v>597</v>
      </c>
      <c r="E55" s="33">
        <v>139</v>
      </c>
      <c r="F55" s="304" t="s">
        <v>4333</v>
      </c>
    </row>
    <row r="56" spans="4:6" x14ac:dyDescent="0.3">
      <c r="D56" s="35" t="s">
        <v>268</v>
      </c>
      <c r="E56" s="33">
        <v>137</v>
      </c>
      <c r="F56" s="56" t="s">
        <v>4340</v>
      </c>
    </row>
    <row r="57" spans="4:6" x14ac:dyDescent="0.3">
      <c r="D57" s="32" t="s">
        <v>153</v>
      </c>
      <c r="E57" s="33">
        <v>126</v>
      </c>
      <c r="F57" s="56" t="s">
        <v>4333</v>
      </c>
    </row>
    <row r="58" spans="4:6" x14ac:dyDescent="0.3">
      <c r="D58" s="32" t="s">
        <v>86</v>
      </c>
      <c r="E58" s="33">
        <v>150</v>
      </c>
      <c r="F58" s="56" t="s">
        <v>4325</v>
      </c>
    </row>
    <row r="59" spans="4:6" x14ac:dyDescent="0.3">
      <c r="D59" s="32" t="s">
        <v>436</v>
      </c>
      <c r="E59" s="33">
        <v>129</v>
      </c>
      <c r="F59" s="56" t="s">
        <v>4340</v>
      </c>
    </row>
    <row r="60" spans="4:6" x14ac:dyDescent="0.3">
      <c r="D60" s="36" t="s">
        <v>113</v>
      </c>
      <c r="E60" s="37" t="s">
        <v>114</v>
      </c>
      <c r="F60" s="57" t="s">
        <v>114</v>
      </c>
    </row>
    <row r="61" spans="4:6" x14ac:dyDescent="0.3">
      <c r="D61" s="205" t="s">
        <v>147</v>
      </c>
      <c r="E61" s="204">
        <v>185</v>
      </c>
      <c r="F61" s="56" t="s">
        <v>4333</v>
      </c>
    </row>
    <row r="63" spans="4:6" x14ac:dyDescent="0.3">
      <c r="D63" t="s">
        <v>4350</v>
      </c>
    </row>
    <row r="64" spans="4:6" x14ac:dyDescent="0.3">
      <c r="D64" t="s">
        <v>4351</v>
      </c>
      <c r="E64" s="1">
        <v>102</v>
      </c>
    </row>
    <row r="65" spans="4:5" x14ac:dyDescent="0.3">
      <c r="D65" t="s">
        <v>4352</v>
      </c>
      <c r="E65" s="1">
        <v>122</v>
      </c>
    </row>
    <row r="66" spans="4:5" x14ac:dyDescent="0.3">
      <c r="D66" t="s">
        <v>4353</v>
      </c>
      <c r="E66" s="1">
        <v>123</v>
      </c>
    </row>
    <row r="67" spans="4:5" x14ac:dyDescent="0.3">
      <c r="D67" t="s">
        <v>4354</v>
      </c>
      <c r="E67" s="1">
        <v>134</v>
      </c>
    </row>
    <row r="68" spans="4:5" x14ac:dyDescent="0.3">
      <c r="D68" t="s">
        <v>4355</v>
      </c>
      <c r="E68" s="1">
        <v>154</v>
      </c>
    </row>
    <row r="69" spans="4:5" x14ac:dyDescent="0.3">
      <c r="D69" t="s">
        <v>4356</v>
      </c>
      <c r="E69" s="1">
        <v>166</v>
      </c>
    </row>
    <row r="70" spans="4:5" x14ac:dyDescent="0.3">
      <c r="D70" t="s">
        <v>4357</v>
      </c>
      <c r="E70" s="1">
        <v>169</v>
      </c>
    </row>
    <row r="71" spans="4:5" x14ac:dyDescent="0.3">
      <c r="D71" t="s">
        <v>4358</v>
      </c>
      <c r="E71" s="1">
        <v>172</v>
      </c>
    </row>
    <row r="72" spans="4:5" x14ac:dyDescent="0.3">
      <c r="D72" t="s">
        <v>4359</v>
      </c>
      <c r="E72" s="1">
        <v>187</v>
      </c>
    </row>
    <row r="73" spans="4:5" x14ac:dyDescent="0.3">
      <c r="D73" t="s">
        <v>4360</v>
      </c>
      <c r="E73" s="1">
        <v>196</v>
      </c>
    </row>
  </sheetData>
  <sortState xmlns:xlrd2="http://schemas.microsoft.com/office/spreadsheetml/2017/richdata2" ref="D7:E67">
    <sortCondition ref="D7"/>
  </sortState>
  <pageMargins left="0.7" right="0.7" top="0.75" bottom="0.75" header="0.3" footer="0.3"/>
  <pageSetup orientation="portrait" r:id="rId1"/>
  <legacy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fd8d06a-9698-4952-99f3-b656f6d2fda8">
      <Terms xmlns="http://schemas.microsoft.com/office/infopath/2007/PartnerControls"/>
    </lcf76f155ced4ddcb4097134ff3c332f>
    <TaxCatchAll xmlns="0cd52cba-1e1b-45f5-9409-4e2ce17b546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4A6AD65BF9EAF46BCDE1074A69F3580" ma:contentTypeVersion="10" ma:contentTypeDescription="Create a new document." ma:contentTypeScope="" ma:versionID="99319468e78aa794aad993e4c3699c91">
  <xsd:schema xmlns:xsd="http://www.w3.org/2001/XMLSchema" xmlns:xs="http://www.w3.org/2001/XMLSchema" xmlns:p="http://schemas.microsoft.com/office/2006/metadata/properties" xmlns:ns2="afd8d06a-9698-4952-99f3-b656f6d2fda8" xmlns:ns3="0cd52cba-1e1b-45f5-9409-4e2ce17b546f" targetNamespace="http://schemas.microsoft.com/office/2006/metadata/properties" ma:root="true" ma:fieldsID="44cb9243e6b59ab47691a4fbe6682349" ns2:_="" ns3:_="">
    <xsd:import namespace="afd8d06a-9698-4952-99f3-b656f6d2fda8"/>
    <xsd:import namespace="0cd52cba-1e1b-45f5-9409-4e2ce17b54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8d06a-9698-4952-99f3-b656f6d2fd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c2fdbb0-a107-45e2-bf17-b198bd7ecb7a"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cd52cba-1e1b-45f5-9409-4e2ce17b54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61894ff1-a9ac-447a-87a8-8b81b435660f}" ma:internalName="TaxCatchAll" ma:showField="CatchAllData" ma:web="0cd52cba-1e1b-45f5-9409-4e2ce17b54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53D7F5C0-1621-48DD-BF04-EFDBFDB74781}">
  <ds:schemaRefs>
    <ds:schemaRef ds:uri="http://schemas.microsoft.com/sharepoint/v3/contenttype/forms"/>
  </ds:schemaRefs>
</ds:datastoreItem>
</file>

<file path=customXml/itemProps2.xml><?xml version="1.0" encoding="utf-8"?>
<ds:datastoreItem xmlns:ds="http://schemas.openxmlformats.org/officeDocument/2006/customXml" ds:itemID="{68735331-916F-4097-A819-9EC14473AEFA}">
  <ds:schemaRefs>
    <ds:schemaRef ds:uri="http://schemas.microsoft.com/office/2006/metadata/properties"/>
    <ds:schemaRef ds:uri="http://schemas.microsoft.com/office/infopath/2007/PartnerControls"/>
    <ds:schemaRef ds:uri="afd8d06a-9698-4952-99f3-b656f6d2fda8"/>
    <ds:schemaRef ds:uri="0cd52cba-1e1b-45f5-9409-4e2ce17b546f"/>
  </ds:schemaRefs>
</ds:datastoreItem>
</file>

<file path=customXml/itemProps3.xml><?xml version="1.0" encoding="utf-8"?>
<ds:datastoreItem xmlns:ds="http://schemas.openxmlformats.org/officeDocument/2006/customXml" ds:itemID="{4C385A0B-3EA9-4A4F-8FA9-4C1E711212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8d06a-9698-4952-99f3-b656f6d2fda8"/>
    <ds:schemaRef ds:uri="0cd52cba-1e1b-45f5-9409-4e2ce17b54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62ABC5B-0831-4929-944D-7B7242EFFE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Assessment '24</vt:lpstr>
      <vt:lpstr>PTO 2024</vt:lpstr>
      <vt:lpstr>CAF '24</vt:lpstr>
      <vt:lpstr>CAR '24</vt:lpstr>
      <vt:lpstr>PAR '24</vt:lpstr>
      <vt:lpstr>List source</vt:lpstr>
      <vt:lpstr>'PTO 2024'!Print_Area</vt:lpstr>
      <vt:lpstr>'Assessment ''24'!Print_Titles</vt:lpstr>
      <vt:lpstr>'CAF ''24'!Print_Titles</vt:lpstr>
      <vt:lpstr>'CAR ''24'!Print_Titles</vt:lpstr>
      <vt:lpstr>'PAR ''24'!Print_Titles</vt:lpstr>
      <vt:lpstr>'PTO 2024'!Print_Titles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AmSpec Group</dc:creator>
  <cp:keywords/>
  <dc:description/>
  <cp:lastModifiedBy>Jose Peralta</cp:lastModifiedBy>
  <cp:revision/>
  <dcterms:created xsi:type="dcterms:W3CDTF">2019-01-08T20:28:04Z</dcterms:created>
  <dcterms:modified xsi:type="dcterms:W3CDTF">2026-02-12T19:46:21Z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0x01010074A6AD65BF9EAF46BCDE1074A69F3580</vt:lpwstr>
  </property>
  <property fmtid="{D5CDD505-2E9C-101B-9397-08002B2CF9AE}" pid="3" name="MSIP_Label_a3a59af8-8950-43c2-9c28-eaff525f5f00_Enabled">
    <vt:lpwstr>true</vt:lpwstr>
  </property>
  <property fmtid="{D5CDD505-2E9C-101B-9397-08002B2CF9AE}" pid="4" name="MSIP_Label_a3a59af8-8950-43c2-9c28-eaff525f5f00_SetDate">
    <vt:lpwstr>2024-03-08T17:10:49Z</vt:lpwstr>
  </property>
  <property fmtid="{D5CDD505-2E9C-101B-9397-08002B2CF9AE}" pid="5" name="MSIP_Label_a3a59af8-8950-43c2-9c28-eaff525f5f00_Method">
    <vt:lpwstr>Standard</vt:lpwstr>
  </property>
  <property fmtid="{D5CDD505-2E9C-101B-9397-08002B2CF9AE}" pid="6" name="MSIP_Label_a3a59af8-8950-43c2-9c28-eaff525f5f00_Name">
    <vt:lpwstr>defa4170-0d19-0005-0004-bc88714345d2</vt:lpwstr>
  </property>
  <property fmtid="{D5CDD505-2E9C-101B-9397-08002B2CF9AE}" pid="7" name="MSIP_Label_a3a59af8-8950-43c2-9c28-eaff525f5f00_SiteId">
    <vt:lpwstr>fddf0fb0-6be4-4e34-ace1-e795bc64c91f</vt:lpwstr>
  </property>
  <property fmtid="{D5CDD505-2E9C-101B-9397-08002B2CF9AE}" pid="8" name="MSIP_Label_a3a59af8-8950-43c2-9c28-eaff525f5f00_ActionId">
    <vt:lpwstr>06366ec9-e4c9-497a-89ea-c487544f53fb</vt:lpwstr>
  </property>
  <property fmtid="{D5CDD505-2E9C-101B-9397-08002B2CF9AE}" pid="9" name="MSIP_Label_a3a59af8-8950-43c2-9c28-eaff525f5f00_ContentBits">
    <vt:lpwstr>0</vt:lpwstr>
  </property>
  <property fmtid="{D5CDD505-2E9C-101B-9397-08002B2CF9AE}" pid="10" name="MediaServiceImageTags">
    <vt:lpwstr/>
  </property>
</Properties>
</file>